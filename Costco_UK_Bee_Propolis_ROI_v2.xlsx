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orecast" sheetId="3" state="visible" r:id="rId3"/>
    <sheet name="Summary" sheetId="4" state="visible" r:id="rId4"/>
  </sheets>
  <definedNames/>
  <calcPr calcId="124519" fullCalcOnLoad="1"/>
</workbook>
</file>

<file path=xl/styles.xml><?xml version="1.0" encoding="utf-8"?>
<styleSheet xmlns="http://schemas.openxmlformats.org/spreadsheetml/2006/main">
  <numFmts count="5">
    <numFmt numFmtId="164" formatCode="_-£* #,##0.00_-;[Red]-£* #,##0.00_-;_-£* &quot;-&quot;??_-;_-@_-"/>
    <numFmt numFmtId="165" formatCode="0.0%"/>
    <numFmt numFmtId="166" formatCode="_-£* #,##0_-;[Red]-£* #,##0_-;_-£* &quot;-&quot;??_-;_-@_-"/>
    <numFmt numFmtId="167" formatCode="0.0&quot;x&quot;"/>
    <numFmt numFmtId="168" formatCode="0;;;@"/>
  </numFmts>
  <fonts count="15">
    <font>
      <name val="Calibri"/>
      <family val="2"/>
      <color theme="1"/>
      <sz val="11"/>
      <scheme val="minor"/>
    </font>
    <font>
      <name val="Calibri"/>
      <b val="1"/>
      <color rgb="001F4E78"/>
      <sz val="20"/>
    </font>
    <font>
      <name val="Calibri"/>
      <i val="1"/>
      <color rgb="00595959"/>
      <sz val="12"/>
    </font>
    <font>
      <name val="Calibri"/>
      <b val="1"/>
      <color rgb="00FFFFFF"/>
      <sz val="13"/>
    </font>
    <font>
      <name val="Calibri"/>
      <b val="1"/>
      <color rgb="001F4E78"/>
      <sz val="11"/>
    </font>
    <font>
      <name val="Calibri"/>
      <b val="1"/>
      <color rgb="00FFFFFF"/>
      <sz val="18"/>
    </font>
    <font>
      <name val="Calibri"/>
      <b val="1"/>
      <color rgb="00FFFFFF"/>
      <sz val="12"/>
    </font>
    <font>
      <name val="Calibri"/>
      <b val="1"/>
      <sz val="11"/>
    </font>
    <font>
      <name val="Calibri"/>
      <b val="1"/>
      <color rgb="000070C0"/>
      <sz val="11"/>
    </font>
    <font>
      <name val="Calibri"/>
      <i val="1"/>
      <color rgb="00595959"/>
      <sz val="10"/>
    </font>
    <font>
      <name val="Calibri"/>
      <sz val="11"/>
    </font>
    <font>
      <name val="Calibri"/>
      <b val="1"/>
      <color rgb="00FFFFFF"/>
      <sz val="10"/>
    </font>
    <font>
      <name val="Calibri"/>
      <b val="1"/>
      <color rgb="00FFFFFF"/>
      <sz val="11"/>
    </font>
    <font>
      <name val="Calibri"/>
      <color rgb="00000000"/>
      <sz val="11"/>
    </font>
    <font>
      <name val="Calibri"/>
      <b val="1"/>
      <color rgb="001F4E78"/>
      <sz val="14"/>
    </font>
  </fonts>
  <fills count="8">
    <fill>
      <patternFill/>
    </fill>
    <fill>
      <patternFill patternType="gray125"/>
    </fill>
    <fill>
      <patternFill patternType="solid">
        <fgColor rgb="002E75B6"/>
      </patternFill>
    </fill>
    <fill>
      <patternFill patternType="solid">
        <fgColor rgb="00FFF2CC"/>
      </patternFill>
    </fill>
    <fill>
      <patternFill patternType="solid">
        <fgColor rgb="00F2F2F2"/>
      </patternFill>
    </fill>
    <fill>
      <patternFill patternType="solid">
        <fgColor rgb="00DDEBF7"/>
      </patternFill>
    </fill>
    <fill>
      <patternFill patternType="solid">
        <fgColor rgb="001F4E78"/>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0" pivotButton="0" quotePrefix="0" xfId="0"/>
    <xf numFmtId="0" fontId="0" fillId="0" borderId="0" applyAlignment="1" pivotButton="0" quotePrefix="0" xfId="0">
      <alignment horizontal="left" vertical="top" wrapText="1"/>
    </xf>
    <xf numFmtId="0" fontId="0" fillId="3" borderId="0" applyAlignment="1" pivotButton="0" quotePrefix="0" xfId="0">
      <alignment horizontal="left" vertical="center" wrapText="1"/>
    </xf>
    <xf numFmtId="0" fontId="0" fillId="4" borderId="0" applyAlignment="1" pivotButton="0" quotePrefix="0" xfId="0">
      <alignment horizontal="left" vertical="center" wrapText="1"/>
    </xf>
    <xf numFmtId="0" fontId="0" fillId="5" borderId="0" applyAlignment="1" pivotButton="0" quotePrefix="0" xfId="0">
      <alignment horizontal="left" vertical="center" wrapText="1"/>
    </xf>
    <xf numFmtId="0" fontId="5" fillId="6" borderId="0" applyAlignment="1" pivotButton="0" quotePrefix="0" xfId="0">
      <alignment horizontal="center" vertical="center" wrapText="1"/>
    </xf>
    <xf numFmtId="0" fontId="6" fillId="2" borderId="0" applyAlignment="1" pivotButton="0" quotePrefix="0" xfId="0">
      <alignment horizontal="left" vertical="center" wrapText="1"/>
    </xf>
    <xf numFmtId="0" fontId="7" fillId="0" borderId="0" applyAlignment="1" pivotButton="0" quotePrefix="0" xfId="0">
      <alignment horizontal="left" vertical="center" wrapText="1"/>
    </xf>
    <xf numFmtId="0" fontId="8" fillId="3" borderId="1" applyAlignment="1" pivotButton="0" quotePrefix="0" xfId="0">
      <alignment horizontal="right" vertical="center"/>
    </xf>
    <xf numFmtId="0" fontId="9" fillId="0" borderId="0" applyAlignment="1" pivotButton="0" quotePrefix="0" xfId="0">
      <alignment horizontal="left" vertical="top" wrapText="1"/>
    </xf>
    <xf numFmtId="3" fontId="8" fillId="3" borderId="1" applyAlignment="1" pivotButton="0" quotePrefix="0" xfId="0">
      <alignment horizontal="right" vertical="center"/>
    </xf>
    <xf numFmtId="164" fontId="8" fillId="3" borderId="1" applyAlignment="1" pivotButton="0" quotePrefix="0" xfId="0">
      <alignment horizontal="right" vertical="center"/>
    </xf>
    <xf numFmtId="164" fontId="10" fillId="4" borderId="1" applyAlignment="1" pivotButton="0" quotePrefix="0" xfId="0">
      <alignment horizontal="right" vertical="center"/>
    </xf>
    <xf numFmtId="165" fontId="10" fillId="4" borderId="1" applyAlignment="1" pivotButton="0" quotePrefix="0" xfId="0">
      <alignment horizontal="right" vertical="center"/>
    </xf>
    <xf numFmtId="3" fontId="10" fillId="4" borderId="1" applyAlignment="1" pivotButton="0" quotePrefix="0" xfId="0">
      <alignment horizontal="right" vertical="center"/>
    </xf>
    <xf numFmtId="166" fontId="8" fillId="3" borderId="1" applyAlignment="1" pivotButton="0" quotePrefix="0" xfId="0">
      <alignment horizontal="right" vertical="center"/>
    </xf>
    <xf numFmtId="167" fontId="8" fillId="3" borderId="1" applyAlignment="1" pivotButton="0" quotePrefix="0" xfId="0">
      <alignment horizontal="right" vertical="center"/>
    </xf>
    <xf numFmtId="166" fontId="10" fillId="4" borderId="1" applyAlignment="1" pivotButton="0" quotePrefix="0" xfId="0">
      <alignment horizontal="right" vertical="center"/>
    </xf>
    <xf numFmtId="165" fontId="8" fillId="3" borderId="1" applyAlignment="1" pivotButton="0" quotePrefix="0" xfId="0">
      <alignment horizontal="right" vertical="center"/>
    </xf>
    <xf numFmtId="0" fontId="6" fillId="6" borderId="0" applyAlignment="1" pivotButton="0" quotePrefix="0" xfId="0">
      <alignment horizontal="left" vertical="center" wrapText="1"/>
    </xf>
    <xf numFmtId="0" fontId="7" fillId="4" borderId="0" applyAlignment="1" pivotButton="0" quotePrefix="0" xfId="0">
      <alignment horizontal="left" vertical="center" wrapText="1"/>
    </xf>
    <xf numFmtId="0" fontId="11" fillId="2" borderId="1" applyAlignment="1" pivotButton="0" quotePrefix="0" xfId="0">
      <alignment horizontal="center" vertical="center" wrapText="1"/>
    </xf>
    <xf numFmtId="0" fontId="7" fillId="0" borderId="0" pivotButton="0" quotePrefix="0" xfId="0"/>
    <xf numFmtId="168" fontId="8" fillId="3" borderId="1" applyAlignment="1" pivotButton="0" quotePrefix="0" xfId="0">
      <alignment horizontal="center" vertical="center" wrapText="1"/>
    </xf>
    <xf numFmtId="167" fontId="8" fillId="3" borderId="1" applyAlignment="1" pivotButton="0" quotePrefix="0" xfId="0">
      <alignment horizontal="center" vertical="center" wrapText="1"/>
    </xf>
    <xf numFmtId="0" fontId="11" fillId="6" borderId="1" applyAlignment="1" pivotButton="0" quotePrefix="0" xfId="0">
      <alignment horizontal="center" vertical="center" wrapText="1"/>
    </xf>
    <xf numFmtId="3" fontId="4" fillId="5" borderId="1" applyAlignment="1" pivotButton="0" quotePrefix="0" xfId="0">
      <alignment horizontal="right" vertical="center"/>
    </xf>
    <xf numFmtId="0" fontId="10" fillId="0" borderId="0" applyAlignment="1" pivotButton="0" quotePrefix="0" xfId="0">
      <alignment horizontal="left" vertical="center" wrapText="1"/>
    </xf>
    <xf numFmtId="164" fontId="4" fillId="5" borderId="1" applyAlignment="1" pivotButton="0" quotePrefix="0" xfId="0">
      <alignment horizontal="right" vertical="center"/>
    </xf>
    <xf numFmtId="166" fontId="4" fillId="5" borderId="1" applyAlignment="1" pivotButton="0" quotePrefix="0" xfId="0">
      <alignment horizontal="right" vertical="center"/>
    </xf>
    <xf numFmtId="0" fontId="4" fillId="0" borderId="0" applyAlignment="1" pivotButton="0" quotePrefix="0" xfId="0">
      <alignment horizontal="left" vertical="center" wrapText="1"/>
    </xf>
    <xf numFmtId="0" fontId="12" fillId="2" borderId="0" applyAlignment="1" pivotButton="0" quotePrefix="0" xfId="0">
      <alignment horizontal="left" vertical="center" wrapText="1"/>
    </xf>
    <xf numFmtId="0" fontId="12" fillId="2" borderId="0" applyAlignment="1" pivotButton="0" quotePrefix="0" xfId="0">
      <alignment horizontal="center" vertical="center" wrapText="1"/>
    </xf>
    <xf numFmtId="0" fontId="13" fillId="7" borderId="1" applyAlignment="1" pivotButton="0" quotePrefix="0" xfId="0">
      <alignment horizontal="left" vertical="center" wrapText="1"/>
    </xf>
    <xf numFmtId="3" fontId="10" fillId="7" borderId="1" applyAlignment="1" pivotButton="0" quotePrefix="0" xfId="0">
      <alignment horizontal="right" vertical="center"/>
    </xf>
    <xf numFmtId="166" fontId="10" fillId="7" borderId="1" applyAlignment="1" pivotButton="0" quotePrefix="0" xfId="0">
      <alignment horizontal="right" vertical="center"/>
    </xf>
    <xf numFmtId="0" fontId="4" fillId="5" borderId="1" applyAlignment="1" pivotButton="0" quotePrefix="0" xfId="0">
      <alignment horizontal="left" vertical="center" wrapText="1"/>
    </xf>
    <xf numFmtId="166" fontId="14" fillId="5" borderId="1" applyAlignment="1" pivotButton="0" quotePrefix="0" xfId="0">
      <alignment horizontal="right" vertical="center"/>
    </xf>
    <xf numFmtId="165" fontId="14" fillId="5" borderId="1" applyAlignment="1" pivotButton="0" quotePrefix="0" xfId="0">
      <alignment horizontal="right" vertical="center"/>
    </xf>
    <xf numFmtId="0" fontId="4" fillId="0" borderId="0" applyAlignment="1" pivotButton="0" quotePrefix="0" xfId="0">
      <alignment horizontal="left" vertical="top" wrapText="1"/>
    </xf>
  </cellXfs>
  <cellStyles count="1">
    <cellStyle name="Normal" xfId="0" builtinId="0" hidden="0"/>
  </cellStyles>
  <dxfs count="2">
    <dxf>
      <font>
        <b val="1"/>
        <color rgb="009C0006"/>
      </font>
      <fill>
        <patternFill patternType="solid">
          <fgColor rgb="00FFC7CE"/>
        </patternFill>
      </fill>
    </dxf>
    <dxf>
      <font>
        <b val="1"/>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4" customWidth="1" min="1" max="1"/>
    <col width="110" customWidth="1" min="2" max="2"/>
  </cols>
  <sheetData>
    <row r="2">
      <c r="B2" s="1" t="inlineStr">
        <is>
          <t>Costco UK – Bee Propolis Spray 30ml x 2 Pack</t>
        </is>
      </c>
    </row>
    <row r="3">
      <c r="B3" s="2" t="inlineStr">
        <is>
          <t>Market Test ROI Model – v2.0</t>
        </is>
      </c>
    </row>
    <row r="5">
      <c r="B5" s="3" t="inlineStr">
        <is>
          <t>HOW TO USE THIS MODEL</t>
        </is>
      </c>
    </row>
    <row r="6">
      <c r="B6" s="4" t="inlineStr">
        <is>
          <t>INSTRUCTIONS</t>
        </is>
      </c>
    </row>
    <row r="7">
      <c r="B7" s="5" t="inlineStr"/>
    </row>
    <row r="8">
      <c r="B8" s="5" t="inlineStr">
        <is>
          <t>1.  Open the 'Inputs' sheet. Only the YELLOW cells are editable – everything else is calculated.</t>
        </is>
      </c>
    </row>
    <row r="9">
      <c r="B9" s="5" t="inlineStr"/>
    </row>
    <row r="10">
      <c r="B10" s="5" t="inlineStr">
        <is>
          <t>2.  Inputs are grouped into four blocks:</t>
        </is>
      </c>
    </row>
    <row r="11">
      <c r="B11" s="5" t="inlineStr">
        <is>
          <t xml:space="preserve">      •  Product &amp; Distribution – test horizon and number of warehouses.</t>
        </is>
      </c>
    </row>
    <row r="12">
      <c r="B12" s="5" t="inlineStr">
        <is>
          <t xml:space="preserve">      •  Pricing &amp; Cost – selling price, landed cost (gross margin recalculates automatically).</t>
        </is>
      </c>
    </row>
    <row r="13">
      <c r="B13" s="5" t="inlineStr">
        <is>
          <t xml:space="preserve">      •  Base Demand – organic units sold per warehouse per week with no promo support.</t>
        </is>
      </c>
    </row>
    <row r="14">
      <c r="B14" s="5" t="inlineStr">
        <is>
          <t xml:space="preserve">      •  Promo Economics – cost per warehouse for Demo / End Cap / Fence / Advertising, plus the TPD and Markdown discount %.</t>
        </is>
      </c>
    </row>
    <row r="15">
      <c r="B15" s="5" t="inlineStr"/>
    </row>
    <row r="16">
      <c r="B16" s="5" t="inlineStr">
        <is>
          <t>3.  Each of the three scenarios (BEST / IDEAL / WORST) has its own activity grid on the Inputs sheet. For every week, tick (1) or leave blank (0) for each promo lever, and set the demand lift multiplier. Base demand is multiplied by the lift to get that week's units.</t>
        </is>
      </c>
    </row>
    <row r="17">
      <c r="B17" s="5" t="inlineStr"/>
    </row>
    <row r="18">
      <c r="B18" s="5" t="inlineStr">
        <is>
          <t>4.  The 'Forecast' sheet shows the week-by-week P&amp;L for each scenario, fully driven off Inputs. Do not edit this sheet – it will rebuild itself when Inputs change.</t>
        </is>
      </c>
    </row>
    <row r="19">
      <c r="B19" s="5" t="inlineStr"/>
    </row>
    <row r="20">
      <c r="B20" s="5" t="inlineStr">
        <is>
          <t>5.  The 'Summary' sheet rolls everything up into the six numbers leadership cares about: Revenue, Gross Profit, Gross Margin %, Promo Spend, Net Profit, and ROI on Promo Spend.</t>
        </is>
      </c>
    </row>
    <row r="21">
      <c r="B21" s="5" t="inlineStr"/>
    </row>
    <row r="22">
      <c r="B22" s="5" t="inlineStr"/>
    </row>
    <row r="23">
      <c r="B23" s="4" t="inlineStr">
        <is>
          <t>KEY CONCEPTS</t>
        </is>
      </c>
    </row>
    <row r="24" ht="38" customHeight="1">
      <c r="B24" s="5" t="inlineStr">
        <is>
          <t>•  Base Demand — Organic Costco velocity with no promo support. Derived from the prior 30ml SKU run-rate: ~500 units of life-time sales across 29 weeks of a similar test, scaled to 20 warehouses. Equivalent to ~13.8 units / warehouse / week.</t>
        </is>
      </c>
    </row>
    <row r="25" ht="38" customHeight="1">
      <c r="B25" s="5" t="inlineStr">
        <is>
          <t>•  Lift Multiplier — How much faster the SKU sells in a given week with promo support. 1.0x = base, 3.0x = demo, 3.6x = demo + end cap, 8.0x+ = clearance markdown.</t>
        </is>
      </c>
    </row>
    <row r="26" ht="38" customHeight="1">
      <c r="B26" s="5" t="inlineStr">
        <is>
          <t>•  TPD (Temporary Price Discount) — Standard Costco mechanic: 20% off MSRP. Because Costco takes a 20% retail margin, a 20% MSRP discount is equivalent to a 25% reduction on the net price the brand receives. Modelled as a per-unit deduction on TPD weeks.</t>
        </is>
      </c>
    </row>
    <row r="27" ht="38" customHeight="1">
      <c r="B27" s="5" t="inlineStr">
        <is>
          <t>•  Demo Cost — £199 / warehouse / weekend (Costco standard), grossed up by 1.86x for staffing &amp; POS materials. Total = £199 × WHs × 1.86.</t>
        </is>
      </c>
    </row>
    <row r="28" ht="38" customHeight="1">
      <c r="B28" s="5" t="inlineStr">
        <is>
          <t>•  End Cap Cost — £850 / warehouse / 2-week cycle, same 1.86x cost factor. Per-week cost is half.</t>
        </is>
      </c>
    </row>
    <row r="29" ht="38" customHeight="1">
      <c r="B29" s="5" t="inlineStr">
        <is>
          <t>•  Markdown Cost — Clearance price reduction modelled as % of revenue in the weeks markdown is active.</t>
        </is>
      </c>
    </row>
    <row r="30" ht="38" customHeight="1">
      <c r="B30" s="5" t="inlineStr">
        <is>
          <t>•  ROI on Promo Spend — Net Profit ÷ Promo Spend. Tells you what every £1 of promo investment returned. Negative = the promo plan destroyed value.</t>
        </is>
      </c>
    </row>
    <row r="32">
      <c r="B32" s="4" t="inlineStr">
        <is>
          <t>COLOUR KEY</t>
        </is>
      </c>
    </row>
    <row r="33">
      <c r="B33" s="6" t="inlineStr">
        <is>
          <t xml:space="preserve">   Yellow: Editable input – change me</t>
        </is>
      </c>
    </row>
    <row r="34">
      <c r="B34" s="7" t="inlineStr">
        <is>
          <t xml:space="preserve">   Grey: Calculated – do not edit</t>
        </is>
      </c>
    </row>
    <row r="35">
      <c r="B35" s="8" t="inlineStr">
        <is>
          <t xml:space="preserve">   Light Blue: Summary KPI</t>
        </is>
      </c>
    </row>
  </sheetData>
  <mergeCells count="1">
    <mergeCell ref="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AE64"/>
  <sheetViews>
    <sheetView showGridLines="0" workbookViewId="0">
      <pane xSplit="5" ySplit="2" topLeftCell="F3" activePane="bottomRight" state="frozen"/>
      <selection pane="topRight"/>
      <selection pane="bottomLeft"/>
      <selection pane="bottomRight" activeCell="A1" sqref="A1"/>
    </sheetView>
  </sheetViews>
  <sheetFormatPr baseColWidth="8" defaultRowHeight="15"/>
  <cols>
    <col width="2" customWidth="1" min="1" max="1"/>
    <col width="38" customWidth="1" min="2" max="2"/>
    <col width="16" customWidth="1" min="3" max="3"/>
    <col width="4" customWidth="1" min="4" max="4"/>
    <col width="70"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s>
  <sheetData>
    <row r="2" ht="32" customHeight="1">
      <c r="B2" s="9" t="inlineStr">
        <is>
          <t>INPUTS &amp; ASSUMPTIONS — change yellow cells only</t>
        </is>
      </c>
    </row>
    <row r="4" ht="22" customHeight="1">
      <c r="B4" s="10" t="inlineStr">
        <is>
          <t>1.  Product &amp; Distribution</t>
        </is>
      </c>
    </row>
    <row r="5" ht="28" customHeight="1">
      <c r="B5" s="11" t="inlineStr">
        <is>
          <t>SKU</t>
        </is>
      </c>
      <c r="C5" s="12" t="inlineStr">
        <is>
          <t>Bee Propolis Spray 30ml x 2</t>
        </is>
      </c>
      <c r="E5" s="13" t="inlineStr">
        <is>
          <t>Costco UK market test SKU.</t>
        </is>
      </c>
    </row>
    <row r="6" ht="28" customHeight="1">
      <c r="B6" s="11" t="inlineStr">
        <is>
          <t>Test Warehouses</t>
        </is>
      </c>
      <c r="C6" s="14" t="n">
        <v>20</v>
      </c>
      <c r="E6" s="13" t="inlineStr">
        <is>
          <t>Number of Costco UK warehouses included in the market test.</t>
        </is>
      </c>
    </row>
    <row r="7" ht="28" customHeight="1">
      <c r="B7" s="11" t="inlineStr">
        <is>
          <t>Test Period (Weeks)</t>
        </is>
      </c>
      <c r="C7" s="14" t="n">
        <v>26</v>
      </c>
      <c r="E7" s="13" t="inlineStr">
        <is>
          <t>Forecast horizon. Model is built for 26 weeks (Week 2 through Week 27).</t>
        </is>
      </c>
    </row>
    <row r="9" ht="22" customHeight="1">
      <c r="B9" s="10" t="inlineStr">
        <is>
          <t>2.  Pricing &amp; Cost (per unit, £)</t>
        </is>
      </c>
    </row>
    <row r="10" ht="28" customHeight="1">
      <c r="B10" s="11" t="inlineStr">
        <is>
          <t>Selling Price (MSRP)</t>
        </is>
      </c>
      <c r="C10" s="15" t="n">
        <v>15.99</v>
      </c>
      <c r="E10" s="13" t="inlineStr">
        <is>
          <t>Retail price to member per 30ml x 2 pack.</t>
        </is>
      </c>
    </row>
    <row r="11" ht="28" customHeight="1">
      <c r="B11" s="11" t="inlineStr">
        <is>
          <t>Cost Price (landed)</t>
        </is>
      </c>
      <c r="C11" s="15" t="n">
        <v>7.29</v>
      </c>
      <c r="E11" s="13" t="inlineStr">
        <is>
          <t>Brand's cost to Costco delivered to depot.</t>
        </is>
      </c>
    </row>
    <row r="12" ht="28" customHeight="1">
      <c r="B12" s="11" t="inlineStr">
        <is>
          <t>Gross Margin per unit</t>
        </is>
      </c>
      <c r="C12" s="16">
        <f>C10-C11</f>
        <v/>
      </c>
      <c r="E12" s="13" t="inlineStr">
        <is>
          <t>Calculated. Selling price less landed cost.</t>
        </is>
      </c>
    </row>
    <row r="13" ht="28" customHeight="1">
      <c r="B13" s="11" t="inlineStr">
        <is>
          <t>Gross Margin %</t>
        </is>
      </c>
      <c r="C13" s="17">
        <f>IFERROR((C10-C11)/C10,0)</f>
        <v/>
      </c>
      <c r="E13" s="13" t="inlineStr">
        <is>
          <t>Calculated. Healthy supplements benchmark is 45-60%.</t>
        </is>
      </c>
    </row>
    <row r="15" ht="22" customHeight="1">
      <c r="B15" s="10" t="inlineStr">
        <is>
          <t>3.  Base Demand (no promo support)</t>
        </is>
      </c>
    </row>
    <row r="16" ht="28" customHeight="1">
      <c r="B16" s="11" t="inlineStr">
        <is>
          <t>Units / Warehouse / Week</t>
        </is>
      </c>
      <c r="C16" s="14" t="n">
        <v>13.79</v>
      </c>
      <c r="E16" s="13" t="inlineStr">
        <is>
          <t>Equivalent to the original assumption '500 × 0.8 / 29' from the prior 30ml SKU test (500 lifetime units × 80% sell-through over a 29-week reference window).</t>
        </is>
      </c>
    </row>
    <row r="17" ht="28" customHeight="1">
      <c r="B17" s="11" t="inlineStr">
        <is>
          <t>Base Units / Week (all warehouses)</t>
        </is>
      </c>
      <c r="C17" s="18">
        <f>C16*$C$6</f>
        <v/>
      </c>
      <c r="E17" s="13" t="inlineStr">
        <is>
          <t>Calculated. Per-warehouse rate × number of warehouses.</t>
        </is>
      </c>
    </row>
    <row r="19" ht="22" customHeight="1">
      <c r="B19" s="10" t="inlineStr">
        <is>
          <t>4.  Promo Economics</t>
        </is>
      </c>
    </row>
    <row r="20" ht="28" customHeight="1">
      <c r="B20" s="11" t="inlineStr">
        <is>
          <t>Demo £ / warehouse / week</t>
        </is>
      </c>
      <c r="C20" s="19" t="n">
        <v>199</v>
      </c>
      <c r="E20" s="13" t="inlineStr">
        <is>
          <t>Costco UK standard demo rate per warehouse per weekend.</t>
        </is>
      </c>
    </row>
    <row r="21" ht="28" customHeight="1">
      <c r="B21" s="11" t="inlineStr">
        <is>
          <t>Demo cost factor (overhead × staffing)</t>
        </is>
      </c>
      <c r="C21" s="20" t="n">
        <v>1.86</v>
      </c>
      <c r="E21" s="13" t="inlineStr">
        <is>
          <t>Multiplier on raw demo fee to capture staffing, POS print &amp; overhead.</t>
        </is>
      </c>
    </row>
    <row r="22" ht="28" customHeight="1">
      <c r="B22" s="11" t="inlineStr">
        <is>
          <t>Demo Total £ / week</t>
        </is>
      </c>
      <c r="C22" s="21">
        <f>C20*$C$6*C21</f>
        <v/>
      </c>
      <c r="E22" s="13" t="inlineStr">
        <is>
          <t>Calculated. Demo rate × warehouses × cost factor.</t>
        </is>
      </c>
    </row>
    <row r="23" ht="28" customHeight="1">
      <c r="B23" s="11" t="inlineStr">
        <is>
          <t>End Cap £ / warehouse / 2-week cycle</t>
        </is>
      </c>
      <c r="C23" s="19" t="n">
        <v>850</v>
      </c>
      <c r="E23" s="13" t="inlineStr">
        <is>
          <t>Costco UK standard end cap rental per warehouse for a 2-week placement.</t>
        </is>
      </c>
    </row>
    <row r="24" ht="28" customHeight="1">
      <c r="B24" s="11" t="inlineStr">
        <is>
          <t>End Cap cost factor</t>
        </is>
      </c>
      <c r="C24" s="20" t="n">
        <v>1.86</v>
      </c>
      <c r="E24" s="13" t="inlineStr">
        <is>
          <t>Same overhead multiplier as demo.</t>
        </is>
      </c>
    </row>
    <row r="25" ht="28" customHeight="1">
      <c r="B25" s="11" t="inlineStr">
        <is>
          <t>End Cap Total £ / week</t>
        </is>
      </c>
      <c r="C25" s="21">
        <f>C23*$C$6*C24/2</f>
        <v/>
      </c>
      <c r="E25" s="13" t="inlineStr">
        <is>
          <t>Calculated. Rate × warehouses × factor ÷ 2 (booked over 2 weeks).</t>
        </is>
      </c>
    </row>
    <row r="26" ht="28" customHeight="1">
      <c r="B26" s="11" t="inlineStr">
        <is>
          <t>Fence £ / week (when active)</t>
        </is>
      </c>
      <c r="C26" s="19" t="n">
        <v>0</v>
      </c>
      <c r="E26" s="13" t="inlineStr">
        <is>
          <t>Optional fence display. Currently not budgeted.</t>
        </is>
      </c>
    </row>
    <row r="27" ht="28" customHeight="1">
      <c r="B27" s="11" t="inlineStr">
        <is>
          <t>Advertising £ / week (when active)</t>
        </is>
      </c>
      <c r="C27" s="19" t="n">
        <v>0</v>
      </c>
      <c r="E27" s="13" t="inlineStr">
        <is>
          <t>External media / coupon insert support. Currently not budgeted.</t>
        </is>
      </c>
    </row>
    <row r="28" ht="28" customHeight="1">
      <c r="B28" s="11" t="inlineStr">
        <is>
          <t>TPD discount %</t>
        </is>
      </c>
      <c r="C28" s="22" t="n">
        <v>0.25</v>
      </c>
      <c r="E28" s="13" t="inlineStr">
        <is>
          <t>Standard TPD: 20% off MSRP. Grossed up by 0.8 retail margin → 25% deduction on net.</t>
        </is>
      </c>
    </row>
    <row r="29" ht="28" customHeight="1">
      <c r="B29" s="11" t="inlineStr">
        <is>
          <t>Markdown discount %</t>
        </is>
      </c>
      <c r="C29" s="22" t="n">
        <v>0.5</v>
      </c>
      <c r="E29" s="13" t="inlineStr">
        <is>
          <t>Clearance pricing in worst-case markdown weeks.</t>
        </is>
      </c>
    </row>
    <row r="31" ht="22" customHeight="1">
      <c r="B31" s="10" t="inlineStr">
        <is>
          <t>5.  Scenario Activity &amp; Demand Lift (1 = promo active that week, 0 = off; Lift = demand multiplier vs base)</t>
        </is>
      </c>
    </row>
    <row r="33" ht="22" customHeight="1">
      <c r="B33" s="23" t="inlineStr">
        <is>
          <t>BEST – x2 Demo (Wks 5-6) + TPD</t>
        </is>
      </c>
    </row>
    <row r="34" ht="32" customHeight="1">
      <c r="B34" s="13" t="inlineStr">
        <is>
          <t>Rationale: Two national demo weekends combined with a TPD price promo. Demo lifts unit velocity ~3x in-week (Costco benchmark for supplements). No end cap booked, no markdown needed.</t>
        </is>
      </c>
    </row>
    <row r="35">
      <c r="B35" s="24" t="inlineStr">
        <is>
          <t>Week</t>
        </is>
      </c>
      <c r="F35" s="25" t="inlineStr">
        <is>
          <t>W2</t>
        </is>
      </c>
      <c r="G35" s="25" t="inlineStr">
        <is>
          <t>W3</t>
        </is>
      </c>
      <c r="H35" s="25" t="inlineStr">
        <is>
          <t>W4</t>
        </is>
      </c>
      <c r="I35" s="25" t="inlineStr">
        <is>
          <t>W5</t>
        </is>
      </c>
      <c r="J35" s="25" t="inlineStr">
        <is>
          <t>W6</t>
        </is>
      </c>
      <c r="K35" s="25" t="inlineStr">
        <is>
          <t>W7</t>
        </is>
      </c>
      <c r="L35" s="25" t="inlineStr">
        <is>
          <t>W8</t>
        </is>
      </c>
      <c r="M35" s="25" t="inlineStr">
        <is>
          <t>W9</t>
        </is>
      </c>
      <c r="N35" s="25" t="inlineStr">
        <is>
          <t>W10</t>
        </is>
      </c>
      <c r="O35" s="25" t="inlineStr">
        <is>
          <t>W11</t>
        </is>
      </c>
      <c r="P35" s="25" t="inlineStr">
        <is>
          <t>W12</t>
        </is>
      </c>
      <c r="Q35" s="25" t="inlineStr">
        <is>
          <t>W13</t>
        </is>
      </c>
      <c r="R35" s="25" t="inlineStr">
        <is>
          <t>W14</t>
        </is>
      </c>
      <c r="S35" s="25" t="inlineStr">
        <is>
          <t>W15</t>
        </is>
      </c>
      <c r="T35" s="25" t="inlineStr">
        <is>
          <t>W16</t>
        </is>
      </c>
      <c r="U35" s="25" t="inlineStr">
        <is>
          <t>W17</t>
        </is>
      </c>
      <c r="V35" s="25" t="inlineStr">
        <is>
          <t>W18</t>
        </is>
      </c>
      <c r="W35" s="25" t="inlineStr">
        <is>
          <t>W19</t>
        </is>
      </c>
      <c r="X35" s="25" t="inlineStr">
        <is>
          <t>W20</t>
        </is>
      </c>
      <c r="Y35" s="25" t="inlineStr">
        <is>
          <t>W21</t>
        </is>
      </c>
      <c r="Z35" s="25" t="inlineStr">
        <is>
          <t>W22</t>
        </is>
      </c>
      <c r="AA35" s="25" t="inlineStr">
        <is>
          <t>W23</t>
        </is>
      </c>
      <c r="AB35" s="25" t="inlineStr">
        <is>
          <t>W24</t>
        </is>
      </c>
      <c r="AC35" s="25" t="inlineStr">
        <is>
          <t>W25</t>
        </is>
      </c>
      <c r="AD35" s="25" t="inlineStr">
        <is>
          <t>W26</t>
        </is>
      </c>
      <c r="AE35" s="25" t="inlineStr">
        <is>
          <t>W27</t>
        </is>
      </c>
    </row>
    <row r="36">
      <c r="B36" s="26" t="inlineStr">
        <is>
          <t>Demo</t>
        </is>
      </c>
      <c r="F36" s="27" t="n">
        <v>0</v>
      </c>
      <c r="G36" s="27" t="n">
        <v>0</v>
      </c>
      <c r="H36" s="27" t="n">
        <v>0</v>
      </c>
      <c r="I36" s="27" t="n">
        <v>1</v>
      </c>
      <c r="J36" s="27" t="n">
        <v>1</v>
      </c>
      <c r="K36" s="27" t="n">
        <v>0</v>
      </c>
      <c r="L36" s="27" t="n">
        <v>0</v>
      </c>
      <c r="M36" s="27" t="n">
        <v>0</v>
      </c>
      <c r="N36" s="27" t="n">
        <v>0</v>
      </c>
      <c r="O36" s="27" t="n">
        <v>0</v>
      </c>
      <c r="P36" s="27" t="n">
        <v>0</v>
      </c>
      <c r="Q36" s="27" t="n">
        <v>0</v>
      </c>
      <c r="R36" s="27" t="n">
        <v>0</v>
      </c>
      <c r="S36" s="27" t="n">
        <v>0</v>
      </c>
      <c r="T36" s="27" t="n">
        <v>0</v>
      </c>
      <c r="U36" s="27" t="n">
        <v>0</v>
      </c>
      <c r="V36" s="27" t="n">
        <v>0</v>
      </c>
      <c r="W36" s="27" t="n">
        <v>0</v>
      </c>
      <c r="X36" s="27" t="n">
        <v>0</v>
      </c>
      <c r="Y36" s="27" t="n">
        <v>0</v>
      </c>
      <c r="Z36" s="27" t="n">
        <v>0</v>
      </c>
      <c r="AA36" s="27" t="n">
        <v>0</v>
      </c>
      <c r="AB36" s="27" t="n">
        <v>0</v>
      </c>
      <c r="AC36" s="27" t="n">
        <v>0</v>
      </c>
      <c r="AD36" s="27" t="n">
        <v>0</v>
      </c>
      <c r="AE36" s="27" t="n">
        <v>0</v>
      </c>
    </row>
    <row r="37">
      <c r="B37" s="26" t="inlineStr">
        <is>
          <t>End Cap</t>
        </is>
      </c>
      <c r="F37" s="27" t="n">
        <v>0</v>
      </c>
      <c r="G37" s="27" t="n">
        <v>0</v>
      </c>
      <c r="H37" s="27" t="n">
        <v>0</v>
      </c>
      <c r="I37" s="27" t="n">
        <v>0</v>
      </c>
      <c r="J37" s="27" t="n">
        <v>0</v>
      </c>
      <c r="K37" s="27" t="n">
        <v>0</v>
      </c>
      <c r="L37" s="27" t="n">
        <v>0</v>
      </c>
      <c r="M37" s="27" t="n">
        <v>0</v>
      </c>
      <c r="N37" s="27" t="n">
        <v>0</v>
      </c>
      <c r="O37" s="27" t="n">
        <v>0</v>
      </c>
      <c r="P37" s="27" t="n">
        <v>0</v>
      </c>
      <c r="Q37" s="27" t="n">
        <v>0</v>
      </c>
      <c r="R37" s="27" t="n">
        <v>0</v>
      </c>
      <c r="S37" s="27" t="n">
        <v>0</v>
      </c>
      <c r="T37" s="27" t="n">
        <v>0</v>
      </c>
      <c r="U37" s="27" t="n">
        <v>0</v>
      </c>
      <c r="V37" s="27" t="n">
        <v>0</v>
      </c>
      <c r="W37" s="27" t="n">
        <v>0</v>
      </c>
      <c r="X37" s="27" t="n">
        <v>0</v>
      </c>
      <c r="Y37" s="27" t="n">
        <v>0</v>
      </c>
      <c r="Z37" s="27" t="n">
        <v>0</v>
      </c>
      <c r="AA37" s="27" t="n">
        <v>0</v>
      </c>
      <c r="AB37" s="27" t="n">
        <v>0</v>
      </c>
      <c r="AC37" s="27" t="n">
        <v>0</v>
      </c>
      <c r="AD37" s="27" t="n">
        <v>0</v>
      </c>
      <c r="AE37" s="27" t="n">
        <v>0</v>
      </c>
    </row>
    <row r="38">
      <c r="B38" s="26" t="inlineStr">
        <is>
          <t>Fence</t>
        </is>
      </c>
      <c r="F38" s="27" t="n">
        <v>0</v>
      </c>
      <c r="G38" s="27" t="n">
        <v>0</v>
      </c>
      <c r="H38" s="27" t="n">
        <v>0</v>
      </c>
      <c r="I38" s="27" t="n">
        <v>0</v>
      </c>
      <c r="J38" s="27" t="n">
        <v>0</v>
      </c>
      <c r="K38" s="27" t="n">
        <v>0</v>
      </c>
      <c r="L38" s="27" t="n">
        <v>0</v>
      </c>
      <c r="M38" s="27" t="n">
        <v>0</v>
      </c>
      <c r="N38" s="27" t="n">
        <v>0</v>
      </c>
      <c r="O38" s="27" t="n">
        <v>0</v>
      </c>
      <c r="P38" s="27" t="n">
        <v>0</v>
      </c>
      <c r="Q38" s="27" t="n">
        <v>0</v>
      </c>
      <c r="R38" s="27" t="n">
        <v>0</v>
      </c>
      <c r="S38" s="27" t="n">
        <v>0</v>
      </c>
      <c r="T38" s="27" t="n">
        <v>0</v>
      </c>
      <c r="U38" s="27" t="n">
        <v>0</v>
      </c>
      <c r="V38" s="27" t="n">
        <v>0</v>
      </c>
      <c r="W38" s="27" t="n">
        <v>0</v>
      </c>
      <c r="X38" s="27" t="n">
        <v>0</v>
      </c>
      <c r="Y38" s="27" t="n">
        <v>0</v>
      </c>
      <c r="Z38" s="27" t="n">
        <v>0</v>
      </c>
      <c r="AA38" s="27" t="n">
        <v>0</v>
      </c>
      <c r="AB38" s="27" t="n">
        <v>0</v>
      </c>
      <c r="AC38" s="27" t="n">
        <v>0</v>
      </c>
      <c r="AD38" s="27" t="n">
        <v>0</v>
      </c>
      <c r="AE38" s="27" t="n">
        <v>0</v>
      </c>
    </row>
    <row r="39">
      <c r="B39" s="26" t="inlineStr">
        <is>
          <t>TPD</t>
        </is>
      </c>
      <c r="F39" s="27" t="n">
        <v>0</v>
      </c>
      <c r="G39" s="27" t="n">
        <v>0</v>
      </c>
      <c r="H39" s="27" t="n">
        <v>0</v>
      </c>
      <c r="I39" s="27" t="n">
        <v>1</v>
      </c>
      <c r="J39" s="27" t="n">
        <v>1</v>
      </c>
      <c r="K39" s="27" t="n">
        <v>0</v>
      </c>
      <c r="L39" s="27" t="n">
        <v>0</v>
      </c>
      <c r="M39" s="27" t="n">
        <v>0</v>
      </c>
      <c r="N39" s="27" t="n">
        <v>0</v>
      </c>
      <c r="O39" s="27" t="n">
        <v>0</v>
      </c>
      <c r="P39" s="27" t="n">
        <v>0</v>
      </c>
      <c r="Q39" s="27" t="n">
        <v>0</v>
      </c>
      <c r="R39" s="27" t="n">
        <v>0</v>
      </c>
      <c r="S39" s="27" t="n">
        <v>0</v>
      </c>
      <c r="T39" s="27" t="n">
        <v>0</v>
      </c>
      <c r="U39" s="27" t="n">
        <v>0</v>
      </c>
      <c r="V39" s="27" t="n">
        <v>0</v>
      </c>
      <c r="W39" s="27" t="n">
        <v>0</v>
      </c>
      <c r="X39" s="27" t="n">
        <v>0</v>
      </c>
      <c r="Y39" s="27" t="n">
        <v>0</v>
      </c>
      <c r="Z39" s="27" t="n">
        <v>0</v>
      </c>
      <c r="AA39" s="27" t="n">
        <v>0</v>
      </c>
      <c r="AB39" s="27" t="n">
        <v>0</v>
      </c>
      <c r="AC39" s="27" t="n">
        <v>0</v>
      </c>
      <c r="AD39" s="27" t="n">
        <v>0</v>
      </c>
      <c r="AE39" s="27" t="n">
        <v>0</v>
      </c>
    </row>
    <row r="40">
      <c r="B40" s="26" t="inlineStr">
        <is>
          <t>Markdown</t>
        </is>
      </c>
      <c r="F40" s="27" t="n">
        <v>0</v>
      </c>
      <c r="G40" s="27" t="n">
        <v>0</v>
      </c>
      <c r="H40" s="27" t="n">
        <v>0</v>
      </c>
      <c r="I40" s="27" t="n">
        <v>0</v>
      </c>
      <c r="J40" s="27" t="n">
        <v>0</v>
      </c>
      <c r="K40" s="27" t="n">
        <v>0</v>
      </c>
      <c r="L40" s="27" t="n">
        <v>0</v>
      </c>
      <c r="M40" s="27" t="n">
        <v>0</v>
      </c>
      <c r="N40" s="27" t="n">
        <v>0</v>
      </c>
      <c r="O40" s="27" t="n">
        <v>0</v>
      </c>
      <c r="P40" s="27" t="n">
        <v>0</v>
      </c>
      <c r="Q40" s="27" t="n">
        <v>0</v>
      </c>
      <c r="R40" s="27" t="n">
        <v>0</v>
      </c>
      <c r="S40" s="27" t="n">
        <v>0</v>
      </c>
      <c r="T40" s="27" t="n">
        <v>0</v>
      </c>
      <c r="U40" s="27" t="n">
        <v>0</v>
      </c>
      <c r="V40" s="27" t="n">
        <v>0</v>
      </c>
      <c r="W40" s="27" t="n">
        <v>0</v>
      </c>
      <c r="X40" s="27" t="n">
        <v>0</v>
      </c>
      <c r="Y40" s="27" t="n">
        <v>0</v>
      </c>
      <c r="Z40" s="27" t="n">
        <v>0</v>
      </c>
      <c r="AA40" s="27" t="n">
        <v>0</v>
      </c>
      <c r="AB40" s="27" t="n">
        <v>0</v>
      </c>
      <c r="AC40" s="27" t="n">
        <v>0</v>
      </c>
      <c r="AD40" s="27" t="n">
        <v>0</v>
      </c>
      <c r="AE40" s="27" t="n">
        <v>0</v>
      </c>
    </row>
    <row r="41">
      <c r="B41" s="26" t="inlineStr">
        <is>
          <t>Advert</t>
        </is>
      </c>
      <c r="F41" s="27" t="n">
        <v>0</v>
      </c>
      <c r="G41" s="27" t="n">
        <v>0</v>
      </c>
      <c r="H41" s="27" t="n">
        <v>0</v>
      </c>
      <c r="I41" s="27" t="n">
        <v>0</v>
      </c>
      <c r="J41" s="27" t="n">
        <v>0</v>
      </c>
      <c r="K41" s="27" t="n">
        <v>0</v>
      </c>
      <c r="L41" s="27" t="n">
        <v>0</v>
      </c>
      <c r="M41" s="27" t="n">
        <v>0</v>
      </c>
      <c r="N41" s="27" t="n">
        <v>0</v>
      </c>
      <c r="O41" s="27" t="n">
        <v>0</v>
      </c>
      <c r="P41" s="27" t="n">
        <v>0</v>
      </c>
      <c r="Q41" s="27" t="n">
        <v>0</v>
      </c>
      <c r="R41" s="27" t="n">
        <v>0</v>
      </c>
      <c r="S41" s="27" t="n">
        <v>0</v>
      </c>
      <c r="T41" s="27" t="n">
        <v>0</v>
      </c>
      <c r="U41" s="27" t="n">
        <v>0</v>
      </c>
      <c r="V41" s="27" t="n">
        <v>0</v>
      </c>
      <c r="W41" s="27" t="n">
        <v>0</v>
      </c>
      <c r="X41" s="27" t="n">
        <v>0</v>
      </c>
      <c r="Y41" s="27" t="n">
        <v>0</v>
      </c>
      <c r="Z41" s="27" t="n">
        <v>0</v>
      </c>
      <c r="AA41" s="27" t="n">
        <v>0</v>
      </c>
      <c r="AB41" s="27" t="n">
        <v>0</v>
      </c>
      <c r="AC41" s="27" t="n">
        <v>0</v>
      </c>
      <c r="AD41" s="27" t="n">
        <v>0</v>
      </c>
      <c r="AE41" s="27" t="n">
        <v>0</v>
      </c>
    </row>
    <row r="42">
      <c r="B42" s="26" t="inlineStr">
        <is>
          <t>Lift Multiplier (x base)</t>
        </is>
      </c>
      <c r="F42" s="28" t="n">
        <v>1</v>
      </c>
      <c r="G42" s="28" t="n">
        <v>1</v>
      </c>
      <c r="H42" s="28" t="n">
        <v>1</v>
      </c>
      <c r="I42" s="28" t="n">
        <v>3</v>
      </c>
      <c r="J42" s="28" t="n">
        <v>3</v>
      </c>
      <c r="K42" s="28" t="n">
        <v>1</v>
      </c>
      <c r="L42" s="28" t="n">
        <v>1</v>
      </c>
      <c r="M42" s="28" t="n">
        <v>1</v>
      </c>
      <c r="N42" s="28" t="n">
        <v>1</v>
      </c>
      <c r="O42" s="28" t="n">
        <v>1</v>
      </c>
      <c r="P42" s="28" t="n">
        <v>1</v>
      </c>
      <c r="Q42" s="28" t="n">
        <v>1</v>
      </c>
      <c r="R42" s="28" t="n">
        <v>1</v>
      </c>
      <c r="S42" s="28" t="n">
        <v>1</v>
      </c>
      <c r="T42" s="28" t="n">
        <v>1</v>
      </c>
      <c r="U42" s="28" t="n">
        <v>1</v>
      </c>
      <c r="V42" s="28" t="n">
        <v>1</v>
      </c>
      <c r="W42" s="28" t="n">
        <v>1</v>
      </c>
      <c r="X42" s="28" t="n">
        <v>1</v>
      </c>
      <c r="Y42" s="28" t="n">
        <v>1</v>
      </c>
      <c r="Z42" s="28" t="n">
        <v>1</v>
      </c>
      <c r="AA42" s="28" t="n">
        <v>1</v>
      </c>
      <c r="AB42" s="28" t="n">
        <v>1</v>
      </c>
      <c r="AC42" s="28" t="n">
        <v>1</v>
      </c>
      <c r="AD42" s="28" t="n">
        <v>1</v>
      </c>
      <c r="AE42" s="28" t="n">
        <v>1</v>
      </c>
    </row>
    <row r="44" ht="22" customHeight="1">
      <c r="B44" s="23" t="inlineStr">
        <is>
          <t>IDEAL – x2 Demo + End Cap (Wks 5-6) + TPD</t>
        </is>
      </c>
    </row>
    <row r="45" ht="32" customHeight="1">
      <c r="B45" s="13" t="inlineStr">
        <is>
          <t>Rationale: Full-court press: demo + end cap + TPD all running together for two weeks. Stacking end cap on demo weeks lifts velocity to ~3.6x (incremental ~20% on top of demo-only).</t>
        </is>
      </c>
    </row>
    <row r="46">
      <c r="B46" s="24" t="inlineStr">
        <is>
          <t>Week</t>
        </is>
      </c>
      <c r="F46" s="25" t="inlineStr">
        <is>
          <t>W2</t>
        </is>
      </c>
      <c r="G46" s="25" t="inlineStr">
        <is>
          <t>W3</t>
        </is>
      </c>
      <c r="H46" s="25" t="inlineStr">
        <is>
          <t>W4</t>
        </is>
      </c>
      <c r="I46" s="25" t="inlineStr">
        <is>
          <t>W5</t>
        </is>
      </c>
      <c r="J46" s="25" t="inlineStr">
        <is>
          <t>W6</t>
        </is>
      </c>
      <c r="K46" s="25" t="inlineStr">
        <is>
          <t>W7</t>
        </is>
      </c>
      <c r="L46" s="25" t="inlineStr">
        <is>
          <t>W8</t>
        </is>
      </c>
      <c r="M46" s="25" t="inlineStr">
        <is>
          <t>W9</t>
        </is>
      </c>
      <c r="N46" s="25" t="inlineStr">
        <is>
          <t>W10</t>
        </is>
      </c>
      <c r="O46" s="25" t="inlineStr">
        <is>
          <t>W11</t>
        </is>
      </c>
      <c r="P46" s="25" t="inlineStr">
        <is>
          <t>W12</t>
        </is>
      </c>
      <c r="Q46" s="25" t="inlineStr">
        <is>
          <t>W13</t>
        </is>
      </c>
      <c r="R46" s="25" t="inlineStr">
        <is>
          <t>W14</t>
        </is>
      </c>
      <c r="S46" s="25" t="inlineStr">
        <is>
          <t>W15</t>
        </is>
      </c>
      <c r="T46" s="25" t="inlineStr">
        <is>
          <t>W16</t>
        </is>
      </c>
      <c r="U46" s="25" t="inlineStr">
        <is>
          <t>W17</t>
        </is>
      </c>
      <c r="V46" s="25" t="inlineStr">
        <is>
          <t>W18</t>
        </is>
      </c>
      <c r="W46" s="25" t="inlineStr">
        <is>
          <t>W19</t>
        </is>
      </c>
      <c r="X46" s="25" t="inlineStr">
        <is>
          <t>W20</t>
        </is>
      </c>
      <c r="Y46" s="25" t="inlineStr">
        <is>
          <t>W21</t>
        </is>
      </c>
      <c r="Z46" s="25" t="inlineStr">
        <is>
          <t>W22</t>
        </is>
      </c>
      <c r="AA46" s="25" t="inlineStr">
        <is>
          <t>W23</t>
        </is>
      </c>
      <c r="AB46" s="25" t="inlineStr">
        <is>
          <t>W24</t>
        </is>
      </c>
      <c r="AC46" s="25" t="inlineStr">
        <is>
          <t>W25</t>
        </is>
      </c>
      <c r="AD46" s="25" t="inlineStr">
        <is>
          <t>W26</t>
        </is>
      </c>
      <c r="AE46" s="25" t="inlineStr">
        <is>
          <t>W27</t>
        </is>
      </c>
    </row>
    <row r="47">
      <c r="B47" s="26" t="inlineStr">
        <is>
          <t>Demo</t>
        </is>
      </c>
      <c r="F47" s="27" t="n">
        <v>0</v>
      </c>
      <c r="G47" s="27" t="n">
        <v>0</v>
      </c>
      <c r="H47" s="27" t="n">
        <v>0</v>
      </c>
      <c r="I47" s="27" t="n">
        <v>1</v>
      </c>
      <c r="J47" s="27" t="n">
        <v>1</v>
      </c>
      <c r="K47" s="27" t="n">
        <v>0</v>
      </c>
      <c r="L47" s="27" t="n">
        <v>0</v>
      </c>
      <c r="M47" s="27" t="n">
        <v>0</v>
      </c>
      <c r="N47" s="27" t="n">
        <v>0</v>
      </c>
      <c r="O47" s="27" t="n">
        <v>0</v>
      </c>
      <c r="P47" s="27" t="n">
        <v>0</v>
      </c>
      <c r="Q47" s="27" t="n">
        <v>0</v>
      </c>
      <c r="R47" s="27" t="n">
        <v>0</v>
      </c>
      <c r="S47" s="27" t="n">
        <v>0</v>
      </c>
      <c r="T47" s="27" t="n">
        <v>0</v>
      </c>
      <c r="U47" s="27" t="n">
        <v>0</v>
      </c>
      <c r="V47" s="27" t="n">
        <v>0</v>
      </c>
      <c r="W47" s="27" t="n">
        <v>0</v>
      </c>
      <c r="X47" s="27" t="n">
        <v>0</v>
      </c>
      <c r="Y47" s="27" t="n">
        <v>0</v>
      </c>
      <c r="Z47" s="27" t="n">
        <v>0</v>
      </c>
      <c r="AA47" s="27" t="n">
        <v>0</v>
      </c>
      <c r="AB47" s="27" t="n">
        <v>0</v>
      </c>
      <c r="AC47" s="27" t="n">
        <v>0</v>
      </c>
      <c r="AD47" s="27" t="n">
        <v>0</v>
      </c>
      <c r="AE47" s="27" t="n">
        <v>0</v>
      </c>
    </row>
    <row r="48">
      <c r="B48" s="26" t="inlineStr">
        <is>
          <t>End Cap</t>
        </is>
      </c>
      <c r="F48" s="27" t="n">
        <v>0</v>
      </c>
      <c r="G48" s="27" t="n">
        <v>0</v>
      </c>
      <c r="H48" s="27" t="n">
        <v>0</v>
      </c>
      <c r="I48" s="27" t="n">
        <v>1</v>
      </c>
      <c r="J48" s="27" t="n">
        <v>1</v>
      </c>
      <c r="K48" s="27" t="n">
        <v>0</v>
      </c>
      <c r="L48" s="27" t="n">
        <v>0</v>
      </c>
      <c r="M48" s="27" t="n">
        <v>0</v>
      </c>
      <c r="N48" s="27" t="n">
        <v>0</v>
      </c>
      <c r="O48" s="27" t="n">
        <v>0</v>
      </c>
      <c r="P48" s="27" t="n">
        <v>0</v>
      </c>
      <c r="Q48" s="27" t="n">
        <v>0</v>
      </c>
      <c r="R48" s="27" t="n">
        <v>0</v>
      </c>
      <c r="S48" s="27" t="n">
        <v>0</v>
      </c>
      <c r="T48" s="27" t="n">
        <v>0</v>
      </c>
      <c r="U48" s="27" t="n">
        <v>0</v>
      </c>
      <c r="V48" s="27" t="n">
        <v>0</v>
      </c>
      <c r="W48" s="27" t="n">
        <v>0</v>
      </c>
      <c r="X48" s="27" t="n">
        <v>0</v>
      </c>
      <c r="Y48" s="27" t="n">
        <v>0</v>
      </c>
      <c r="Z48" s="27" t="n">
        <v>0</v>
      </c>
      <c r="AA48" s="27" t="n">
        <v>0</v>
      </c>
      <c r="AB48" s="27" t="n">
        <v>0</v>
      </c>
      <c r="AC48" s="27" t="n">
        <v>0</v>
      </c>
      <c r="AD48" s="27" t="n">
        <v>0</v>
      </c>
      <c r="AE48" s="27" t="n">
        <v>0</v>
      </c>
    </row>
    <row r="49">
      <c r="B49" s="26" t="inlineStr">
        <is>
          <t>Fence</t>
        </is>
      </c>
      <c r="F49" s="27" t="n">
        <v>0</v>
      </c>
      <c r="G49" s="27" t="n">
        <v>0</v>
      </c>
      <c r="H49" s="27" t="n">
        <v>0</v>
      </c>
      <c r="I49" s="27" t="n">
        <v>0</v>
      </c>
      <c r="J49" s="27" t="n">
        <v>0</v>
      </c>
      <c r="K49" s="27" t="n">
        <v>0</v>
      </c>
      <c r="L49" s="27" t="n">
        <v>0</v>
      </c>
      <c r="M49" s="27" t="n">
        <v>0</v>
      </c>
      <c r="N49" s="27" t="n">
        <v>0</v>
      </c>
      <c r="O49" s="27" t="n">
        <v>0</v>
      </c>
      <c r="P49" s="27" t="n">
        <v>0</v>
      </c>
      <c r="Q49" s="27" t="n">
        <v>0</v>
      </c>
      <c r="R49" s="27" t="n">
        <v>0</v>
      </c>
      <c r="S49" s="27" t="n">
        <v>0</v>
      </c>
      <c r="T49" s="27" t="n">
        <v>0</v>
      </c>
      <c r="U49" s="27" t="n">
        <v>0</v>
      </c>
      <c r="V49" s="27" t="n">
        <v>0</v>
      </c>
      <c r="W49" s="27" t="n">
        <v>0</v>
      </c>
      <c r="X49" s="27" t="n">
        <v>0</v>
      </c>
      <c r="Y49" s="27" t="n">
        <v>0</v>
      </c>
      <c r="Z49" s="27" t="n">
        <v>0</v>
      </c>
      <c r="AA49" s="27" t="n">
        <v>0</v>
      </c>
      <c r="AB49" s="27" t="n">
        <v>0</v>
      </c>
      <c r="AC49" s="27" t="n">
        <v>0</v>
      </c>
      <c r="AD49" s="27" t="n">
        <v>0</v>
      </c>
      <c r="AE49" s="27" t="n">
        <v>0</v>
      </c>
    </row>
    <row r="50">
      <c r="B50" s="26" t="inlineStr">
        <is>
          <t>TPD</t>
        </is>
      </c>
      <c r="F50" s="27" t="n">
        <v>0</v>
      </c>
      <c r="G50" s="27" t="n">
        <v>0</v>
      </c>
      <c r="H50" s="27" t="n">
        <v>0</v>
      </c>
      <c r="I50" s="27" t="n">
        <v>1</v>
      </c>
      <c r="J50" s="27" t="n">
        <v>1</v>
      </c>
      <c r="K50" s="27" t="n">
        <v>0</v>
      </c>
      <c r="L50" s="27" t="n">
        <v>0</v>
      </c>
      <c r="M50" s="27" t="n">
        <v>0</v>
      </c>
      <c r="N50" s="27" t="n">
        <v>0</v>
      </c>
      <c r="O50" s="27" t="n">
        <v>0</v>
      </c>
      <c r="P50" s="27" t="n">
        <v>0</v>
      </c>
      <c r="Q50" s="27" t="n">
        <v>0</v>
      </c>
      <c r="R50" s="27" t="n">
        <v>0</v>
      </c>
      <c r="S50" s="27" t="n">
        <v>0</v>
      </c>
      <c r="T50" s="27" t="n">
        <v>0</v>
      </c>
      <c r="U50" s="27" t="n">
        <v>0</v>
      </c>
      <c r="V50" s="27" t="n">
        <v>0</v>
      </c>
      <c r="W50" s="27" t="n">
        <v>0</v>
      </c>
      <c r="X50" s="27" t="n">
        <v>0</v>
      </c>
      <c r="Y50" s="27" t="n">
        <v>0</v>
      </c>
      <c r="Z50" s="27" t="n">
        <v>0</v>
      </c>
      <c r="AA50" s="27" t="n">
        <v>0</v>
      </c>
      <c r="AB50" s="27" t="n">
        <v>0</v>
      </c>
      <c r="AC50" s="27" t="n">
        <v>0</v>
      </c>
      <c r="AD50" s="27" t="n">
        <v>0</v>
      </c>
      <c r="AE50" s="27" t="n">
        <v>0</v>
      </c>
    </row>
    <row r="51">
      <c r="B51" s="26" t="inlineStr">
        <is>
          <t>Markdown</t>
        </is>
      </c>
      <c r="F51" s="27" t="n">
        <v>0</v>
      </c>
      <c r="G51" s="27" t="n">
        <v>0</v>
      </c>
      <c r="H51" s="27" t="n">
        <v>0</v>
      </c>
      <c r="I51" s="27" t="n">
        <v>0</v>
      </c>
      <c r="J51" s="27" t="n">
        <v>0</v>
      </c>
      <c r="K51" s="27" t="n">
        <v>0</v>
      </c>
      <c r="L51" s="27" t="n">
        <v>0</v>
      </c>
      <c r="M51" s="27" t="n">
        <v>0</v>
      </c>
      <c r="N51" s="27" t="n">
        <v>0</v>
      </c>
      <c r="O51" s="27" t="n">
        <v>0</v>
      </c>
      <c r="P51" s="27" t="n">
        <v>0</v>
      </c>
      <c r="Q51" s="27" t="n">
        <v>0</v>
      </c>
      <c r="R51" s="27" t="n">
        <v>0</v>
      </c>
      <c r="S51" s="27" t="n">
        <v>0</v>
      </c>
      <c r="T51" s="27" t="n">
        <v>0</v>
      </c>
      <c r="U51" s="27" t="n">
        <v>0</v>
      </c>
      <c r="V51" s="27" t="n">
        <v>0</v>
      </c>
      <c r="W51" s="27" t="n">
        <v>0</v>
      </c>
      <c r="X51" s="27" t="n">
        <v>0</v>
      </c>
      <c r="Y51" s="27" t="n">
        <v>0</v>
      </c>
      <c r="Z51" s="27" t="n">
        <v>0</v>
      </c>
      <c r="AA51" s="27" t="n">
        <v>0</v>
      </c>
      <c r="AB51" s="27" t="n">
        <v>0</v>
      </c>
      <c r="AC51" s="27" t="n">
        <v>0</v>
      </c>
      <c r="AD51" s="27" t="n">
        <v>0</v>
      </c>
      <c r="AE51" s="27" t="n">
        <v>0</v>
      </c>
    </row>
    <row r="52">
      <c r="B52" s="26" t="inlineStr">
        <is>
          <t>Advert</t>
        </is>
      </c>
      <c r="F52" s="27" t="n">
        <v>0</v>
      </c>
      <c r="G52" s="27" t="n">
        <v>0</v>
      </c>
      <c r="H52" s="27" t="n">
        <v>0</v>
      </c>
      <c r="I52" s="27" t="n">
        <v>0</v>
      </c>
      <c r="J52" s="27" t="n">
        <v>0</v>
      </c>
      <c r="K52" s="27" t="n">
        <v>0</v>
      </c>
      <c r="L52" s="27" t="n">
        <v>0</v>
      </c>
      <c r="M52" s="27" t="n">
        <v>0</v>
      </c>
      <c r="N52" s="27" t="n">
        <v>0</v>
      </c>
      <c r="O52" s="27" t="n">
        <v>0</v>
      </c>
      <c r="P52" s="27" t="n">
        <v>0</v>
      </c>
      <c r="Q52" s="27" t="n">
        <v>0</v>
      </c>
      <c r="R52" s="27" t="n">
        <v>0</v>
      </c>
      <c r="S52" s="27" t="n">
        <v>0</v>
      </c>
      <c r="T52" s="27" t="n">
        <v>0</v>
      </c>
      <c r="U52" s="27" t="n">
        <v>0</v>
      </c>
      <c r="V52" s="27" t="n">
        <v>0</v>
      </c>
      <c r="W52" s="27" t="n">
        <v>0</v>
      </c>
      <c r="X52" s="27" t="n">
        <v>0</v>
      </c>
      <c r="Y52" s="27" t="n">
        <v>0</v>
      </c>
      <c r="Z52" s="27" t="n">
        <v>0</v>
      </c>
      <c r="AA52" s="27" t="n">
        <v>0</v>
      </c>
      <c r="AB52" s="27" t="n">
        <v>0</v>
      </c>
      <c r="AC52" s="27" t="n">
        <v>0</v>
      </c>
      <c r="AD52" s="27" t="n">
        <v>0</v>
      </c>
      <c r="AE52" s="27" t="n">
        <v>0</v>
      </c>
    </row>
    <row r="53">
      <c r="B53" s="26" t="inlineStr">
        <is>
          <t>Lift Multiplier (x base)</t>
        </is>
      </c>
      <c r="F53" s="28" t="n">
        <v>1</v>
      </c>
      <c r="G53" s="28" t="n">
        <v>1</v>
      </c>
      <c r="H53" s="28" t="n">
        <v>1</v>
      </c>
      <c r="I53" s="28" t="n">
        <v>3.6</v>
      </c>
      <c r="J53" s="28" t="n">
        <v>3.6</v>
      </c>
      <c r="K53" s="28" t="n">
        <v>1</v>
      </c>
      <c r="L53" s="28" t="n">
        <v>1</v>
      </c>
      <c r="M53" s="28" t="n">
        <v>1</v>
      </c>
      <c r="N53" s="28" t="n">
        <v>1</v>
      </c>
      <c r="O53" s="28" t="n">
        <v>1</v>
      </c>
      <c r="P53" s="28" t="n">
        <v>1</v>
      </c>
      <c r="Q53" s="28" t="n">
        <v>1</v>
      </c>
      <c r="R53" s="28" t="n">
        <v>1</v>
      </c>
      <c r="S53" s="28" t="n">
        <v>1</v>
      </c>
      <c r="T53" s="28" t="n">
        <v>1</v>
      </c>
      <c r="U53" s="28" t="n">
        <v>1</v>
      </c>
      <c r="V53" s="28" t="n">
        <v>1</v>
      </c>
      <c r="W53" s="28" t="n">
        <v>1</v>
      </c>
      <c r="X53" s="28" t="n">
        <v>1</v>
      </c>
      <c r="Y53" s="28" t="n">
        <v>1</v>
      </c>
      <c r="Z53" s="28" t="n">
        <v>1</v>
      </c>
      <c r="AA53" s="28" t="n">
        <v>1</v>
      </c>
      <c r="AB53" s="28" t="n">
        <v>1</v>
      </c>
      <c r="AC53" s="28" t="n">
        <v>1</v>
      </c>
      <c r="AD53" s="28" t="n">
        <v>1</v>
      </c>
      <c r="AE53" s="28" t="n">
        <v>1</v>
      </c>
    </row>
    <row r="55" ht="22" customHeight="1">
      <c r="B55" s="23" t="inlineStr">
        <is>
          <t>WORST – Demo+EndCap+TPD then Markdown (Wks 18-20)</t>
        </is>
      </c>
    </row>
    <row r="56" ht="32" customHeight="1">
      <c r="B56" s="13" t="inlineStr">
        <is>
          <t>Rationale: Same launch plan as IDEAL but sell-through stalls after the promo weeks. Residual inventory is cleared via three weeks of 50% markdown (Wks 18-20). Wk 20 spike reflects clearance blow-out (~2,400 units in one week).</t>
        </is>
      </c>
    </row>
    <row r="57">
      <c r="B57" s="24" t="inlineStr">
        <is>
          <t>Week</t>
        </is>
      </c>
      <c r="F57" s="25" t="inlineStr">
        <is>
          <t>W2</t>
        </is>
      </c>
      <c r="G57" s="25" t="inlineStr">
        <is>
          <t>W3</t>
        </is>
      </c>
      <c r="H57" s="25" t="inlineStr">
        <is>
          <t>W4</t>
        </is>
      </c>
      <c r="I57" s="25" t="inlineStr">
        <is>
          <t>W5</t>
        </is>
      </c>
      <c r="J57" s="25" t="inlineStr">
        <is>
          <t>W6</t>
        </is>
      </c>
      <c r="K57" s="25" t="inlineStr">
        <is>
          <t>W7</t>
        </is>
      </c>
      <c r="L57" s="25" t="inlineStr">
        <is>
          <t>W8</t>
        </is>
      </c>
      <c r="M57" s="25" t="inlineStr">
        <is>
          <t>W9</t>
        </is>
      </c>
      <c r="N57" s="25" t="inlineStr">
        <is>
          <t>W10</t>
        </is>
      </c>
      <c r="O57" s="25" t="inlineStr">
        <is>
          <t>W11</t>
        </is>
      </c>
      <c r="P57" s="25" t="inlineStr">
        <is>
          <t>W12</t>
        </is>
      </c>
      <c r="Q57" s="25" t="inlineStr">
        <is>
          <t>W13</t>
        </is>
      </c>
      <c r="R57" s="25" t="inlineStr">
        <is>
          <t>W14</t>
        </is>
      </c>
      <c r="S57" s="25" t="inlineStr">
        <is>
          <t>W15</t>
        </is>
      </c>
      <c r="T57" s="25" t="inlineStr">
        <is>
          <t>W16</t>
        </is>
      </c>
      <c r="U57" s="25" t="inlineStr">
        <is>
          <t>W17</t>
        </is>
      </c>
      <c r="V57" s="25" t="inlineStr">
        <is>
          <t>W18</t>
        </is>
      </c>
      <c r="W57" s="25" t="inlineStr">
        <is>
          <t>W19</t>
        </is>
      </c>
      <c r="X57" s="25" t="inlineStr">
        <is>
          <t>W20</t>
        </is>
      </c>
      <c r="Y57" s="25" t="inlineStr">
        <is>
          <t>W21</t>
        </is>
      </c>
      <c r="Z57" s="25" t="inlineStr">
        <is>
          <t>W22</t>
        </is>
      </c>
      <c r="AA57" s="25" t="inlineStr">
        <is>
          <t>W23</t>
        </is>
      </c>
      <c r="AB57" s="25" t="inlineStr">
        <is>
          <t>W24</t>
        </is>
      </c>
      <c r="AC57" s="25" t="inlineStr">
        <is>
          <t>W25</t>
        </is>
      </c>
      <c r="AD57" s="25" t="inlineStr">
        <is>
          <t>W26</t>
        </is>
      </c>
      <c r="AE57" s="25" t="inlineStr">
        <is>
          <t>W27</t>
        </is>
      </c>
    </row>
    <row r="58">
      <c r="B58" s="26" t="inlineStr">
        <is>
          <t>Demo</t>
        </is>
      </c>
      <c r="F58" s="27" t="n">
        <v>0</v>
      </c>
      <c r="G58" s="27" t="n">
        <v>0</v>
      </c>
      <c r="H58" s="27" t="n">
        <v>0</v>
      </c>
      <c r="I58" s="27" t="n">
        <v>1</v>
      </c>
      <c r="J58" s="27" t="n">
        <v>1</v>
      </c>
      <c r="K58" s="27" t="n">
        <v>0</v>
      </c>
      <c r="L58" s="27" t="n">
        <v>0</v>
      </c>
      <c r="M58" s="27" t="n">
        <v>0</v>
      </c>
      <c r="N58" s="27" t="n">
        <v>0</v>
      </c>
      <c r="O58" s="27" t="n">
        <v>0</v>
      </c>
      <c r="P58" s="27" t="n">
        <v>0</v>
      </c>
      <c r="Q58" s="27" t="n">
        <v>0</v>
      </c>
      <c r="R58" s="27" t="n">
        <v>0</v>
      </c>
      <c r="S58" s="27" t="n">
        <v>0</v>
      </c>
      <c r="T58" s="27" t="n">
        <v>0</v>
      </c>
      <c r="U58" s="27" t="n">
        <v>0</v>
      </c>
      <c r="V58" s="27" t="n">
        <v>0</v>
      </c>
      <c r="W58" s="27" t="n">
        <v>0</v>
      </c>
      <c r="X58" s="27" t="n">
        <v>0</v>
      </c>
      <c r="Y58" s="27" t="n">
        <v>0</v>
      </c>
      <c r="Z58" s="27" t="n">
        <v>0</v>
      </c>
      <c r="AA58" s="27" t="n">
        <v>0</v>
      </c>
      <c r="AB58" s="27" t="n">
        <v>0</v>
      </c>
      <c r="AC58" s="27" t="n">
        <v>0</v>
      </c>
      <c r="AD58" s="27" t="n">
        <v>0</v>
      </c>
      <c r="AE58" s="27" t="n">
        <v>0</v>
      </c>
    </row>
    <row r="59">
      <c r="B59" s="26" t="inlineStr">
        <is>
          <t>End Cap</t>
        </is>
      </c>
      <c r="F59" s="27" t="n">
        <v>0</v>
      </c>
      <c r="G59" s="27" t="n">
        <v>0</v>
      </c>
      <c r="H59" s="27" t="n">
        <v>0</v>
      </c>
      <c r="I59" s="27" t="n">
        <v>1</v>
      </c>
      <c r="J59" s="27" t="n">
        <v>1</v>
      </c>
      <c r="K59" s="27" t="n">
        <v>0</v>
      </c>
      <c r="L59" s="27" t="n">
        <v>0</v>
      </c>
      <c r="M59" s="27" t="n">
        <v>0</v>
      </c>
      <c r="N59" s="27" t="n">
        <v>0</v>
      </c>
      <c r="O59" s="27" t="n">
        <v>0</v>
      </c>
      <c r="P59" s="27" t="n">
        <v>0</v>
      </c>
      <c r="Q59" s="27" t="n">
        <v>0</v>
      </c>
      <c r="R59" s="27" t="n">
        <v>0</v>
      </c>
      <c r="S59" s="27" t="n">
        <v>0</v>
      </c>
      <c r="T59" s="27" t="n">
        <v>0</v>
      </c>
      <c r="U59" s="27" t="n">
        <v>0</v>
      </c>
      <c r="V59" s="27" t="n">
        <v>0</v>
      </c>
      <c r="W59" s="27" t="n">
        <v>0</v>
      </c>
      <c r="X59" s="27" t="n">
        <v>0</v>
      </c>
      <c r="Y59" s="27" t="n">
        <v>0</v>
      </c>
      <c r="Z59" s="27" t="n">
        <v>0</v>
      </c>
      <c r="AA59" s="27" t="n">
        <v>0</v>
      </c>
      <c r="AB59" s="27" t="n">
        <v>0</v>
      </c>
      <c r="AC59" s="27" t="n">
        <v>0</v>
      </c>
      <c r="AD59" s="27" t="n">
        <v>0</v>
      </c>
      <c r="AE59" s="27" t="n">
        <v>0</v>
      </c>
    </row>
    <row r="60">
      <c r="B60" s="26" t="inlineStr">
        <is>
          <t>Fence</t>
        </is>
      </c>
      <c r="F60" s="27" t="n">
        <v>0</v>
      </c>
      <c r="G60" s="27" t="n">
        <v>0</v>
      </c>
      <c r="H60" s="27" t="n">
        <v>0</v>
      </c>
      <c r="I60" s="27" t="n">
        <v>0</v>
      </c>
      <c r="J60" s="27" t="n">
        <v>0</v>
      </c>
      <c r="K60" s="27" t="n">
        <v>0</v>
      </c>
      <c r="L60" s="27" t="n">
        <v>0</v>
      </c>
      <c r="M60" s="27" t="n">
        <v>0</v>
      </c>
      <c r="N60" s="27" t="n">
        <v>0</v>
      </c>
      <c r="O60" s="27" t="n">
        <v>0</v>
      </c>
      <c r="P60" s="27" t="n">
        <v>0</v>
      </c>
      <c r="Q60" s="27" t="n">
        <v>0</v>
      </c>
      <c r="R60" s="27" t="n">
        <v>0</v>
      </c>
      <c r="S60" s="27" t="n">
        <v>0</v>
      </c>
      <c r="T60" s="27" t="n">
        <v>0</v>
      </c>
      <c r="U60" s="27" t="n">
        <v>0</v>
      </c>
      <c r="V60" s="27" t="n">
        <v>0</v>
      </c>
      <c r="W60" s="27" t="n">
        <v>0</v>
      </c>
      <c r="X60" s="27" t="n">
        <v>0</v>
      </c>
      <c r="Y60" s="27" t="n">
        <v>0</v>
      </c>
      <c r="Z60" s="27" t="n">
        <v>0</v>
      </c>
      <c r="AA60" s="27" t="n">
        <v>0</v>
      </c>
      <c r="AB60" s="27" t="n">
        <v>0</v>
      </c>
      <c r="AC60" s="27" t="n">
        <v>0</v>
      </c>
      <c r="AD60" s="27" t="n">
        <v>0</v>
      </c>
      <c r="AE60" s="27" t="n">
        <v>0</v>
      </c>
    </row>
    <row r="61">
      <c r="B61" s="26" t="inlineStr">
        <is>
          <t>TPD</t>
        </is>
      </c>
      <c r="F61" s="27" t="n">
        <v>0</v>
      </c>
      <c r="G61" s="27" t="n">
        <v>0</v>
      </c>
      <c r="H61" s="27" t="n">
        <v>0</v>
      </c>
      <c r="I61" s="27" t="n">
        <v>1</v>
      </c>
      <c r="J61" s="27" t="n">
        <v>1</v>
      </c>
      <c r="K61" s="27" t="n">
        <v>0</v>
      </c>
      <c r="L61" s="27" t="n">
        <v>0</v>
      </c>
      <c r="M61" s="27" t="n">
        <v>0</v>
      </c>
      <c r="N61" s="27" t="n">
        <v>0</v>
      </c>
      <c r="O61" s="27" t="n">
        <v>0</v>
      </c>
      <c r="P61" s="27" t="n">
        <v>0</v>
      </c>
      <c r="Q61" s="27" t="n">
        <v>0</v>
      </c>
      <c r="R61" s="27" t="n">
        <v>0</v>
      </c>
      <c r="S61" s="27" t="n">
        <v>0</v>
      </c>
      <c r="T61" s="27" t="n">
        <v>0</v>
      </c>
      <c r="U61" s="27" t="n">
        <v>0</v>
      </c>
      <c r="V61" s="27" t="n">
        <v>0</v>
      </c>
      <c r="W61" s="27" t="n">
        <v>0</v>
      </c>
      <c r="X61" s="27" t="n">
        <v>0</v>
      </c>
      <c r="Y61" s="27" t="n">
        <v>0</v>
      </c>
      <c r="Z61" s="27" t="n">
        <v>0</v>
      </c>
      <c r="AA61" s="27" t="n">
        <v>0</v>
      </c>
      <c r="AB61" s="27" t="n">
        <v>0</v>
      </c>
      <c r="AC61" s="27" t="n">
        <v>0</v>
      </c>
      <c r="AD61" s="27" t="n">
        <v>0</v>
      </c>
      <c r="AE61" s="27" t="n">
        <v>0</v>
      </c>
    </row>
    <row r="62">
      <c r="B62" s="26" t="inlineStr">
        <is>
          <t>Markdown</t>
        </is>
      </c>
      <c r="F62" s="27" t="n">
        <v>0</v>
      </c>
      <c r="G62" s="27" t="n">
        <v>0</v>
      </c>
      <c r="H62" s="27" t="n">
        <v>0</v>
      </c>
      <c r="I62" s="27" t="n">
        <v>0</v>
      </c>
      <c r="J62" s="27" t="n">
        <v>0</v>
      </c>
      <c r="K62" s="27" t="n">
        <v>0</v>
      </c>
      <c r="L62" s="27" t="n">
        <v>0</v>
      </c>
      <c r="M62" s="27" t="n">
        <v>0</v>
      </c>
      <c r="N62" s="27" t="n">
        <v>0</v>
      </c>
      <c r="O62" s="27" t="n">
        <v>0</v>
      </c>
      <c r="P62" s="27" t="n">
        <v>0</v>
      </c>
      <c r="Q62" s="27" t="n">
        <v>0</v>
      </c>
      <c r="R62" s="27" t="n">
        <v>0</v>
      </c>
      <c r="S62" s="27" t="n">
        <v>0</v>
      </c>
      <c r="T62" s="27" t="n">
        <v>0</v>
      </c>
      <c r="U62" s="27" t="n">
        <v>0</v>
      </c>
      <c r="V62" s="27" t="n">
        <v>1</v>
      </c>
      <c r="W62" s="27" t="n">
        <v>1</v>
      </c>
      <c r="X62" s="27" t="n">
        <v>1</v>
      </c>
      <c r="Y62" s="27" t="n">
        <v>0</v>
      </c>
      <c r="Z62" s="27" t="n">
        <v>0</v>
      </c>
      <c r="AA62" s="27" t="n">
        <v>0</v>
      </c>
      <c r="AB62" s="27" t="n">
        <v>0</v>
      </c>
      <c r="AC62" s="27" t="n">
        <v>0</v>
      </c>
      <c r="AD62" s="27" t="n">
        <v>0</v>
      </c>
      <c r="AE62" s="27" t="n">
        <v>0</v>
      </c>
    </row>
    <row r="63">
      <c r="B63" s="26" t="inlineStr">
        <is>
          <t>Advert</t>
        </is>
      </c>
      <c r="F63" s="27" t="n">
        <v>0</v>
      </c>
      <c r="G63" s="27" t="n">
        <v>0</v>
      </c>
      <c r="H63" s="27" t="n">
        <v>0</v>
      </c>
      <c r="I63" s="27" t="n">
        <v>0</v>
      </c>
      <c r="J63" s="27" t="n">
        <v>0</v>
      </c>
      <c r="K63" s="27" t="n">
        <v>0</v>
      </c>
      <c r="L63" s="27" t="n">
        <v>0</v>
      </c>
      <c r="M63" s="27" t="n">
        <v>0</v>
      </c>
      <c r="N63" s="27" t="n">
        <v>0</v>
      </c>
      <c r="O63" s="27" t="n">
        <v>0</v>
      </c>
      <c r="P63" s="27" t="n">
        <v>0</v>
      </c>
      <c r="Q63" s="27" t="n">
        <v>0</v>
      </c>
      <c r="R63" s="27" t="n">
        <v>0</v>
      </c>
      <c r="S63" s="27" t="n">
        <v>0</v>
      </c>
      <c r="T63" s="27" t="n">
        <v>0</v>
      </c>
      <c r="U63" s="27" t="n">
        <v>0</v>
      </c>
      <c r="V63" s="27" t="n">
        <v>0</v>
      </c>
      <c r="W63" s="27" t="n">
        <v>0</v>
      </c>
      <c r="X63" s="27" t="n">
        <v>0</v>
      </c>
      <c r="Y63" s="27" t="n">
        <v>0</v>
      </c>
      <c r="Z63" s="27" t="n">
        <v>0</v>
      </c>
      <c r="AA63" s="27" t="n">
        <v>0</v>
      </c>
      <c r="AB63" s="27" t="n">
        <v>0</v>
      </c>
      <c r="AC63" s="27" t="n">
        <v>0</v>
      </c>
      <c r="AD63" s="27" t="n">
        <v>0</v>
      </c>
      <c r="AE63" s="27" t="n">
        <v>0</v>
      </c>
    </row>
    <row r="64">
      <c r="B64" s="26" t="inlineStr">
        <is>
          <t>Lift Multiplier (x base)</t>
        </is>
      </c>
      <c r="F64" s="28" t="n">
        <v>1</v>
      </c>
      <c r="G64" s="28" t="n">
        <v>1</v>
      </c>
      <c r="H64" s="28" t="n">
        <v>1</v>
      </c>
      <c r="I64" s="28" t="n">
        <v>3</v>
      </c>
      <c r="J64" s="28" t="n">
        <v>3</v>
      </c>
      <c r="K64" s="28" t="n">
        <v>1</v>
      </c>
      <c r="L64" s="28" t="n">
        <v>1</v>
      </c>
      <c r="M64" s="28" t="n">
        <v>1</v>
      </c>
      <c r="N64" s="28" t="n">
        <v>1</v>
      </c>
      <c r="O64" s="28" t="n">
        <v>1</v>
      </c>
      <c r="P64" s="28" t="n">
        <v>1</v>
      </c>
      <c r="Q64" s="28" t="n">
        <v>1</v>
      </c>
      <c r="R64" s="28" t="n">
        <v>1</v>
      </c>
      <c r="S64" s="28" t="n">
        <v>1</v>
      </c>
      <c r="T64" s="28" t="n">
        <v>1</v>
      </c>
      <c r="U64" s="28" t="n">
        <v>1</v>
      </c>
      <c r="V64" s="28" t="n">
        <v>1</v>
      </c>
      <c r="W64" s="28" t="n">
        <v>0.3</v>
      </c>
      <c r="X64" s="28" t="n">
        <v>8.699999999999999</v>
      </c>
      <c r="Y64" s="28" t="n">
        <v>1</v>
      </c>
      <c r="Z64" s="28" t="n">
        <v>1</v>
      </c>
      <c r="AA64" s="28" t="n">
        <v>1</v>
      </c>
      <c r="AB64" s="28" t="n">
        <v>1</v>
      </c>
      <c r="AC64" s="28" t="n">
        <v>1</v>
      </c>
      <c r="AD64" s="28" t="n">
        <v>1</v>
      </c>
      <c r="AE64" s="28" t="n">
        <v>1</v>
      </c>
    </row>
  </sheetData>
  <mergeCells count="12">
    <mergeCell ref="B56:AE56"/>
    <mergeCell ref="B31:E31"/>
    <mergeCell ref="B9:E9"/>
    <mergeCell ref="B4:E4"/>
    <mergeCell ref="B44:AE44"/>
    <mergeCell ref="B33:AE33"/>
    <mergeCell ref="B55:AE55"/>
    <mergeCell ref="B15:E15"/>
    <mergeCell ref="B34:AE34"/>
    <mergeCell ref="B19:E19"/>
    <mergeCell ref="B2:E2"/>
    <mergeCell ref="B45:AE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AF5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4" customWidth="1" min="32" max="32"/>
  </cols>
  <sheetData>
    <row r="2" ht="32" customHeight="1">
      <c r="B2" s="9" t="inlineStr">
        <is>
          <t>FORECAST — Weekly P&amp;L (all values calculated, do not edit)</t>
        </is>
      </c>
    </row>
    <row r="4" ht="22" customHeight="1">
      <c r="B4" s="23" t="inlineStr">
        <is>
          <t>BEST – x2 Demo (Wks 5-6) + TPD</t>
        </is>
      </c>
    </row>
    <row r="5">
      <c r="B5" s="26" t="inlineStr">
        <is>
          <t>Week</t>
        </is>
      </c>
      <c r="F5" s="25" t="inlineStr">
        <is>
          <t>W2</t>
        </is>
      </c>
      <c r="G5" s="25" t="inlineStr">
        <is>
          <t>W3</t>
        </is>
      </c>
      <c r="H5" s="25" t="inlineStr">
        <is>
          <t>W4</t>
        </is>
      </c>
      <c r="I5" s="25" t="inlineStr">
        <is>
          <t>W5</t>
        </is>
      </c>
      <c r="J5" s="25" t="inlineStr">
        <is>
          <t>W6</t>
        </is>
      </c>
      <c r="K5" s="25" t="inlineStr">
        <is>
          <t>W7</t>
        </is>
      </c>
      <c r="L5" s="25" t="inlineStr">
        <is>
          <t>W8</t>
        </is>
      </c>
      <c r="M5" s="25" t="inlineStr">
        <is>
          <t>W9</t>
        </is>
      </c>
      <c r="N5" s="25" t="inlineStr">
        <is>
          <t>W10</t>
        </is>
      </c>
      <c r="O5" s="25" t="inlineStr">
        <is>
          <t>W11</t>
        </is>
      </c>
      <c r="P5" s="25" t="inlineStr">
        <is>
          <t>W12</t>
        </is>
      </c>
      <c r="Q5" s="25" t="inlineStr">
        <is>
          <t>W13</t>
        </is>
      </c>
      <c r="R5" s="25" t="inlineStr">
        <is>
          <t>W14</t>
        </is>
      </c>
      <c r="S5" s="25" t="inlineStr">
        <is>
          <t>W15</t>
        </is>
      </c>
      <c r="T5" s="25" t="inlineStr">
        <is>
          <t>W16</t>
        </is>
      </c>
      <c r="U5" s="25" t="inlineStr">
        <is>
          <t>W17</t>
        </is>
      </c>
      <c r="V5" s="25" t="inlineStr">
        <is>
          <t>W18</t>
        </is>
      </c>
      <c r="W5" s="25" t="inlineStr">
        <is>
          <t>W19</t>
        </is>
      </c>
      <c r="X5" s="25" t="inlineStr">
        <is>
          <t>W20</t>
        </is>
      </c>
      <c r="Y5" s="25" t="inlineStr">
        <is>
          <t>W21</t>
        </is>
      </c>
      <c r="Z5" s="25" t="inlineStr">
        <is>
          <t>W22</t>
        </is>
      </c>
      <c r="AA5" s="25" t="inlineStr">
        <is>
          <t>W23</t>
        </is>
      </c>
      <c r="AB5" s="25" t="inlineStr">
        <is>
          <t>W24</t>
        </is>
      </c>
      <c r="AC5" s="25" t="inlineStr">
        <is>
          <t>W25</t>
        </is>
      </c>
      <c r="AD5" s="25" t="inlineStr">
        <is>
          <t>W26</t>
        </is>
      </c>
      <c r="AE5" s="25" t="inlineStr">
        <is>
          <t>W27</t>
        </is>
      </c>
      <c r="AF5" s="29" t="inlineStr">
        <is>
          <t>TOTAL</t>
        </is>
      </c>
    </row>
    <row r="6">
      <c r="B6" s="11" t="inlineStr">
        <is>
          <t>POS Units</t>
        </is>
      </c>
      <c r="F6" s="18">
        <f>ROUND(Inputs!$C$17*Inputs!F42,0)</f>
        <v/>
      </c>
      <c r="G6" s="18">
        <f>ROUND(Inputs!$C$17*Inputs!G42,0)</f>
        <v/>
      </c>
      <c r="H6" s="18">
        <f>ROUND(Inputs!$C$17*Inputs!H42,0)</f>
        <v/>
      </c>
      <c r="I6" s="18">
        <f>ROUND(Inputs!$C$17*Inputs!I42,0)</f>
        <v/>
      </c>
      <c r="J6" s="18">
        <f>ROUND(Inputs!$C$17*Inputs!J42,0)</f>
        <v/>
      </c>
      <c r="K6" s="18">
        <f>ROUND(Inputs!$C$17*Inputs!K42,0)</f>
        <v/>
      </c>
      <c r="L6" s="18">
        <f>ROUND(Inputs!$C$17*Inputs!L42,0)</f>
        <v/>
      </c>
      <c r="M6" s="18">
        <f>ROUND(Inputs!$C$17*Inputs!M42,0)</f>
        <v/>
      </c>
      <c r="N6" s="18">
        <f>ROUND(Inputs!$C$17*Inputs!N42,0)</f>
        <v/>
      </c>
      <c r="O6" s="18">
        <f>ROUND(Inputs!$C$17*Inputs!O42,0)</f>
        <v/>
      </c>
      <c r="P6" s="18">
        <f>ROUND(Inputs!$C$17*Inputs!P42,0)</f>
        <v/>
      </c>
      <c r="Q6" s="18">
        <f>ROUND(Inputs!$C$17*Inputs!Q42,0)</f>
        <v/>
      </c>
      <c r="R6" s="18">
        <f>ROUND(Inputs!$C$17*Inputs!R42,0)</f>
        <v/>
      </c>
      <c r="S6" s="18">
        <f>ROUND(Inputs!$C$17*Inputs!S42,0)</f>
        <v/>
      </c>
      <c r="T6" s="18">
        <f>ROUND(Inputs!$C$17*Inputs!T42,0)</f>
        <v/>
      </c>
      <c r="U6" s="18">
        <f>ROUND(Inputs!$C$17*Inputs!U42,0)</f>
        <v/>
      </c>
      <c r="V6" s="18">
        <f>ROUND(Inputs!$C$17*Inputs!V42,0)</f>
        <v/>
      </c>
      <c r="W6" s="18">
        <f>ROUND(Inputs!$C$17*Inputs!W42,0)</f>
        <v/>
      </c>
      <c r="X6" s="18">
        <f>ROUND(Inputs!$C$17*Inputs!X42,0)</f>
        <v/>
      </c>
      <c r="Y6" s="18">
        <f>ROUND(Inputs!$C$17*Inputs!Y42,0)</f>
        <v/>
      </c>
      <c r="Z6" s="18">
        <f>ROUND(Inputs!$C$17*Inputs!Z42,0)</f>
        <v/>
      </c>
      <c r="AA6" s="18">
        <f>ROUND(Inputs!$C$17*Inputs!AA42,0)</f>
        <v/>
      </c>
      <c r="AB6" s="18">
        <f>ROUND(Inputs!$C$17*Inputs!AB42,0)</f>
        <v/>
      </c>
      <c r="AC6" s="18">
        <f>ROUND(Inputs!$C$17*Inputs!AC42,0)</f>
        <v/>
      </c>
      <c r="AD6" s="18">
        <f>ROUND(Inputs!$C$17*Inputs!AD42,0)</f>
        <v/>
      </c>
      <c r="AE6" s="18">
        <f>ROUND(Inputs!$C$17*Inputs!AE42,0)</f>
        <v/>
      </c>
      <c r="AF6" s="30">
        <f>SUM(F6:AE6)</f>
        <v/>
      </c>
    </row>
    <row r="7">
      <c r="B7" s="31" t="inlineStr">
        <is>
          <t>Selling Price</t>
        </is>
      </c>
      <c r="F7" s="16">
        <f>Inputs!$C$10</f>
        <v/>
      </c>
      <c r="G7" s="16">
        <f>Inputs!$C$10</f>
        <v/>
      </c>
      <c r="H7" s="16">
        <f>Inputs!$C$10</f>
        <v/>
      </c>
      <c r="I7" s="16">
        <f>Inputs!$C$10</f>
        <v/>
      </c>
      <c r="J7" s="16">
        <f>Inputs!$C$10</f>
        <v/>
      </c>
      <c r="K7" s="16">
        <f>Inputs!$C$10</f>
        <v/>
      </c>
      <c r="L7" s="16">
        <f>Inputs!$C$10</f>
        <v/>
      </c>
      <c r="M7" s="16">
        <f>Inputs!$C$10</f>
        <v/>
      </c>
      <c r="N7" s="16">
        <f>Inputs!$C$10</f>
        <v/>
      </c>
      <c r="O7" s="16">
        <f>Inputs!$C$10</f>
        <v/>
      </c>
      <c r="P7" s="16">
        <f>Inputs!$C$10</f>
        <v/>
      </c>
      <c r="Q7" s="16">
        <f>Inputs!$C$10</f>
        <v/>
      </c>
      <c r="R7" s="16">
        <f>Inputs!$C$10</f>
        <v/>
      </c>
      <c r="S7" s="16">
        <f>Inputs!$C$10</f>
        <v/>
      </c>
      <c r="T7" s="16">
        <f>Inputs!$C$10</f>
        <v/>
      </c>
      <c r="U7" s="16">
        <f>Inputs!$C$10</f>
        <v/>
      </c>
      <c r="V7" s="16">
        <f>Inputs!$C$10</f>
        <v/>
      </c>
      <c r="W7" s="16">
        <f>Inputs!$C$10</f>
        <v/>
      </c>
      <c r="X7" s="16">
        <f>Inputs!$C$10</f>
        <v/>
      </c>
      <c r="Y7" s="16">
        <f>Inputs!$C$10</f>
        <v/>
      </c>
      <c r="Z7" s="16">
        <f>Inputs!$C$10</f>
        <v/>
      </c>
      <c r="AA7" s="16">
        <f>Inputs!$C$10</f>
        <v/>
      </c>
      <c r="AB7" s="16">
        <f>Inputs!$C$10</f>
        <v/>
      </c>
      <c r="AC7" s="16">
        <f>Inputs!$C$10</f>
        <v/>
      </c>
      <c r="AD7" s="16">
        <f>Inputs!$C$10</f>
        <v/>
      </c>
      <c r="AE7" s="16">
        <f>Inputs!$C$10</f>
        <v/>
      </c>
      <c r="AF7" s="32">
        <f>Inputs!$C$10</f>
        <v/>
      </c>
    </row>
    <row r="8">
      <c r="B8" s="11" t="inlineStr">
        <is>
          <t>Revenue</t>
        </is>
      </c>
      <c r="F8" s="21">
        <f>F6*F7</f>
        <v/>
      </c>
      <c r="G8" s="21">
        <f>G6*G7</f>
        <v/>
      </c>
      <c r="H8" s="21">
        <f>H6*H7</f>
        <v/>
      </c>
      <c r="I8" s="21">
        <f>I6*I7</f>
        <v/>
      </c>
      <c r="J8" s="21">
        <f>J6*J7</f>
        <v/>
      </c>
      <c r="K8" s="21">
        <f>K6*K7</f>
        <v/>
      </c>
      <c r="L8" s="21">
        <f>L6*L7</f>
        <v/>
      </c>
      <c r="M8" s="21">
        <f>M6*M7</f>
        <v/>
      </c>
      <c r="N8" s="21">
        <f>N6*N7</f>
        <v/>
      </c>
      <c r="O8" s="21">
        <f>O6*O7</f>
        <v/>
      </c>
      <c r="P8" s="21">
        <f>P6*P7</f>
        <v/>
      </c>
      <c r="Q8" s="21">
        <f>Q6*Q7</f>
        <v/>
      </c>
      <c r="R8" s="21">
        <f>R6*R7</f>
        <v/>
      </c>
      <c r="S8" s="21">
        <f>S6*S7</f>
        <v/>
      </c>
      <c r="T8" s="21">
        <f>T6*T7</f>
        <v/>
      </c>
      <c r="U8" s="21">
        <f>U6*U7</f>
        <v/>
      </c>
      <c r="V8" s="21">
        <f>V6*V7</f>
        <v/>
      </c>
      <c r="W8" s="21">
        <f>W6*W7</f>
        <v/>
      </c>
      <c r="X8" s="21">
        <f>X6*X7</f>
        <v/>
      </c>
      <c r="Y8" s="21">
        <f>Y6*Y7</f>
        <v/>
      </c>
      <c r="Z8" s="21">
        <f>Z6*Z7</f>
        <v/>
      </c>
      <c r="AA8" s="21">
        <f>AA6*AA7</f>
        <v/>
      </c>
      <c r="AB8" s="21">
        <f>AB6*AB7</f>
        <v/>
      </c>
      <c r="AC8" s="21">
        <f>AC6*AC7</f>
        <v/>
      </c>
      <c r="AD8" s="21">
        <f>AD6*AD7</f>
        <v/>
      </c>
      <c r="AE8" s="21">
        <f>AE6*AE7</f>
        <v/>
      </c>
      <c r="AF8" s="33">
        <f>SUM(F8:AE8)</f>
        <v/>
      </c>
    </row>
    <row r="9">
      <c r="B9" s="31" t="inlineStr">
        <is>
          <t>Cost Price</t>
        </is>
      </c>
      <c r="F9" s="16">
        <f>Inputs!$C$11</f>
        <v/>
      </c>
      <c r="G9" s="16">
        <f>Inputs!$C$11</f>
        <v/>
      </c>
      <c r="H9" s="16">
        <f>Inputs!$C$11</f>
        <v/>
      </c>
      <c r="I9" s="16">
        <f>Inputs!$C$11</f>
        <v/>
      </c>
      <c r="J9" s="16">
        <f>Inputs!$C$11</f>
        <v/>
      </c>
      <c r="K9" s="16">
        <f>Inputs!$C$11</f>
        <v/>
      </c>
      <c r="L9" s="16">
        <f>Inputs!$C$11</f>
        <v/>
      </c>
      <c r="M9" s="16">
        <f>Inputs!$C$11</f>
        <v/>
      </c>
      <c r="N9" s="16">
        <f>Inputs!$C$11</f>
        <v/>
      </c>
      <c r="O9" s="16">
        <f>Inputs!$C$11</f>
        <v/>
      </c>
      <c r="P9" s="16">
        <f>Inputs!$C$11</f>
        <v/>
      </c>
      <c r="Q9" s="16">
        <f>Inputs!$C$11</f>
        <v/>
      </c>
      <c r="R9" s="16">
        <f>Inputs!$C$11</f>
        <v/>
      </c>
      <c r="S9" s="16">
        <f>Inputs!$C$11</f>
        <v/>
      </c>
      <c r="T9" s="16">
        <f>Inputs!$C$11</f>
        <v/>
      </c>
      <c r="U9" s="16">
        <f>Inputs!$C$11</f>
        <v/>
      </c>
      <c r="V9" s="16">
        <f>Inputs!$C$11</f>
        <v/>
      </c>
      <c r="W9" s="16">
        <f>Inputs!$C$11</f>
        <v/>
      </c>
      <c r="X9" s="16">
        <f>Inputs!$C$11</f>
        <v/>
      </c>
      <c r="Y9" s="16">
        <f>Inputs!$C$11</f>
        <v/>
      </c>
      <c r="Z9" s="16">
        <f>Inputs!$C$11</f>
        <v/>
      </c>
      <c r="AA9" s="16">
        <f>Inputs!$C$11</f>
        <v/>
      </c>
      <c r="AB9" s="16">
        <f>Inputs!$C$11</f>
        <v/>
      </c>
      <c r="AC9" s="16">
        <f>Inputs!$C$11</f>
        <v/>
      </c>
      <c r="AD9" s="16">
        <f>Inputs!$C$11</f>
        <v/>
      </c>
      <c r="AE9" s="16">
        <f>Inputs!$C$11</f>
        <v/>
      </c>
      <c r="AF9" s="32">
        <f>Inputs!$C$11</f>
        <v/>
      </c>
    </row>
    <row r="10">
      <c r="B10" s="31" t="inlineStr">
        <is>
          <t>Raw COGS</t>
        </is>
      </c>
      <c r="F10" s="21">
        <f>F6*F9</f>
        <v/>
      </c>
      <c r="G10" s="21">
        <f>G6*G9</f>
        <v/>
      </c>
      <c r="H10" s="21">
        <f>H6*H9</f>
        <v/>
      </c>
      <c r="I10" s="21">
        <f>I6*I9</f>
        <v/>
      </c>
      <c r="J10" s="21">
        <f>J6*J9</f>
        <v/>
      </c>
      <c r="K10" s="21">
        <f>K6*K9</f>
        <v/>
      </c>
      <c r="L10" s="21">
        <f>L6*L9</f>
        <v/>
      </c>
      <c r="M10" s="21">
        <f>M6*M9</f>
        <v/>
      </c>
      <c r="N10" s="21">
        <f>N6*N9</f>
        <v/>
      </c>
      <c r="O10" s="21">
        <f>O6*O9</f>
        <v/>
      </c>
      <c r="P10" s="21">
        <f>P6*P9</f>
        <v/>
      </c>
      <c r="Q10" s="21">
        <f>Q6*Q9</f>
        <v/>
      </c>
      <c r="R10" s="21">
        <f>R6*R9</f>
        <v/>
      </c>
      <c r="S10" s="21">
        <f>S6*S9</f>
        <v/>
      </c>
      <c r="T10" s="21">
        <f>T6*T9</f>
        <v/>
      </c>
      <c r="U10" s="21">
        <f>U6*U9</f>
        <v/>
      </c>
      <c r="V10" s="21">
        <f>V6*V9</f>
        <v/>
      </c>
      <c r="W10" s="21">
        <f>W6*W9</f>
        <v/>
      </c>
      <c r="X10" s="21">
        <f>X6*X9</f>
        <v/>
      </c>
      <c r="Y10" s="21">
        <f>Y6*Y9</f>
        <v/>
      </c>
      <c r="Z10" s="21">
        <f>Z6*Z9</f>
        <v/>
      </c>
      <c r="AA10" s="21">
        <f>AA6*AA9</f>
        <v/>
      </c>
      <c r="AB10" s="21">
        <f>AB6*AB9</f>
        <v/>
      </c>
      <c r="AC10" s="21">
        <f>AC6*AC9</f>
        <v/>
      </c>
      <c r="AD10" s="21">
        <f>AD6*AD9</f>
        <v/>
      </c>
      <c r="AE10" s="21">
        <f>AE6*AE9</f>
        <v/>
      </c>
      <c r="AF10" s="33">
        <f>SUM(F10:AE10)</f>
        <v/>
      </c>
    </row>
    <row r="11">
      <c r="B11" s="31" t="inlineStr">
        <is>
          <t>— Demo Spend</t>
        </is>
      </c>
      <c r="F11" s="21">
        <f>Inputs!F36*Inputs!$C$22</f>
        <v/>
      </c>
      <c r="G11" s="21">
        <f>Inputs!G36*Inputs!$C$22</f>
        <v/>
      </c>
      <c r="H11" s="21">
        <f>Inputs!H36*Inputs!$C$22</f>
        <v/>
      </c>
      <c r="I11" s="21">
        <f>Inputs!I36*Inputs!$C$22</f>
        <v/>
      </c>
      <c r="J11" s="21">
        <f>Inputs!J36*Inputs!$C$22</f>
        <v/>
      </c>
      <c r="K11" s="21">
        <f>Inputs!K36*Inputs!$C$22</f>
        <v/>
      </c>
      <c r="L11" s="21">
        <f>Inputs!L36*Inputs!$C$22</f>
        <v/>
      </c>
      <c r="M11" s="21">
        <f>Inputs!M36*Inputs!$C$22</f>
        <v/>
      </c>
      <c r="N11" s="21">
        <f>Inputs!N36*Inputs!$C$22</f>
        <v/>
      </c>
      <c r="O11" s="21">
        <f>Inputs!O36*Inputs!$C$22</f>
        <v/>
      </c>
      <c r="P11" s="21">
        <f>Inputs!P36*Inputs!$C$22</f>
        <v/>
      </c>
      <c r="Q11" s="21">
        <f>Inputs!Q36*Inputs!$C$22</f>
        <v/>
      </c>
      <c r="R11" s="21">
        <f>Inputs!R36*Inputs!$C$22</f>
        <v/>
      </c>
      <c r="S11" s="21">
        <f>Inputs!S36*Inputs!$C$22</f>
        <v/>
      </c>
      <c r="T11" s="21">
        <f>Inputs!T36*Inputs!$C$22</f>
        <v/>
      </c>
      <c r="U11" s="21">
        <f>Inputs!U36*Inputs!$C$22</f>
        <v/>
      </c>
      <c r="V11" s="21">
        <f>Inputs!V36*Inputs!$C$22</f>
        <v/>
      </c>
      <c r="W11" s="21">
        <f>Inputs!W36*Inputs!$C$22</f>
        <v/>
      </c>
      <c r="X11" s="21">
        <f>Inputs!X36*Inputs!$C$22</f>
        <v/>
      </c>
      <c r="Y11" s="21">
        <f>Inputs!Y36*Inputs!$C$22</f>
        <v/>
      </c>
      <c r="Z11" s="21">
        <f>Inputs!Z36*Inputs!$C$22</f>
        <v/>
      </c>
      <c r="AA11" s="21">
        <f>Inputs!AA36*Inputs!$C$22</f>
        <v/>
      </c>
      <c r="AB11" s="21">
        <f>Inputs!AB36*Inputs!$C$22</f>
        <v/>
      </c>
      <c r="AC11" s="21">
        <f>Inputs!AC36*Inputs!$C$22</f>
        <v/>
      </c>
      <c r="AD11" s="21">
        <f>Inputs!AD36*Inputs!$C$22</f>
        <v/>
      </c>
      <c r="AE11" s="21">
        <f>Inputs!AE36*Inputs!$C$22</f>
        <v/>
      </c>
      <c r="AF11" s="33">
        <f>SUM(F11:AE11)</f>
        <v/>
      </c>
    </row>
    <row r="12">
      <c r="B12" s="31" t="inlineStr">
        <is>
          <t>— End Cap Spend</t>
        </is>
      </c>
      <c r="F12" s="21">
        <f>Inputs!F37*Inputs!$C$25</f>
        <v/>
      </c>
      <c r="G12" s="21">
        <f>Inputs!G37*Inputs!$C$25</f>
        <v/>
      </c>
      <c r="H12" s="21">
        <f>Inputs!H37*Inputs!$C$25</f>
        <v/>
      </c>
      <c r="I12" s="21">
        <f>Inputs!I37*Inputs!$C$25</f>
        <v/>
      </c>
      <c r="J12" s="21">
        <f>Inputs!J37*Inputs!$C$25</f>
        <v/>
      </c>
      <c r="K12" s="21">
        <f>Inputs!K37*Inputs!$C$25</f>
        <v/>
      </c>
      <c r="L12" s="21">
        <f>Inputs!L37*Inputs!$C$25</f>
        <v/>
      </c>
      <c r="M12" s="21">
        <f>Inputs!M37*Inputs!$C$25</f>
        <v/>
      </c>
      <c r="N12" s="21">
        <f>Inputs!N37*Inputs!$C$25</f>
        <v/>
      </c>
      <c r="O12" s="21">
        <f>Inputs!O37*Inputs!$C$25</f>
        <v/>
      </c>
      <c r="P12" s="21">
        <f>Inputs!P37*Inputs!$C$25</f>
        <v/>
      </c>
      <c r="Q12" s="21">
        <f>Inputs!Q37*Inputs!$C$25</f>
        <v/>
      </c>
      <c r="R12" s="21">
        <f>Inputs!R37*Inputs!$C$25</f>
        <v/>
      </c>
      <c r="S12" s="21">
        <f>Inputs!S37*Inputs!$C$25</f>
        <v/>
      </c>
      <c r="T12" s="21">
        <f>Inputs!T37*Inputs!$C$25</f>
        <v/>
      </c>
      <c r="U12" s="21">
        <f>Inputs!U37*Inputs!$C$25</f>
        <v/>
      </c>
      <c r="V12" s="21">
        <f>Inputs!V37*Inputs!$C$25</f>
        <v/>
      </c>
      <c r="W12" s="21">
        <f>Inputs!W37*Inputs!$C$25</f>
        <v/>
      </c>
      <c r="X12" s="21">
        <f>Inputs!X37*Inputs!$C$25</f>
        <v/>
      </c>
      <c r="Y12" s="21">
        <f>Inputs!Y37*Inputs!$C$25</f>
        <v/>
      </c>
      <c r="Z12" s="21">
        <f>Inputs!Z37*Inputs!$C$25</f>
        <v/>
      </c>
      <c r="AA12" s="21">
        <f>Inputs!AA37*Inputs!$C$25</f>
        <v/>
      </c>
      <c r="AB12" s="21">
        <f>Inputs!AB37*Inputs!$C$25</f>
        <v/>
      </c>
      <c r="AC12" s="21">
        <f>Inputs!AC37*Inputs!$C$25</f>
        <v/>
      </c>
      <c r="AD12" s="21">
        <f>Inputs!AD37*Inputs!$C$25</f>
        <v/>
      </c>
      <c r="AE12" s="21">
        <f>Inputs!AE37*Inputs!$C$25</f>
        <v/>
      </c>
      <c r="AF12" s="33">
        <f>SUM(F12:AE12)</f>
        <v/>
      </c>
    </row>
    <row r="13">
      <c r="B13" s="31" t="inlineStr">
        <is>
          <t>— Fence Spend</t>
        </is>
      </c>
      <c r="F13" s="21">
        <f>Inputs!F38*Inputs!$C$26</f>
        <v/>
      </c>
      <c r="G13" s="21">
        <f>Inputs!G38*Inputs!$C$26</f>
        <v/>
      </c>
      <c r="H13" s="21">
        <f>Inputs!H38*Inputs!$C$26</f>
        <v/>
      </c>
      <c r="I13" s="21">
        <f>Inputs!I38*Inputs!$C$26</f>
        <v/>
      </c>
      <c r="J13" s="21">
        <f>Inputs!J38*Inputs!$C$26</f>
        <v/>
      </c>
      <c r="K13" s="21">
        <f>Inputs!K38*Inputs!$C$26</f>
        <v/>
      </c>
      <c r="L13" s="21">
        <f>Inputs!L38*Inputs!$C$26</f>
        <v/>
      </c>
      <c r="M13" s="21">
        <f>Inputs!M38*Inputs!$C$26</f>
        <v/>
      </c>
      <c r="N13" s="21">
        <f>Inputs!N38*Inputs!$C$26</f>
        <v/>
      </c>
      <c r="O13" s="21">
        <f>Inputs!O38*Inputs!$C$26</f>
        <v/>
      </c>
      <c r="P13" s="21">
        <f>Inputs!P38*Inputs!$C$26</f>
        <v/>
      </c>
      <c r="Q13" s="21">
        <f>Inputs!Q38*Inputs!$C$26</f>
        <v/>
      </c>
      <c r="R13" s="21">
        <f>Inputs!R38*Inputs!$C$26</f>
        <v/>
      </c>
      <c r="S13" s="21">
        <f>Inputs!S38*Inputs!$C$26</f>
        <v/>
      </c>
      <c r="T13" s="21">
        <f>Inputs!T38*Inputs!$C$26</f>
        <v/>
      </c>
      <c r="U13" s="21">
        <f>Inputs!U38*Inputs!$C$26</f>
        <v/>
      </c>
      <c r="V13" s="21">
        <f>Inputs!V38*Inputs!$C$26</f>
        <v/>
      </c>
      <c r="W13" s="21">
        <f>Inputs!W38*Inputs!$C$26</f>
        <v/>
      </c>
      <c r="X13" s="21">
        <f>Inputs!X38*Inputs!$C$26</f>
        <v/>
      </c>
      <c r="Y13" s="21">
        <f>Inputs!Y38*Inputs!$C$26</f>
        <v/>
      </c>
      <c r="Z13" s="21">
        <f>Inputs!Z38*Inputs!$C$26</f>
        <v/>
      </c>
      <c r="AA13" s="21">
        <f>Inputs!AA38*Inputs!$C$26</f>
        <v/>
      </c>
      <c r="AB13" s="21">
        <f>Inputs!AB38*Inputs!$C$26</f>
        <v/>
      </c>
      <c r="AC13" s="21">
        <f>Inputs!AC38*Inputs!$C$26</f>
        <v/>
      </c>
      <c r="AD13" s="21">
        <f>Inputs!AD38*Inputs!$C$26</f>
        <v/>
      </c>
      <c r="AE13" s="21">
        <f>Inputs!AE38*Inputs!$C$26</f>
        <v/>
      </c>
      <c r="AF13" s="33">
        <f>SUM(F13:AE13)</f>
        <v/>
      </c>
    </row>
    <row r="14">
      <c r="B14" s="31" t="inlineStr">
        <is>
          <t>— TPD Spend</t>
        </is>
      </c>
      <c r="F14" s="21">
        <f>Inputs!F39*F6*F7*Inputs!$C$28</f>
        <v/>
      </c>
      <c r="G14" s="21">
        <f>Inputs!G39*G6*G7*Inputs!$C$28</f>
        <v/>
      </c>
      <c r="H14" s="21">
        <f>Inputs!H39*H6*H7*Inputs!$C$28</f>
        <v/>
      </c>
      <c r="I14" s="21">
        <f>Inputs!I39*I6*I7*Inputs!$C$28</f>
        <v/>
      </c>
      <c r="J14" s="21">
        <f>Inputs!J39*J6*J7*Inputs!$C$28</f>
        <v/>
      </c>
      <c r="K14" s="21">
        <f>Inputs!K39*K6*K7*Inputs!$C$28</f>
        <v/>
      </c>
      <c r="L14" s="21">
        <f>Inputs!L39*L6*L7*Inputs!$C$28</f>
        <v/>
      </c>
      <c r="M14" s="21">
        <f>Inputs!M39*M6*M7*Inputs!$C$28</f>
        <v/>
      </c>
      <c r="N14" s="21">
        <f>Inputs!N39*N6*N7*Inputs!$C$28</f>
        <v/>
      </c>
      <c r="O14" s="21">
        <f>Inputs!O39*O6*O7*Inputs!$C$28</f>
        <v/>
      </c>
      <c r="P14" s="21">
        <f>Inputs!P39*P6*P7*Inputs!$C$28</f>
        <v/>
      </c>
      <c r="Q14" s="21">
        <f>Inputs!Q39*Q6*Q7*Inputs!$C$28</f>
        <v/>
      </c>
      <c r="R14" s="21">
        <f>Inputs!R39*R6*R7*Inputs!$C$28</f>
        <v/>
      </c>
      <c r="S14" s="21">
        <f>Inputs!S39*S6*S7*Inputs!$C$28</f>
        <v/>
      </c>
      <c r="T14" s="21">
        <f>Inputs!T39*T6*T7*Inputs!$C$28</f>
        <v/>
      </c>
      <c r="U14" s="21">
        <f>Inputs!U39*U6*U7*Inputs!$C$28</f>
        <v/>
      </c>
      <c r="V14" s="21">
        <f>Inputs!V39*V6*V7*Inputs!$C$28</f>
        <v/>
      </c>
      <c r="W14" s="21">
        <f>Inputs!W39*W6*W7*Inputs!$C$28</f>
        <v/>
      </c>
      <c r="X14" s="21">
        <f>Inputs!X39*X6*X7*Inputs!$C$28</f>
        <v/>
      </c>
      <c r="Y14" s="21">
        <f>Inputs!Y39*Y6*Y7*Inputs!$C$28</f>
        <v/>
      </c>
      <c r="Z14" s="21">
        <f>Inputs!Z39*Z6*Z7*Inputs!$C$28</f>
        <v/>
      </c>
      <c r="AA14" s="21">
        <f>Inputs!AA39*AA6*AA7*Inputs!$C$28</f>
        <v/>
      </c>
      <c r="AB14" s="21">
        <f>Inputs!AB39*AB6*AB7*Inputs!$C$28</f>
        <v/>
      </c>
      <c r="AC14" s="21">
        <f>Inputs!AC39*AC6*AC7*Inputs!$C$28</f>
        <v/>
      </c>
      <c r="AD14" s="21">
        <f>Inputs!AD39*AD6*AD7*Inputs!$C$28</f>
        <v/>
      </c>
      <c r="AE14" s="21">
        <f>Inputs!AE39*AE6*AE7*Inputs!$C$28</f>
        <v/>
      </c>
      <c r="AF14" s="33">
        <f>SUM(F14:AE14)</f>
        <v/>
      </c>
    </row>
    <row r="15">
      <c r="B15" s="31" t="inlineStr">
        <is>
          <t>— Markdown Spend</t>
        </is>
      </c>
      <c r="F15" s="21">
        <f>Inputs!F40*F6*F7*Inputs!$C$29</f>
        <v/>
      </c>
      <c r="G15" s="21">
        <f>Inputs!G40*G6*G7*Inputs!$C$29</f>
        <v/>
      </c>
      <c r="H15" s="21">
        <f>Inputs!H40*H6*H7*Inputs!$C$29</f>
        <v/>
      </c>
      <c r="I15" s="21">
        <f>Inputs!I40*I6*I7*Inputs!$C$29</f>
        <v/>
      </c>
      <c r="J15" s="21">
        <f>Inputs!J40*J6*J7*Inputs!$C$29</f>
        <v/>
      </c>
      <c r="K15" s="21">
        <f>Inputs!K40*K6*K7*Inputs!$C$29</f>
        <v/>
      </c>
      <c r="L15" s="21">
        <f>Inputs!L40*L6*L7*Inputs!$C$29</f>
        <v/>
      </c>
      <c r="M15" s="21">
        <f>Inputs!M40*M6*M7*Inputs!$C$29</f>
        <v/>
      </c>
      <c r="N15" s="21">
        <f>Inputs!N40*N6*N7*Inputs!$C$29</f>
        <v/>
      </c>
      <c r="O15" s="21">
        <f>Inputs!O40*O6*O7*Inputs!$C$29</f>
        <v/>
      </c>
      <c r="P15" s="21">
        <f>Inputs!P40*P6*P7*Inputs!$C$29</f>
        <v/>
      </c>
      <c r="Q15" s="21">
        <f>Inputs!Q40*Q6*Q7*Inputs!$C$29</f>
        <v/>
      </c>
      <c r="R15" s="21">
        <f>Inputs!R40*R6*R7*Inputs!$C$29</f>
        <v/>
      </c>
      <c r="S15" s="21">
        <f>Inputs!S40*S6*S7*Inputs!$C$29</f>
        <v/>
      </c>
      <c r="T15" s="21">
        <f>Inputs!T40*T6*T7*Inputs!$C$29</f>
        <v/>
      </c>
      <c r="U15" s="21">
        <f>Inputs!U40*U6*U7*Inputs!$C$29</f>
        <v/>
      </c>
      <c r="V15" s="21">
        <f>Inputs!V40*V6*V7*Inputs!$C$29</f>
        <v/>
      </c>
      <c r="W15" s="21">
        <f>Inputs!W40*W6*W7*Inputs!$C$29</f>
        <v/>
      </c>
      <c r="X15" s="21">
        <f>Inputs!X40*X6*X7*Inputs!$C$29</f>
        <v/>
      </c>
      <c r="Y15" s="21">
        <f>Inputs!Y40*Y6*Y7*Inputs!$C$29</f>
        <v/>
      </c>
      <c r="Z15" s="21">
        <f>Inputs!Z40*Z6*Z7*Inputs!$C$29</f>
        <v/>
      </c>
      <c r="AA15" s="21">
        <f>Inputs!AA40*AA6*AA7*Inputs!$C$29</f>
        <v/>
      </c>
      <c r="AB15" s="21">
        <f>Inputs!AB40*AB6*AB7*Inputs!$C$29</f>
        <v/>
      </c>
      <c r="AC15" s="21">
        <f>Inputs!AC40*AC6*AC7*Inputs!$C$29</f>
        <v/>
      </c>
      <c r="AD15" s="21">
        <f>Inputs!AD40*AD6*AD7*Inputs!$C$29</f>
        <v/>
      </c>
      <c r="AE15" s="21">
        <f>Inputs!AE40*AE6*AE7*Inputs!$C$29</f>
        <v/>
      </c>
      <c r="AF15" s="33">
        <f>SUM(F15:AE15)</f>
        <v/>
      </c>
    </row>
    <row r="16">
      <c r="B16" s="31" t="inlineStr">
        <is>
          <t>— Advertising Spend</t>
        </is>
      </c>
      <c r="F16" s="21">
        <f>Inputs!F41*Inputs!$C$27</f>
        <v/>
      </c>
      <c r="G16" s="21">
        <f>Inputs!G41*Inputs!$C$27</f>
        <v/>
      </c>
      <c r="H16" s="21">
        <f>Inputs!H41*Inputs!$C$27</f>
        <v/>
      </c>
      <c r="I16" s="21">
        <f>Inputs!I41*Inputs!$C$27</f>
        <v/>
      </c>
      <c r="J16" s="21">
        <f>Inputs!J41*Inputs!$C$27</f>
        <v/>
      </c>
      <c r="K16" s="21">
        <f>Inputs!K41*Inputs!$C$27</f>
        <v/>
      </c>
      <c r="L16" s="21">
        <f>Inputs!L41*Inputs!$C$27</f>
        <v/>
      </c>
      <c r="M16" s="21">
        <f>Inputs!M41*Inputs!$C$27</f>
        <v/>
      </c>
      <c r="N16" s="21">
        <f>Inputs!N41*Inputs!$C$27</f>
        <v/>
      </c>
      <c r="O16" s="21">
        <f>Inputs!O41*Inputs!$C$27</f>
        <v/>
      </c>
      <c r="P16" s="21">
        <f>Inputs!P41*Inputs!$C$27</f>
        <v/>
      </c>
      <c r="Q16" s="21">
        <f>Inputs!Q41*Inputs!$C$27</f>
        <v/>
      </c>
      <c r="R16" s="21">
        <f>Inputs!R41*Inputs!$C$27</f>
        <v/>
      </c>
      <c r="S16" s="21">
        <f>Inputs!S41*Inputs!$C$27</f>
        <v/>
      </c>
      <c r="T16" s="21">
        <f>Inputs!T41*Inputs!$C$27</f>
        <v/>
      </c>
      <c r="U16" s="21">
        <f>Inputs!U41*Inputs!$C$27</f>
        <v/>
      </c>
      <c r="V16" s="21">
        <f>Inputs!V41*Inputs!$C$27</f>
        <v/>
      </c>
      <c r="W16" s="21">
        <f>Inputs!W41*Inputs!$C$27</f>
        <v/>
      </c>
      <c r="X16" s="21">
        <f>Inputs!X41*Inputs!$C$27</f>
        <v/>
      </c>
      <c r="Y16" s="21">
        <f>Inputs!Y41*Inputs!$C$27</f>
        <v/>
      </c>
      <c r="Z16" s="21">
        <f>Inputs!Z41*Inputs!$C$27</f>
        <v/>
      </c>
      <c r="AA16" s="21">
        <f>Inputs!AA41*Inputs!$C$27</f>
        <v/>
      </c>
      <c r="AB16" s="21">
        <f>Inputs!AB41*Inputs!$C$27</f>
        <v/>
      </c>
      <c r="AC16" s="21">
        <f>Inputs!AC41*Inputs!$C$27</f>
        <v/>
      </c>
      <c r="AD16" s="21">
        <f>Inputs!AD41*Inputs!$C$27</f>
        <v/>
      </c>
      <c r="AE16" s="21">
        <f>Inputs!AE41*Inputs!$C$27</f>
        <v/>
      </c>
      <c r="AF16" s="33">
        <f>SUM(F16:AE16)</f>
        <v/>
      </c>
    </row>
    <row r="17">
      <c r="B17" s="11" t="inlineStr">
        <is>
          <t>Total Promo Spend</t>
        </is>
      </c>
      <c r="F17" s="21">
        <f>SUM(F11:F16)</f>
        <v/>
      </c>
      <c r="G17" s="21">
        <f>SUM(G11:G16)</f>
        <v/>
      </c>
      <c r="H17" s="21">
        <f>SUM(H11:H16)</f>
        <v/>
      </c>
      <c r="I17" s="21">
        <f>SUM(I11:I16)</f>
        <v/>
      </c>
      <c r="J17" s="21">
        <f>SUM(J11:J16)</f>
        <v/>
      </c>
      <c r="K17" s="21">
        <f>SUM(K11:K16)</f>
        <v/>
      </c>
      <c r="L17" s="21">
        <f>SUM(L11:L16)</f>
        <v/>
      </c>
      <c r="M17" s="21">
        <f>SUM(M11:M16)</f>
        <v/>
      </c>
      <c r="N17" s="21">
        <f>SUM(N11:N16)</f>
        <v/>
      </c>
      <c r="O17" s="21">
        <f>SUM(O11:O16)</f>
        <v/>
      </c>
      <c r="P17" s="21">
        <f>SUM(P11:P16)</f>
        <v/>
      </c>
      <c r="Q17" s="21">
        <f>SUM(Q11:Q16)</f>
        <v/>
      </c>
      <c r="R17" s="21">
        <f>SUM(R11:R16)</f>
        <v/>
      </c>
      <c r="S17" s="21">
        <f>SUM(S11:S16)</f>
        <v/>
      </c>
      <c r="T17" s="21">
        <f>SUM(T11:T16)</f>
        <v/>
      </c>
      <c r="U17" s="21">
        <f>SUM(U11:U16)</f>
        <v/>
      </c>
      <c r="V17" s="21">
        <f>SUM(V11:V16)</f>
        <v/>
      </c>
      <c r="W17" s="21">
        <f>SUM(W11:W16)</f>
        <v/>
      </c>
      <c r="X17" s="21">
        <f>SUM(X11:X16)</f>
        <v/>
      </c>
      <c r="Y17" s="21">
        <f>SUM(Y11:Y16)</f>
        <v/>
      </c>
      <c r="Z17" s="21">
        <f>SUM(Z11:Z16)</f>
        <v/>
      </c>
      <c r="AA17" s="21">
        <f>SUM(AA11:AA16)</f>
        <v/>
      </c>
      <c r="AB17" s="21">
        <f>SUM(AB11:AB16)</f>
        <v/>
      </c>
      <c r="AC17" s="21">
        <f>SUM(AC11:AC16)</f>
        <v/>
      </c>
      <c r="AD17" s="21">
        <f>SUM(AD11:AD16)</f>
        <v/>
      </c>
      <c r="AE17" s="21">
        <f>SUM(AE11:AE16)</f>
        <v/>
      </c>
      <c r="AF17" s="33">
        <f>SUM(F17:AE17)</f>
        <v/>
      </c>
    </row>
    <row r="18">
      <c r="B18" s="34" t="inlineStr">
        <is>
          <t>Gross Profit</t>
        </is>
      </c>
      <c r="F18" s="21">
        <f>F8-F10</f>
        <v/>
      </c>
      <c r="G18" s="21">
        <f>G8-G10</f>
        <v/>
      </c>
      <c r="H18" s="21">
        <f>H8-H10</f>
        <v/>
      </c>
      <c r="I18" s="21">
        <f>I8-I10</f>
        <v/>
      </c>
      <c r="J18" s="21">
        <f>J8-J10</f>
        <v/>
      </c>
      <c r="K18" s="21">
        <f>K8-K10</f>
        <v/>
      </c>
      <c r="L18" s="21">
        <f>L8-L10</f>
        <v/>
      </c>
      <c r="M18" s="21">
        <f>M8-M10</f>
        <v/>
      </c>
      <c r="N18" s="21">
        <f>N8-N10</f>
        <v/>
      </c>
      <c r="O18" s="21">
        <f>O8-O10</f>
        <v/>
      </c>
      <c r="P18" s="21">
        <f>P8-P10</f>
        <v/>
      </c>
      <c r="Q18" s="21">
        <f>Q8-Q10</f>
        <v/>
      </c>
      <c r="R18" s="21">
        <f>R8-R10</f>
        <v/>
      </c>
      <c r="S18" s="21">
        <f>S8-S10</f>
        <v/>
      </c>
      <c r="T18" s="21">
        <f>T8-T10</f>
        <v/>
      </c>
      <c r="U18" s="21">
        <f>U8-U10</f>
        <v/>
      </c>
      <c r="V18" s="21">
        <f>V8-V10</f>
        <v/>
      </c>
      <c r="W18" s="21">
        <f>W8-W10</f>
        <v/>
      </c>
      <c r="X18" s="21">
        <f>X8-X10</f>
        <v/>
      </c>
      <c r="Y18" s="21">
        <f>Y8-Y10</f>
        <v/>
      </c>
      <c r="Z18" s="21">
        <f>Z8-Z10</f>
        <v/>
      </c>
      <c r="AA18" s="21">
        <f>AA8-AA10</f>
        <v/>
      </c>
      <c r="AB18" s="21">
        <f>AB8-AB10</f>
        <v/>
      </c>
      <c r="AC18" s="21">
        <f>AC8-AC10</f>
        <v/>
      </c>
      <c r="AD18" s="21">
        <f>AD8-AD10</f>
        <v/>
      </c>
      <c r="AE18" s="21">
        <f>AE8-AE10</f>
        <v/>
      </c>
      <c r="AF18" s="33">
        <f>SUM(F18:AE18)</f>
        <v/>
      </c>
    </row>
    <row r="19">
      <c r="B19" s="34" t="inlineStr">
        <is>
          <t>Net Profit (after promo)</t>
        </is>
      </c>
      <c r="F19" s="21">
        <f>F18-F17</f>
        <v/>
      </c>
      <c r="G19" s="21">
        <f>G18-G17</f>
        <v/>
      </c>
      <c r="H19" s="21">
        <f>H18-H17</f>
        <v/>
      </c>
      <c r="I19" s="21">
        <f>I18-I17</f>
        <v/>
      </c>
      <c r="J19" s="21">
        <f>J18-J17</f>
        <v/>
      </c>
      <c r="K19" s="21">
        <f>K18-K17</f>
        <v/>
      </c>
      <c r="L19" s="21">
        <f>L18-L17</f>
        <v/>
      </c>
      <c r="M19" s="21">
        <f>M18-M17</f>
        <v/>
      </c>
      <c r="N19" s="21">
        <f>N18-N17</f>
        <v/>
      </c>
      <c r="O19" s="21">
        <f>O18-O17</f>
        <v/>
      </c>
      <c r="P19" s="21">
        <f>P18-P17</f>
        <v/>
      </c>
      <c r="Q19" s="21">
        <f>Q18-Q17</f>
        <v/>
      </c>
      <c r="R19" s="21">
        <f>R18-R17</f>
        <v/>
      </c>
      <c r="S19" s="21">
        <f>S18-S17</f>
        <v/>
      </c>
      <c r="T19" s="21">
        <f>T18-T17</f>
        <v/>
      </c>
      <c r="U19" s="21">
        <f>U18-U17</f>
        <v/>
      </c>
      <c r="V19" s="21">
        <f>V18-V17</f>
        <v/>
      </c>
      <c r="W19" s="21">
        <f>W18-W17</f>
        <v/>
      </c>
      <c r="X19" s="21">
        <f>X18-X17</f>
        <v/>
      </c>
      <c r="Y19" s="21">
        <f>Y18-Y17</f>
        <v/>
      </c>
      <c r="Z19" s="21">
        <f>Z18-Z17</f>
        <v/>
      </c>
      <c r="AA19" s="21">
        <f>AA18-AA17</f>
        <v/>
      </c>
      <c r="AB19" s="21">
        <f>AB18-AB17</f>
        <v/>
      </c>
      <c r="AC19" s="21">
        <f>AC18-AC17</f>
        <v/>
      </c>
      <c r="AD19" s="21">
        <f>AD18-AD17</f>
        <v/>
      </c>
      <c r="AE19" s="21">
        <f>AE18-AE17</f>
        <v/>
      </c>
      <c r="AF19" s="33">
        <f>SUM(F19:AE19)</f>
        <v/>
      </c>
    </row>
    <row r="22" ht="22" customHeight="1">
      <c r="B22" s="23" t="inlineStr">
        <is>
          <t>IDEAL – x2 Demo + End Cap (Wks 5-6) + TPD</t>
        </is>
      </c>
    </row>
    <row r="23">
      <c r="B23" s="26" t="inlineStr">
        <is>
          <t>Week</t>
        </is>
      </c>
      <c r="F23" s="25" t="inlineStr">
        <is>
          <t>W2</t>
        </is>
      </c>
      <c r="G23" s="25" t="inlineStr">
        <is>
          <t>W3</t>
        </is>
      </c>
      <c r="H23" s="25" t="inlineStr">
        <is>
          <t>W4</t>
        </is>
      </c>
      <c r="I23" s="25" t="inlineStr">
        <is>
          <t>W5</t>
        </is>
      </c>
      <c r="J23" s="25" t="inlineStr">
        <is>
          <t>W6</t>
        </is>
      </c>
      <c r="K23" s="25" t="inlineStr">
        <is>
          <t>W7</t>
        </is>
      </c>
      <c r="L23" s="25" t="inlineStr">
        <is>
          <t>W8</t>
        </is>
      </c>
      <c r="M23" s="25" t="inlineStr">
        <is>
          <t>W9</t>
        </is>
      </c>
      <c r="N23" s="25" t="inlineStr">
        <is>
          <t>W10</t>
        </is>
      </c>
      <c r="O23" s="25" t="inlineStr">
        <is>
          <t>W11</t>
        </is>
      </c>
      <c r="P23" s="25" t="inlineStr">
        <is>
          <t>W12</t>
        </is>
      </c>
      <c r="Q23" s="25" t="inlineStr">
        <is>
          <t>W13</t>
        </is>
      </c>
      <c r="R23" s="25" t="inlineStr">
        <is>
          <t>W14</t>
        </is>
      </c>
      <c r="S23" s="25" t="inlineStr">
        <is>
          <t>W15</t>
        </is>
      </c>
      <c r="T23" s="25" t="inlineStr">
        <is>
          <t>W16</t>
        </is>
      </c>
      <c r="U23" s="25" t="inlineStr">
        <is>
          <t>W17</t>
        </is>
      </c>
      <c r="V23" s="25" t="inlineStr">
        <is>
          <t>W18</t>
        </is>
      </c>
      <c r="W23" s="25" t="inlineStr">
        <is>
          <t>W19</t>
        </is>
      </c>
      <c r="X23" s="25" t="inlineStr">
        <is>
          <t>W20</t>
        </is>
      </c>
      <c r="Y23" s="25" t="inlineStr">
        <is>
          <t>W21</t>
        </is>
      </c>
      <c r="Z23" s="25" t="inlineStr">
        <is>
          <t>W22</t>
        </is>
      </c>
      <c r="AA23" s="25" t="inlineStr">
        <is>
          <t>W23</t>
        </is>
      </c>
      <c r="AB23" s="25" t="inlineStr">
        <is>
          <t>W24</t>
        </is>
      </c>
      <c r="AC23" s="25" t="inlineStr">
        <is>
          <t>W25</t>
        </is>
      </c>
      <c r="AD23" s="25" t="inlineStr">
        <is>
          <t>W26</t>
        </is>
      </c>
      <c r="AE23" s="25" t="inlineStr">
        <is>
          <t>W27</t>
        </is>
      </c>
      <c r="AF23" s="29" t="inlineStr">
        <is>
          <t>TOTAL</t>
        </is>
      </c>
    </row>
    <row r="24">
      <c r="B24" s="11" t="inlineStr">
        <is>
          <t>POS Units</t>
        </is>
      </c>
      <c r="F24" s="18">
        <f>ROUND(Inputs!$C$17*Inputs!F53,0)</f>
        <v/>
      </c>
      <c r="G24" s="18">
        <f>ROUND(Inputs!$C$17*Inputs!G53,0)</f>
        <v/>
      </c>
      <c r="H24" s="18">
        <f>ROUND(Inputs!$C$17*Inputs!H53,0)</f>
        <v/>
      </c>
      <c r="I24" s="18">
        <f>ROUND(Inputs!$C$17*Inputs!I53,0)</f>
        <v/>
      </c>
      <c r="J24" s="18">
        <f>ROUND(Inputs!$C$17*Inputs!J53,0)</f>
        <v/>
      </c>
      <c r="K24" s="18">
        <f>ROUND(Inputs!$C$17*Inputs!K53,0)</f>
        <v/>
      </c>
      <c r="L24" s="18">
        <f>ROUND(Inputs!$C$17*Inputs!L53,0)</f>
        <v/>
      </c>
      <c r="M24" s="18">
        <f>ROUND(Inputs!$C$17*Inputs!M53,0)</f>
        <v/>
      </c>
      <c r="N24" s="18">
        <f>ROUND(Inputs!$C$17*Inputs!N53,0)</f>
        <v/>
      </c>
      <c r="O24" s="18">
        <f>ROUND(Inputs!$C$17*Inputs!O53,0)</f>
        <v/>
      </c>
      <c r="P24" s="18">
        <f>ROUND(Inputs!$C$17*Inputs!P53,0)</f>
        <v/>
      </c>
      <c r="Q24" s="18">
        <f>ROUND(Inputs!$C$17*Inputs!Q53,0)</f>
        <v/>
      </c>
      <c r="R24" s="18">
        <f>ROUND(Inputs!$C$17*Inputs!R53,0)</f>
        <v/>
      </c>
      <c r="S24" s="18">
        <f>ROUND(Inputs!$C$17*Inputs!S53,0)</f>
        <v/>
      </c>
      <c r="T24" s="18">
        <f>ROUND(Inputs!$C$17*Inputs!T53,0)</f>
        <v/>
      </c>
      <c r="U24" s="18">
        <f>ROUND(Inputs!$C$17*Inputs!U53,0)</f>
        <v/>
      </c>
      <c r="V24" s="18">
        <f>ROUND(Inputs!$C$17*Inputs!V53,0)</f>
        <v/>
      </c>
      <c r="W24" s="18">
        <f>ROUND(Inputs!$C$17*Inputs!W53,0)</f>
        <v/>
      </c>
      <c r="X24" s="18">
        <f>ROUND(Inputs!$C$17*Inputs!X53,0)</f>
        <v/>
      </c>
      <c r="Y24" s="18">
        <f>ROUND(Inputs!$C$17*Inputs!Y53,0)</f>
        <v/>
      </c>
      <c r="Z24" s="18">
        <f>ROUND(Inputs!$C$17*Inputs!Z53,0)</f>
        <v/>
      </c>
      <c r="AA24" s="18">
        <f>ROUND(Inputs!$C$17*Inputs!AA53,0)</f>
        <v/>
      </c>
      <c r="AB24" s="18">
        <f>ROUND(Inputs!$C$17*Inputs!AB53,0)</f>
        <v/>
      </c>
      <c r="AC24" s="18">
        <f>ROUND(Inputs!$C$17*Inputs!AC53,0)</f>
        <v/>
      </c>
      <c r="AD24" s="18">
        <f>ROUND(Inputs!$C$17*Inputs!AD53,0)</f>
        <v/>
      </c>
      <c r="AE24" s="18">
        <f>ROUND(Inputs!$C$17*Inputs!AE53,0)</f>
        <v/>
      </c>
      <c r="AF24" s="30">
        <f>SUM(F24:AE24)</f>
        <v/>
      </c>
    </row>
    <row r="25">
      <c r="B25" s="31" t="inlineStr">
        <is>
          <t>Selling Price</t>
        </is>
      </c>
      <c r="F25" s="16">
        <f>Inputs!$C$10</f>
        <v/>
      </c>
      <c r="G25" s="16">
        <f>Inputs!$C$10</f>
        <v/>
      </c>
      <c r="H25" s="16">
        <f>Inputs!$C$10</f>
        <v/>
      </c>
      <c r="I25" s="16">
        <f>Inputs!$C$10</f>
        <v/>
      </c>
      <c r="J25" s="16">
        <f>Inputs!$C$10</f>
        <v/>
      </c>
      <c r="K25" s="16">
        <f>Inputs!$C$10</f>
        <v/>
      </c>
      <c r="L25" s="16">
        <f>Inputs!$C$10</f>
        <v/>
      </c>
      <c r="M25" s="16">
        <f>Inputs!$C$10</f>
        <v/>
      </c>
      <c r="N25" s="16">
        <f>Inputs!$C$10</f>
        <v/>
      </c>
      <c r="O25" s="16">
        <f>Inputs!$C$10</f>
        <v/>
      </c>
      <c r="P25" s="16">
        <f>Inputs!$C$10</f>
        <v/>
      </c>
      <c r="Q25" s="16">
        <f>Inputs!$C$10</f>
        <v/>
      </c>
      <c r="R25" s="16">
        <f>Inputs!$C$10</f>
        <v/>
      </c>
      <c r="S25" s="16">
        <f>Inputs!$C$10</f>
        <v/>
      </c>
      <c r="T25" s="16">
        <f>Inputs!$C$10</f>
        <v/>
      </c>
      <c r="U25" s="16">
        <f>Inputs!$C$10</f>
        <v/>
      </c>
      <c r="V25" s="16">
        <f>Inputs!$C$10</f>
        <v/>
      </c>
      <c r="W25" s="16">
        <f>Inputs!$C$10</f>
        <v/>
      </c>
      <c r="X25" s="16">
        <f>Inputs!$C$10</f>
        <v/>
      </c>
      <c r="Y25" s="16">
        <f>Inputs!$C$10</f>
        <v/>
      </c>
      <c r="Z25" s="16">
        <f>Inputs!$C$10</f>
        <v/>
      </c>
      <c r="AA25" s="16">
        <f>Inputs!$C$10</f>
        <v/>
      </c>
      <c r="AB25" s="16">
        <f>Inputs!$C$10</f>
        <v/>
      </c>
      <c r="AC25" s="16">
        <f>Inputs!$C$10</f>
        <v/>
      </c>
      <c r="AD25" s="16">
        <f>Inputs!$C$10</f>
        <v/>
      </c>
      <c r="AE25" s="16">
        <f>Inputs!$C$10</f>
        <v/>
      </c>
      <c r="AF25" s="32">
        <f>Inputs!$C$10</f>
        <v/>
      </c>
    </row>
    <row r="26">
      <c r="B26" s="11" t="inlineStr">
        <is>
          <t>Revenue</t>
        </is>
      </c>
      <c r="F26" s="21">
        <f>F24*F25</f>
        <v/>
      </c>
      <c r="G26" s="21">
        <f>G24*G25</f>
        <v/>
      </c>
      <c r="H26" s="21">
        <f>H24*H25</f>
        <v/>
      </c>
      <c r="I26" s="21">
        <f>I24*I25</f>
        <v/>
      </c>
      <c r="J26" s="21">
        <f>J24*J25</f>
        <v/>
      </c>
      <c r="K26" s="21">
        <f>K24*K25</f>
        <v/>
      </c>
      <c r="L26" s="21">
        <f>L24*L25</f>
        <v/>
      </c>
      <c r="M26" s="21">
        <f>M24*M25</f>
        <v/>
      </c>
      <c r="N26" s="21">
        <f>N24*N25</f>
        <v/>
      </c>
      <c r="O26" s="21">
        <f>O24*O25</f>
        <v/>
      </c>
      <c r="P26" s="21">
        <f>P24*P25</f>
        <v/>
      </c>
      <c r="Q26" s="21">
        <f>Q24*Q25</f>
        <v/>
      </c>
      <c r="R26" s="21">
        <f>R24*R25</f>
        <v/>
      </c>
      <c r="S26" s="21">
        <f>S24*S25</f>
        <v/>
      </c>
      <c r="T26" s="21">
        <f>T24*T25</f>
        <v/>
      </c>
      <c r="U26" s="21">
        <f>U24*U25</f>
        <v/>
      </c>
      <c r="V26" s="21">
        <f>V24*V25</f>
        <v/>
      </c>
      <c r="W26" s="21">
        <f>W24*W25</f>
        <v/>
      </c>
      <c r="X26" s="21">
        <f>X24*X25</f>
        <v/>
      </c>
      <c r="Y26" s="21">
        <f>Y24*Y25</f>
        <v/>
      </c>
      <c r="Z26" s="21">
        <f>Z24*Z25</f>
        <v/>
      </c>
      <c r="AA26" s="21">
        <f>AA24*AA25</f>
        <v/>
      </c>
      <c r="AB26" s="21">
        <f>AB24*AB25</f>
        <v/>
      </c>
      <c r="AC26" s="21">
        <f>AC24*AC25</f>
        <v/>
      </c>
      <c r="AD26" s="21">
        <f>AD24*AD25</f>
        <v/>
      </c>
      <c r="AE26" s="21">
        <f>AE24*AE25</f>
        <v/>
      </c>
      <c r="AF26" s="33">
        <f>SUM(F26:AE26)</f>
        <v/>
      </c>
    </row>
    <row r="27">
      <c r="B27" s="31" t="inlineStr">
        <is>
          <t>Cost Price</t>
        </is>
      </c>
      <c r="F27" s="16">
        <f>Inputs!$C$11</f>
        <v/>
      </c>
      <c r="G27" s="16">
        <f>Inputs!$C$11</f>
        <v/>
      </c>
      <c r="H27" s="16">
        <f>Inputs!$C$11</f>
        <v/>
      </c>
      <c r="I27" s="16">
        <f>Inputs!$C$11</f>
        <v/>
      </c>
      <c r="J27" s="16">
        <f>Inputs!$C$11</f>
        <v/>
      </c>
      <c r="K27" s="16">
        <f>Inputs!$C$11</f>
        <v/>
      </c>
      <c r="L27" s="16">
        <f>Inputs!$C$11</f>
        <v/>
      </c>
      <c r="M27" s="16">
        <f>Inputs!$C$11</f>
        <v/>
      </c>
      <c r="N27" s="16">
        <f>Inputs!$C$11</f>
        <v/>
      </c>
      <c r="O27" s="16">
        <f>Inputs!$C$11</f>
        <v/>
      </c>
      <c r="P27" s="16">
        <f>Inputs!$C$11</f>
        <v/>
      </c>
      <c r="Q27" s="16">
        <f>Inputs!$C$11</f>
        <v/>
      </c>
      <c r="R27" s="16">
        <f>Inputs!$C$11</f>
        <v/>
      </c>
      <c r="S27" s="16">
        <f>Inputs!$C$11</f>
        <v/>
      </c>
      <c r="T27" s="16">
        <f>Inputs!$C$11</f>
        <v/>
      </c>
      <c r="U27" s="16">
        <f>Inputs!$C$11</f>
        <v/>
      </c>
      <c r="V27" s="16">
        <f>Inputs!$C$11</f>
        <v/>
      </c>
      <c r="W27" s="16">
        <f>Inputs!$C$11</f>
        <v/>
      </c>
      <c r="X27" s="16">
        <f>Inputs!$C$11</f>
        <v/>
      </c>
      <c r="Y27" s="16">
        <f>Inputs!$C$11</f>
        <v/>
      </c>
      <c r="Z27" s="16">
        <f>Inputs!$C$11</f>
        <v/>
      </c>
      <c r="AA27" s="16">
        <f>Inputs!$C$11</f>
        <v/>
      </c>
      <c r="AB27" s="16">
        <f>Inputs!$C$11</f>
        <v/>
      </c>
      <c r="AC27" s="16">
        <f>Inputs!$C$11</f>
        <v/>
      </c>
      <c r="AD27" s="16">
        <f>Inputs!$C$11</f>
        <v/>
      </c>
      <c r="AE27" s="16">
        <f>Inputs!$C$11</f>
        <v/>
      </c>
      <c r="AF27" s="32">
        <f>Inputs!$C$11</f>
        <v/>
      </c>
    </row>
    <row r="28">
      <c r="B28" s="31" t="inlineStr">
        <is>
          <t>Raw COGS</t>
        </is>
      </c>
      <c r="F28" s="21">
        <f>F24*F27</f>
        <v/>
      </c>
      <c r="G28" s="21">
        <f>G24*G27</f>
        <v/>
      </c>
      <c r="H28" s="21">
        <f>H24*H27</f>
        <v/>
      </c>
      <c r="I28" s="21">
        <f>I24*I27</f>
        <v/>
      </c>
      <c r="J28" s="21">
        <f>J24*J27</f>
        <v/>
      </c>
      <c r="K28" s="21">
        <f>K24*K27</f>
        <v/>
      </c>
      <c r="L28" s="21">
        <f>L24*L27</f>
        <v/>
      </c>
      <c r="M28" s="21">
        <f>M24*M27</f>
        <v/>
      </c>
      <c r="N28" s="21">
        <f>N24*N27</f>
        <v/>
      </c>
      <c r="O28" s="21">
        <f>O24*O27</f>
        <v/>
      </c>
      <c r="P28" s="21">
        <f>P24*P27</f>
        <v/>
      </c>
      <c r="Q28" s="21">
        <f>Q24*Q27</f>
        <v/>
      </c>
      <c r="R28" s="21">
        <f>R24*R27</f>
        <v/>
      </c>
      <c r="S28" s="21">
        <f>S24*S27</f>
        <v/>
      </c>
      <c r="T28" s="21">
        <f>T24*T27</f>
        <v/>
      </c>
      <c r="U28" s="21">
        <f>U24*U27</f>
        <v/>
      </c>
      <c r="V28" s="21">
        <f>V24*V27</f>
        <v/>
      </c>
      <c r="W28" s="21">
        <f>W24*W27</f>
        <v/>
      </c>
      <c r="X28" s="21">
        <f>X24*X27</f>
        <v/>
      </c>
      <c r="Y28" s="21">
        <f>Y24*Y27</f>
        <v/>
      </c>
      <c r="Z28" s="21">
        <f>Z24*Z27</f>
        <v/>
      </c>
      <c r="AA28" s="21">
        <f>AA24*AA27</f>
        <v/>
      </c>
      <c r="AB28" s="21">
        <f>AB24*AB27</f>
        <v/>
      </c>
      <c r="AC28" s="21">
        <f>AC24*AC27</f>
        <v/>
      </c>
      <c r="AD28" s="21">
        <f>AD24*AD27</f>
        <v/>
      </c>
      <c r="AE28" s="21">
        <f>AE24*AE27</f>
        <v/>
      </c>
      <c r="AF28" s="33">
        <f>SUM(F28:AE28)</f>
        <v/>
      </c>
    </row>
    <row r="29">
      <c r="B29" s="31" t="inlineStr">
        <is>
          <t>— Demo Spend</t>
        </is>
      </c>
      <c r="F29" s="21">
        <f>Inputs!F47*Inputs!$C$22</f>
        <v/>
      </c>
      <c r="G29" s="21">
        <f>Inputs!G47*Inputs!$C$22</f>
        <v/>
      </c>
      <c r="H29" s="21">
        <f>Inputs!H47*Inputs!$C$22</f>
        <v/>
      </c>
      <c r="I29" s="21">
        <f>Inputs!I47*Inputs!$C$22</f>
        <v/>
      </c>
      <c r="J29" s="21">
        <f>Inputs!J47*Inputs!$C$22</f>
        <v/>
      </c>
      <c r="K29" s="21">
        <f>Inputs!K47*Inputs!$C$22</f>
        <v/>
      </c>
      <c r="L29" s="21">
        <f>Inputs!L47*Inputs!$C$22</f>
        <v/>
      </c>
      <c r="M29" s="21">
        <f>Inputs!M47*Inputs!$C$22</f>
        <v/>
      </c>
      <c r="N29" s="21">
        <f>Inputs!N47*Inputs!$C$22</f>
        <v/>
      </c>
      <c r="O29" s="21">
        <f>Inputs!O47*Inputs!$C$22</f>
        <v/>
      </c>
      <c r="P29" s="21">
        <f>Inputs!P47*Inputs!$C$22</f>
        <v/>
      </c>
      <c r="Q29" s="21">
        <f>Inputs!Q47*Inputs!$C$22</f>
        <v/>
      </c>
      <c r="R29" s="21">
        <f>Inputs!R47*Inputs!$C$22</f>
        <v/>
      </c>
      <c r="S29" s="21">
        <f>Inputs!S47*Inputs!$C$22</f>
        <v/>
      </c>
      <c r="T29" s="21">
        <f>Inputs!T47*Inputs!$C$22</f>
        <v/>
      </c>
      <c r="U29" s="21">
        <f>Inputs!U47*Inputs!$C$22</f>
        <v/>
      </c>
      <c r="V29" s="21">
        <f>Inputs!V47*Inputs!$C$22</f>
        <v/>
      </c>
      <c r="W29" s="21">
        <f>Inputs!W47*Inputs!$C$22</f>
        <v/>
      </c>
      <c r="X29" s="21">
        <f>Inputs!X47*Inputs!$C$22</f>
        <v/>
      </c>
      <c r="Y29" s="21">
        <f>Inputs!Y47*Inputs!$C$22</f>
        <v/>
      </c>
      <c r="Z29" s="21">
        <f>Inputs!Z47*Inputs!$C$22</f>
        <v/>
      </c>
      <c r="AA29" s="21">
        <f>Inputs!AA47*Inputs!$C$22</f>
        <v/>
      </c>
      <c r="AB29" s="21">
        <f>Inputs!AB47*Inputs!$C$22</f>
        <v/>
      </c>
      <c r="AC29" s="21">
        <f>Inputs!AC47*Inputs!$C$22</f>
        <v/>
      </c>
      <c r="AD29" s="21">
        <f>Inputs!AD47*Inputs!$C$22</f>
        <v/>
      </c>
      <c r="AE29" s="21">
        <f>Inputs!AE47*Inputs!$C$22</f>
        <v/>
      </c>
      <c r="AF29" s="33">
        <f>SUM(F29:AE29)</f>
        <v/>
      </c>
    </row>
    <row r="30">
      <c r="B30" s="31" t="inlineStr">
        <is>
          <t>— End Cap Spend</t>
        </is>
      </c>
      <c r="F30" s="21">
        <f>Inputs!F48*Inputs!$C$25</f>
        <v/>
      </c>
      <c r="G30" s="21">
        <f>Inputs!G48*Inputs!$C$25</f>
        <v/>
      </c>
      <c r="H30" s="21">
        <f>Inputs!H48*Inputs!$C$25</f>
        <v/>
      </c>
      <c r="I30" s="21">
        <f>Inputs!I48*Inputs!$C$25</f>
        <v/>
      </c>
      <c r="J30" s="21">
        <f>Inputs!J48*Inputs!$C$25</f>
        <v/>
      </c>
      <c r="K30" s="21">
        <f>Inputs!K48*Inputs!$C$25</f>
        <v/>
      </c>
      <c r="L30" s="21">
        <f>Inputs!L48*Inputs!$C$25</f>
        <v/>
      </c>
      <c r="M30" s="21">
        <f>Inputs!M48*Inputs!$C$25</f>
        <v/>
      </c>
      <c r="N30" s="21">
        <f>Inputs!N48*Inputs!$C$25</f>
        <v/>
      </c>
      <c r="O30" s="21">
        <f>Inputs!O48*Inputs!$C$25</f>
        <v/>
      </c>
      <c r="P30" s="21">
        <f>Inputs!P48*Inputs!$C$25</f>
        <v/>
      </c>
      <c r="Q30" s="21">
        <f>Inputs!Q48*Inputs!$C$25</f>
        <v/>
      </c>
      <c r="R30" s="21">
        <f>Inputs!R48*Inputs!$C$25</f>
        <v/>
      </c>
      <c r="S30" s="21">
        <f>Inputs!S48*Inputs!$C$25</f>
        <v/>
      </c>
      <c r="T30" s="21">
        <f>Inputs!T48*Inputs!$C$25</f>
        <v/>
      </c>
      <c r="U30" s="21">
        <f>Inputs!U48*Inputs!$C$25</f>
        <v/>
      </c>
      <c r="V30" s="21">
        <f>Inputs!V48*Inputs!$C$25</f>
        <v/>
      </c>
      <c r="W30" s="21">
        <f>Inputs!W48*Inputs!$C$25</f>
        <v/>
      </c>
      <c r="X30" s="21">
        <f>Inputs!X48*Inputs!$C$25</f>
        <v/>
      </c>
      <c r="Y30" s="21">
        <f>Inputs!Y48*Inputs!$C$25</f>
        <v/>
      </c>
      <c r="Z30" s="21">
        <f>Inputs!Z48*Inputs!$C$25</f>
        <v/>
      </c>
      <c r="AA30" s="21">
        <f>Inputs!AA48*Inputs!$C$25</f>
        <v/>
      </c>
      <c r="AB30" s="21">
        <f>Inputs!AB48*Inputs!$C$25</f>
        <v/>
      </c>
      <c r="AC30" s="21">
        <f>Inputs!AC48*Inputs!$C$25</f>
        <v/>
      </c>
      <c r="AD30" s="21">
        <f>Inputs!AD48*Inputs!$C$25</f>
        <v/>
      </c>
      <c r="AE30" s="21">
        <f>Inputs!AE48*Inputs!$C$25</f>
        <v/>
      </c>
      <c r="AF30" s="33">
        <f>SUM(F30:AE30)</f>
        <v/>
      </c>
    </row>
    <row r="31">
      <c r="B31" s="31" t="inlineStr">
        <is>
          <t>— Fence Spend</t>
        </is>
      </c>
      <c r="F31" s="21">
        <f>Inputs!F49*Inputs!$C$26</f>
        <v/>
      </c>
      <c r="G31" s="21">
        <f>Inputs!G49*Inputs!$C$26</f>
        <v/>
      </c>
      <c r="H31" s="21">
        <f>Inputs!H49*Inputs!$C$26</f>
        <v/>
      </c>
      <c r="I31" s="21">
        <f>Inputs!I49*Inputs!$C$26</f>
        <v/>
      </c>
      <c r="J31" s="21">
        <f>Inputs!J49*Inputs!$C$26</f>
        <v/>
      </c>
      <c r="K31" s="21">
        <f>Inputs!K49*Inputs!$C$26</f>
        <v/>
      </c>
      <c r="L31" s="21">
        <f>Inputs!L49*Inputs!$C$26</f>
        <v/>
      </c>
      <c r="M31" s="21">
        <f>Inputs!M49*Inputs!$C$26</f>
        <v/>
      </c>
      <c r="N31" s="21">
        <f>Inputs!N49*Inputs!$C$26</f>
        <v/>
      </c>
      <c r="O31" s="21">
        <f>Inputs!O49*Inputs!$C$26</f>
        <v/>
      </c>
      <c r="P31" s="21">
        <f>Inputs!P49*Inputs!$C$26</f>
        <v/>
      </c>
      <c r="Q31" s="21">
        <f>Inputs!Q49*Inputs!$C$26</f>
        <v/>
      </c>
      <c r="R31" s="21">
        <f>Inputs!R49*Inputs!$C$26</f>
        <v/>
      </c>
      <c r="S31" s="21">
        <f>Inputs!S49*Inputs!$C$26</f>
        <v/>
      </c>
      <c r="T31" s="21">
        <f>Inputs!T49*Inputs!$C$26</f>
        <v/>
      </c>
      <c r="U31" s="21">
        <f>Inputs!U49*Inputs!$C$26</f>
        <v/>
      </c>
      <c r="V31" s="21">
        <f>Inputs!V49*Inputs!$C$26</f>
        <v/>
      </c>
      <c r="W31" s="21">
        <f>Inputs!W49*Inputs!$C$26</f>
        <v/>
      </c>
      <c r="X31" s="21">
        <f>Inputs!X49*Inputs!$C$26</f>
        <v/>
      </c>
      <c r="Y31" s="21">
        <f>Inputs!Y49*Inputs!$C$26</f>
        <v/>
      </c>
      <c r="Z31" s="21">
        <f>Inputs!Z49*Inputs!$C$26</f>
        <v/>
      </c>
      <c r="AA31" s="21">
        <f>Inputs!AA49*Inputs!$C$26</f>
        <v/>
      </c>
      <c r="AB31" s="21">
        <f>Inputs!AB49*Inputs!$C$26</f>
        <v/>
      </c>
      <c r="AC31" s="21">
        <f>Inputs!AC49*Inputs!$C$26</f>
        <v/>
      </c>
      <c r="AD31" s="21">
        <f>Inputs!AD49*Inputs!$C$26</f>
        <v/>
      </c>
      <c r="AE31" s="21">
        <f>Inputs!AE49*Inputs!$C$26</f>
        <v/>
      </c>
      <c r="AF31" s="33">
        <f>SUM(F31:AE31)</f>
        <v/>
      </c>
    </row>
    <row r="32">
      <c r="B32" s="31" t="inlineStr">
        <is>
          <t>— TPD Spend</t>
        </is>
      </c>
      <c r="F32" s="21">
        <f>Inputs!F50*F24*F25*Inputs!$C$28</f>
        <v/>
      </c>
      <c r="G32" s="21">
        <f>Inputs!G50*G24*G25*Inputs!$C$28</f>
        <v/>
      </c>
      <c r="H32" s="21">
        <f>Inputs!H50*H24*H25*Inputs!$C$28</f>
        <v/>
      </c>
      <c r="I32" s="21">
        <f>Inputs!I50*I24*I25*Inputs!$C$28</f>
        <v/>
      </c>
      <c r="J32" s="21">
        <f>Inputs!J50*J24*J25*Inputs!$C$28</f>
        <v/>
      </c>
      <c r="K32" s="21">
        <f>Inputs!K50*K24*K25*Inputs!$C$28</f>
        <v/>
      </c>
      <c r="L32" s="21">
        <f>Inputs!L50*L24*L25*Inputs!$C$28</f>
        <v/>
      </c>
      <c r="M32" s="21">
        <f>Inputs!M50*M24*M25*Inputs!$C$28</f>
        <v/>
      </c>
      <c r="N32" s="21">
        <f>Inputs!N50*N24*N25*Inputs!$C$28</f>
        <v/>
      </c>
      <c r="O32" s="21">
        <f>Inputs!O50*O24*O25*Inputs!$C$28</f>
        <v/>
      </c>
      <c r="P32" s="21">
        <f>Inputs!P50*P24*P25*Inputs!$C$28</f>
        <v/>
      </c>
      <c r="Q32" s="21">
        <f>Inputs!Q50*Q24*Q25*Inputs!$C$28</f>
        <v/>
      </c>
      <c r="R32" s="21">
        <f>Inputs!R50*R24*R25*Inputs!$C$28</f>
        <v/>
      </c>
      <c r="S32" s="21">
        <f>Inputs!S50*S24*S25*Inputs!$C$28</f>
        <v/>
      </c>
      <c r="T32" s="21">
        <f>Inputs!T50*T24*T25*Inputs!$C$28</f>
        <v/>
      </c>
      <c r="U32" s="21">
        <f>Inputs!U50*U24*U25*Inputs!$C$28</f>
        <v/>
      </c>
      <c r="V32" s="21">
        <f>Inputs!V50*V24*V25*Inputs!$C$28</f>
        <v/>
      </c>
      <c r="W32" s="21">
        <f>Inputs!W50*W24*W25*Inputs!$C$28</f>
        <v/>
      </c>
      <c r="X32" s="21">
        <f>Inputs!X50*X24*X25*Inputs!$C$28</f>
        <v/>
      </c>
      <c r="Y32" s="21">
        <f>Inputs!Y50*Y24*Y25*Inputs!$C$28</f>
        <v/>
      </c>
      <c r="Z32" s="21">
        <f>Inputs!Z50*Z24*Z25*Inputs!$C$28</f>
        <v/>
      </c>
      <c r="AA32" s="21">
        <f>Inputs!AA50*AA24*AA25*Inputs!$C$28</f>
        <v/>
      </c>
      <c r="AB32" s="21">
        <f>Inputs!AB50*AB24*AB25*Inputs!$C$28</f>
        <v/>
      </c>
      <c r="AC32" s="21">
        <f>Inputs!AC50*AC24*AC25*Inputs!$C$28</f>
        <v/>
      </c>
      <c r="AD32" s="21">
        <f>Inputs!AD50*AD24*AD25*Inputs!$C$28</f>
        <v/>
      </c>
      <c r="AE32" s="21">
        <f>Inputs!AE50*AE24*AE25*Inputs!$C$28</f>
        <v/>
      </c>
      <c r="AF32" s="33">
        <f>SUM(F32:AE32)</f>
        <v/>
      </c>
    </row>
    <row r="33">
      <c r="B33" s="31" t="inlineStr">
        <is>
          <t>— Markdown Spend</t>
        </is>
      </c>
      <c r="F33" s="21">
        <f>Inputs!F51*F24*F25*Inputs!$C$29</f>
        <v/>
      </c>
      <c r="G33" s="21">
        <f>Inputs!G51*G24*G25*Inputs!$C$29</f>
        <v/>
      </c>
      <c r="H33" s="21">
        <f>Inputs!H51*H24*H25*Inputs!$C$29</f>
        <v/>
      </c>
      <c r="I33" s="21">
        <f>Inputs!I51*I24*I25*Inputs!$C$29</f>
        <v/>
      </c>
      <c r="J33" s="21">
        <f>Inputs!J51*J24*J25*Inputs!$C$29</f>
        <v/>
      </c>
      <c r="K33" s="21">
        <f>Inputs!K51*K24*K25*Inputs!$C$29</f>
        <v/>
      </c>
      <c r="L33" s="21">
        <f>Inputs!L51*L24*L25*Inputs!$C$29</f>
        <v/>
      </c>
      <c r="M33" s="21">
        <f>Inputs!M51*M24*M25*Inputs!$C$29</f>
        <v/>
      </c>
      <c r="N33" s="21">
        <f>Inputs!N51*N24*N25*Inputs!$C$29</f>
        <v/>
      </c>
      <c r="O33" s="21">
        <f>Inputs!O51*O24*O25*Inputs!$C$29</f>
        <v/>
      </c>
      <c r="P33" s="21">
        <f>Inputs!P51*P24*P25*Inputs!$C$29</f>
        <v/>
      </c>
      <c r="Q33" s="21">
        <f>Inputs!Q51*Q24*Q25*Inputs!$C$29</f>
        <v/>
      </c>
      <c r="R33" s="21">
        <f>Inputs!R51*R24*R25*Inputs!$C$29</f>
        <v/>
      </c>
      <c r="S33" s="21">
        <f>Inputs!S51*S24*S25*Inputs!$C$29</f>
        <v/>
      </c>
      <c r="T33" s="21">
        <f>Inputs!T51*T24*T25*Inputs!$C$29</f>
        <v/>
      </c>
      <c r="U33" s="21">
        <f>Inputs!U51*U24*U25*Inputs!$C$29</f>
        <v/>
      </c>
      <c r="V33" s="21">
        <f>Inputs!V51*V24*V25*Inputs!$C$29</f>
        <v/>
      </c>
      <c r="W33" s="21">
        <f>Inputs!W51*W24*W25*Inputs!$C$29</f>
        <v/>
      </c>
      <c r="X33" s="21">
        <f>Inputs!X51*X24*X25*Inputs!$C$29</f>
        <v/>
      </c>
      <c r="Y33" s="21">
        <f>Inputs!Y51*Y24*Y25*Inputs!$C$29</f>
        <v/>
      </c>
      <c r="Z33" s="21">
        <f>Inputs!Z51*Z24*Z25*Inputs!$C$29</f>
        <v/>
      </c>
      <c r="AA33" s="21">
        <f>Inputs!AA51*AA24*AA25*Inputs!$C$29</f>
        <v/>
      </c>
      <c r="AB33" s="21">
        <f>Inputs!AB51*AB24*AB25*Inputs!$C$29</f>
        <v/>
      </c>
      <c r="AC33" s="21">
        <f>Inputs!AC51*AC24*AC25*Inputs!$C$29</f>
        <v/>
      </c>
      <c r="AD33" s="21">
        <f>Inputs!AD51*AD24*AD25*Inputs!$C$29</f>
        <v/>
      </c>
      <c r="AE33" s="21">
        <f>Inputs!AE51*AE24*AE25*Inputs!$C$29</f>
        <v/>
      </c>
      <c r="AF33" s="33">
        <f>SUM(F33:AE33)</f>
        <v/>
      </c>
    </row>
    <row r="34">
      <c r="B34" s="31" t="inlineStr">
        <is>
          <t>— Advertising Spend</t>
        </is>
      </c>
      <c r="F34" s="21">
        <f>Inputs!F52*Inputs!$C$27</f>
        <v/>
      </c>
      <c r="G34" s="21">
        <f>Inputs!G52*Inputs!$C$27</f>
        <v/>
      </c>
      <c r="H34" s="21">
        <f>Inputs!H52*Inputs!$C$27</f>
        <v/>
      </c>
      <c r="I34" s="21">
        <f>Inputs!I52*Inputs!$C$27</f>
        <v/>
      </c>
      <c r="J34" s="21">
        <f>Inputs!J52*Inputs!$C$27</f>
        <v/>
      </c>
      <c r="K34" s="21">
        <f>Inputs!K52*Inputs!$C$27</f>
        <v/>
      </c>
      <c r="L34" s="21">
        <f>Inputs!L52*Inputs!$C$27</f>
        <v/>
      </c>
      <c r="M34" s="21">
        <f>Inputs!M52*Inputs!$C$27</f>
        <v/>
      </c>
      <c r="N34" s="21">
        <f>Inputs!N52*Inputs!$C$27</f>
        <v/>
      </c>
      <c r="O34" s="21">
        <f>Inputs!O52*Inputs!$C$27</f>
        <v/>
      </c>
      <c r="P34" s="21">
        <f>Inputs!P52*Inputs!$C$27</f>
        <v/>
      </c>
      <c r="Q34" s="21">
        <f>Inputs!Q52*Inputs!$C$27</f>
        <v/>
      </c>
      <c r="R34" s="21">
        <f>Inputs!R52*Inputs!$C$27</f>
        <v/>
      </c>
      <c r="S34" s="21">
        <f>Inputs!S52*Inputs!$C$27</f>
        <v/>
      </c>
      <c r="T34" s="21">
        <f>Inputs!T52*Inputs!$C$27</f>
        <v/>
      </c>
      <c r="U34" s="21">
        <f>Inputs!U52*Inputs!$C$27</f>
        <v/>
      </c>
      <c r="V34" s="21">
        <f>Inputs!V52*Inputs!$C$27</f>
        <v/>
      </c>
      <c r="W34" s="21">
        <f>Inputs!W52*Inputs!$C$27</f>
        <v/>
      </c>
      <c r="X34" s="21">
        <f>Inputs!X52*Inputs!$C$27</f>
        <v/>
      </c>
      <c r="Y34" s="21">
        <f>Inputs!Y52*Inputs!$C$27</f>
        <v/>
      </c>
      <c r="Z34" s="21">
        <f>Inputs!Z52*Inputs!$C$27</f>
        <v/>
      </c>
      <c r="AA34" s="21">
        <f>Inputs!AA52*Inputs!$C$27</f>
        <v/>
      </c>
      <c r="AB34" s="21">
        <f>Inputs!AB52*Inputs!$C$27</f>
        <v/>
      </c>
      <c r="AC34" s="21">
        <f>Inputs!AC52*Inputs!$C$27</f>
        <v/>
      </c>
      <c r="AD34" s="21">
        <f>Inputs!AD52*Inputs!$C$27</f>
        <v/>
      </c>
      <c r="AE34" s="21">
        <f>Inputs!AE52*Inputs!$C$27</f>
        <v/>
      </c>
      <c r="AF34" s="33">
        <f>SUM(F34:AE34)</f>
        <v/>
      </c>
    </row>
    <row r="35">
      <c r="B35" s="11" t="inlineStr">
        <is>
          <t>Total Promo Spend</t>
        </is>
      </c>
      <c r="F35" s="21">
        <f>SUM(F29:F34)</f>
        <v/>
      </c>
      <c r="G35" s="21">
        <f>SUM(G29:G34)</f>
        <v/>
      </c>
      <c r="H35" s="21">
        <f>SUM(H29:H34)</f>
        <v/>
      </c>
      <c r="I35" s="21">
        <f>SUM(I29:I34)</f>
        <v/>
      </c>
      <c r="J35" s="21">
        <f>SUM(J29:J34)</f>
        <v/>
      </c>
      <c r="K35" s="21">
        <f>SUM(K29:K34)</f>
        <v/>
      </c>
      <c r="L35" s="21">
        <f>SUM(L29:L34)</f>
        <v/>
      </c>
      <c r="M35" s="21">
        <f>SUM(M29:M34)</f>
        <v/>
      </c>
      <c r="N35" s="21">
        <f>SUM(N29:N34)</f>
        <v/>
      </c>
      <c r="O35" s="21">
        <f>SUM(O29:O34)</f>
        <v/>
      </c>
      <c r="P35" s="21">
        <f>SUM(P29:P34)</f>
        <v/>
      </c>
      <c r="Q35" s="21">
        <f>SUM(Q29:Q34)</f>
        <v/>
      </c>
      <c r="R35" s="21">
        <f>SUM(R29:R34)</f>
        <v/>
      </c>
      <c r="S35" s="21">
        <f>SUM(S29:S34)</f>
        <v/>
      </c>
      <c r="T35" s="21">
        <f>SUM(T29:T34)</f>
        <v/>
      </c>
      <c r="U35" s="21">
        <f>SUM(U29:U34)</f>
        <v/>
      </c>
      <c r="V35" s="21">
        <f>SUM(V29:V34)</f>
        <v/>
      </c>
      <c r="W35" s="21">
        <f>SUM(W29:W34)</f>
        <v/>
      </c>
      <c r="X35" s="21">
        <f>SUM(X29:X34)</f>
        <v/>
      </c>
      <c r="Y35" s="21">
        <f>SUM(Y29:Y34)</f>
        <v/>
      </c>
      <c r="Z35" s="21">
        <f>SUM(Z29:Z34)</f>
        <v/>
      </c>
      <c r="AA35" s="21">
        <f>SUM(AA29:AA34)</f>
        <v/>
      </c>
      <c r="AB35" s="21">
        <f>SUM(AB29:AB34)</f>
        <v/>
      </c>
      <c r="AC35" s="21">
        <f>SUM(AC29:AC34)</f>
        <v/>
      </c>
      <c r="AD35" s="21">
        <f>SUM(AD29:AD34)</f>
        <v/>
      </c>
      <c r="AE35" s="21">
        <f>SUM(AE29:AE34)</f>
        <v/>
      </c>
      <c r="AF35" s="33">
        <f>SUM(F35:AE35)</f>
        <v/>
      </c>
    </row>
    <row r="36">
      <c r="B36" s="34" t="inlineStr">
        <is>
          <t>Gross Profit</t>
        </is>
      </c>
      <c r="F36" s="21">
        <f>F26-F28</f>
        <v/>
      </c>
      <c r="G36" s="21">
        <f>G26-G28</f>
        <v/>
      </c>
      <c r="H36" s="21">
        <f>H26-H28</f>
        <v/>
      </c>
      <c r="I36" s="21">
        <f>I26-I28</f>
        <v/>
      </c>
      <c r="J36" s="21">
        <f>J26-J28</f>
        <v/>
      </c>
      <c r="K36" s="21">
        <f>K26-K28</f>
        <v/>
      </c>
      <c r="L36" s="21">
        <f>L26-L28</f>
        <v/>
      </c>
      <c r="M36" s="21">
        <f>M26-M28</f>
        <v/>
      </c>
      <c r="N36" s="21">
        <f>N26-N28</f>
        <v/>
      </c>
      <c r="O36" s="21">
        <f>O26-O28</f>
        <v/>
      </c>
      <c r="P36" s="21">
        <f>P26-P28</f>
        <v/>
      </c>
      <c r="Q36" s="21">
        <f>Q26-Q28</f>
        <v/>
      </c>
      <c r="R36" s="21">
        <f>R26-R28</f>
        <v/>
      </c>
      <c r="S36" s="21">
        <f>S26-S28</f>
        <v/>
      </c>
      <c r="T36" s="21">
        <f>T26-T28</f>
        <v/>
      </c>
      <c r="U36" s="21">
        <f>U26-U28</f>
        <v/>
      </c>
      <c r="V36" s="21">
        <f>V26-V28</f>
        <v/>
      </c>
      <c r="W36" s="21">
        <f>W26-W28</f>
        <v/>
      </c>
      <c r="X36" s="21">
        <f>X26-X28</f>
        <v/>
      </c>
      <c r="Y36" s="21">
        <f>Y26-Y28</f>
        <v/>
      </c>
      <c r="Z36" s="21">
        <f>Z26-Z28</f>
        <v/>
      </c>
      <c r="AA36" s="21">
        <f>AA26-AA28</f>
        <v/>
      </c>
      <c r="AB36" s="21">
        <f>AB26-AB28</f>
        <v/>
      </c>
      <c r="AC36" s="21">
        <f>AC26-AC28</f>
        <v/>
      </c>
      <c r="AD36" s="21">
        <f>AD26-AD28</f>
        <v/>
      </c>
      <c r="AE36" s="21">
        <f>AE26-AE28</f>
        <v/>
      </c>
      <c r="AF36" s="33">
        <f>SUM(F36:AE36)</f>
        <v/>
      </c>
    </row>
    <row r="37">
      <c r="B37" s="34" t="inlineStr">
        <is>
          <t>Net Profit (after promo)</t>
        </is>
      </c>
      <c r="F37" s="21">
        <f>F36-F35</f>
        <v/>
      </c>
      <c r="G37" s="21">
        <f>G36-G35</f>
        <v/>
      </c>
      <c r="H37" s="21">
        <f>H36-H35</f>
        <v/>
      </c>
      <c r="I37" s="21">
        <f>I36-I35</f>
        <v/>
      </c>
      <c r="J37" s="21">
        <f>J36-J35</f>
        <v/>
      </c>
      <c r="K37" s="21">
        <f>K36-K35</f>
        <v/>
      </c>
      <c r="L37" s="21">
        <f>L36-L35</f>
        <v/>
      </c>
      <c r="M37" s="21">
        <f>M36-M35</f>
        <v/>
      </c>
      <c r="N37" s="21">
        <f>N36-N35</f>
        <v/>
      </c>
      <c r="O37" s="21">
        <f>O36-O35</f>
        <v/>
      </c>
      <c r="P37" s="21">
        <f>P36-P35</f>
        <v/>
      </c>
      <c r="Q37" s="21">
        <f>Q36-Q35</f>
        <v/>
      </c>
      <c r="R37" s="21">
        <f>R36-R35</f>
        <v/>
      </c>
      <c r="S37" s="21">
        <f>S36-S35</f>
        <v/>
      </c>
      <c r="T37" s="21">
        <f>T36-T35</f>
        <v/>
      </c>
      <c r="U37" s="21">
        <f>U36-U35</f>
        <v/>
      </c>
      <c r="V37" s="21">
        <f>V36-V35</f>
        <v/>
      </c>
      <c r="W37" s="21">
        <f>W36-W35</f>
        <v/>
      </c>
      <c r="X37" s="21">
        <f>X36-X35</f>
        <v/>
      </c>
      <c r="Y37" s="21">
        <f>Y36-Y35</f>
        <v/>
      </c>
      <c r="Z37" s="21">
        <f>Z36-Z35</f>
        <v/>
      </c>
      <c r="AA37" s="21">
        <f>AA36-AA35</f>
        <v/>
      </c>
      <c r="AB37" s="21">
        <f>AB36-AB35</f>
        <v/>
      </c>
      <c r="AC37" s="21">
        <f>AC36-AC35</f>
        <v/>
      </c>
      <c r="AD37" s="21">
        <f>AD36-AD35</f>
        <v/>
      </c>
      <c r="AE37" s="21">
        <f>AE36-AE35</f>
        <v/>
      </c>
      <c r="AF37" s="33">
        <f>SUM(F37:AE37)</f>
        <v/>
      </c>
    </row>
    <row r="40" ht="22" customHeight="1">
      <c r="B40" s="23" t="inlineStr">
        <is>
          <t>WORST – Demo+EndCap+TPD then Markdown (Wks 18-20)</t>
        </is>
      </c>
    </row>
    <row r="41">
      <c r="B41" s="26" t="inlineStr">
        <is>
          <t>Week</t>
        </is>
      </c>
      <c r="F41" s="25" t="inlineStr">
        <is>
          <t>W2</t>
        </is>
      </c>
      <c r="G41" s="25" t="inlineStr">
        <is>
          <t>W3</t>
        </is>
      </c>
      <c r="H41" s="25" t="inlineStr">
        <is>
          <t>W4</t>
        </is>
      </c>
      <c r="I41" s="25" t="inlineStr">
        <is>
          <t>W5</t>
        </is>
      </c>
      <c r="J41" s="25" t="inlineStr">
        <is>
          <t>W6</t>
        </is>
      </c>
      <c r="K41" s="25" t="inlineStr">
        <is>
          <t>W7</t>
        </is>
      </c>
      <c r="L41" s="25" t="inlineStr">
        <is>
          <t>W8</t>
        </is>
      </c>
      <c r="M41" s="25" t="inlineStr">
        <is>
          <t>W9</t>
        </is>
      </c>
      <c r="N41" s="25" t="inlineStr">
        <is>
          <t>W10</t>
        </is>
      </c>
      <c r="O41" s="25" t="inlineStr">
        <is>
          <t>W11</t>
        </is>
      </c>
      <c r="P41" s="25" t="inlineStr">
        <is>
          <t>W12</t>
        </is>
      </c>
      <c r="Q41" s="25" t="inlineStr">
        <is>
          <t>W13</t>
        </is>
      </c>
      <c r="R41" s="25" t="inlineStr">
        <is>
          <t>W14</t>
        </is>
      </c>
      <c r="S41" s="25" t="inlineStr">
        <is>
          <t>W15</t>
        </is>
      </c>
      <c r="T41" s="25" t="inlineStr">
        <is>
          <t>W16</t>
        </is>
      </c>
      <c r="U41" s="25" t="inlineStr">
        <is>
          <t>W17</t>
        </is>
      </c>
      <c r="V41" s="25" t="inlineStr">
        <is>
          <t>W18</t>
        </is>
      </c>
      <c r="W41" s="25" t="inlineStr">
        <is>
          <t>W19</t>
        </is>
      </c>
      <c r="X41" s="25" t="inlineStr">
        <is>
          <t>W20</t>
        </is>
      </c>
      <c r="Y41" s="25" t="inlineStr">
        <is>
          <t>W21</t>
        </is>
      </c>
      <c r="Z41" s="25" t="inlineStr">
        <is>
          <t>W22</t>
        </is>
      </c>
      <c r="AA41" s="25" t="inlineStr">
        <is>
          <t>W23</t>
        </is>
      </c>
      <c r="AB41" s="25" t="inlineStr">
        <is>
          <t>W24</t>
        </is>
      </c>
      <c r="AC41" s="25" t="inlineStr">
        <is>
          <t>W25</t>
        </is>
      </c>
      <c r="AD41" s="25" t="inlineStr">
        <is>
          <t>W26</t>
        </is>
      </c>
      <c r="AE41" s="25" t="inlineStr">
        <is>
          <t>W27</t>
        </is>
      </c>
      <c r="AF41" s="29" t="inlineStr">
        <is>
          <t>TOTAL</t>
        </is>
      </c>
    </row>
    <row r="42">
      <c r="B42" s="11" t="inlineStr">
        <is>
          <t>POS Units</t>
        </is>
      </c>
      <c r="F42" s="18">
        <f>ROUND(Inputs!$C$17*Inputs!F64,0)</f>
        <v/>
      </c>
      <c r="G42" s="18">
        <f>ROUND(Inputs!$C$17*Inputs!G64,0)</f>
        <v/>
      </c>
      <c r="H42" s="18">
        <f>ROUND(Inputs!$C$17*Inputs!H64,0)</f>
        <v/>
      </c>
      <c r="I42" s="18">
        <f>ROUND(Inputs!$C$17*Inputs!I64,0)</f>
        <v/>
      </c>
      <c r="J42" s="18">
        <f>ROUND(Inputs!$C$17*Inputs!J64,0)</f>
        <v/>
      </c>
      <c r="K42" s="18">
        <f>ROUND(Inputs!$C$17*Inputs!K64,0)</f>
        <v/>
      </c>
      <c r="L42" s="18">
        <f>ROUND(Inputs!$C$17*Inputs!L64,0)</f>
        <v/>
      </c>
      <c r="M42" s="18">
        <f>ROUND(Inputs!$C$17*Inputs!M64,0)</f>
        <v/>
      </c>
      <c r="N42" s="18">
        <f>ROUND(Inputs!$C$17*Inputs!N64,0)</f>
        <v/>
      </c>
      <c r="O42" s="18">
        <f>ROUND(Inputs!$C$17*Inputs!O64,0)</f>
        <v/>
      </c>
      <c r="P42" s="18">
        <f>ROUND(Inputs!$C$17*Inputs!P64,0)</f>
        <v/>
      </c>
      <c r="Q42" s="18">
        <f>ROUND(Inputs!$C$17*Inputs!Q64,0)</f>
        <v/>
      </c>
      <c r="R42" s="18">
        <f>ROUND(Inputs!$C$17*Inputs!R64,0)</f>
        <v/>
      </c>
      <c r="S42" s="18">
        <f>ROUND(Inputs!$C$17*Inputs!S64,0)</f>
        <v/>
      </c>
      <c r="T42" s="18">
        <f>ROUND(Inputs!$C$17*Inputs!T64,0)</f>
        <v/>
      </c>
      <c r="U42" s="18">
        <f>ROUND(Inputs!$C$17*Inputs!U64,0)</f>
        <v/>
      </c>
      <c r="V42" s="18">
        <f>ROUND(Inputs!$C$17*Inputs!V64,0)</f>
        <v/>
      </c>
      <c r="W42" s="18">
        <f>ROUND(Inputs!$C$17*Inputs!W64,0)</f>
        <v/>
      </c>
      <c r="X42" s="18">
        <f>ROUND(Inputs!$C$17*Inputs!X64,0)</f>
        <v/>
      </c>
      <c r="Y42" s="18">
        <f>ROUND(Inputs!$C$17*Inputs!Y64,0)</f>
        <v/>
      </c>
      <c r="Z42" s="18">
        <f>ROUND(Inputs!$C$17*Inputs!Z64,0)</f>
        <v/>
      </c>
      <c r="AA42" s="18">
        <f>ROUND(Inputs!$C$17*Inputs!AA64,0)</f>
        <v/>
      </c>
      <c r="AB42" s="18">
        <f>ROUND(Inputs!$C$17*Inputs!AB64,0)</f>
        <v/>
      </c>
      <c r="AC42" s="18">
        <f>ROUND(Inputs!$C$17*Inputs!AC64,0)</f>
        <v/>
      </c>
      <c r="AD42" s="18">
        <f>ROUND(Inputs!$C$17*Inputs!AD64,0)</f>
        <v/>
      </c>
      <c r="AE42" s="18">
        <f>ROUND(Inputs!$C$17*Inputs!AE64,0)</f>
        <v/>
      </c>
      <c r="AF42" s="30">
        <f>SUM(F42:AE42)</f>
        <v/>
      </c>
    </row>
    <row r="43">
      <c r="B43" s="31" t="inlineStr">
        <is>
          <t>Selling Price</t>
        </is>
      </c>
      <c r="F43" s="16">
        <f>Inputs!$C$10</f>
        <v/>
      </c>
      <c r="G43" s="16">
        <f>Inputs!$C$10</f>
        <v/>
      </c>
      <c r="H43" s="16">
        <f>Inputs!$C$10</f>
        <v/>
      </c>
      <c r="I43" s="16">
        <f>Inputs!$C$10</f>
        <v/>
      </c>
      <c r="J43" s="16">
        <f>Inputs!$C$10</f>
        <v/>
      </c>
      <c r="K43" s="16">
        <f>Inputs!$C$10</f>
        <v/>
      </c>
      <c r="L43" s="16">
        <f>Inputs!$C$10</f>
        <v/>
      </c>
      <c r="M43" s="16">
        <f>Inputs!$C$10</f>
        <v/>
      </c>
      <c r="N43" s="16">
        <f>Inputs!$C$10</f>
        <v/>
      </c>
      <c r="O43" s="16">
        <f>Inputs!$C$10</f>
        <v/>
      </c>
      <c r="P43" s="16">
        <f>Inputs!$C$10</f>
        <v/>
      </c>
      <c r="Q43" s="16">
        <f>Inputs!$C$10</f>
        <v/>
      </c>
      <c r="R43" s="16">
        <f>Inputs!$C$10</f>
        <v/>
      </c>
      <c r="S43" s="16">
        <f>Inputs!$C$10</f>
        <v/>
      </c>
      <c r="T43" s="16">
        <f>Inputs!$C$10</f>
        <v/>
      </c>
      <c r="U43" s="16">
        <f>Inputs!$C$10</f>
        <v/>
      </c>
      <c r="V43" s="16">
        <f>Inputs!$C$10</f>
        <v/>
      </c>
      <c r="W43" s="16">
        <f>Inputs!$C$10</f>
        <v/>
      </c>
      <c r="X43" s="16">
        <f>Inputs!$C$10</f>
        <v/>
      </c>
      <c r="Y43" s="16">
        <f>Inputs!$C$10</f>
        <v/>
      </c>
      <c r="Z43" s="16">
        <f>Inputs!$C$10</f>
        <v/>
      </c>
      <c r="AA43" s="16">
        <f>Inputs!$C$10</f>
        <v/>
      </c>
      <c r="AB43" s="16">
        <f>Inputs!$C$10</f>
        <v/>
      </c>
      <c r="AC43" s="16">
        <f>Inputs!$C$10</f>
        <v/>
      </c>
      <c r="AD43" s="16">
        <f>Inputs!$C$10</f>
        <v/>
      </c>
      <c r="AE43" s="16">
        <f>Inputs!$C$10</f>
        <v/>
      </c>
      <c r="AF43" s="32">
        <f>Inputs!$C$10</f>
        <v/>
      </c>
    </row>
    <row r="44">
      <c r="B44" s="11" t="inlineStr">
        <is>
          <t>Revenue</t>
        </is>
      </c>
      <c r="F44" s="21">
        <f>F42*F43</f>
        <v/>
      </c>
      <c r="G44" s="21">
        <f>G42*G43</f>
        <v/>
      </c>
      <c r="H44" s="21">
        <f>H42*H43</f>
        <v/>
      </c>
      <c r="I44" s="21">
        <f>I42*I43</f>
        <v/>
      </c>
      <c r="J44" s="21">
        <f>J42*J43</f>
        <v/>
      </c>
      <c r="K44" s="21">
        <f>K42*K43</f>
        <v/>
      </c>
      <c r="L44" s="21">
        <f>L42*L43</f>
        <v/>
      </c>
      <c r="M44" s="21">
        <f>M42*M43</f>
        <v/>
      </c>
      <c r="N44" s="21">
        <f>N42*N43</f>
        <v/>
      </c>
      <c r="O44" s="21">
        <f>O42*O43</f>
        <v/>
      </c>
      <c r="P44" s="21">
        <f>P42*P43</f>
        <v/>
      </c>
      <c r="Q44" s="21">
        <f>Q42*Q43</f>
        <v/>
      </c>
      <c r="R44" s="21">
        <f>R42*R43</f>
        <v/>
      </c>
      <c r="S44" s="21">
        <f>S42*S43</f>
        <v/>
      </c>
      <c r="T44" s="21">
        <f>T42*T43</f>
        <v/>
      </c>
      <c r="U44" s="21">
        <f>U42*U43</f>
        <v/>
      </c>
      <c r="V44" s="21">
        <f>V42*V43</f>
        <v/>
      </c>
      <c r="W44" s="21">
        <f>W42*W43</f>
        <v/>
      </c>
      <c r="X44" s="21">
        <f>X42*X43</f>
        <v/>
      </c>
      <c r="Y44" s="21">
        <f>Y42*Y43</f>
        <v/>
      </c>
      <c r="Z44" s="21">
        <f>Z42*Z43</f>
        <v/>
      </c>
      <c r="AA44" s="21">
        <f>AA42*AA43</f>
        <v/>
      </c>
      <c r="AB44" s="21">
        <f>AB42*AB43</f>
        <v/>
      </c>
      <c r="AC44" s="21">
        <f>AC42*AC43</f>
        <v/>
      </c>
      <c r="AD44" s="21">
        <f>AD42*AD43</f>
        <v/>
      </c>
      <c r="AE44" s="21">
        <f>AE42*AE43</f>
        <v/>
      </c>
      <c r="AF44" s="33">
        <f>SUM(F44:AE44)</f>
        <v/>
      </c>
    </row>
    <row r="45">
      <c r="B45" s="31" t="inlineStr">
        <is>
          <t>Cost Price</t>
        </is>
      </c>
      <c r="F45" s="16">
        <f>Inputs!$C$11</f>
        <v/>
      </c>
      <c r="G45" s="16">
        <f>Inputs!$C$11</f>
        <v/>
      </c>
      <c r="H45" s="16">
        <f>Inputs!$C$11</f>
        <v/>
      </c>
      <c r="I45" s="16">
        <f>Inputs!$C$11</f>
        <v/>
      </c>
      <c r="J45" s="16">
        <f>Inputs!$C$11</f>
        <v/>
      </c>
      <c r="K45" s="16">
        <f>Inputs!$C$11</f>
        <v/>
      </c>
      <c r="L45" s="16">
        <f>Inputs!$C$11</f>
        <v/>
      </c>
      <c r="M45" s="16">
        <f>Inputs!$C$11</f>
        <v/>
      </c>
      <c r="N45" s="16">
        <f>Inputs!$C$11</f>
        <v/>
      </c>
      <c r="O45" s="16">
        <f>Inputs!$C$11</f>
        <v/>
      </c>
      <c r="P45" s="16">
        <f>Inputs!$C$11</f>
        <v/>
      </c>
      <c r="Q45" s="16">
        <f>Inputs!$C$11</f>
        <v/>
      </c>
      <c r="R45" s="16">
        <f>Inputs!$C$11</f>
        <v/>
      </c>
      <c r="S45" s="16">
        <f>Inputs!$C$11</f>
        <v/>
      </c>
      <c r="T45" s="16">
        <f>Inputs!$C$11</f>
        <v/>
      </c>
      <c r="U45" s="16">
        <f>Inputs!$C$11</f>
        <v/>
      </c>
      <c r="V45" s="16">
        <f>Inputs!$C$11</f>
        <v/>
      </c>
      <c r="W45" s="16">
        <f>Inputs!$C$11</f>
        <v/>
      </c>
      <c r="X45" s="16">
        <f>Inputs!$C$11</f>
        <v/>
      </c>
      <c r="Y45" s="16">
        <f>Inputs!$C$11</f>
        <v/>
      </c>
      <c r="Z45" s="16">
        <f>Inputs!$C$11</f>
        <v/>
      </c>
      <c r="AA45" s="16">
        <f>Inputs!$C$11</f>
        <v/>
      </c>
      <c r="AB45" s="16">
        <f>Inputs!$C$11</f>
        <v/>
      </c>
      <c r="AC45" s="16">
        <f>Inputs!$C$11</f>
        <v/>
      </c>
      <c r="AD45" s="16">
        <f>Inputs!$C$11</f>
        <v/>
      </c>
      <c r="AE45" s="16">
        <f>Inputs!$C$11</f>
        <v/>
      </c>
      <c r="AF45" s="32">
        <f>Inputs!$C$11</f>
        <v/>
      </c>
    </row>
    <row r="46">
      <c r="B46" s="31" t="inlineStr">
        <is>
          <t>Raw COGS</t>
        </is>
      </c>
      <c r="F46" s="21">
        <f>F42*F45</f>
        <v/>
      </c>
      <c r="G46" s="21">
        <f>G42*G45</f>
        <v/>
      </c>
      <c r="H46" s="21">
        <f>H42*H45</f>
        <v/>
      </c>
      <c r="I46" s="21">
        <f>I42*I45</f>
        <v/>
      </c>
      <c r="J46" s="21">
        <f>J42*J45</f>
        <v/>
      </c>
      <c r="K46" s="21">
        <f>K42*K45</f>
        <v/>
      </c>
      <c r="L46" s="21">
        <f>L42*L45</f>
        <v/>
      </c>
      <c r="M46" s="21">
        <f>M42*M45</f>
        <v/>
      </c>
      <c r="N46" s="21">
        <f>N42*N45</f>
        <v/>
      </c>
      <c r="O46" s="21">
        <f>O42*O45</f>
        <v/>
      </c>
      <c r="P46" s="21">
        <f>P42*P45</f>
        <v/>
      </c>
      <c r="Q46" s="21">
        <f>Q42*Q45</f>
        <v/>
      </c>
      <c r="R46" s="21">
        <f>R42*R45</f>
        <v/>
      </c>
      <c r="S46" s="21">
        <f>S42*S45</f>
        <v/>
      </c>
      <c r="T46" s="21">
        <f>T42*T45</f>
        <v/>
      </c>
      <c r="U46" s="21">
        <f>U42*U45</f>
        <v/>
      </c>
      <c r="V46" s="21">
        <f>V42*V45</f>
        <v/>
      </c>
      <c r="W46" s="21">
        <f>W42*W45</f>
        <v/>
      </c>
      <c r="X46" s="21">
        <f>X42*X45</f>
        <v/>
      </c>
      <c r="Y46" s="21">
        <f>Y42*Y45</f>
        <v/>
      </c>
      <c r="Z46" s="21">
        <f>Z42*Z45</f>
        <v/>
      </c>
      <c r="AA46" s="21">
        <f>AA42*AA45</f>
        <v/>
      </c>
      <c r="AB46" s="21">
        <f>AB42*AB45</f>
        <v/>
      </c>
      <c r="AC46" s="21">
        <f>AC42*AC45</f>
        <v/>
      </c>
      <c r="AD46" s="21">
        <f>AD42*AD45</f>
        <v/>
      </c>
      <c r="AE46" s="21">
        <f>AE42*AE45</f>
        <v/>
      </c>
      <c r="AF46" s="33">
        <f>SUM(F46:AE46)</f>
        <v/>
      </c>
    </row>
    <row r="47">
      <c r="B47" s="31" t="inlineStr">
        <is>
          <t>— Demo Spend</t>
        </is>
      </c>
      <c r="F47" s="21">
        <f>Inputs!F58*Inputs!$C$22</f>
        <v/>
      </c>
      <c r="G47" s="21">
        <f>Inputs!G58*Inputs!$C$22</f>
        <v/>
      </c>
      <c r="H47" s="21">
        <f>Inputs!H58*Inputs!$C$22</f>
        <v/>
      </c>
      <c r="I47" s="21">
        <f>Inputs!I58*Inputs!$C$22</f>
        <v/>
      </c>
      <c r="J47" s="21">
        <f>Inputs!J58*Inputs!$C$22</f>
        <v/>
      </c>
      <c r="K47" s="21">
        <f>Inputs!K58*Inputs!$C$22</f>
        <v/>
      </c>
      <c r="L47" s="21">
        <f>Inputs!L58*Inputs!$C$22</f>
        <v/>
      </c>
      <c r="M47" s="21">
        <f>Inputs!M58*Inputs!$C$22</f>
        <v/>
      </c>
      <c r="N47" s="21">
        <f>Inputs!N58*Inputs!$C$22</f>
        <v/>
      </c>
      <c r="O47" s="21">
        <f>Inputs!O58*Inputs!$C$22</f>
        <v/>
      </c>
      <c r="P47" s="21">
        <f>Inputs!P58*Inputs!$C$22</f>
        <v/>
      </c>
      <c r="Q47" s="21">
        <f>Inputs!Q58*Inputs!$C$22</f>
        <v/>
      </c>
      <c r="R47" s="21">
        <f>Inputs!R58*Inputs!$C$22</f>
        <v/>
      </c>
      <c r="S47" s="21">
        <f>Inputs!S58*Inputs!$C$22</f>
        <v/>
      </c>
      <c r="T47" s="21">
        <f>Inputs!T58*Inputs!$C$22</f>
        <v/>
      </c>
      <c r="U47" s="21">
        <f>Inputs!U58*Inputs!$C$22</f>
        <v/>
      </c>
      <c r="V47" s="21">
        <f>Inputs!V58*Inputs!$C$22</f>
        <v/>
      </c>
      <c r="W47" s="21">
        <f>Inputs!W58*Inputs!$C$22</f>
        <v/>
      </c>
      <c r="X47" s="21">
        <f>Inputs!X58*Inputs!$C$22</f>
        <v/>
      </c>
      <c r="Y47" s="21">
        <f>Inputs!Y58*Inputs!$C$22</f>
        <v/>
      </c>
      <c r="Z47" s="21">
        <f>Inputs!Z58*Inputs!$C$22</f>
        <v/>
      </c>
      <c r="AA47" s="21">
        <f>Inputs!AA58*Inputs!$C$22</f>
        <v/>
      </c>
      <c r="AB47" s="21">
        <f>Inputs!AB58*Inputs!$C$22</f>
        <v/>
      </c>
      <c r="AC47" s="21">
        <f>Inputs!AC58*Inputs!$C$22</f>
        <v/>
      </c>
      <c r="AD47" s="21">
        <f>Inputs!AD58*Inputs!$C$22</f>
        <v/>
      </c>
      <c r="AE47" s="21">
        <f>Inputs!AE58*Inputs!$C$22</f>
        <v/>
      </c>
      <c r="AF47" s="33">
        <f>SUM(F47:AE47)</f>
        <v/>
      </c>
    </row>
    <row r="48">
      <c r="B48" s="31" t="inlineStr">
        <is>
          <t>— End Cap Spend</t>
        </is>
      </c>
      <c r="F48" s="21">
        <f>Inputs!F59*Inputs!$C$25</f>
        <v/>
      </c>
      <c r="G48" s="21">
        <f>Inputs!G59*Inputs!$C$25</f>
        <v/>
      </c>
      <c r="H48" s="21">
        <f>Inputs!H59*Inputs!$C$25</f>
        <v/>
      </c>
      <c r="I48" s="21">
        <f>Inputs!I59*Inputs!$C$25</f>
        <v/>
      </c>
      <c r="J48" s="21">
        <f>Inputs!J59*Inputs!$C$25</f>
        <v/>
      </c>
      <c r="K48" s="21">
        <f>Inputs!K59*Inputs!$C$25</f>
        <v/>
      </c>
      <c r="L48" s="21">
        <f>Inputs!L59*Inputs!$C$25</f>
        <v/>
      </c>
      <c r="M48" s="21">
        <f>Inputs!M59*Inputs!$C$25</f>
        <v/>
      </c>
      <c r="N48" s="21">
        <f>Inputs!N59*Inputs!$C$25</f>
        <v/>
      </c>
      <c r="O48" s="21">
        <f>Inputs!O59*Inputs!$C$25</f>
        <v/>
      </c>
      <c r="P48" s="21">
        <f>Inputs!P59*Inputs!$C$25</f>
        <v/>
      </c>
      <c r="Q48" s="21">
        <f>Inputs!Q59*Inputs!$C$25</f>
        <v/>
      </c>
      <c r="R48" s="21">
        <f>Inputs!R59*Inputs!$C$25</f>
        <v/>
      </c>
      <c r="S48" s="21">
        <f>Inputs!S59*Inputs!$C$25</f>
        <v/>
      </c>
      <c r="T48" s="21">
        <f>Inputs!T59*Inputs!$C$25</f>
        <v/>
      </c>
      <c r="U48" s="21">
        <f>Inputs!U59*Inputs!$C$25</f>
        <v/>
      </c>
      <c r="V48" s="21">
        <f>Inputs!V59*Inputs!$C$25</f>
        <v/>
      </c>
      <c r="W48" s="21">
        <f>Inputs!W59*Inputs!$C$25</f>
        <v/>
      </c>
      <c r="X48" s="21">
        <f>Inputs!X59*Inputs!$C$25</f>
        <v/>
      </c>
      <c r="Y48" s="21">
        <f>Inputs!Y59*Inputs!$C$25</f>
        <v/>
      </c>
      <c r="Z48" s="21">
        <f>Inputs!Z59*Inputs!$C$25</f>
        <v/>
      </c>
      <c r="AA48" s="21">
        <f>Inputs!AA59*Inputs!$C$25</f>
        <v/>
      </c>
      <c r="AB48" s="21">
        <f>Inputs!AB59*Inputs!$C$25</f>
        <v/>
      </c>
      <c r="AC48" s="21">
        <f>Inputs!AC59*Inputs!$C$25</f>
        <v/>
      </c>
      <c r="AD48" s="21">
        <f>Inputs!AD59*Inputs!$C$25</f>
        <v/>
      </c>
      <c r="AE48" s="21">
        <f>Inputs!AE59*Inputs!$C$25</f>
        <v/>
      </c>
      <c r="AF48" s="33">
        <f>SUM(F48:AE48)</f>
        <v/>
      </c>
    </row>
    <row r="49">
      <c r="B49" s="31" t="inlineStr">
        <is>
          <t>— Fence Spend</t>
        </is>
      </c>
      <c r="F49" s="21">
        <f>Inputs!F60*Inputs!$C$26</f>
        <v/>
      </c>
      <c r="G49" s="21">
        <f>Inputs!G60*Inputs!$C$26</f>
        <v/>
      </c>
      <c r="H49" s="21">
        <f>Inputs!H60*Inputs!$C$26</f>
        <v/>
      </c>
      <c r="I49" s="21">
        <f>Inputs!I60*Inputs!$C$26</f>
        <v/>
      </c>
      <c r="J49" s="21">
        <f>Inputs!J60*Inputs!$C$26</f>
        <v/>
      </c>
      <c r="K49" s="21">
        <f>Inputs!K60*Inputs!$C$26</f>
        <v/>
      </c>
      <c r="L49" s="21">
        <f>Inputs!L60*Inputs!$C$26</f>
        <v/>
      </c>
      <c r="M49" s="21">
        <f>Inputs!M60*Inputs!$C$26</f>
        <v/>
      </c>
      <c r="N49" s="21">
        <f>Inputs!N60*Inputs!$C$26</f>
        <v/>
      </c>
      <c r="O49" s="21">
        <f>Inputs!O60*Inputs!$C$26</f>
        <v/>
      </c>
      <c r="P49" s="21">
        <f>Inputs!P60*Inputs!$C$26</f>
        <v/>
      </c>
      <c r="Q49" s="21">
        <f>Inputs!Q60*Inputs!$C$26</f>
        <v/>
      </c>
      <c r="R49" s="21">
        <f>Inputs!R60*Inputs!$C$26</f>
        <v/>
      </c>
      <c r="S49" s="21">
        <f>Inputs!S60*Inputs!$C$26</f>
        <v/>
      </c>
      <c r="T49" s="21">
        <f>Inputs!T60*Inputs!$C$26</f>
        <v/>
      </c>
      <c r="U49" s="21">
        <f>Inputs!U60*Inputs!$C$26</f>
        <v/>
      </c>
      <c r="V49" s="21">
        <f>Inputs!V60*Inputs!$C$26</f>
        <v/>
      </c>
      <c r="W49" s="21">
        <f>Inputs!W60*Inputs!$C$26</f>
        <v/>
      </c>
      <c r="X49" s="21">
        <f>Inputs!X60*Inputs!$C$26</f>
        <v/>
      </c>
      <c r="Y49" s="21">
        <f>Inputs!Y60*Inputs!$C$26</f>
        <v/>
      </c>
      <c r="Z49" s="21">
        <f>Inputs!Z60*Inputs!$C$26</f>
        <v/>
      </c>
      <c r="AA49" s="21">
        <f>Inputs!AA60*Inputs!$C$26</f>
        <v/>
      </c>
      <c r="AB49" s="21">
        <f>Inputs!AB60*Inputs!$C$26</f>
        <v/>
      </c>
      <c r="AC49" s="21">
        <f>Inputs!AC60*Inputs!$C$26</f>
        <v/>
      </c>
      <c r="AD49" s="21">
        <f>Inputs!AD60*Inputs!$C$26</f>
        <v/>
      </c>
      <c r="AE49" s="21">
        <f>Inputs!AE60*Inputs!$C$26</f>
        <v/>
      </c>
      <c r="AF49" s="33">
        <f>SUM(F49:AE49)</f>
        <v/>
      </c>
    </row>
    <row r="50">
      <c r="B50" s="31" t="inlineStr">
        <is>
          <t>— TPD Spend</t>
        </is>
      </c>
      <c r="F50" s="21">
        <f>Inputs!F61*F42*F43*Inputs!$C$28</f>
        <v/>
      </c>
      <c r="G50" s="21">
        <f>Inputs!G61*G42*G43*Inputs!$C$28</f>
        <v/>
      </c>
      <c r="H50" s="21">
        <f>Inputs!H61*H42*H43*Inputs!$C$28</f>
        <v/>
      </c>
      <c r="I50" s="21">
        <f>Inputs!I61*I42*I43*Inputs!$C$28</f>
        <v/>
      </c>
      <c r="J50" s="21">
        <f>Inputs!J61*J42*J43*Inputs!$C$28</f>
        <v/>
      </c>
      <c r="K50" s="21">
        <f>Inputs!K61*K42*K43*Inputs!$C$28</f>
        <v/>
      </c>
      <c r="L50" s="21">
        <f>Inputs!L61*L42*L43*Inputs!$C$28</f>
        <v/>
      </c>
      <c r="M50" s="21">
        <f>Inputs!M61*M42*M43*Inputs!$C$28</f>
        <v/>
      </c>
      <c r="N50" s="21">
        <f>Inputs!N61*N42*N43*Inputs!$C$28</f>
        <v/>
      </c>
      <c r="O50" s="21">
        <f>Inputs!O61*O42*O43*Inputs!$C$28</f>
        <v/>
      </c>
      <c r="P50" s="21">
        <f>Inputs!P61*P42*P43*Inputs!$C$28</f>
        <v/>
      </c>
      <c r="Q50" s="21">
        <f>Inputs!Q61*Q42*Q43*Inputs!$C$28</f>
        <v/>
      </c>
      <c r="R50" s="21">
        <f>Inputs!R61*R42*R43*Inputs!$C$28</f>
        <v/>
      </c>
      <c r="S50" s="21">
        <f>Inputs!S61*S42*S43*Inputs!$C$28</f>
        <v/>
      </c>
      <c r="T50" s="21">
        <f>Inputs!T61*T42*T43*Inputs!$C$28</f>
        <v/>
      </c>
      <c r="U50" s="21">
        <f>Inputs!U61*U42*U43*Inputs!$C$28</f>
        <v/>
      </c>
      <c r="V50" s="21">
        <f>Inputs!V61*V42*V43*Inputs!$C$28</f>
        <v/>
      </c>
      <c r="W50" s="21">
        <f>Inputs!W61*W42*W43*Inputs!$C$28</f>
        <v/>
      </c>
      <c r="X50" s="21">
        <f>Inputs!X61*X42*X43*Inputs!$C$28</f>
        <v/>
      </c>
      <c r="Y50" s="21">
        <f>Inputs!Y61*Y42*Y43*Inputs!$C$28</f>
        <v/>
      </c>
      <c r="Z50" s="21">
        <f>Inputs!Z61*Z42*Z43*Inputs!$C$28</f>
        <v/>
      </c>
      <c r="AA50" s="21">
        <f>Inputs!AA61*AA42*AA43*Inputs!$C$28</f>
        <v/>
      </c>
      <c r="AB50" s="21">
        <f>Inputs!AB61*AB42*AB43*Inputs!$C$28</f>
        <v/>
      </c>
      <c r="AC50" s="21">
        <f>Inputs!AC61*AC42*AC43*Inputs!$C$28</f>
        <v/>
      </c>
      <c r="AD50" s="21">
        <f>Inputs!AD61*AD42*AD43*Inputs!$C$28</f>
        <v/>
      </c>
      <c r="AE50" s="21">
        <f>Inputs!AE61*AE42*AE43*Inputs!$C$28</f>
        <v/>
      </c>
      <c r="AF50" s="33">
        <f>SUM(F50:AE50)</f>
        <v/>
      </c>
    </row>
    <row r="51">
      <c r="B51" s="31" t="inlineStr">
        <is>
          <t>— Markdown Spend</t>
        </is>
      </c>
      <c r="F51" s="21">
        <f>Inputs!F62*F42*F43*Inputs!$C$29</f>
        <v/>
      </c>
      <c r="G51" s="21">
        <f>Inputs!G62*G42*G43*Inputs!$C$29</f>
        <v/>
      </c>
      <c r="H51" s="21">
        <f>Inputs!H62*H42*H43*Inputs!$C$29</f>
        <v/>
      </c>
      <c r="I51" s="21">
        <f>Inputs!I62*I42*I43*Inputs!$C$29</f>
        <v/>
      </c>
      <c r="J51" s="21">
        <f>Inputs!J62*J42*J43*Inputs!$C$29</f>
        <v/>
      </c>
      <c r="K51" s="21">
        <f>Inputs!K62*K42*K43*Inputs!$C$29</f>
        <v/>
      </c>
      <c r="L51" s="21">
        <f>Inputs!L62*L42*L43*Inputs!$C$29</f>
        <v/>
      </c>
      <c r="M51" s="21">
        <f>Inputs!M62*M42*M43*Inputs!$C$29</f>
        <v/>
      </c>
      <c r="N51" s="21">
        <f>Inputs!N62*N42*N43*Inputs!$C$29</f>
        <v/>
      </c>
      <c r="O51" s="21">
        <f>Inputs!O62*O42*O43*Inputs!$C$29</f>
        <v/>
      </c>
      <c r="P51" s="21">
        <f>Inputs!P62*P42*P43*Inputs!$C$29</f>
        <v/>
      </c>
      <c r="Q51" s="21">
        <f>Inputs!Q62*Q42*Q43*Inputs!$C$29</f>
        <v/>
      </c>
      <c r="R51" s="21">
        <f>Inputs!R62*R42*R43*Inputs!$C$29</f>
        <v/>
      </c>
      <c r="S51" s="21">
        <f>Inputs!S62*S42*S43*Inputs!$C$29</f>
        <v/>
      </c>
      <c r="T51" s="21">
        <f>Inputs!T62*T42*T43*Inputs!$C$29</f>
        <v/>
      </c>
      <c r="U51" s="21">
        <f>Inputs!U62*U42*U43*Inputs!$C$29</f>
        <v/>
      </c>
      <c r="V51" s="21">
        <f>Inputs!V62*V42*V43*Inputs!$C$29</f>
        <v/>
      </c>
      <c r="W51" s="21">
        <f>Inputs!W62*W42*W43*Inputs!$C$29</f>
        <v/>
      </c>
      <c r="X51" s="21">
        <f>Inputs!X62*X42*X43*Inputs!$C$29</f>
        <v/>
      </c>
      <c r="Y51" s="21">
        <f>Inputs!Y62*Y42*Y43*Inputs!$C$29</f>
        <v/>
      </c>
      <c r="Z51" s="21">
        <f>Inputs!Z62*Z42*Z43*Inputs!$C$29</f>
        <v/>
      </c>
      <c r="AA51" s="21">
        <f>Inputs!AA62*AA42*AA43*Inputs!$C$29</f>
        <v/>
      </c>
      <c r="AB51" s="21">
        <f>Inputs!AB62*AB42*AB43*Inputs!$C$29</f>
        <v/>
      </c>
      <c r="AC51" s="21">
        <f>Inputs!AC62*AC42*AC43*Inputs!$C$29</f>
        <v/>
      </c>
      <c r="AD51" s="21">
        <f>Inputs!AD62*AD42*AD43*Inputs!$C$29</f>
        <v/>
      </c>
      <c r="AE51" s="21">
        <f>Inputs!AE62*AE42*AE43*Inputs!$C$29</f>
        <v/>
      </c>
      <c r="AF51" s="33">
        <f>SUM(F51:AE51)</f>
        <v/>
      </c>
    </row>
    <row r="52">
      <c r="B52" s="31" t="inlineStr">
        <is>
          <t>— Advertising Spend</t>
        </is>
      </c>
      <c r="F52" s="21">
        <f>Inputs!F63*Inputs!$C$27</f>
        <v/>
      </c>
      <c r="G52" s="21">
        <f>Inputs!G63*Inputs!$C$27</f>
        <v/>
      </c>
      <c r="H52" s="21">
        <f>Inputs!H63*Inputs!$C$27</f>
        <v/>
      </c>
      <c r="I52" s="21">
        <f>Inputs!I63*Inputs!$C$27</f>
        <v/>
      </c>
      <c r="J52" s="21">
        <f>Inputs!J63*Inputs!$C$27</f>
        <v/>
      </c>
      <c r="K52" s="21">
        <f>Inputs!K63*Inputs!$C$27</f>
        <v/>
      </c>
      <c r="L52" s="21">
        <f>Inputs!L63*Inputs!$C$27</f>
        <v/>
      </c>
      <c r="M52" s="21">
        <f>Inputs!M63*Inputs!$C$27</f>
        <v/>
      </c>
      <c r="N52" s="21">
        <f>Inputs!N63*Inputs!$C$27</f>
        <v/>
      </c>
      <c r="O52" s="21">
        <f>Inputs!O63*Inputs!$C$27</f>
        <v/>
      </c>
      <c r="P52" s="21">
        <f>Inputs!P63*Inputs!$C$27</f>
        <v/>
      </c>
      <c r="Q52" s="21">
        <f>Inputs!Q63*Inputs!$C$27</f>
        <v/>
      </c>
      <c r="R52" s="21">
        <f>Inputs!R63*Inputs!$C$27</f>
        <v/>
      </c>
      <c r="S52" s="21">
        <f>Inputs!S63*Inputs!$C$27</f>
        <v/>
      </c>
      <c r="T52" s="21">
        <f>Inputs!T63*Inputs!$C$27</f>
        <v/>
      </c>
      <c r="U52" s="21">
        <f>Inputs!U63*Inputs!$C$27</f>
        <v/>
      </c>
      <c r="V52" s="21">
        <f>Inputs!V63*Inputs!$C$27</f>
        <v/>
      </c>
      <c r="W52" s="21">
        <f>Inputs!W63*Inputs!$C$27</f>
        <v/>
      </c>
      <c r="X52" s="21">
        <f>Inputs!X63*Inputs!$C$27</f>
        <v/>
      </c>
      <c r="Y52" s="21">
        <f>Inputs!Y63*Inputs!$C$27</f>
        <v/>
      </c>
      <c r="Z52" s="21">
        <f>Inputs!Z63*Inputs!$C$27</f>
        <v/>
      </c>
      <c r="AA52" s="21">
        <f>Inputs!AA63*Inputs!$C$27</f>
        <v/>
      </c>
      <c r="AB52" s="21">
        <f>Inputs!AB63*Inputs!$C$27</f>
        <v/>
      </c>
      <c r="AC52" s="21">
        <f>Inputs!AC63*Inputs!$C$27</f>
        <v/>
      </c>
      <c r="AD52" s="21">
        <f>Inputs!AD63*Inputs!$C$27</f>
        <v/>
      </c>
      <c r="AE52" s="21">
        <f>Inputs!AE63*Inputs!$C$27</f>
        <v/>
      </c>
      <c r="AF52" s="33">
        <f>SUM(F52:AE52)</f>
        <v/>
      </c>
    </row>
    <row r="53">
      <c r="B53" s="11" t="inlineStr">
        <is>
          <t>Total Promo Spend</t>
        </is>
      </c>
      <c r="F53" s="21">
        <f>SUM(F47:F52)</f>
        <v/>
      </c>
      <c r="G53" s="21">
        <f>SUM(G47:G52)</f>
        <v/>
      </c>
      <c r="H53" s="21">
        <f>SUM(H47:H52)</f>
        <v/>
      </c>
      <c r="I53" s="21">
        <f>SUM(I47:I52)</f>
        <v/>
      </c>
      <c r="J53" s="21">
        <f>SUM(J47:J52)</f>
        <v/>
      </c>
      <c r="K53" s="21">
        <f>SUM(K47:K52)</f>
        <v/>
      </c>
      <c r="L53" s="21">
        <f>SUM(L47:L52)</f>
        <v/>
      </c>
      <c r="M53" s="21">
        <f>SUM(M47:M52)</f>
        <v/>
      </c>
      <c r="N53" s="21">
        <f>SUM(N47:N52)</f>
        <v/>
      </c>
      <c r="O53" s="21">
        <f>SUM(O47:O52)</f>
        <v/>
      </c>
      <c r="P53" s="21">
        <f>SUM(P47:P52)</f>
        <v/>
      </c>
      <c r="Q53" s="21">
        <f>SUM(Q47:Q52)</f>
        <v/>
      </c>
      <c r="R53" s="21">
        <f>SUM(R47:R52)</f>
        <v/>
      </c>
      <c r="S53" s="21">
        <f>SUM(S47:S52)</f>
        <v/>
      </c>
      <c r="T53" s="21">
        <f>SUM(T47:T52)</f>
        <v/>
      </c>
      <c r="U53" s="21">
        <f>SUM(U47:U52)</f>
        <v/>
      </c>
      <c r="V53" s="21">
        <f>SUM(V47:V52)</f>
        <v/>
      </c>
      <c r="W53" s="21">
        <f>SUM(W47:W52)</f>
        <v/>
      </c>
      <c r="X53" s="21">
        <f>SUM(X47:X52)</f>
        <v/>
      </c>
      <c r="Y53" s="21">
        <f>SUM(Y47:Y52)</f>
        <v/>
      </c>
      <c r="Z53" s="21">
        <f>SUM(Z47:Z52)</f>
        <v/>
      </c>
      <c r="AA53" s="21">
        <f>SUM(AA47:AA52)</f>
        <v/>
      </c>
      <c r="AB53" s="21">
        <f>SUM(AB47:AB52)</f>
        <v/>
      </c>
      <c r="AC53" s="21">
        <f>SUM(AC47:AC52)</f>
        <v/>
      </c>
      <c r="AD53" s="21">
        <f>SUM(AD47:AD52)</f>
        <v/>
      </c>
      <c r="AE53" s="21">
        <f>SUM(AE47:AE52)</f>
        <v/>
      </c>
      <c r="AF53" s="33">
        <f>SUM(F53:AE53)</f>
        <v/>
      </c>
    </row>
    <row r="54">
      <c r="B54" s="34" t="inlineStr">
        <is>
          <t>Gross Profit</t>
        </is>
      </c>
      <c r="F54" s="21">
        <f>F44-F46</f>
        <v/>
      </c>
      <c r="G54" s="21">
        <f>G44-G46</f>
        <v/>
      </c>
      <c r="H54" s="21">
        <f>H44-H46</f>
        <v/>
      </c>
      <c r="I54" s="21">
        <f>I44-I46</f>
        <v/>
      </c>
      <c r="J54" s="21">
        <f>J44-J46</f>
        <v/>
      </c>
      <c r="K54" s="21">
        <f>K44-K46</f>
        <v/>
      </c>
      <c r="L54" s="21">
        <f>L44-L46</f>
        <v/>
      </c>
      <c r="M54" s="21">
        <f>M44-M46</f>
        <v/>
      </c>
      <c r="N54" s="21">
        <f>N44-N46</f>
        <v/>
      </c>
      <c r="O54" s="21">
        <f>O44-O46</f>
        <v/>
      </c>
      <c r="P54" s="21">
        <f>P44-P46</f>
        <v/>
      </c>
      <c r="Q54" s="21">
        <f>Q44-Q46</f>
        <v/>
      </c>
      <c r="R54" s="21">
        <f>R44-R46</f>
        <v/>
      </c>
      <c r="S54" s="21">
        <f>S44-S46</f>
        <v/>
      </c>
      <c r="T54" s="21">
        <f>T44-T46</f>
        <v/>
      </c>
      <c r="U54" s="21">
        <f>U44-U46</f>
        <v/>
      </c>
      <c r="V54" s="21">
        <f>V44-V46</f>
        <v/>
      </c>
      <c r="W54" s="21">
        <f>W44-W46</f>
        <v/>
      </c>
      <c r="X54" s="21">
        <f>X44-X46</f>
        <v/>
      </c>
      <c r="Y54" s="21">
        <f>Y44-Y46</f>
        <v/>
      </c>
      <c r="Z54" s="21">
        <f>Z44-Z46</f>
        <v/>
      </c>
      <c r="AA54" s="21">
        <f>AA44-AA46</f>
        <v/>
      </c>
      <c r="AB54" s="21">
        <f>AB44-AB46</f>
        <v/>
      </c>
      <c r="AC54" s="21">
        <f>AC44-AC46</f>
        <v/>
      </c>
      <c r="AD54" s="21">
        <f>AD44-AD46</f>
        <v/>
      </c>
      <c r="AE54" s="21">
        <f>AE44-AE46</f>
        <v/>
      </c>
      <c r="AF54" s="33">
        <f>SUM(F54:AE54)</f>
        <v/>
      </c>
    </row>
    <row r="55">
      <c r="B55" s="34" t="inlineStr">
        <is>
          <t>Net Profit (after promo)</t>
        </is>
      </c>
      <c r="F55" s="21">
        <f>F54-F53</f>
        <v/>
      </c>
      <c r="G55" s="21">
        <f>G54-G53</f>
        <v/>
      </c>
      <c r="H55" s="21">
        <f>H54-H53</f>
        <v/>
      </c>
      <c r="I55" s="21">
        <f>I54-I53</f>
        <v/>
      </c>
      <c r="J55" s="21">
        <f>J54-J53</f>
        <v/>
      </c>
      <c r="K55" s="21">
        <f>K54-K53</f>
        <v/>
      </c>
      <c r="L55" s="21">
        <f>L54-L53</f>
        <v/>
      </c>
      <c r="M55" s="21">
        <f>M54-M53</f>
        <v/>
      </c>
      <c r="N55" s="21">
        <f>N54-N53</f>
        <v/>
      </c>
      <c r="O55" s="21">
        <f>O54-O53</f>
        <v/>
      </c>
      <c r="P55" s="21">
        <f>P54-P53</f>
        <v/>
      </c>
      <c r="Q55" s="21">
        <f>Q54-Q53</f>
        <v/>
      </c>
      <c r="R55" s="21">
        <f>R54-R53</f>
        <v/>
      </c>
      <c r="S55" s="21">
        <f>S54-S53</f>
        <v/>
      </c>
      <c r="T55" s="21">
        <f>T54-T53</f>
        <v/>
      </c>
      <c r="U55" s="21">
        <f>U54-U53</f>
        <v/>
      </c>
      <c r="V55" s="21">
        <f>V54-V53</f>
        <v/>
      </c>
      <c r="W55" s="21">
        <f>W54-W53</f>
        <v/>
      </c>
      <c r="X55" s="21">
        <f>X54-X53</f>
        <v/>
      </c>
      <c r="Y55" s="21">
        <f>Y54-Y53</f>
        <v/>
      </c>
      <c r="Z55" s="21">
        <f>Z54-Z53</f>
        <v/>
      </c>
      <c r="AA55" s="21">
        <f>AA54-AA53</f>
        <v/>
      </c>
      <c r="AB55" s="21">
        <f>AB54-AB53</f>
        <v/>
      </c>
      <c r="AC55" s="21">
        <f>AC54-AC53</f>
        <v/>
      </c>
      <c r="AD55" s="21">
        <f>AD54-AD53</f>
        <v/>
      </c>
      <c r="AE55" s="21">
        <f>AE54-AE53</f>
        <v/>
      </c>
      <c r="AF55" s="33">
        <f>SUM(F55:AE55)</f>
        <v/>
      </c>
    </row>
  </sheetData>
  <mergeCells count="4">
    <mergeCell ref="B40:AF40"/>
    <mergeCell ref="B4:AF4"/>
    <mergeCell ref="B2:AF2"/>
    <mergeCell ref="B22:AF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22" customWidth="1" min="3" max="3"/>
    <col width="22" customWidth="1" min="4" max="4"/>
    <col width="22" customWidth="1" min="5" max="5"/>
  </cols>
  <sheetData>
    <row r="2" ht="32" customHeight="1">
      <c r="B2" s="9" t="inlineStr">
        <is>
          <t>ROI SUMMARY — Scenario Comparison</t>
        </is>
      </c>
    </row>
    <row r="4" ht="24" customHeight="1">
      <c r="B4" s="35" t="inlineStr">
        <is>
          <t>Metric</t>
        </is>
      </c>
      <c r="C4" s="36" t="inlineStr">
        <is>
          <t>BEST</t>
        </is>
      </c>
      <c r="D4" s="36" t="inlineStr">
        <is>
          <t>IDEAL</t>
        </is>
      </c>
      <c r="E4" s="36" t="inlineStr">
        <is>
          <t>WORST</t>
        </is>
      </c>
    </row>
    <row r="5" ht="22" customHeight="1">
      <c r="B5" s="37" t="inlineStr">
        <is>
          <t>Units Sold</t>
        </is>
      </c>
      <c r="C5" s="38">
        <f>Forecast!AF6</f>
        <v/>
      </c>
      <c r="D5" s="38">
        <f>Forecast!AF24</f>
        <v/>
      </c>
      <c r="E5" s="38">
        <f>Forecast!AF42</f>
        <v/>
      </c>
    </row>
    <row r="6" ht="22" customHeight="1">
      <c r="B6" s="37" t="inlineStr">
        <is>
          <t>Revenue</t>
        </is>
      </c>
      <c r="C6" s="39">
        <f>Forecast!AF8</f>
        <v/>
      </c>
      <c r="D6" s="39">
        <f>Forecast!AF26</f>
        <v/>
      </c>
      <c r="E6" s="39">
        <f>Forecast!AF44</f>
        <v/>
      </c>
    </row>
    <row r="7" ht="22" customHeight="1">
      <c r="B7" s="37" t="inlineStr">
        <is>
          <t>Raw COGS</t>
        </is>
      </c>
      <c r="C7" s="39">
        <f>Forecast!AF10</f>
        <v/>
      </c>
      <c r="D7" s="39">
        <f>Forecast!AF28</f>
        <v/>
      </c>
      <c r="E7" s="39">
        <f>Forecast!AF46</f>
        <v/>
      </c>
    </row>
    <row r="8" ht="26" customHeight="1">
      <c r="B8" s="40" t="inlineStr">
        <is>
          <t>Gross Profit</t>
        </is>
      </c>
      <c r="C8" s="41">
        <f>Forecast!AF18</f>
        <v/>
      </c>
      <c r="D8" s="41">
        <f>Forecast!AF36</f>
        <v/>
      </c>
      <c r="E8" s="41">
        <f>Forecast!AF54</f>
        <v/>
      </c>
    </row>
    <row r="9" ht="26" customHeight="1">
      <c r="B9" s="40" t="inlineStr">
        <is>
          <t>Gross Margin %</t>
        </is>
      </c>
      <c r="C9" s="42">
        <f>IFERROR(Forecast!AF18/Forecast!AF8,0)</f>
        <v/>
      </c>
      <c r="D9" s="42">
        <f>IFERROR(Forecast!AF36/Forecast!AF26,0)</f>
        <v/>
      </c>
      <c r="E9" s="42">
        <f>IFERROR(Forecast!AF54/Forecast!AF44,0)</f>
        <v/>
      </c>
    </row>
    <row r="10" ht="22" customHeight="1">
      <c r="B10" s="37" t="inlineStr">
        <is>
          <t>Demo Spend</t>
        </is>
      </c>
      <c r="C10" s="39">
        <f>Forecast!AF11</f>
        <v/>
      </c>
      <c r="D10" s="39">
        <f>Forecast!AF29</f>
        <v/>
      </c>
      <c r="E10" s="39">
        <f>Forecast!AF47</f>
        <v/>
      </c>
    </row>
    <row r="11" ht="22" customHeight="1">
      <c r="B11" s="37" t="inlineStr">
        <is>
          <t>End Cap Spend</t>
        </is>
      </c>
      <c r="C11" s="39">
        <f>Forecast!AF12</f>
        <v/>
      </c>
      <c r="D11" s="39">
        <f>Forecast!AF30</f>
        <v/>
      </c>
      <c r="E11" s="39">
        <f>Forecast!AF48</f>
        <v/>
      </c>
    </row>
    <row r="12" ht="22" customHeight="1">
      <c r="B12" s="37" t="inlineStr">
        <is>
          <t>Fence Spend</t>
        </is>
      </c>
      <c r="C12" s="39">
        <f>Forecast!AF13</f>
        <v/>
      </c>
      <c r="D12" s="39">
        <f>Forecast!AF31</f>
        <v/>
      </c>
      <c r="E12" s="39">
        <f>Forecast!AF49</f>
        <v/>
      </c>
    </row>
    <row r="13" ht="22" customHeight="1">
      <c r="B13" s="37" t="inlineStr">
        <is>
          <t>TPD Spend</t>
        </is>
      </c>
      <c r="C13" s="39">
        <f>Forecast!AF14</f>
        <v/>
      </c>
      <c r="D13" s="39">
        <f>Forecast!AF32</f>
        <v/>
      </c>
      <c r="E13" s="39">
        <f>Forecast!AF50</f>
        <v/>
      </c>
    </row>
    <row r="14" ht="22" customHeight="1">
      <c r="B14" s="37" t="inlineStr">
        <is>
          <t>Markdown Spend</t>
        </is>
      </c>
      <c r="C14" s="39">
        <f>Forecast!AF15</f>
        <v/>
      </c>
      <c r="D14" s="39">
        <f>Forecast!AF33</f>
        <v/>
      </c>
      <c r="E14" s="39">
        <f>Forecast!AF51</f>
        <v/>
      </c>
    </row>
    <row r="15" ht="22" customHeight="1">
      <c r="B15" s="37" t="inlineStr">
        <is>
          <t>Advertising Spend</t>
        </is>
      </c>
      <c r="C15" s="39">
        <f>Forecast!AF16</f>
        <v/>
      </c>
      <c r="D15" s="39">
        <f>Forecast!AF34</f>
        <v/>
      </c>
      <c r="E15" s="39">
        <f>Forecast!AF52</f>
        <v/>
      </c>
    </row>
    <row r="16" ht="26" customHeight="1">
      <c r="B16" s="40" t="inlineStr">
        <is>
          <t>Total Promo Spend</t>
        </is>
      </c>
      <c r="C16" s="41">
        <f>Forecast!AF17</f>
        <v/>
      </c>
      <c r="D16" s="41">
        <f>Forecast!AF35</f>
        <v/>
      </c>
      <c r="E16" s="41">
        <f>Forecast!AF53</f>
        <v/>
      </c>
    </row>
    <row r="17" ht="26" customHeight="1">
      <c r="B17" s="40" t="inlineStr">
        <is>
          <t>Net Profit</t>
        </is>
      </c>
      <c r="C17" s="41">
        <f>Forecast!AF19</f>
        <v/>
      </c>
      <c r="D17" s="41">
        <f>Forecast!AF37</f>
        <v/>
      </c>
      <c r="E17" s="41">
        <f>Forecast!AF55</f>
        <v/>
      </c>
    </row>
    <row r="18" ht="26" customHeight="1">
      <c r="B18" s="40" t="inlineStr">
        <is>
          <t>Net Margin %</t>
        </is>
      </c>
      <c r="C18" s="42">
        <f>IFERROR(Forecast!AF19/Forecast!AF8,0)</f>
        <v/>
      </c>
      <c r="D18" s="42">
        <f>IFERROR(Forecast!AF37/Forecast!AF26,0)</f>
        <v/>
      </c>
      <c r="E18" s="42">
        <f>IFERROR(Forecast!AF55/Forecast!AF44,0)</f>
        <v/>
      </c>
    </row>
    <row r="19" ht="26" customHeight="1">
      <c r="B19" s="40" t="inlineStr">
        <is>
          <t>ROI on Promo Spend</t>
        </is>
      </c>
      <c r="C19" s="42">
        <f>IFERROR(Forecast!AF19/Forecast!AF17,0)</f>
        <v/>
      </c>
      <c r="D19" s="42">
        <f>IFERROR(Forecast!AF37/Forecast!AF35,0)</f>
        <v/>
      </c>
      <c r="E19" s="42">
        <f>IFERROR(Forecast!AF55/Forecast!AF53,0)</f>
        <v/>
      </c>
    </row>
    <row r="20" ht="22" customHeight="1">
      <c r="B20" s="37" t="inlineStr">
        <is>
          <t>Avg Units / WH / Week</t>
        </is>
      </c>
      <c r="C20" s="38">
        <f>IFERROR(Forecast!AF6/Inputs!$C$6/Inputs!$C$7,0)</f>
        <v/>
      </c>
      <c r="D20" s="38">
        <f>IFERROR(Forecast!AF24/Inputs!$C$6/Inputs!$C$7,0)</f>
        <v/>
      </c>
      <c r="E20" s="38">
        <f>IFERROR(Forecast!AF42/Inputs!$C$6/Inputs!$C$7,0)</f>
        <v/>
      </c>
    </row>
    <row r="23" ht="22" customHeight="1">
      <c r="B23" s="10" t="inlineStr">
        <is>
          <t>Why each scenario?</t>
        </is>
      </c>
    </row>
    <row r="24" ht="50" customHeight="1">
      <c r="B24" s="43" t="inlineStr">
        <is>
          <t>BEST</t>
        </is>
      </c>
      <c r="C24" s="13" t="inlineStr">
        <is>
          <t>Two national demo weekends combined with a TPD price promo. Demo lifts unit velocity ~3x in-week (Costco benchmark for supplements). No end cap booked, no markdown needed.</t>
        </is>
      </c>
    </row>
    <row r="25" ht="50" customHeight="1">
      <c r="B25" s="43" t="inlineStr">
        <is>
          <t>IDEAL</t>
        </is>
      </c>
      <c r="C25" s="13" t="inlineStr">
        <is>
          <t>Full-court press: demo + end cap + TPD all running together for two weeks. Stacking end cap on demo weeks lifts velocity to ~3.6x (incremental ~20% on top of demo-only).</t>
        </is>
      </c>
    </row>
    <row r="26" ht="50" customHeight="1">
      <c r="B26" s="43" t="inlineStr">
        <is>
          <t>WORST</t>
        </is>
      </c>
      <c r="C26" s="13" t="inlineStr">
        <is>
          <t>Same launch plan as IDEAL but sell-through stalls after the promo weeks. Residual inventory is cleared via three weeks of 50% markdown (Wks 18-20). Wk 20 spike reflects clearance blow-out (~2,400 units in one week).</t>
        </is>
      </c>
    </row>
  </sheetData>
  <mergeCells count="5">
    <mergeCell ref="B23:E23"/>
    <mergeCell ref="C26:E26"/>
    <mergeCell ref="B2:E2"/>
    <mergeCell ref="C25:E25"/>
    <mergeCell ref="C24:E24"/>
  </mergeCells>
  <conditionalFormatting sqref="C17:E17">
    <cfRule type="cellIs" priority="1" operator="lessThan" dxfId="0">
      <formula>0</formula>
    </cfRule>
    <cfRule type="cellIs" priority="2" operator="greaterThanOrEqual" dxfId="1">
      <formula>0</formula>
    </cfRule>
  </conditionalFormatting>
  <conditionalFormatting sqref="C19:E19">
    <cfRule type="cellIs" priority="3" operator="lessThan" dxfId="0">
      <formula>0</formula>
    </cfRule>
    <cfRule type="cellIs" priority="4" operator="greaterThanOrEqual"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2026-05-26T21:34:23Z</dcterms:created>
  <dcterms:modified xsi:type="dcterms:W3CDTF">2026-05-26T21:34:23Z</dcterms:modified>
</cp:coreProperties>
</file>