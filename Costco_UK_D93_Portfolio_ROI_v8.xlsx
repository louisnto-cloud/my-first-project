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ecast" sheetId="3" state="visible" r:id="rId3"/>
    <sheet name="Summary" sheetId="4" state="visible" r:id="rId4"/>
    <sheet name="Portfolio" sheetId="5" state="visible" r:id="rId5"/>
  </sheets>
  <definedNames>
    <definedName name="StartDate">Inputs!$C$21</definedName>
    <definedName name="WHs">Inputs!$C$22</definedName>
    <definedName name="Period">26</definedName>
    <definedName name="Price">Inputs!$C$25</definedName>
    <definedName name="Cost">Inputs!$C$26</definedName>
    <definedName name="BaseUnits">Inputs!$C$31</definedName>
    <definedName name="DemoCost">Inputs!$C$34</definedName>
    <definedName name="EndCapCost">Inputs!$C$35</definedName>
    <definedName name="TPDPct">Inputs!$C$36</definedName>
    <definedName name="MdPct">Inputs!$C$37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yyyy-mm-dd"/>
    <numFmt numFmtId="166" formatCode="dd-mmm-yyyy"/>
    <numFmt numFmtId="167" formatCode="_-£* #,##0.00_-;[Red]-£* #,##0.00_-;_-£* &quot;-&quot;??_-;_-@_-"/>
    <numFmt numFmtId="168" formatCode="0.0%"/>
    <numFmt numFmtId="169" formatCode="_-£* #,##0_-;[Red]-£* #,##0_-;_-£* &quot;-&quot;??_-;_-@_-"/>
    <numFmt numFmtId="170" formatCode="dd-mmm"/>
    <numFmt numFmtId="171" formatCode="0;;;@"/>
    <numFmt numFmtId="172" formatCode="0.0&quot;x&quot;"/>
    <numFmt numFmtId="173" formatCode="_-* #,##0_-;[Red]_-* (#,##0)_-;_-* &quot;-&quot;??_-;_-@_-"/>
    <numFmt numFmtId="174" formatCode="_-* #,##0.00_-;[Red]_-* (#,##0.00)_-;_-* &quot;-&quot;??_-;_-@_-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595959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70C0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1"/>
    </font>
    <font>
      <name val="Calibri"/>
      <color rgb="00000000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9" fontId="9" fillId="3" borderId="1" applyAlignment="1" pivotButton="0" quotePrefix="0" xfId="0">
      <alignment horizontal="right" vertical="center"/>
    </xf>
    <xf numFmtId="168" fontId="9" fillId="3" borderId="1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170" fontId="12" fillId="5" borderId="1" applyAlignment="1" pivotButton="0" quotePrefix="0" xfId="0">
      <alignment horizontal="center" vertical="center" wrapText="1"/>
    </xf>
    <xf numFmtId="171" fontId="9" fillId="3" borderId="1" applyAlignment="1" pivotButton="0" quotePrefix="0" xfId="0">
      <alignment horizontal="center" vertical="center" wrapText="1"/>
    </xf>
    <xf numFmtId="172" fontId="9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164" fontId="4" fillId="0" borderId="0" pivotButton="0" quotePrefix="0" xfId="0"/>
    <xf numFmtId="0" fontId="4" fillId="0" borderId="0" pivotButton="0" quotePrefix="0" xfId="0"/>
    <xf numFmtId="0" fontId="11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73" fontId="4" fillId="5" borderId="1" applyAlignment="1" pivotButton="0" quotePrefix="0" xfId="0">
      <alignment horizontal="right" vertical="center"/>
    </xf>
    <xf numFmtId="173" fontId="5" fillId="4" borderId="1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7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73" fontId="15" fillId="4" borderId="1" applyAlignment="1" pivotButton="0" quotePrefix="0" xfId="0">
      <alignment horizontal="right" vertical="center"/>
    </xf>
    <xf numFmtId="168" fontId="1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3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74" fontId="9" fillId="3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73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1" fillId="6" borderId="1" applyAlignment="1" pivotButton="0" quotePrefix="0" xfId="0">
      <alignment horizontal="left" vertical="center" wrapText="1"/>
    </xf>
    <xf numFmtId="168" fontId="11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73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Costco UK — D93 Portfolio ROI</t>
        </is>
      </c>
    </row>
    <row r="3">
      <c r="B3" s="2" t="inlineStr">
        <is>
          <t>v8 · simplified</t>
        </is>
      </c>
    </row>
    <row r="5">
      <c r="B5" s="3" t="inlineStr">
        <is>
          <t>HOW TO USE</t>
        </is>
      </c>
    </row>
    <row r="6">
      <c r="B6" s="4" t="inlineStr"/>
    </row>
    <row r="7">
      <c r="B7" s="4" t="inlineStr">
        <is>
          <t>1.  Open Inputs. Edit any YELLOW cell. Calculated cells (grey) update automatically.</t>
        </is>
      </c>
    </row>
    <row r="8">
      <c r="B8" s="4" t="inlineStr"/>
    </row>
    <row r="9">
      <c r="B9" s="4" t="inlineStr">
        <is>
          <t>2.  Pick a Display Currency at the top of any tab. Each tab is independent — set them</t>
        </is>
      </c>
    </row>
    <row r="10">
      <c r="B10" s="4" t="inlineStr">
        <is>
          <t xml:space="preserve">    all the same for a consistent pitch view.</t>
        </is>
      </c>
    </row>
    <row r="11">
      <c r="B11" s="4" t="inlineStr"/>
    </row>
    <row r="12">
      <c r="B12" s="4" t="inlineStr">
        <is>
          <t>3.  Forecast: 26-week P&amp;L for the Bee Propolis market test under three scenarios.</t>
        </is>
      </c>
    </row>
    <row r="13">
      <c r="B13" s="4" t="inlineStr">
        <is>
          <t xml:space="preserve">    Summary: side-by-side KPIs across the three scenarios.</t>
        </is>
      </c>
    </row>
    <row r="14">
      <c r="B14" s="4" t="inlineStr">
        <is>
          <t xml:space="preserve">    Portfolio: annual Y1 roll-up across all seven D93 SKUs with blended margin &amp; ROI.</t>
        </is>
      </c>
    </row>
    <row r="15">
      <c r="B15" s="4" t="inlineStr"/>
    </row>
    <row r="16">
      <c r="B16" s="4" t="inlineStr">
        <is>
          <t>4.  Test Start Date (W1) on Inputs drives every week column's date.</t>
        </is>
      </c>
    </row>
    <row r="17">
      <c r="B17" s="4" t="inlineStr"/>
    </row>
    <row r="18">
      <c r="B18" s="5" t="inlineStr">
        <is>
          <t>COLOUR KEY</t>
        </is>
      </c>
    </row>
    <row r="19">
      <c r="B19" s="6" t="inlineStr">
        <is>
          <t xml:space="preserve">   Yellow: Editable input</t>
        </is>
      </c>
    </row>
    <row r="20">
      <c r="B20" s="7" t="inlineStr">
        <is>
          <t xml:space="preserve">   Light Blue: Summary KPI</t>
        </is>
      </c>
    </row>
    <row r="21">
      <c r="B21" s="8" t="inlineStr">
        <is>
          <t xml:space="preserve">   Grey: 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6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70" customWidth="1" min="4" max="4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2" ht="32" customHeight="1">
      <c r="B2" s="9" t="inlineStr">
        <is>
          <t>INPUTS — change any yellow cell</t>
        </is>
      </c>
    </row>
    <row r="4" ht="22" customHeight="1">
      <c r="B4" s="10" t="inlineStr">
        <is>
          <t>1.  Display Currency  (master copy — each tab has its own)</t>
        </is>
      </c>
    </row>
    <row r="5" ht="22" customHeight="1">
      <c r="B5" s="11" t="inlineStr">
        <is>
          <t>Display Currency</t>
        </is>
      </c>
      <c r="C5" s="12" t="inlineStr">
        <is>
          <t>GBP</t>
        </is>
      </c>
      <c r="D5" s="13" t="inlineStr">
        <is>
          <t>Each display tab has its own dropdown; this one is just here for reference.</t>
        </is>
      </c>
    </row>
    <row r="7">
      <c r="B7" s="14" t="inlineStr">
        <is>
          <t>FX Rate Table — edit rates (rate is per 1 GBP)</t>
        </is>
      </c>
    </row>
    <row r="12">
      <c r="B12" s="15" t="inlineStr">
        <is>
          <t>Code</t>
        </is>
      </c>
      <c r="C12" s="15" t="inlineStr">
        <is>
          <t>Symbol</t>
        </is>
      </c>
      <c r="D12" s="16" t="inlineStr">
        <is>
          <t>Rate (× GBP)</t>
        </is>
      </c>
    </row>
    <row r="13" ht="18" customHeight="1">
      <c r="B13" s="17" t="inlineStr">
        <is>
          <t>GBP</t>
        </is>
      </c>
      <c r="C13" s="12" t="inlineStr">
        <is>
          <t>£</t>
        </is>
      </c>
      <c r="D13" s="18" t="n">
        <v>1</v>
      </c>
    </row>
    <row r="14" ht="18" customHeight="1">
      <c r="B14" s="17" t="inlineStr">
        <is>
          <t>USD</t>
        </is>
      </c>
      <c r="C14" s="12" t="inlineStr">
        <is>
          <t>$</t>
        </is>
      </c>
      <c r="D14" s="18" t="n">
        <v>1.27</v>
      </c>
    </row>
    <row r="15" ht="18" customHeight="1">
      <c r="B15" s="17" t="inlineStr">
        <is>
          <t>CAD</t>
        </is>
      </c>
      <c r="C15" s="12" t="inlineStr">
        <is>
          <t>C$</t>
        </is>
      </c>
      <c r="D15" s="18" t="n">
        <v>1.71</v>
      </c>
    </row>
    <row r="16" ht="18" customHeight="1">
      <c r="B16" s="17" t="inlineStr">
        <is>
          <t>EUR</t>
        </is>
      </c>
      <c r="C16" s="12" t="inlineStr">
        <is>
          <t>€</t>
        </is>
      </c>
      <c r="D16" s="18" t="n">
        <v>1.17</v>
      </c>
    </row>
    <row r="19" ht="22" customHeight="1">
      <c r="B19" s="10" t="inlineStr">
        <is>
          <t>2.  Product &amp; Distribution</t>
        </is>
      </c>
    </row>
    <row r="20" ht="22" customHeight="1">
      <c r="B20" s="11" t="inlineStr">
        <is>
          <t>SKU</t>
        </is>
      </c>
      <c r="C20" s="19" t="inlineStr">
        <is>
          <t>Bee Propolis Spray 30ml x 2</t>
        </is>
      </c>
      <c r="D20" s="13" t="inlineStr">
        <is>
          <t>Costco UK market test SKU.</t>
        </is>
      </c>
    </row>
    <row r="21" ht="22" customHeight="1">
      <c r="B21" s="11" t="inlineStr">
        <is>
          <t>Test Start Date (W1)</t>
        </is>
      </c>
      <c r="C21" s="20" t="n">
        <v>46034</v>
      </c>
      <c r="D21" s="13" t="inlineStr">
        <is>
          <t>Week-commencing date for W1.</t>
        </is>
      </c>
    </row>
    <row r="22" ht="22" customHeight="1">
      <c r="B22" s="11" t="inlineStr">
        <is>
          <t>Warehouses in test</t>
        </is>
      </c>
      <c r="C22" s="21" t="n">
        <v>20</v>
      </c>
      <c r="D22" s="13" t="inlineStr">
        <is>
          <t>Number of Costco UK warehouses.</t>
        </is>
      </c>
    </row>
    <row r="24" ht="22" customHeight="1">
      <c r="B24" s="10" t="inlineStr">
        <is>
          <t>3.  Pricing (GBP)</t>
        </is>
      </c>
    </row>
    <row r="25" ht="22" customHeight="1">
      <c r="B25" s="11" t="inlineStr">
        <is>
          <t>Selling Price (MSRP)</t>
        </is>
      </c>
      <c r="C25" s="22" t="n">
        <v>15.99</v>
      </c>
      <c r="D25" s="13" t="inlineStr">
        <is>
          <t>Retail per pack.</t>
        </is>
      </c>
    </row>
    <row r="26" ht="22" customHeight="1">
      <c r="B26" s="11" t="inlineStr">
        <is>
          <t>Cost Price (landed)</t>
        </is>
      </c>
      <c r="C26" s="22" t="n">
        <v>7.29</v>
      </c>
      <c r="D26" s="13" t="inlineStr">
        <is>
          <t>Brand cost delivered.</t>
        </is>
      </c>
    </row>
    <row r="27" ht="22" customHeight="1">
      <c r="B27" s="11" t="inlineStr">
        <is>
          <t>Gross Margin per unit</t>
        </is>
      </c>
      <c r="C27" s="23">
        <f>C25-C26</f>
        <v/>
      </c>
      <c r="D27" s="13" t="inlineStr">
        <is>
          <t>SP − Cost (auto).</t>
        </is>
      </c>
    </row>
    <row r="28" ht="22" customHeight="1">
      <c r="B28" s="11" t="inlineStr">
        <is>
          <t>Gross Margin %</t>
        </is>
      </c>
      <c r="C28" s="24">
        <f>IFERROR((C25-C26)/C25,0)</f>
        <v/>
      </c>
      <c r="D28" s="13" t="inlineStr">
        <is>
          <t>GP ÷ SP (auto).</t>
        </is>
      </c>
    </row>
    <row r="30" ht="22" customHeight="1">
      <c r="B30" s="10" t="inlineStr">
        <is>
          <t>4.  Base Demand</t>
        </is>
      </c>
    </row>
    <row r="31" ht="22" customHeight="1">
      <c r="B31" s="11" t="inlineStr">
        <is>
          <t>Base Units / Week (all warehouses)</t>
        </is>
      </c>
      <c r="C31" s="21" t="n">
        <v>276</v>
      </c>
      <c r="D31" s="13" t="inlineStr">
        <is>
          <t>Organic weekly sell-through across all test warehouses, no promo.</t>
        </is>
      </c>
    </row>
    <row r="33" ht="22" customHeight="1">
      <c r="B33" s="10" t="inlineStr">
        <is>
          <t>5.  Promo Economics (GBP)</t>
        </is>
      </c>
    </row>
    <row r="34" ht="22" customHeight="1">
      <c r="B34" s="11" t="inlineStr">
        <is>
          <t>Demo Total £ / week (all warehouses)</t>
        </is>
      </c>
      <c r="C34" s="25" t="n">
        <v>7403</v>
      </c>
      <c r="D34" s="13" t="inlineStr">
        <is>
          <t>All-warehouse demo cost in a demo week. ~£199/wh × 20 wh × 1.86 factor.</t>
        </is>
      </c>
    </row>
    <row r="35" ht="22" customHeight="1">
      <c r="B35" s="11" t="inlineStr">
        <is>
          <t>End Cap Total £ / week (all warehouses)</t>
        </is>
      </c>
      <c r="C35" s="25" t="n">
        <v>15810</v>
      </c>
      <c r="D35" s="13" t="inlineStr">
        <is>
          <t>All-warehouse end cap cost in an end cap week. ~£850/wh × 20 wh × 1.86 ÷ 2-week cycle.</t>
        </is>
      </c>
    </row>
    <row r="36" ht="22" customHeight="1">
      <c r="B36" s="11" t="inlineStr">
        <is>
          <t>TPD discount % (of net)</t>
        </is>
      </c>
      <c r="C36" s="26" t="n">
        <v>0.25</v>
      </c>
      <c r="D36" s="13" t="inlineStr">
        <is>
          <t>20% off MSRP ≈ 25% off net.</t>
        </is>
      </c>
    </row>
    <row r="37" ht="22" customHeight="1">
      <c r="B37" s="11" t="inlineStr">
        <is>
          <t>Markdown discount %</t>
        </is>
      </c>
      <c r="C37" s="26" t="n">
        <v>0.5</v>
      </c>
      <c r="D37" s="13" t="inlineStr">
        <is>
          <t>Clearance pricing.</t>
        </is>
      </c>
    </row>
    <row r="39" ht="22" customHeight="1">
      <c r="B39" s="10" t="inlineStr">
        <is>
          <t>6.  Scenario activity (1 = on / 0 = off per week) and demand lift</t>
        </is>
      </c>
    </row>
    <row r="41" ht="22" customHeight="1">
      <c r="B41" s="27" t="inlineStr">
        <is>
          <t>BEST · Demo + TPD (Wks 5-6)</t>
        </is>
      </c>
    </row>
    <row r="42" ht="24" customHeight="1">
      <c r="B42" s="13" t="inlineStr">
        <is>
          <t>Rationale: Two demo weekends with TPD. ~3x lift in-promo weeks.</t>
        </is>
      </c>
    </row>
    <row r="43">
      <c r="B43" s="28" t="inlineStr">
        <is>
          <t>Week</t>
        </is>
      </c>
      <c r="F43" s="15" t="inlineStr">
        <is>
          <t>W1</t>
        </is>
      </c>
      <c r="G43" s="15" t="inlineStr">
        <is>
          <t>W2</t>
        </is>
      </c>
      <c r="H43" s="15" t="inlineStr">
        <is>
          <t>W3</t>
        </is>
      </c>
      <c r="I43" s="15" t="inlineStr">
        <is>
          <t>W4</t>
        </is>
      </c>
      <c r="J43" s="15" t="inlineStr">
        <is>
          <t>W5</t>
        </is>
      </c>
      <c r="K43" s="15" t="inlineStr">
        <is>
          <t>W6</t>
        </is>
      </c>
      <c r="L43" s="15" t="inlineStr">
        <is>
          <t>W7</t>
        </is>
      </c>
      <c r="M43" s="15" t="inlineStr">
        <is>
          <t>W8</t>
        </is>
      </c>
      <c r="N43" s="15" t="inlineStr">
        <is>
          <t>W9</t>
        </is>
      </c>
      <c r="O43" s="15" t="inlineStr">
        <is>
          <t>W10</t>
        </is>
      </c>
      <c r="P43" s="15" t="inlineStr">
        <is>
          <t>W11</t>
        </is>
      </c>
      <c r="Q43" s="15" t="inlineStr">
        <is>
          <t>W12</t>
        </is>
      </c>
      <c r="R43" s="15" t="inlineStr">
        <is>
          <t>W13</t>
        </is>
      </c>
      <c r="S43" s="15" t="inlineStr">
        <is>
          <t>W14</t>
        </is>
      </c>
      <c r="T43" s="15" t="inlineStr">
        <is>
          <t>W15</t>
        </is>
      </c>
      <c r="U43" s="15" t="inlineStr">
        <is>
          <t>W16</t>
        </is>
      </c>
      <c r="V43" s="15" t="inlineStr">
        <is>
          <t>W17</t>
        </is>
      </c>
      <c r="W43" s="15" t="inlineStr">
        <is>
          <t>W18</t>
        </is>
      </c>
      <c r="X43" s="15" t="inlineStr">
        <is>
          <t>W19</t>
        </is>
      </c>
      <c r="Y43" s="15" t="inlineStr">
        <is>
          <t>W20</t>
        </is>
      </c>
      <c r="Z43" s="15" t="inlineStr">
        <is>
          <t>W21</t>
        </is>
      </c>
      <c r="AA43" s="15" t="inlineStr">
        <is>
          <t>W22</t>
        </is>
      </c>
      <c r="AB43" s="15" t="inlineStr">
        <is>
          <t>W23</t>
        </is>
      </c>
      <c r="AC43" s="15" t="inlineStr">
        <is>
          <t>W24</t>
        </is>
      </c>
      <c r="AD43" s="15" t="inlineStr">
        <is>
          <t>W25</t>
        </is>
      </c>
      <c r="AE43" s="15" t="inlineStr">
        <is>
          <t>W26</t>
        </is>
      </c>
    </row>
    <row r="44">
      <c r="B44" s="28" t="inlineStr">
        <is>
          <t>Wk-commencing</t>
        </is>
      </c>
      <c r="F44" s="29">
        <f>StartDate+7*0</f>
        <v/>
      </c>
      <c r="G44" s="29">
        <f>StartDate+7*1</f>
        <v/>
      </c>
      <c r="H44" s="29">
        <f>StartDate+7*2</f>
        <v/>
      </c>
      <c r="I44" s="29">
        <f>StartDate+7*3</f>
        <v/>
      </c>
      <c r="J44" s="29">
        <f>StartDate+7*4</f>
        <v/>
      </c>
      <c r="K44" s="29">
        <f>StartDate+7*5</f>
        <v/>
      </c>
      <c r="L44" s="29">
        <f>StartDate+7*6</f>
        <v/>
      </c>
      <c r="M44" s="29">
        <f>StartDate+7*7</f>
        <v/>
      </c>
      <c r="N44" s="29">
        <f>StartDate+7*8</f>
        <v/>
      </c>
      <c r="O44" s="29">
        <f>StartDate+7*9</f>
        <v/>
      </c>
      <c r="P44" s="29">
        <f>StartDate+7*10</f>
        <v/>
      </c>
      <c r="Q44" s="29">
        <f>StartDate+7*11</f>
        <v/>
      </c>
      <c r="R44" s="29">
        <f>StartDate+7*12</f>
        <v/>
      </c>
      <c r="S44" s="29">
        <f>StartDate+7*13</f>
        <v/>
      </c>
      <c r="T44" s="29">
        <f>StartDate+7*14</f>
        <v/>
      </c>
      <c r="U44" s="29">
        <f>StartDate+7*15</f>
        <v/>
      </c>
      <c r="V44" s="29">
        <f>StartDate+7*16</f>
        <v/>
      </c>
      <c r="W44" s="29">
        <f>StartDate+7*17</f>
        <v/>
      </c>
      <c r="X44" s="29">
        <f>StartDate+7*18</f>
        <v/>
      </c>
      <c r="Y44" s="29">
        <f>StartDate+7*19</f>
        <v/>
      </c>
      <c r="Z44" s="29">
        <f>StartDate+7*20</f>
        <v/>
      </c>
      <c r="AA44" s="29">
        <f>StartDate+7*21</f>
        <v/>
      </c>
      <c r="AB44" s="29">
        <f>StartDate+7*22</f>
        <v/>
      </c>
      <c r="AC44" s="29">
        <f>StartDate+7*23</f>
        <v/>
      </c>
      <c r="AD44" s="29">
        <f>StartDate+7*24</f>
        <v/>
      </c>
      <c r="AE44" s="29">
        <f>StartDate+7*25</f>
        <v/>
      </c>
    </row>
    <row r="45">
      <c r="B45" s="11" t="inlineStr">
        <is>
          <t>Demo</t>
        </is>
      </c>
      <c r="F45" s="30" t="n">
        <v>0</v>
      </c>
      <c r="G45" s="30" t="n">
        <v>0</v>
      </c>
      <c r="H45" s="30" t="n">
        <v>0</v>
      </c>
      <c r="I45" s="30" t="n">
        <v>0</v>
      </c>
      <c r="J45" s="30" t="n">
        <v>1</v>
      </c>
      <c r="K45" s="30" t="n">
        <v>1</v>
      </c>
      <c r="L45" s="30" t="n">
        <v>0</v>
      </c>
      <c r="M45" s="30" t="n">
        <v>0</v>
      </c>
      <c r="N45" s="30" t="n">
        <v>0</v>
      </c>
      <c r="O45" s="30" t="n">
        <v>0</v>
      </c>
      <c r="P45" s="30" t="n">
        <v>0</v>
      </c>
      <c r="Q45" s="30" t="n">
        <v>0</v>
      </c>
      <c r="R45" s="30" t="n">
        <v>0</v>
      </c>
      <c r="S45" s="30" t="n">
        <v>0</v>
      </c>
      <c r="T45" s="30" t="n">
        <v>0</v>
      </c>
      <c r="U45" s="30" t="n">
        <v>0</v>
      </c>
      <c r="V45" s="30" t="n">
        <v>0</v>
      </c>
      <c r="W45" s="30" t="n">
        <v>0</v>
      </c>
      <c r="X45" s="30" t="n">
        <v>0</v>
      </c>
      <c r="Y45" s="30" t="n">
        <v>0</v>
      </c>
      <c r="Z45" s="30" t="n">
        <v>0</v>
      </c>
      <c r="AA45" s="30" t="n">
        <v>0</v>
      </c>
      <c r="AB45" s="30" t="n">
        <v>0</v>
      </c>
      <c r="AC45" s="30" t="n">
        <v>0</v>
      </c>
      <c r="AD45" s="30" t="n">
        <v>0</v>
      </c>
      <c r="AE45" s="30" t="n">
        <v>0</v>
      </c>
    </row>
    <row r="46">
      <c r="B46" s="11" t="inlineStr">
        <is>
          <t>End Cap</t>
        </is>
      </c>
      <c r="F46" s="30" t="n">
        <v>0</v>
      </c>
      <c r="G46" s="30" t="n">
        <v>0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M46" s="30" t="n">
        <v>0</v>
      </c>
      <c r="N46" s="30" t="n">
        <v>0</v>
      </c>
      <c r="O46" s="30" t="n">
        <v>0</v>
      </c>
      <c r="P46" s="30" t="n">
        <v>0</v>
      </c>
      <c r="Q46" s="30" t="n">
        <v>0</v>
      </c>
      <c r="R46" s="30" t="n">
        <v>0</v>
      </c>
      <c r="S46" s="30" t="n">
        <v>0</v>
      </c>
      <c r="T46" s="30" t="n">
        <v>0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  <c r="Z46" s="30" t="n">
        <v>0</v>
      </c>
      <c r="AA46" s="30" t="n">
        <v>0</v>
      </c>
      <c r="AB46" s="30" t="n">
        <v>0</v>
      </c>
      <c r="AC46" s="30" t="n">
        <v>0</v>
      </c>
      <c r="AD46" s="30" t="n">
        <v>0</v>
      </c>
      <c r="AE46" s="30" t="n">
        <v>0</v>
      </c>
    </row>
    <row r="47">
      <c r="B47" s="11" t="inlineStr">
        <is>
          <t>TPD</t>
        </is>
      </c>
      <c r="F47" s="30" t="n">
        <v>0</v>
      </c>
      <c r="G47" s="30" t="n">
        <v>0</v>
      </c>
      <c r="H47" s="30" t="n">
        <v>0</v>
      </c>
      <c r="I47" s="30" t="n">
        <v>0</v>
      </c>
      <c r="J47" s="30" t="n">
        <v>1</v>
      </c>
      <c r="K47" s="30" t="n">
        <v>1</v>
      </c>
      <c r="L47" s="30" t="n">
        <v>0</v>
      </c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0" t="n">
        <v>0</v>
      </c>
      <c r="S47" s="30" t="n">
        <v>0</v>
      </c>
      <c r="T47" s="30" t="n">
        <v>0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  <c r="Z47" s="30" t="n">
        <v>0</v>
      </c>
      <c r="AA47" s="30" t="n">
        <v>0</v>
      </c>
      <c r="AB47" s="30" t="n">
        <v>0</v>
      </c>
      <c r="AC47" s="30" t="n">
        <v>0</v>
      </c>
      <c r="AD47" s="30" t="n">
        <v>0</v>
      </c>
      <c r="AE47" s="30" t="n">
        <v>0</v>
      </c>
    </row>
    <row r="48">
      <c r="B48" s="11" t="inlineStr">
        <is>
          <t>Markdown</t>
        </is>
      </c>
      <c r="F48" s="30" t="n">
        <v>0</v>
      </c>
      <c r="G48" s="30" t="n">
        <v>0</v>
      </c>
      <c r="H48" s="30" t="n">
        <v>0</v>
      </c>
      <c r="I48" s="30" t="n">
        <v>0</v>
      </c>
      <c r="J48" s="30" t="n">
        <v>0</v>
      </c>
      <c r="K48" s="30" t="n">
        <v>0</v>
      </c>
      <c r="L48" s="30" t="n">
        <v>0</v>
      </c>
      <c r="M48" s="30" t="n">
        <v>0</v>
      </c>
      <c r="N48" s="30" t="n">
        <v>0</v>
      </c>
      <c r="O48" s="30" t="n">
        <v>0</v>
      </c>
      <c r="P48" s="30" t="n">
        <v>0</v>
      </c>
      <c r="Q48" s="30" t="n">
        <v>0</v>
      </c>
      <c r="R48" s="30" t="n">
        <v>0</v>
      </c>
      <c r="S48" s="30" t="n">
        <v>0</v>
      </c>
      <c r="T48" s="30" t="n">
        <v>0</v>
      </c>
      <c r="U48" s="30" t="n">
        <v>0</v>
      </c>
      <c r="V48" s="30" t="n">
        <v>0</v>
      </c>
      <c r="W48" s="30" t="n">
        <v>0</v>
      </c>
      <c r="X48" s="30" t="n">
        <v>0</v>
      </c>
      <c r="Y48" s="30" t="n">
        <v>0</v>
      </c>
      <c r="Z48" s="30" t="n">
        <v>0</v>
      </c>
      <c r="AA48" s="30" t="n">
        <v>0</v>
      </c>
      <c r="AB48" s="30" t="n">
        <v>0</v>
      </c>
      <c r="AC48" s="30" t="n">
        <v>0</v>
      </c>
      <c r="AD48" s="30" t="n">
        <v>0</v>
      </c>
      <c r="AE48" s="30" t="n">
        <v>0</v>
      </c>
    </row>
    <row r="49">
      <c r="B49" s="11" t="inlineStr">
        <is>
          <t>Lift Multiplier (x base)</t>
        </is>
      </c>
      <c r="F49" s="31" t="n">
        <v>1</v>
      </c>
      <c r="G49" s="31" t="n">
        <v>1</v>
      </c>
      <c r="H49" s="31" t="n">
        <v>1</v>
      </c>
      <c r="I49" s="31" t="n">
        <v>1</v>
      </c>
      <c r="J49" s="31" t="n">
        <v>3</v>
      </c>
      <c r="K49" s="31" t="n">
        <v>3</v>
      </c>
      <c r="L49" s="31" t="n">
        <v>1</v>
      </c>
      <c r="M49" s="31" t="n">
        <v>1</v>
      </c>
      <c r="N49" s="31" t="n">
        <v>1</v>
      </c>
      <c r="O49" s="31" t="n">
        <v>1</v>
      </c>
      <c r="P49" s="31" t="n">
        <v>1</v>
      </c>
      <c r="Q49" s="31" t="n">
        <v>1</v>
      </c>
      <c r="R49" s="31" t="n">
        <v>1</v>
      </c>
      <c r="S49" s="31" t="n">
        <v>1</v>
      </c>
      <c r="T49" s="31" t="n">
        <v>1</v>
      </c>
      <c r="U49" s="31" t="n">
        <v>1</v>
      </c>
      <c r="V49" s="31" t="n">
        <v>1</v>
      </c>
      <c r="W49" s="31" t="n">
        <v>1</v>
      </c>
      <c r="X49" s="31" t="n">
        <v>1</v>
      </c>
      <c r="Y49" s="31" t="n">
        <v>1</v>
      </c>
      <c r="Z49" s="31" t="n">
        <v>1</v>
      </c>
      <c r="AA49" s="31" t="n">
        <v>1</v>
      </c>
      <c r="AB49" s="31" t="n">
        <v>1</v>
      </c>
      <c r="AC49" s="31" t="n">
        <v>1</v>
      </c>
      <c r="AD49" s="31" t="n">
        <v>1</v>
      </c>
      <c r="AE49" s="31" t="n">
        <v>1</v>
      </c>
    </row>
    <row r="51" ht="22" customHeight="1">
      <c r="B51" s="27" t="inlineStr">
        <is>
          <t>IDEAL · Demo + End Cap + TPD (Wks 5-6)</t>
        </is>
      </c>
    </row>
    <row r="52" ht="24" customHeight="1">
      <c r="B52" s="13" t="inlineStr">
        <is>
          <t>Rationale: Stacked demo + end cap + TPD. ~3.6x lift.</t>
        </is>
      </c>
    </row>
    <row r="53">
      <c r="B53" s="28" t="inlineStr">
        <is>
          <t>Week</t>
        </is>
      </c>
      <c r="F53" s="15" t="inlineStr">
        <is>
          <t>W1</t>
        </is>
      </c>
      <c r="G53" s="15" t="inlineStr">
        <is>
          <t>W2</t>
        </is>
      </c>
      <c r="H53" s="15" t="inlineStr">
        <is>
          <t>W3</t>
        </is>
      </c>
      <c r="I53" s="15" t="inlineStr">
        <is>
          <t>W4</t>
        </is>
      </c>
      <c r="J53" s="15" t="inlineStr">
        <is>
          <t>W5</t>
        </is>
      </c>
      <c r="K53" s="15" t="inlineStr">
        <is>
          <t>W6</t>
        </is>
      </c>
      <c r="L53" s="15" t="inlineStr">
        <is>
          <t>W7</t>
        </is>
      </c>
      <c r="M53" s="15" t="inlineStr">
        <is>
          <t>W8</t>
        </is>
      </c>
      <c r="N53" s="15" t="inlineStr">
        <is>
          <t>W9</t>
        </is>
      </c>
      <c r="O53" s="15" t="inlineStr">
        <is>
          <t>W10</t>
        </is>
      </c>
      <c r="P53" s="15" t="inlineStr">
        <is>
          <t>W11</t>
        </is>
      </c>
      <c r="Q53" s="15" t="inlineStr">
        <is>
          <t>W12</t>
        </is>
      </c>
      <c r="R53" s="15" t="inlineStr">
        <is>
          <t>W13</t>
        </is>
      </c>
      <c r="S53" s="15" t="inlineStr">
        <is>
          <t>W14</t>
        </is>
      </c>
      <c r="T53" s="15" t="inlineStr">
        <is>
          <t>W15</t>
        </is>
      </c>
      <c r="U53" s="15" t="inlineStr">
        <is>
          <t>W16</t>
        </is>
      </c>
      <c r="V53" s="15" t="inlineStr">
        <is>
          <t>W17</t>
        </is>
      </c>
      <c r="W53" s="15" t="inlineStr">
        <is>
          <t>W18</t>
        </is>
      </c>
      <c r="X53" s="15" t="inlineStr">
        <is>
          <t>W19</t>
        </is>
      </c>
      <c r="Y53" s="15" t="inlineStr">
        <is>
          <t>W20</t>
        </is>
      </c>
      <c r="Z53" s="15" t="inlineStr">
        <is>
          <t>W21</t>
        </is>
      </c>
      <c r="AA53" s="15" t="inlineStr">
        <is>
          <t>W22</t>
        </is>
      </c>
      <c r="AB53" s="15" t="inlineStr">
        <is>
          <t>W23</t>
        </is>
      </c>
      <c r="AC53" s="15" t="inlineStr">
        <is>
          <t>W24</t>
        </is>
      </c>
      <c r="AD53" s="15" t="inlineStr">
        <is>
          <t>W25</t>
        </is>
      </c>
      <c r="AE53" s="15" t="inlineStr">
        <is>
          <t>W26</t>
        </is>
      </c>
    </row>
    <row r="54">
      <c r="B54" s="28" t="inlineStr">
        <is>
          <t>Wk-commencing</t>
        </is>
      </c>
      <c r="F54" s="29">
        <f>StartDate+7*0</f>
        <v/>
      </c>
      <c r="G54" s="29">
        <f>StartDate+7*1</f>
        <v/>
      </c>
      <c r="H54" s="29">
        <f>StartDate+7*2</f>
        <v/>
      </c>
      <c r="I54" s="29">
        <f>StartDate+7*3</f>
        <v/>
      </c>
      <c r="J54" s="29">
        <f>StartDate+7*4</f>
        <v/>
      </c>
      <c r="K54" s="29">
        <f>StartDate+7*5</f>
        <v/>
      </c>
      <c r="L54" s="29">
        <f>StartDate+7*6</f>
        <v/>
      </c>
      <c r="M54" s="29">
        <f>StartDate+7*7</f>
        <v/>
      </c>
      <c r="N54" s="29">
        <f>StartDate+7*8</f>
        <v/>
      </c>
      <c r="O54" s="29">
        <f>StartDate+7*9</f>
        <v/>
      </c>
      <c r="P54" s="29">
        <f>StartDate+7*10</f>
        <v/>
      </c>
      <c r="Q54" s="29">
        <f>StartDate+7*11</f>
        <v/>
      </c>
      <c r="R54" s="29">
        <f>StartDate+7*12</f>
        <v/>
      </c>
      <c r="S54" s="29">
        <f>StartDate+7*13</f>
        <v/>
      </c>
      <c r="T54" s="29">
        <f>StartDate+7*14</f>
        <v/>
      </c>
      <c r="U54" s="29">
        <f>StartDate+7*15</f>
        <v/>
      </c>
      <c r="V54" s="29">
        <f>StartDate+7*16</f>
        <v/>
      </c>
      <c r="W54" s="29">
        <f>StartDate+7*17</f>
        <v/>
      </c>
      <c r="X54" s="29">
        <f>StartDate+7*18</f>
        <v/>
      </c>
      <c r="Y54" s="29">
        <f>StartDate+7*19</f>
        <v/>
      </c>
      <c r="Z54" s="29">
        <f>StartDate+7*20</f>
        <v/>
      </c>
      <c r="AA54" s="29">
        <f>StartDate+7*21</f>
        <v/>
      </c>
      <c r="AB54" s="29">
        <f>StartDate+7*22</f>
        <v/>
      </c>
      <c r="AC54" s="29">
        <f>StartDate+7*23</f>
        <v/>
      </c>
      <c r="AD54" s="29">
        <f>StartDate+7*24</f>
        <v/>
      </c>
      <c r="AE54" s="29">
        <f>StartDate+7*25</f>
        <v/>
      </c>
    </row>
    <row r="55">
      <c r="B55" s="11" t="inlineStr">
        <is>
          <t>Demo</t>
        </is>
      </c>
      <c r="F55" s="30" t="n">
        <v>0</v>
      </c>
      <c r="G55" s="30" t="n">
        <v>0</v>
      </c>
      <c r="H55" s="30" t="n">
        <v>0</v>
      </c>
      <c r="I55" s="30" t="n">
        <v>0</v>
      </c>
      <c r="J55" s="30" t="n">
        <v>1</v>
      </c>
      <c r="K55" s="30" t="n">
        <v>1</v>
      </c>
      <c r="L55" s="30" t="n">
        <v>0</v>
      </c>
      <c r="M55" s="30" t="n">
        <v>0</v>
      </c>
      <c r="N55" s="30" t="n">
        <v>0</v>
      </c>
      <c r="O55" s="30" t="n">
        <v>0</v>
      </c>
      <c r="P55" s="30" t="n">
        <v>0</v>
      </c>
      <c r="Q55" s="30" t="n">
        <v>0</v>
      </c>
      <c r="R55" s="30" t="n">
        <v>0</v>
      </c>
      <c r="S55" s="30" t="n">
        <v>0</v>
      </c>
      <c r="T55" s="30" t="n">
        <v>0</v>
      </c>
      <c r="U55" s="30" t="n">
        <v>0</v>
      </c>
      <c r="V55" s="30" t="n">
        <v>0</v>
      </c>
      <c r="W55" s="30" t="n">
        <v>0</v>
      </c>
      <c r="X55" s="30" t="n">
        <v>0</v>
      </c>
      <c r="Y55" s="30" t="n">
        <v>0</v>
      </c>
      <c r="Z55" s="30" t="n">
        <v>0</v>
      </c>
      <c r="AA55" s="30" t="n">
        <v>0</v>
      </c>
      <c r="AB55" s="30" t="n">
        <v>0</v>
      </c>
      <c r="AC55" s="30" t="n">
        <v>0</v>
      </c>
      <c r="AD55" s="30" t="n">
        <v>0</v>
      </c>
      <c r="AE55" s="30" t="n">
        <v>0</v>
      </c>
    </row>
    <row r="56">
      <c r="B56" s="11" t="inlineStr">
        <is>
          <t>End Cap</t>
        </is>
      </c>
      <c r="F56" s="30" t="n">
        <v>0</v>
      </c>
      <c r="G56" s="30" t="n">
        <v>0</v>
      </c>
      <c r="H56" s="30" t="n">
        <v>0</v>
      </c>
      <c r="I56" s="30" t="n">
        <v>0</v>
      </c>
      <c r="J56" s="30" t="n">
        <v>1</v>
      </c>
      <c r="K56" s="30" t="n">
        <v>1</v>
      </c>
      <c r="L56" s="30" t="n">
        <v>0</v>
      </c>
      <c r="M56" s="30" t="n">
        <v>0</v>
      </c>
      <c r="N56" s="30" t="n">
        <v>0</v>
      </c>
      <c r="O56" s="30" t="n">
        <v>0</v>
      </c>
      <c r="P56" s="30" t="n">
        <v>0</v>
      </c>
      <c r="Q56" s="30" t="n">
        <v>0</v>
      </c>
      <c r="R56" s="30" t="n">
        <v>0</v>
      </c>
      <c r="S56" s="30" t="n">
        <v>0</v>
      </c>
      <c r="T56" s="30" t="n">
        <v>0</v>
      </c>
      <c r="U56" s="30" t="n">
        <v>0</v>
      </c>
      <c r="V56" s="30" t="n">
        <v>0</v>
      </c>
      <c r="W56" s="30" t="n">
        <v>0</v>
      </c>
      <c r="X56" s="30" t="n">
        <v>0</v>
      </c>
      <c r="Y56" s="30" t="n">
        <v>0</v>
      </c>
      <c r="Z56" s="30" t="n">
        <v>0</v>
      </c>
      <c r="AA56" s="30" t="n">
        <v>0</v>
      </c>
      <c r="AB56" s="30" t="n">
        <v>0</v>
      </c>
      <c r="AC56" s="30" t="n">
        <v>0</v>
      </c>
      <c r="AD56" s="30" t="n">
        <v>0</v>
      </c>
      <c r="AE56" s="30" t="n">
        <v>0</v>
      </c>
    </row>
    <row r="57">
      <c r="B57" s="11" t="inlineStr">
        <is>
          <t>TPD</t>
        </is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1</v>
      </c>
      <c r="K57" s="30" t="n">
        <v>1</v>
      </c>
      <c r="L57" s="30" t="n">
        <v>0</v>
      </c>
      <c r="M57" s="30" t="n">
        <v>0</v>
      </c>
      <c r="N57" s="30" t="n">
        <v>0</v>
      </c>
      <c r="O57" s="30" t="n">
        <v>0</v>
      </c>
      <c r="P57" s="30" t="n">
        <v>0</v>
      </c>
      <c r="Q57" s="30" t="n">
        <v>0</v>
      </c>
      <c r="R57" s="30" t="n">
        <v>0</v>
      </c>
      <c r="S57" s="30" t="n">
        <v>0</v>
      </c>
      <c r="T57" s="30" t="n">
        <v>0</v>
      </c>
      <c r="U57" s="30" t="n">
        <v>0</v>
      </c>
      <c r="V57" s="30" t="n">
        <v>0</v>
      </c>
      <c r="W57" s="30" t="n">
        <v>0</v>
      </c>
      <c r="X57" s="30" t="n">
        <v>0</v>
      </c>
      <c r="Y57" s="30" t="n">
        <v>0</v>
      </c>
      <c r="Z57" s="30" t="n">
        <v>0</v>
      </c>
      <c r="AA57" s="30" t="n">
        <v>0</v>
      </c>
      <c r="AB57" s="30" t="n">
        <v>0</v>
      </c>
      <c r="AC57" s="30" t="n">
        <v>0</v>
      </c>
      <c r="AD57" s="30" t="n">
        <v>0</v>
      </c>
      <c r="AE57" s="30" t="n">
        <v>0</v>
      </c>
    </row>
    <row r="58">
      <c r="B58" s="11" t="inlineStr">
        <is>
          <t>Markdown</t>
        </is>
      </c>
      <c r="F58" s="30" t="n">
        <v>0</v>
      </c>
      <c r="G58" s="30" t="n">
        <v>0</v>
      </c>
      <c r="H58" s="30" t="n">
        <v>0</v>
      </c>
      <c r="I58" s="30" t="n">
        <v>0</v>
      </c>
      <c r="J58" s="30" t="n">
        <v>0</v>
      </c>
      <c r="K58" s="30" t="n">
        <v>0</v>
      </c>
      <c r="L58" s="30" t="n">
        <v>0</v>
      </c>
      <c r="M58" s="30" t="n">
        <v>0</v>
      </c>
      <c r="N58" s="30" t="n">
        <v>0</v>
      </c>
      <c r="O58" s="30" t="n">
        <v>0</v>
      </c>
      <c r="P58" s="30" t="n">
        <v>0</v>
      </c>
      <c r="Q58" s="30" t="n">
        <v>0</v>
      </c>
      <c r="R58" s="30" t="n">
        <v>0</v>
      </c>
      <c r="S58" s="30" t="n">
        <v>0</v>
      </c>
      <c r="T58" s="30" t="n">
        <v>0</v>
      </c>
      <c r="U58" s="30" t="n">
        <v>0</v>
      </c>
      <c r="V58" s="30" t="n">
        <v>0</v>
      </c>
      <c r="W58" s="30" t="n">
        <v>0</v>
      </c>
      <c r="X58" s="30" t="n">
        <v>0</v>
      </c>
      <c r="Y58" s="30" t="n">
        <v>0</v>
      </c>
      <c r="Z58" s="30" t="n">
        <v>0</v>
      </c>
      <c r="AA58" s="30" t="n">
        <v>0</v>
      </c>
      <c r="AB58" s="30" t="n">
        <v>0</v>
      </c>
      <c r="AC58" s="30" t="n">
        <v>0</v>
      </c>
      <c r="AD58" s="30" t="n">
        <v>0</v>
      </c>
      <c r="AE58" s="30" t="n">
        <v>0</v>
      </c>
    </row>
    <row r="59">
      <c r="B59" s="11" t="inlineStr">
        <is>
          <t>Lift Multiplier (x base)</t>
        </is>
      </c>
      <c r="F59" s="31" t="n">
        <v>1</v>
      </c>
      <c r="G59" s="31" t="n">
        <v>1</v>
      </c>
      <c r="H59" s="31" t="n">
        <v>1</v>
      </c>
      <c r="I59" s="31" t="n">
        <v>1</v>
      </c>
      <c r="J59" s="31" t="n">
        <v>3.6</v>
      </c>
      <c r="K59" s="31" t="n">
        <v>3.6</v>
      </c>
      <c r="L59" s="31" t="n">
        <v>1</v>
      </c>
      <c r="M59" s="31" t="n">
        <v>1</v>
      </c>
      <c r="N59" s="31" t="n">
        <v>1</v>
      </c>
      <c r="O59" s="31" t="n">
        <v>1</v>
      </c>
      <c r="P59" s="31" t="n">
        <v>1</v>
      </c>
      <c r="Q59" s="31" t="n">
        <v>1</v>
      </c>
      <c r="R59" s="31" t="n">
        <v>1</v>
      </c>
      <c r="S59" s="31" t="n">
        <v>1</v>
      </c>
      <c r="T59" s="31" t="n">
        <v>1</v>
      </c>
      <c r="U59" s="31" t="n">
        <v>1</v>
      </c>
      <c r="V59" s="31" t="n">
        <v>1</v>
      </c>
      <c r="W59" s="31" t="n">
        <v>1</v>
      </c>
      <c r="X59" s="31" t="n">
        <v>1</v>
      </c>
      <c r="Y59" s="31" t="n">
        <v>1</v>
      </c>
      <c r="Z59" s="31" t="n">
        <v>1</v>
      </c>
      <c r="AA59" s="31" t="n">
        <v>1</v>
      </c>
      <c r="AB59" s="31" t="n">
        <v>1</v>
      </c>
      <c r="AC59" s="31" t="n">
        <v>1</v>
      </c>
      <c r="AD59" s="31" t="n">
        <v>1</v>
      </c>
      <c r="AE59" s="31" t="n">
        <v>1</v>
      </c>
    </row>
    <row r="61" ht="22" customHeight="1">
      <c r="B61" s="27" t="inlineStr">
        <is>
          <t>WORST · Launch then markdown clearance</t>
        </is>
      </c>
    </row>
    <row r="62" ht="24" customHeight="1">
      <c r="B62" s="13" t="inlineStr">
        <is>
          <t>Rationale: Launch as IDEAL, then 50% markdown to clear Wks 18-20.</t>
        </is>
      </c>
    </row>
    <row r="63">
      <c r="B63" s="28" t="inlineStr">
        <is>
          <t>Week</t>
        </is>
      </c>
      <c r="F63" s="15" t="inlineStr">
        <is>
          <t>W1</t>
        </is>
      </c>
      <c r="G63" s="15" t="inlineStr">
        <is>
          <t>W2</t>
        </is>
      </c>
      <c r="H63" s="15" t="inlineStr">
        <is>
          <t>W3</t>
        </is>
      </c>
      <c r="I63" s="15" t="inlineStr">
        <is>
          <t>W4</t>
        </is>
      </c>
      <c r="J63" s="15" t="inlineStr">
        <is>
          <t>W5</t>
        </is>
      </c>
      <c r="K63" s="15" t="inlineStr">
        <is>
          <t>W6</t>
        </is>
      </c>
      <c r="L63" s="15" t="inlineStr">
        <is>
          <t>W7</t>
        </is>
      </c>
      <c r="M63" s="15" t="inlineStr">
        <is>
          <t>W8</t>
        </is>
      </c>
      <c r="N63" s="15" t="inlineStr">
        <is>
          <t>W9</t>
        </is>
      </c>
      <c r="O63" s="15" t="inlineStr">
        <is>
          <t>W10</t>
        </is>
      </c>
      <c r="P63" s="15" t="inlineStr">
        <is>
          <t>W11</t>
        </is>
      </c>
      <c r="Q63" s="15" t="inlineStr">
        <is>
          <t>W12</t>
        </is>
      </c>
      <c r="R63" s="15" t="inlineStr">
        <is>
          <t>W13</t>
        </is>
      </c>
      <c r="S63" s="15" t="inlineStr">
        <is>
          <t>W14</t>
        </is>
      </c>
      <c r="T63" s="15" t="inlineStr">
        <is>
          <t>W15</t>
        </is>
      </c>
      <c r="U63" s="15" t="inlineStr">
        <is>
          <t>W16</t>
        </is>
      </c>
      <c r="V63" s="15" t="inlineStr">
        <is>
          <t>W17</t>
        </is>
      </c>
      <c r="W63" s="15" t="inlineStr">
        <is>
          <t>W18</t>
        </is>
      </c>
      <c r="X63" s="15" t="inlineStr">
        <is>
          <t>W19</t>
        </is>
      </c>
      <c r="Y63" s="15" t="inlineStr">
        <is>
          <t>W20</t>
        </is>
      </c>
      <c r="Z63" s="15" t="inlineStr">
        <is>
          <t>W21</t>
        </is>
      </c>
      <c r="AA63" s="15" t="inlineStr">
        <is>
          <t>W22</t>
        </is>
      </c>
      <c r="AB63" s="15" t="inlineStr">
        <is>
          <t>W23</t>
        </is>
      </c>
      <c r="AC63" s="15" t="inlineStr">
        <is>
          <t>W24</t>
        </is>
      </c>
      <c r="AD63" s="15" t="inlineStr">
        <is>
          <t>W25</t>
        </is>
      </c>
      <c r="AE63" s="15" t="inlineStr">
        <is>
          <t>W26</t>
        </is>
      </c>
    </row>
    <row r="64">
      <c r="B64" s="28" t="inlineStr">
        <is>
          <t>Wk-commencing</t>
        </is>
      </c>
      <c r="F64" s="29">
        <f>StartDate+7*0</f>
        <v/>
      </c>
      <c r="G64" s="29">
        <f>StartDate+7*1</f>
        <v/>
      </c>
      <c r="H64" s="29">
        <f>StartDate+7*2</f>
        <v/>
      </c>
      <c r="I64" s="29">
        <f>StartDate+7*3</f>
        <v/>
      </c>
      <c r="J64" s="29">
        <f>StartDate+7*4</f>
        <v/>
      </c>
      <c r="K64" s="29">
        <f>StartDate+7*5</f>
        <v/>
      </c>
      <c r="L64" s="29">
        <f>StartDate+7*6</f>
        <v/>
      </c>
      <c r="M64" s="29">
        <f>StartDate+7*7</f>
        <v/>
      </c>
      <c r="N64" s="29">
        <f>StartDate+7*8</f>
        <v/>
      </c>
      <c r="O64" s="29">
        <f>StartDate+7*9</f>
        <v/>
      </c>
      <c r="P64" s="29">
        <f>StartDate+7*10</f>
        <v/>
      </c>
      <c r="Q64" s="29">
        <f>StartDate+7*11</f>
        <v/>
      </c>
      <c r="R64" s="29">
        <f>StartDate+7*12</f>
        <v/>
      </c>
      <c r="S64" s="29">
        <f>StartDate+7*13</f>
        <v/>
      </c>
      <c r="T64" s="29">
        <f>StartDate+7*14</f>
        <v/>
      </c>
      <c r="U64" s="29">
        <f>StartDate+7*15</f>
        <v/>
      </c>
      <c r="V64" s="29">
        <f>StartDate+7*16</f>
        <v/>
      </c>
      <c r="W64" s="29">
        <f>StartDate+7*17</f>
        <v/>
      </c>
      <c r="X64" s="29">
        <f>StartDate+7*18</f>
        <v/>
      </c>
      <c r="Y64" s="29">
        <f>StartDate+7*19</f>
        <v/>
      </c>
      <c r="Z64" s="29">
        <f>StartDate+7*20</f>
        <v/>
      </c>
      <c r="AA64" s="29">
        <f>StartDate+7*21</f>
        <v/>
      </c>
      <c r="AB64" s="29">
        <f>StartDate+7*22</f>
        <v/>
      </c>
      <c r="AC64" s="29">
        <f>StartDate+7*23</f>
        <v/>
      </c>
      <c r="AD64" s="29">
        <f>StartDate+7*24</f>
        <v/>
      </c>
      <c r="AE64" s="29">
        <f>StartDate+7*25</f>
        <v/>
      </c>
    </row>
    <row r="65">
      <c r="B65" s="11" t="inlineStr">
        <is>
          <t>Demo</t>
        </is>
      </c>
      <c r="F65" s="30" t="n">
        <v>0</v>
      </c>
      <c r="G65" s="30" t="n">
        <v>0</v>
      </c>
      <c r="H65" s="30" t="n">
        <v>0</v>
      </c>
      <c r="I65" s="30" t="n">
        <v>0</v>
      </c>
      <c r="J65" s="30" t="n">
        <v>1</v>
      </c>
      <c r="K65" s="30" t="n">
        <v>1</v>
      </c>
      <c r="L65" s="30" t="n">
        <v>0</v>
      </c>
      <c r="M65" s="30" t="n">
        <v>0</v>
      </c>
      <c r="N65" s="30" t="n">
        <v>0</v>
      </c>
      <c r="O65" s="30" t="n">
        <v>0</v>
      </c>
      <c r="P65" s="30" t="n">
        <v>0</v>
      </c>
      <c r="Q65" s="30" t="n">
        <v>0</v>
      </c>
      <c r="R65" s="30" t="n">
        <v>0</v>
      </c>
      <c r="S65" s="30" t="n">
        <v>0</v>
      </c>
      <c r="T65" s="30" t="n">
        <v>0</v>
      </c>
      <c r="U65" s="30" t="n">
        <v>0</v>
      </c>
      <c r="V65" s="30" t="n">
        <v>0</v>
      </c>
      <c r="W65" s="30" t="n">
        <v>0</v>
      </c>
      <c r="X65" s="30" t="n">
        <v>0</v>
      </c>
      <c r="Y65" s="30" t="n">
        <v>0</v>
      </c>
      <c r="Z65" s="30" t="n">
        <v>0</v>
      </c>
      <c r="AA65" s="30" t="n">
        <v>0</v>
      </c>
      <c r="AB65" s="30" t="n">
        <v>0</v>
      </c>
      <c r="AC65" s="30" t="n">
        <v>0</v>
      </c>
      <c r="AD65" s="30" t="n">
        <v>0</v>
      </c>
      <c r="AE65" s="30" t="n">
        <v>0</v>
      </c>
    </row>
    <row r="66">
      <c r="B66" s="11" t="inlineStr">
        <is>
          <t>End Cap</t>
        </is>
      </c>
      <c r="F66" s="30" t="n">
        <v>0</v>
      </c>
      <c r="G66" s="30" t="n">
        <v>0</v>
      </c>
      <c r="H66" s="30" t="n">
        <v>0</v>
      </c>
      <c r="I66" s="30" t="n">
        <v>0</v>
      </c>
      <c r="J66" s="30" t="n">
        <v>1</v>
      </c>
      <c r="K66" s="30" t="n">
        <v>1</v>
      </c>
      <c r="L66" s="30" t="n">
        <v>0</v>
      </c>
      <c r="M66" s="30" t="n">
        <v>0</v>
      </c>
      <c r="N66" s="30" t="n">
        <v>0</v>
      </c>
      <c r="O66" s="30" t="n">
        <v>0</v>
      </c>
      <c r="P66" s="30" t="n">
        <v>0</v>
      </c>
      <c r="Q66" s="30" t="n">
        <v>0</v>
      </c>
      <c r="R66" s="30" t="n">
        <v>0</v>
      </c>
      <c r="S66" s="30" t="n">
        <v>0</v>
      </c>
      <c r="T66" s="30" t="n">
        <v>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  <c r="Z66" s="30" t="n">
        <v>0</v>
      </c>
      <c r="AA66" s="30" t="n">
        <v>0</v>
      </c>
      <c r="AB66" s="30" t="n">
        <v>0</v>
      </c>
      <c r="AC66" s="30" t="n">
        <v>0</v>
      </c>
      <c r="AD66" s="30" t="n">
        <v>0</v>
      </c>
      <c r="AE66" s="30" t="n">
        <v>0</v>
      </c>
    </row>
    <row r="67">
      <c r="B67" s="11" t="inlineStr">
        <is>
          <t>TPD</t>
        </is>
      </c>
      <c r="F67" s="30" t="n">
        <v>0</v>
      </c>
      <c r="G67" s="30" t="n">
        <v>0</v>
      </c>
      <c r="H67" s="30" t="n">
        <v>0</v>
      </c>
      <c r="I67" s="30" t="n">
        <v>0</v>
      </c>
      <c r="J67" s="30" t="n">
        <v>1</v>
      </c>
      <c r="K67" s="30" t="n">
        <v>1</v>
      </c>
      <c r="L67" s="30" t="n">
        <v>0</v>
      </c>
      <c r="M67" s="30" t="n">
        <v>0</v>
      </c>
      <c r="N67" s="30" t="n">
        <v>0</v>
      </c>
      <c r="O67" s="30" t="n">
        <v>0</v>
      </c>
      <c r="P67" s="30" t="n">
        <v>0</v>
      </c>
      <c r="Q67" s="30" t="n">
        <v>0</v>
      </c>
      <c r="R67" s="30" t="n">
        <v>0</v>
      </c>
      <c r="S67" s="30" t="n">
        <v>0</v>
      </c>
      <c r="T67" s="30" t="n">
        <v>0</v>
      </c>
      <c r="U67" s="30" t="n">
        <v>0</v>
      </c>
      <c r="V67" s="30" t="n">
        <v>0</v>
      </c>
      <c r="W67" s="30" t="n">
        <v>0</v>
      </c>
      <c r="X67" s="30" t="n">
        <v>0</v>
      </c>
      <c r="Y67" s="30" t="n">
        <v>0</v>
      </c>
      <c r="Z67" s="30" t="n">
        <v>0</v>
      </c>
      <c r="AA67" s="30" t="n">
        <v>0</v>
      </c>
      <c r="AB67" s="30" t="n">
        <v>0</v>
      </c>
      <c r="AC67" s="30" t="n">
        <v>0</v>
      </c>
      <c r="AD67" s="30" t="n">
        <v>0</v>
      </c>
      <c r="AE67" s="30" t="n">
        <v>0</v>
      </c>
    </row>
    <row r="68">
      <c r="B68" s="11" t="inlineStr">
        <is>
          <t>Markdown</t>
        </is>
      </c>
      <c r="F68" s="30" t="n">
        <v>0</v>
      </c>
      <c r="G68" s="30" t="n">
        <v>0</v>
      </c>
      <c r="H68" s="30" t="n">
        <v>0</v>
      </c>
      <c r="I68" s="30" t="n">
        <v>0</v>
      </c>
      <c r="J68" s="30" t="n">
        <v>0</v>
      </c>
      <c r="K68" s="30" t="n">
        <v>0</v>
      </c>
      <c r="L68" s="30" t="n">
        <v>0</v>
      </c>
      <c r="M68" s="30" t="n">
        <v>0</v>
      </c>
      <c r="N68" s="30" t="n">
        <v>0</v>
      </c>
      <c r="O68" s="30" t="n">
        <v>0</v>
      </c>
      <c r="P68" s="30" t="n">
        <v>0</v>
      </c>
      <c r="Q68" s="30" t="n">
        <v>0</v>
      </c>
      <c r="R68" s="30" t="n">
        <v>0</v>
      </c>
      <c r="S68" s="30" t="n">
        <v>0</v>
      </c>
      <c r="T68" s="30" t="n">
        <v>0</v>
      </c>
      <c r="U68" s="30" t="n">
        <v>0</v>
      </c>
      <c r="V68" s="30" t="n">
        <v>0</v>
      </c>
      <c r="W68" s="30" t="n">
        <v>1</v>
      </c>
      <c r="X68" s="30" t="n">
        <v>1</v>
      </c>
      <c r="Y68" s="30" t="n">
        <v>1</v>
      </c>
      <c r="Z68" s="30" t="n">
        <v>0</v>
      </c>
      <c r="AA68" s="30" t="n">
        <v>0</v>
      </c>
      <c r="AB68" s="30" t="n">
        <v>0</v>
      </c>
      <c r="AC68" s="30" t="n">
        <v>0</v>
      </c>
      <c r="AD68" s="30" t="n">
        <v>0</v>
      </c>
      <c r="AE68" s="30" t="n">
        <v>0</v>
      </c>
    </row>
    <row r="69">
      <c r="B69" s="11" t="inlineStr">
        <is>
          <t>Lift Multiplier (x base)</t>
        </is>
      </c>
      <c r="F69" s="31" t="n">
        <v>1</v>
      </c>
      <c r="G69" s="31" t="n">
        <v>1</v>
      </c>
      <c r="H69" s="31" t="n">
        <v>1</v>
      </c>
      <c r="I69" s="31" t="n">
        <v>1</v>
      </c>
      <c r="J69" s="31" t="n">
        <v>3</v>
      </c>
      <c r="K69" s="31" t="n">
        <v>3</v>
      </c>
      <c r="L69" s="31" t="n">
        <v>1</v>
      </c>
      <c r="M69" s="31" t="n">
        <v>1</v>
      </c>
      <c r="N69" s="31" t="n">
        <v>1</v>
      </c>
      <c r="O69" s="31" t="n">
        <v>1</v>
      </c>
      <c r="P69" s="31" t="n">
        <v>1</v>
      </c>
      <c r="Q69" s="31" t="n">
        <v>1</v>
      </c>
      <c r="R69" s="31" t="n">
        <v>1</v>
      </c>
      <c r="S69" s="31" t="n">
        <v>1</v>
      </c>
      <c r="T69" s="31" t="n">
        <v>1</v>
      </c>
      <c r="U69" s="31" t="n">
        <v>1</v>
      </c>
      <c r="V69" s="31" t="n">
        <v>1</v>
      </c>
      <c r="W69" s="31" t="n">
        <v>1</v>
      </c>
      <c r="X69" s="31" t="n">
        <v>0.3</v>
      </c>
      <c r="Y69" s="31" t="n">
        <v>8.699999999999999</v>
      </c>
      <c r="Z69" s="31" t="n">
        <v>1</v>
      </c>
      <c r="AA69" s="31" t="n">
        <v>1</v>
      </c>
      <c r="AB69" s="31" t="n">
        <v>1</v>
      </c>
      <c r="AC69" s="31" t="n">
        <v>1</v>
      </c>
      <c r="AD69" s="31" t="n">
        <v>1</v>
      </c>
      <c r="AE69" s="31" t="n">
        <v>1</v>
      </c>
    </row>
  </sheetData>
  <mergeCells count="14">
    <mergeCell ref="B33:D33"/>
    <mergeCell ref="B41:AE41"/>
    <mergeCell ref="B19:D19"/>
    <mergeCell ref="B52:AE52"/>
    <mergeCell ref="B62:AE62"/>
    <mergeCell ref="B4:D4"/>
    <mergeCell ref="B51:AE51"/>
    <mergeCell ref="B30:D30"/>
    <mergeCell ref="B39:D39"/>
    <mergeCell ref="B42:AE42"/>
    <mergeCell ref="B7:D7"/>
    <mergeCell ref="B24:D24"/>
    <mergeCell ref="B2:D2"/>
    <mergeCell ref="B61:AE61"/>
  </mergeCells>
  <dataValidations count="1">
    <dataValidation sqref="C5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2" ht="32" customHeight="1">
      <c r="B2" s="9">
        <f>"FORECAST — Weekly P&amp;L  (Display: "&amp;$Z$3&amp;" "&amp;$C$3&amp;")"</f>
        <v/>
      </c>
    </row>
    <row r="3" ht="22" customHeight="1">
      <c r="B3" s="32" t="inlineStr">
        <is>
          <t>Display Currency</t>
        </is>
      </c>
      <c r="C3" s="12" t="inlineStr">
        <is>
          <t>GBP</t>
        </is>
      </c>
      <c r="D3" s="33">
        <f>"("&amp;VLOOKUP(C3,Inputs!$B$13:$D$16,2,FALSE)&amp;"  ·  rate "&amp;TEXT(VLOOKUP(C3,Inputs!$B$13:$D$16,3,FALSE),"0.0000")&amp;")"</f>
        <v/>
      </c>
      <c r="Y3" s="34">
        <f>VLOOKUP(C3,Inputs!$B$13:$D$16,3,FALSE)</f>
        <v/>
      </c>
      <c r="Z3" s="35">
        <f>VLOOKUP(C3,Inputs!$B$13:$D$16,2,FALSE)</f>
        <v/>
      </c>
    </row>
    <row r="5" ht="22" customHeight="1">
      <c r="B5" s="27" t="inlineStr">
        <is>
          <t>BEST · Demo + TPD (Wks 5-6)</t>
        </is>
      </c>
    </row>
    <row r="6">
      <c r="B6" s="28" t="inlineStr">
        <is>
          <t>Week</t>
        </is>
      </c>
      <c r="F6" s="15" t="inlineStr">
        <is>
          <t>W1</t>
        </is>
      </c>
      <c r="G6" s="15" t="inlineStr">
        <is>
          <t>W2</t>
        </is>
      </c>
      <c r="H6" s="15" t="inlineStr">
        <is>
          <t>W3</t>
        </is>
      </c>
      <c r="I6" s="15" t="inlineStr">
        <is>
          <t>W4</t>
        </is>
      </c>
      <c r="J6" s="15" t="inlineStr">
        <is>
          <t>W5</t>
        </is>
      </c>
      <c r="K6" s="15" t="inlineStr">
        <is>
          <t>W6</t>
        </is>
      </c>
      <c r="L6" s="15" t="inlineStr">
        <is>
          <t>W7</t>
        </is>
      </c>
      <c r="M6" s="15" t="inlineStr">
        <is>
          <t>W8</t>
        </is>
      </c>
      <c r="N6" s="15" t="inlineStr">
        <is>
          <t>W9</t>
        </is>
      </c>
      <c r="O6" s="15" t="inlineStr">
        <is>
          <t>W10</t>
        </is>
      </c>
      <c r="P6" s="15" t="inlineStr">
        <is>
          <t>W11</t>
        </is>
      </c>
      <c r="Q6" s="15" t="inlineStr">
        <is>
          <t>W12</t>
        </is>
      </c>
      <c r="R6" s="15" t="inlineStr">
        <is>
          <t>W13</t>
        </is>
      </c>
      <c r="S6" s="15" t="inlineStr">
        <is>
          <t>W14</t>
        </is>
      </c>
      <c r="T6" s="15" t="inlineStr">
        <is>
          <t>W15</t>
        </is>
      </c>
      <c r="U6" s="15" t="inlineStr">
        <is>
          <t>W16</t>
        </is>
      </c>
      <c r="V6" s="15" t="inlineStr">
        <is>
          <t>W17</t>
        </is>
      </c>
      <c r="W6" s="15" t="inlineStr">
        <is>
          <t>W18</t>
        </is>
      </c>
      <c r="X6" s="15" t="inlineStr">
        <is>
          <t>W19</t>
        </is>
      </c>
      <c r="Y6" s="15" t="inlineStr">
        <is>
          <t>W20</t>
        </is>
      </c>
      <c r="Z6" s="15" t="inlineStr">
        <is>
          <t>W21</t>
        </is>
      </c>
      <c r="AA6" s="15" t="inlineStr">
        <is>
          <t>W22</t>
        </is>
      </c>
      <c r="AB6" s="15" t="inlineStr">
        <is>
          <t>W23</t>
        </is>
      </c>
      <c r="AC6" s="15" t="inlineStr">
        <is>
          <t>W24</t>
        </is>
      </c>
      <c r="AD6" s="15" t="inlineStr">
        <is>
          <t>W25</t>
        </is>
      </c>
      <c r="AE6" s="15" t="inlineStr">
        <is>
          <t>W26</t>
        </is>
      </c>
      <c r="AF6" s="36" t="inlineStr">
        <is>
          <t>TOTAL</t>
        </is>
      </c>
    </row>
    <row r="7">
      <c r="B7" s="28" t="inlineStr">
        <is>
          <t>Wk-commencing</t>
        </is>
      </c>
      <c r="F7" s="29">
        <f>StartDate+7*0</f>
        <v/>
      </c>
      <c r="G7" s="29">
        <f>StartDate+7*1</f>
        <v/>
      </c>
      <c r="H7" s="29">
        <f>StartDate+7*2</f>
        <v/>
      </c>
      <c r="I7" s="29">
        <f>StartDate+7*3</f>
        <v/>
      </c>
      <c r="J7" s="29">
        <f>StartDate+7*4</f>
        <v/>
      </c>
      <c r="K7" s="29">
        <f>StartDate+7*5</f>
        <v/>
      </c>
      <c r="L7" s="29">
        <f>StartDate+7*6</f>
        <v/>
      </c>
      <c r="M7" s="29">
        <f>StartDate+7*7</f>
        <v/>
      </c>
      <c r="N7" s="29">
        <f>StartDate+7*8</f>
        <v/>
      </c>
      <c r="O7" s="29">
        <f>StartDate+7*9</f>
        <v/>
      </c>
      <c r="P7" s="29">
        <f>StartDate+7*10</f>
        <v/>
      </c>
      <c r="Q7" s="29">
        <f>StartDate+7*11</f>
        <v/>
      </c>
      <c r="R7" s="29">
        <f>StartDate+7*12</f>
        <v/>
      </c>
      <c r="S7" s="29">
        <f>StartDate+7*13</f>
        <v/>
      </c>
      <c r="T7" s="29">
        <f>StartDate+7*14</f>
        <v/>
      </c>
      <c r="U7" s="29">
        <f>StartDate+7*15</f>
        <v/>
      </c>
      <c r="V7" s="29">
        <f>StartDate+7*16</f>
        <v/>
      </c>
      <c r="W7" s="29">
        <f>StartDate+7*17</f>
        <v/>
      </c>
      <c r="X7" s="29">
        <f>StartDate+7*18</f>
        <v/>
      </c>
      <c r="Y7" s="29">
        <f>StartDate+7*19</f>
        <v/>
      </c>
      <c r="Z7" s="29">
        <f>StartDate+7*20</f>
        <v/>
      </c>
      <c r="AA7" s="29">
        <f>StartDate+7*21</f>
        <v/>
      </c>
      <c r="AB7" s="29">
        <f>StartDate+7*22</f>
        <v/>
      </c>
      <c r="AC7" s="29">
        <f>StartDate+7*23</f>
        <v/>
      </c>
      <c r="AD7" s="29">
        <f>StartDate+7*24</f>
        <v/>
      </c>
      <c r="AE7" s="29">
        <f>StartDate+7*25</f>
        <v/>
      </c>
      <c r="AF7" s="37" t="inlineStr"/>
    </row>
    <row r="8">
      <c r="B8" s="11" t="inlineStr">
        <is>
          <t>POS Units</t>
        </is>
      </c>
      <c r="F8" s="38">
        <f>ROUND(BaseUnits*Inputs!F49,0)</f>
        <v/>
      </c>
      <c r="G8" s="38">
        <f>ROUND(BaseUnits*Inputs!G49,0)</f>
        <v/>
      </c>
      <c r="H8" s="38">
        <f>ROUND(BaseUnits*Inputs!H49,0)</f>
        <v/>
      </c>
      <c r="I8" s="38">
        <f>ROUND(BaseUnits*Inputs!I49,0)</f>
        <v/>
      </c>
      <c r="J8" s="38">
        <f>ROUND(BaseUnits*Inputs!J49,0)</f>
        <v/>
      </c>
      <c r="K8" s="38">
        <f>ROUND(BaseUnits*Inputs!K49,0)</f>
        <v/>
      </c>
      <c r="L8" s="38">
        <f>ROUND(BaseUnits*Inputs!L49,0)</f>
        <v/>
      </c>
      <c r="M8" s="38">
        <f>ROUND(BaseUnits*Inputs!M49,0)</f>
        <v/>
      </c>
      <c r="N8" s="38">
        <f>ROUND(BaseUnits*Inputs!N49,0)</f>
        <v/>
      </c>
      <c r="O8" s="38">
        <f>ROUND(BaseUnits*Inputs!O49,0)</f>
        <v/>
      </c>
      <c r="P8" s="38">
        <f>ROUND(BaseUnits*Inputs!P49,0)</f>
        <v/>
      </c>
      <c r="Q8" s="38">
        <f>ROUND(BaseUnits*Inputs!Q49,0)</f>
        <v/>
      </c>
      <c r="R8" s="38">
        <f>ROUND(BaseUnits*Inputs!R49,0)</f>
        <v/>
      </c>
      <c r="S8" s="38">
        <f>ROUND(BaseUnits*Inputs!S49,0)</f>
        <v/>
      </c>
      <c r="T8" s="38">
        <f>ROUND(BaseUnits*Inputs!T49,0)</f>
        <v/>
      </c>
      <c r="U8" s="38">
        <f>ROUND(BaseUnits*Inputs!U49,0)</f>
        <v/>
      </c>
      <c r="V8" s="38">
        <f>ROUND(BaseUnits*Inputs!V49,0)</f>
        <v/>
      </c>
      <c r="W8" s="38">
        <f>ROUND(BaseUnits*Inputs!W49,0)</f>
        <v/>
      </c>
      <c r="X8" s="38">
        <f>ROUND(BaseUnits*Inputs!X49,0)</f>
        <v/>
      </c>
      <c r="Y8" s="38">
        <f>ROUND(BaseUnits*Inputs!Y49,0)</f>
        <v/>
      </c>
      <c r="Z8" s="38">
        <f>ROUND(BaseUnits*Inputs!Z49,0)</f>
        <v/>
      </c>
      <c r="AA8" s="38">
        <f>ROUND(BaseUnits*Inputs!AA49,0)</f>
        <v/>
      </c>
      <c r="AB8" s="38">
        <f>ROUND(BaseUnits*Inputs!AB49,0)</f>
        <v/>
      </c>
      <c r="AC8" s="38">
        <f>ROUND(BaseUnits*Inputs!AC49,0)</f>
        <v/>
      </c>
      <c r="AD8" s="38">
        <f>ROUND(BaseUnits*Inputs!AD49,0)</f>
        <v/>
      </c>
      <c r="AE8" s="38">
        <f>ROUND(BaseUnits*Inputs!AE49,0)</f>
        <v/>
      </c>
      <c r="AF8" s="39">
        <f>SUM(F8:AE8)</f>
        <v/>
      </c>
    </row>
    <row r="9">
      <c r="B9" s="11">
        <f>"Revenue ("&amp;$Z$3&amp;")"</f>
        <v/>
      </c>
      <c r="F9" s="40">
        <f>F8*Price*$Y$3</f>
        <v/>
      </c>
      <c r="G9" s="40">
        <f>G8*Price*$Y$3</f>
        <v/>
      </c>
      <c r="H9" s="40">
        <f>H8*Price*$Y$3</f>
        <v/>
      </c>
      <c r="I9" s="40">
        <f>I8*Price*$Y$3</f>
        <v/>
      </c>
      <c r="J9" s="40">
        <f>J8*Price*$Y$3</f>
        <v/>
      </c>
      <c r="K9" s="40">
        <f>K8*Price*$Y$3</f>
        <v/>
      </c>
      <c r="L9" s="40">
        <f>L8*Price*$Y$3</f>
        <v/>
      </c>
      <c r="M9" s="40">
        <f>M8*Price*$Y$3</f>
        <v/>
      </c>
      <c r="N9" s="40">
        <f>N8*Price*$Y$3</f>
        <v/>
      </c>
      <c r="O9" s="40">
        <f>O8*Price*$Y$3</f>
        <v/>
      </c>
      <c r="P9" s="40">
        <f>P8*Price*$Y$3</f>
        <v/>
      </c>
      <c r="Q9" s="40">
        <f>Q8*Price*$Y$3</f>
        <v/>
      </c>
      <c r="R9" s="40">
        <f>R8*Price*$Y$3</f>
        <v/>
      </c>
      <c r="S9" s="40">
        <f>S8*Price*$Y$3</f>
        <v/>
      </c>
      <c r="T9" s="40">
        <f>T8*Price*$Y$3</f>
        <v/>
      </c>
      <c r="U9" s="40">
        <f>U8*Price*$Y$3</f>
        <v/>
      </c>
      <c r="V9" s="40">
        <f>V8*Price*$Y$3</f>
        <v/>
      </c>
      <c r="W9" s="40">
        <f>W8*Price*$Y$3</f>
        <v/>
      </c>
      <c r="X9" s="40">
        <f>X8*Price*$Y$3</f>
        <v/>
      </c>
      <c r="Y9" s="40">
        <f>Y8*Price*$Y$3</f>
        <v/>
      </c>
      <c r="Z9" s="40">
        <f>Z8*Price*$Y$3</f>
        <v/>
      </c>
      <c r="AA9" s="40">
        <f>AA8*Price*$Y$3</f>
        <v/>
      </c>
      <c r="AB9" s="40">
        <f>AB8*Price*$Y$3</f>
        <v/>
      </c>
      <c r="AC9" s="40">
        <f>AC8*Price*$Y$3</f>
        <v/>
      </c>
      <c r="AD9" s="40">
        <f>AD8*Price*$Y$3</f>
        <v/>
      </c>
      <c r="AE9" s="40">
        <f>AE8*Price*$Y$3</f>
        <v/>
      </c>
      <c r="AF9" s="41">
        <f>SUM(F9:AE9)</f>
        <v/>
      </c>
    </row>
    <row r="10">
      <c r="B10" s="11">
        <f>"Raw COGS ("&amp;$Z$3&amp;")"</f>
        <v/>
      </c>
      <c r="F10" s="40">
        <f>F8*Cost*$Y$3</f>
        <v/>
      </c>
      <c r="G10" s="40">
        <f>G8*Cost*$Y$3</f>
        <v/>
      </c>
      <c r="H10" s="40">
        <f>H8*Cost*$Y$3</f>
        <v/>
      </c>
      <c r="I10" s="40">
        <f>I8*Cost*$Y$3</f>
        <v/>
      </c>
      <c r="J10" s="40">
        <f>J8*Cost*$Y$3</f>
        <v/>
      </c>
      <c r="K10" s="40">
        <f>K8*Cost*$Y$3</f>
        <v/>
      </c>
      <c r="L10" s="40">
        <f>L8*Cost*$Y$3</f>
        <v/>
      </c>
      <c r="M10" s="40">
        <f>M8*Cost*$Y$3</f>
        <v/>
      </c>
      <c r="N10" s="40">
        <f>N8*Cost*$Y$3</f>
        <v/>
      </c>
      <c r="O10" s="40">
        <f>O8*Cost*$Y$3</f>
        <v/>
      </c>
      <c r="P10" s="40">
        <f>P8*Cost*$Y$3</f>
        <v/>
      </c>
      <c r="Q10" s="40">
        <f>Q8*Cost*$Y$3</f>
        <v/>
      </c>
      <c r="R10" s="40">
        <f>R8*Cost*$Y$3</f>
        <v/>
      </c>
      <c r="S10" s="40">
        <f>S8*Cost*$Y$3</f>
        <v/>
      </c>
      <c r="T10" s="40">
        <f>T8*Cost*$Y$3</f>
        <v/>
      </c>
      <c r="U10" s="40">
        <f>U8*Cost*$Y$3</f>
        <v/>
      </c>
      <c r="V10" s="40">
        <f>V8*Cost*$Y$3</f>
        <v/>
      </c>
      <c r="W10" s="40">
        <f>W8*Cost*$Y$3</f>
        <v/>
      </c>
      <c r="X10" s="40">
        <f>X8*Cost*$Y$3</f>
        <v/>
      </c>
      <c r="Y10" s="40">
        <f>Y8*Cost*$Y$3</f>
        <v/>
      </c>
      <c r="Z10" s="40">
        <f>Z8*Cost*$Y$3</f>
        <v/>
      </c>
      <c r="AA10" s="40">
        <f>AA8*Cost*$Y$3</f>
        <v/>
      </c>
      <c r="AB10" s="40">
        <f>AB8*Cost*$Y$3</f>
        <v/>
      </c>
      <c r="AC10" s="40">
        <f>AC8*Cost*$Y$3</f>
        <v/>
      </c>
      <c r="AD10" s="40">
        <f>AD8*Cost*$Y$3</f>
        <v/>
      </c>
      <c r="AE10" s="40">
        <f>AE8*Cost*$Y$3</f>
        <v/>
      </c>
      <c r="AF10" s="41">
        <f>SUM(F10:AE10)</f>
        <v/>
      </c>
    </row>
    <row r="11">
      <c r="B11" s="14">
        <f>"Gross Profit ("&amp;$Z$3&amp;")"</f>
        <v/>
      </c>
      <c r="F11" s="40">
        <f>F9-F10</f>
        <v/>
      </c>
      <c r="G11" s="40">
        <f>G9-G10</f>
        <v/>
      </c>
      <c r="H11" s="40">
        <f>H9-H10</f>
        <v/>
      </c>
      <c r="I11" s="40">
        <f>I9-I10</f>
        <v/>
      </c>
      <c r="J11" s="40">
        <f>J9-J10</f>
        <v/>
      </c>
      <c r="K11" s="40">
        <f>K9-K10</f>
        <v/>
      </c>
      <c r="L11" s="40">
        <f>L9-L10</f>
        <v/>
      </c>
      <c r="M11" s="40">
        <f>M9-M10</f>
        <v/>
      </c>
      <c r="N11" s="40">
        <f>N9-N10</f>
        <v/>
      </c>
      <c r="O11" s="40">
        <f>O9-O10</f>
        <v/>
      </c>
      <c r="P11" s="40">
        <f>P9-P10</f>
        <v/>
      </c>
      <c r="Q11" s="40">
        <f>Q9-Q10</f>
        <v/>
      </c>
      <c r="R11" s="40">
        <f>R9-R10</f>
        <v/>
      </c>
      <c r="S11" s="40">
        <f>S9-S10</f>
        <v/>
      </c>
      <c r="T11" s="40">
        <f>T9-T10</f>
        <v/>
      </c>
      <c r="U11" s="40">
        <f>U9-U10</f>
        <v/>
      </c>
      <c r="V11" s="40">
        <f>V9-V10</f>
        <v/>
      </c>
      <c r="W11" s="40">
        <f>W9-W10</f>
        <v/>
      </c>
      <c r="X11" s="40">
        <f>X9-X10</f>
        <v/>
      </c>
      <c r="Y11" s="40">
        <f>Y9-Y10</f>
        <v/>
      </c>
      <c r="Z11" s="40">
        <f>Z9-Z10</f>
        <v/>
      </c>
      <c r="AA11" s="40">
        <f>AA9-AA10</f>
        <v/>
      </c>
      <c r="AB11" s="40">
        <f>AB9-AB10</f>
        <v/>
      </c>
      <c r="AC11" s="40">
        <f>AC9-AC10</f>
        <v/>
      </c>
      <c r="AD11" s="40">
        <f>AD9-AD10</f>
        <v/>
      </c>
      <c r="AE11" s="40">
        <f>AE9-AE10</f>
        <v/>
      </c>
      <c r="AF11" s="41">
        <f>SUM(F11:AE11)</f>
        <v/>
      </c>
    </row>
    <row r="12">
      <c r="B12" s="11">
        <f>"Promo Spend ("&amp;$Z$3&amp;")"</f>
        <v/>
      </c>
      <c r="F12" s="40">
        <f>(Inputs!F45*DemoCost+Inputs!F46*EndCapCost+Inputs!F47*F8*Price*TPDPct+Inputs!F48*F8*Price*MdPct)*$Y$3</f>
        <v/>
      </c>
      <c r="G12" s="40">
        <f>(Inputs!G45*DemoCost+Inputs!G46*EndCapCost+Inputs!G47*G8*Price*TPDPct+Inputs!G48*G8*Price*MdPct)*$Y$3</f>
        <v/>
      </c>
      <c r="H12" s="40">
        <f>(Inputs!H45*DemoCost+Inputs!H46*EndCapCost+Inputs!H47*H8*Price*TPDPct+Inputs!H48*H8*Price*MdPct)*$Y$3</f>
        <v/>
      </c>
      <c r="I12" s="40">
        <f>(Inputs!I45*DemoCost+Inputs!I46*EndCapCost+Inputs!I47*I8*Price*TPDPct+Inputs!I48*I8*Price*MdPct)*$Y$3</f>
        <v/>
      </c>
      <c r="J12" s="40">
        <f>(Inputs!J45*DemoCost+Inputs!J46*EndCapCost+Inputs!J47*J8*Price*TPDPct+Inputs!J48*J8*Price*MdPct)*$Y$3</f>
        <v/>
      </c>
      <c r="K12" s="40">
        <f>(Inputs!K45*DemoCost+Inputs!K46*EndCapCost+Inputs!K47*K8*Price*TPDPct+Inputs!K48*K8*Price*MdPct)*$Y$3</f>
        <v/>
      </c>
      <c r="L12" s="40">
        <f>(Inputs!L45*DemoCost+Inputs!L46*EndCapCost+Inputs!L47*L8*Price*TPDPct+Inputs!L48*L8*Price*MdPct)*$Y$3</f>
        <v/>
      </c>
      <c r="M12" s="40">
        <f>(Inputs!M45*DemoCost+Inputs!M46*EndCapCost+Inputs!M47*M8*Price*TPDPct+Inputs!M48*M8*Price*MdPct)*$Y$3</f>
        <v/>
      </c>
      <c r="N12" s="40">
        <f>(Inputs!N45*DemoCost+Inputs!N46*EndCapCost+Inputs!N47*N8*Price*TPDPct+Inputs!N48*N8*Price*MdPct)*$Y$3</f>
        <v/>
      </c>
      <c r="O12" s="40">
        <f>(Inputs!O45*DemoCost+Inputs!O46*EndCapCost+Inputs!O47*O8*Price*TPDPct+Inputs!O48*O8*Price*MdPct)*$Y$3</f>
        <v/>
      </c>
      <c r="P12" s="40">
        <f>(Inputs!P45*DemoCost+Inputs!P46*EndCapCost+Inputs!P47*P8*Price*TPDPct+Inputs!P48*P8*Price*MdPct)*$Y$3</f>
        <v/>
      </c>
      <c r="Q12" s="40">
        <f>(Inputs!Q45*DemoCost+Inputs!Q46*EndCapCost+Inputs!Q47*Q8*Price*TPDPct+Inputs!Q48*Q8*Price*MdPct)*$Y$3</f>
        <v/>
      </c>
      <c r="R12" s="40">
        <f>(Inputs!R45*DemoCost+Inputs!R46*EndCapCost+Inputs!R47*R8*Price*TPDPct+Inputs!R48*R8*Price*MdPct)*$Y$3</f>
        <v/>
      </c>
      <c r="S12" s="40">
        <f>(Inputs!S45*DemoCost+Inputs!S46*EndCapCost+Inputs!S47*S8*Price*TPDPct+Inputs!S48*S8*Price*MdPct)*$Y$3</f>
        <v/>
      </c>
      <c r="T12" s="40">
        <f>(Inputs!T45*DemoCost+Inputs!T46*EndCapCost+Inputs!T47*T8*Price*TPDPct+Inputs!T48*T8*Price*MdPct)*$Y$3</f>
        <v/>
      </c>
      <c r="U12" s="40">
        <f>(Inputs!U45*DemoCost+Inputs!U46*EndCapCost+Inputs!U47*U8*Price*TPDPct+Inputs!U48*U8*Price*MdPct)*$Y$3</f>
        <v/>
      </c>
      <c r="V12" s="40">
        <f>(Inputs!V45*DemoCost+Inputs!V46*EndCapCost+Inputs!V47*V8*Price*TPDPct+Inputs!V48*V8*Price*MdPct)*$Y$3</f>
        <v/>
      </c>
      <c r="W12" s="40">
        <f>(Inputs!W45*DemoCost+Inputs!W46*EndCapCost+Inputs!W47*W8*Price*TPDPct+Inputs!W48*W8*Price*MdPct)*$Y$3</f>
        <v/>
      </c>
      <c r="X12" s="40">
        <f>(Inputs!X45*DemoCost+Inputs!X46*EndCapCost+Inputs!X47*X8*Price*TPDPct+Inputs!X48*X8*Price*MdPct)*$Y$3</f>
        <v/>
      </c>
      <c r="Y12" s="40">
        <f>(Inputs!Y45*DemoCost+Inputs!Y46*EndCapCost+Inputs!Y47*Y8*Price*TPDPct+Inputs!Y48*Y8*Price*MdPct)*$Y$3</f>
        <v/>
      </c>
      <c r="Z12" s="40">
        <f>(Inputs!Z45*DemoCost+Inputs!Z46*EndCapCost+Inputs!Z47*Z8*Price*TPDPct+Inputs!Z48*Z8*Price*MdPct)*$Y$3</f>
        <v/>
      </c>
      <c r="AA12" s="40">
        <f>(Inputs!AA45*DemoCost+Inputs!AA46*EndCapCost+Inputs!AA47*AA8*Price*TPDPct+Inputs!AA48*AA8*Price*MdPct)*$Y$3</f>
        <v/>
      </c>
      <c r="AB12" s="40">
        <f>(Inputs!AB45*DemoCost+Inputs!AB46*EndCapCost+Inputs!AB47*AB8*Price*TPDPct+Inputs!AB48*AB8*Price*MdPct)*$Y$3</f>
        <v/>
      </c>
      <c r="AC12" s="40">
        <f>(Inputs!AC45*DemoCost+Inputs!AC46*EndCapCost+Inputs!AC47*AC8*Price*TPDPct+Inputs!AC48*AC8*Price*MdPct)*$Y$3</f>
        <v/>
      </c>
      <c r="AD12" s="40">
        <f>(Inputs!AD45*DemoCost+Inputs!AD46*EndCapCost+Inputs!AD47*AD8*Price*TPDPct+Inputs!AD48*AD8*Price*MdPct)*$Y$3</f>
        <v/>
      </c>
      <c r="AE12" s="40">
        <f>(Inputs!AE45*DemoCost+Inputs!AE46*EndCapCost+Inputs!AE47*AE8*Price*TPDPct+Inputs!AE48*AE8*Price*MdPct)*$Y$3</f>
        <v/>
      </c>
      <c r="AF12" s="41">
        <f>SUM(F12:AE12)</f>
        <v/>
      </c>
    </row>
    <row r="13">
      <c r="B13" s="14">
        <f>"Net Profit ("&amp;$Z$3&amp;")"</f>
        <v/>
      </c>
      <c r="F13" s="40">
        <f>F11-F12</f>
        <v/>
      </c>
      <c r="G13" s="40">
        <f>G11-G12</f>
        <v/>
      </c>
      <c r="H13" s="40">
        <f>H11-H12</f>
        <v/>
      </c>
      <c r="I13" s="40">
        <f>I11-I12</f>
        <v/>
      </c>
      <c r="J13" s="40">
        <f>J11-J12</f>
        <v/>
      </c>
      <c r="K13" s="40">
        <f>K11-K12</f>
        <v/>
      </c>
      <c r="L13" s="40">
        <f>L11-L12</f>
        <v/>
      </c>
      <c r="M13" s="40">
        <f>M11-M12</f>
        <v/>
      </c>
      <c r="N13" s="40">
        <f>N11-N12</f>
        <v/>
      </c>
      <c r="O13" s="40">
        <f>O11-O12</f>
        <v/>
      </c>
      <c r="P13" s="40">
        <f>P11-P12</f>
        <v/>
      </c>
      <c r="Q13" s="40">
        <f>Q11-Q12</f>
        <v/>
      </c>
      <c r="R13" s="40">
        <f>R11-R12</f>
        <v/>
      </c>
      <c r="S13" s="40">
        <f>S11-S12</f>
        <v/>
      </c>
      <c r="T13" s="40">
        <f>T11-T12</f>
        <v/>
      </c>
      <c r="U13" s="40">
        <f>U11-U12</f>
        <v/>
      </c>
      <c r="V13" s="40">
        <f>V11-V12</f>
        <v/>
      </c>
      <c r="W13" s="40">
        <f>W11-W12</f>
        <v/>
      </c>
      <c r="X13" s="40">
        <f>X11-X12</f>
        <v/>
      </c>
      <c r="Y13" s="40">
        <f>Y11-Y12</f>
        <v/>
      </c>
      <c r="Z13" s="40">
        <f>Z11-Z12</f>
        <v/>
      </c>
      <c r="AA13" s="40">
        <f>AA11-AA12</f>
        <v/>
      </c>
      <c r="AB13" s="40">
        <f>AB11-AB12</f>
        <v/>
      </c>
      <c r="AC13" s="40">
        <f>AC11-AC12</f>
        <v/>
      </c>
      <c r="AD13" s="40">
        <f>AD11-AD12</f>
        <v/>
      </c>
      <c r="AE13" s="40">
        <f>AE11-AE12</f>
        <v/>
      </c>
      <c r="AF13" s="41">
        <f>SUM(F13:AE13)</f>
        <v/>
      </c>
    </row>
    <row r="16" ht="22" customHeight="1">
      <c r="B16" s="27" t="inlineStr">
        <is>
          <t>IDEAL · Demo + End Cap + TPD (Wks 5-6)</t>
        </is>
      </c>
    </row>
    <row r="17">
      <c r="B17" s="28" t="inlineStr">
        <is>
          <t>Week</t>
        </is>
      </c>
      <c r="F17" s="15" t="inlineStr">
        <is>
          <t>W1</t>
        </is>
      </c>
      <c r="G17" s="15" t="inlineStr">
        <is>
          <t>W2</t>
        </is>
      </c>
      <c r="H17" s="15" t="inlineStr">
        <is>
          <t>W3</t>
        </is>
      </c>
      <c r="I17" s="15" t="inlineStr">
        <is>
          <t>W4</t>
        </is>
      </c>
      <c r="J17" s="15" t="inlineStr">
        <is>
          <t>W5</t>
        </is>
      </c>
      <c r="K17" s="15" t="inlineStr">
        <is>
          <t>W6</t>
        </is>
      </c>
      <c r="L17" s="15" t="inlineStr">
        <is>
          <t>W7</t>
        </is>
      </c>
      <c r="M17" s="15" t="inlineStr">
        <is>
          <t>W8</t>
        </is>
      </c>
      <c r="N17" s="15" t="inlineStr">
        <is>
          <t>W9</t>
        </is>
      </c>
      <c r="O17" s="15" t="inlineStr">
        <is>
          <t>W10</t>
        </is>
      </c>
      <c r="P17" s="15" t="inlineStr">
        <is>
          <t>W11</t>
        </is>
      </c>
      <c r="Q17" s="15" t="inlineStr">
        <is>
          <t>W12</t>
        </is>
      </c>
      <c r="R17" s="15" t="inlineStr">
        <is>
          <t>W13</t>
        </is>
      </c>
      <c r="S17" s="15" t="inlineStr">
        <is>
          <t>W14</t>
        </is>
      </c>
      <c r="T17" s="15" t="inlineStr">
        <is>
          <t>W15</t>
        </is>
      </c>
      <c r="U17" s="15" t="inlineStr">
        <is>
          <t>W16</t>
        </is>
      </c>
      <c r="V17" s="15" t="inlineStr">
        <is>
          <t>W17</t>
        </is>
      </c>
      <c r="W17" s="15" t="inlineStr">
        <is>
          <t>W18</t>
        </is>
      </c>
      <c r="X17" s="15" t="inlineStr">
        <is>
          <t>W19</t>
        </is>
      </c>
      <c r="Y17" s="15" t="inlineStr">
        <is>
          <t>W20</t>
        </is>
      </c>
      <c r="Z17" s="15" t="inlineStr">
        <is>
          <t>W21</t>
        </is>
      </c>
      <c r="AA17" s="15" t="inlineStr">
        <is>
          <t>W22</t>
        </is>
      </c>
      <c r="AB17" s="15" t="inlineStr">
        <is>
          <t>W23</t>
        </is>
      </c>
      <c r="AC17" s="15" t="inlineStr">
        <is>
          <t>W24</t>
        </is>
      </c>
      <c r="AD17" s="15" t="inlineStr">
        <is>
          <t>W25</t>
        </is>
      </c>
      <c r="AE17" s="15" t="inlineStr">
        <is>
          <t>W26</t>
        </is>
      </c>
      <c r="AF17" s="36" t="inlineStr">
        <is>
          <t>TOTAL</t>
        </is>
      </c>
    </row>
    <row r="18">
      <c r="B18" s="28" t="inlineStr">
        <is>
          <t>Wk-commencing</t>
        </is>
      </c>
      <c r="F18" s="29">
        <f>StartDate+7*0</f>
        <v/>
      </c>
      <c r="G18" s="29">
        <f>StartDate+7*1</f>
        <v/>
      </c>
      <c r="H18" s="29">
        <f>StartDate+7*2</f>
        <v/>
      </c>
      <c r="I18" s="29">
        <f>StartDate+7*3</f>
        <v/>
      </c>
      <c r="J18" s="29">
        <f>StartDate+7*4</f>
        <v/>
      </c>
      <c r="K18" s="29">
        <f>StartDate+7*5</f>
        <v/>
      </c>
      <c r="L18" s="29">
        <f>StartDate+7*6</f>
        <v/>
      </c>
      <c r="M18" s="29">
        <f>StartDate+7*7</f>
        <v/>
      </c>
      <c r="N18" s="29">
        <f>StartDate+7*8</f>
        <v/>
      </c>
      <c r="O18" s="29">
        <f>StartDate+7*9</f>
        <v/>
      </c>
      <c r="P18" s="29">
        <f>StartDate+7*10</f>
        <v/>
      </c>
      <c r="Q18" s="29">
        <f>StartDate+7*11</f>
        <v/>
      </c>
      <c r="R18" s="29">
        <f>StartDate+7*12</f>
        <v/>
      </c>
      <c r="S18" s="29">
        <f>StartDate+7*13</f>
        <v/>
      </c>
      <c r="T18" s="29">
        <f>StartDate+7*14</f>
        <v/>
      </c>
      <c r="U18" s="29">
        <f>StartDate+7*15</f>
        <v/>
      </c>
      <c r="V18" s="29">
        <f>StartDate+7*16</f>
        <v/>
      </c>
      <c r="W18" s="29">
        <f>StartDate+7*17</f>
        <v/>
      </c>
      <c r="X18" s="29">
        <f>StartDate+7*18</f>
        <v/>
      </c>
      <c r="Y18" s="29">
        <f>StartDate+7*19</f>
        <v/>
      </c>
      <c r="Z18" s="29">
        <f>StartDate+7*20</f>
        <v/>
      </c>
      <c r="AA18" s="29">
        <f>StartDate+7*21</f>
        <v/>
      </c>
      <c r="AB18" s="29">
        <f>StartDate+7*22</f>
        <v/>
      </c>
      <c r="AC18" s="29">
        <f>StartDate+7*23</f>
        <v/>
      </c>
      <c r="AD18" s="29">
        <f>StartDate+7*24</f>
        <v/>
      </c>
      <c r="AE18" s="29">
        <f>StartDate+7*25</f>
        <v/>
      </c>
      <c r="AF18" s="37" t="inlineStr"/>
    </row>
    <row r="19">
      <c r="B19" s="11" t="inlineStr">
        <is>
          <t>POS Units</t>
        </is>
      </c>
      <c r="F19" s="38">
        <f>ROUND(BaseUnits*Inputs!F59,0)</f>
        <v/>
      </c>
      <c r="G19" s="38">
        <f>ROUND(BaseUnits*Inputs!G59,0)</f>
        <v/>
      </c>
      <c r="H19" s="38">
        <f>ROUND(BaseUnits*Inputs!H59,0)</f>
        <v/>
      </c>
      <c r="I19" s="38">
        <f>ROUND(BaseUnits*Inputs!I59,0)</f>
        <v/>
      </c>
      <c r="J19" s="38">
        <f>ROUND(BaseUnits*Inputs!J59,0)</f>
        <v/>
      </c>
      <c r="K19" s="38">
        <f>ROUND(BaseUnits*Inputs!K59,0)</f>
        <v/>
      </c>
      <c r="L19" s="38">
        <f>ROUND(BaseUnits*Inputs!L59,0)</f>
        <v/>
      </c>
      <c r="M19" s="38">
        <f>ROUND(BaseUnits*Inputs!M59,0)</f>
        <v/>
      </c>
      <c r="N19" s="38">
        <f>ROUND(BaseUnits*Inputs!N59,0)</f>
        <v/>
      </c>
      <c r="O19" s="38">
        <f>ROUND(BaseUnits*Inputs!O59,0)</f>
        <v/>
      </c>
      <c r="P19" s="38">
        <f>ROUND(BaseUnits*Inputs!P59,0)</f>
        <v/>
      </c>
      <c r="Q19" s="38">
        <f>ROUND(BaseUnits*Inputs!Q59,0)</f>
        <v/>
      </c>
      <c r="R19" s="38">
        <f>ROUND(BaseUnits*Inputs!R59,0)</f>
        <v/>
      </c>
      <c r="S19" s="38">
        <f>ROUND(BaseUnits*Inputs!S59,0)</f>
        <v/>
      </c>
      <c r="T19" s="38">
        <f>ROUND(BaseUnits*Inputs!T59,0)</f>
        <v/>
      </c>
      <c r="U19" s="38">
        <f>ROUND(BaseUnits*Inputs!U59,0)</f>
        <v/>
      </c>
      <c r="V19" s="38">
        <f>ROUND(BaseUnits*Inputs!V59,0)</f>
        <v/>
      </c>
      <c r="W19" s="38">
        <f>ROUND(BaseUnits*Inputs!W59,0)</f>
        <v/>
      </c>
      <c r="X19" s="38">
        <f>ROUND(BaseUnits*Inputs!X59,0)</f>
        <v/>
      </c>
      <c r="Y19" s="38">
        <f>ROUND(BaseUnits*Inputs!Y59,0)</f>
        <v/>
      </c>
      <c r="Z19" s="38">
        <f>ROUND(BaseUnits*Inputs!Z59,0)</f>
        <v/>
      </c>
      <c r="AA19" s="38">
        <f>ROUND(BaseUnits*Inputs!AA59,0)</f>
        <v/>
      </c>
      <c r="AB19" s="38">
        <f>ROUND(BaseUnits*Inputs!AB59,0)</f>
        <v/>
      </c>
      <c r="AC19" s="38">
        <f>ROUND(BaseUnits*Inputs!AC59,0)</f>
        <v/>
      </c>
      <c r="AD19" s="38">
        <f>ROUND(BaseUnits*Inputs!AD59,0)</f>
        <v/>
      </c>
      <c r="AE19" s="38">
        <f>ROUND(BaseUnits*Inputs!AE59,0)</f>
        <v/>
      </c>
      <c r="AF19" s="39">
        <f>SUM(F19:AE19)</f>
        <v/>
      </c>
    </row>
    <row r="20">
      <c r="B20" s="11">
        <f>"Revenue ("&amp;$Z$3&amp;")"</f>
        <v/>
      </c>
      <c r="F20" s="40">
        <f>F19*Price*$Y$3</f>
        <v/>
      </c>
      <c r="G20" s="40">
        <f>G19*Price*$Y$3</f>
        <v/>
      </c>
      <c r="H20" s="40">
        <f>H19*Price*$Y$3</f>
        <v/>
      </c>
      <c r="I20" s="40">
        <f>I19*Price*$Y$3</f>
        <v/>
      </c>
      <c r="J20" s="40">
        <f>J19*Price*$Y$3</f>
        <v/>
      </c>
      <c r="K20" s="40">
        <f>K19*Price*$Y$3</f>
        <v/>
      </c>
      <c r="L20" s="40">
        <f>L19*Price*$Y$3</f>
        <v/>
      </c>
      <c r="M20" s="40">
        <f>M19*Price*$Y$3</f>
        <v/>
      </c>
      <c r="N20" s="40">
        <f>N19*Price*$Y$3</f>
        <v/>
      </c>
      <c r="O20" s="40">
        <f>O19*Price*$Y$3</f>
        <v/>
      </c>
      <c r="P20" s="40">
        <f>P19*Price*$Y$3</f>
        <v/>
      </c>
      <c r="Q20" s="40">
        <f>Q19*Price*$Y$3</f>
        <v/>
      </c>
      <c r="R20" s="40">
        <f>R19*Price*$Y$3</f>
        <v/>
      </c>
      <c r="S20" s="40">
        <f>S19*Price*$Y$3</f>
        <v/>
      </c>
      <c r="T20" s="40">
        <f>T19*Price*$Y$3</f>
        <v/>
      </c>
      <c r="U20" s="40">
        <f>U19*Price*$Y$3</f>
        <v/>
      </c>
      <c r="V20" s="40">
        <f>V19*Price*$Y$3</f>
        <v/>
      </c>
      <c r="W20" s="40">
        <f>W19*Price*$Y$3</f>
        <v/>
      </c>
      <c r="X20" s="40">
        <f>X19*Price*$Y$3</f>
        <v/>
      </c>
      <c r="Y20" s="40">
        <f>Y19*Price*$Y$3</f>
        <v/>
      </c>
      <c r="Z20" s="40">
        <f>Z19*Price*$Y$3</f>
        <v/>
      </c>
      <c r="AA20" s="40">
        <f>AA19*Price*$Y$3</f>
        <v/>
      </c>
      <c r="AB20" s="40">
        <f>AB19*Price*$Y$3</f>
        <v/>
      </c>
      <c r="AC20" s="40">
        <f>AC19*Price*$Y$3</f>
        <v/>
      </c>
      <c r="AD20" s="40">
        <f>AD19*Price*$Y$3</f>
        <v/>
      </c>
      <c r="AE20" s="40">
        <f>AE19*Price*$Y$3</f>
        <v/>
      </c>
      <c r="AF20" s="41">
        <f>SUM(F20:AE20)</f>
        <v/>
      </c>
    </row>
    <row r="21">
      <c r="B21" s="11">
        <f>"Raw COGS ("&amp;$Z$3&amp;")"</f>
        <v/>
      </c>
      <c r="F21" s="40">
        <f>F19*Cost*$Y$3</f>
        <v/>
      </c>
      <c r="G21" s="40">
        <f>G19*Cost*$Y$3</f>
        <v/>
      </c>
      <c r="H21" s="40">
        <f>H19*Cost*$Y$3</f>
        <v/>
      </c>
      <c r="I21" s="40">
        <f>I19*Cost*$Y$3</f>
        <v/>
      </c>
      <c r="J21" s="40">
        <f>J19*Cost*$Y$3</f>
        <v/>
      </c>
      <c r="K21" s="40">
        <f>K19*Cost*$Y$3</f>
        <v/>
      </c>
      <c r="L21" s="40">
        <f>L19*Cost*$Y$3</f>
        <v/>
      </c>
      <c r="M21" s="40">
        <f>M19*Cost*$Y$3</f>
        <v/>
      </c>
      <c r="N21" s="40">
        <f>N19*Cost*$Y$3</f>
        <v/>
      </c>
      <c r="O21" s="40">
        <f>O19*Cost*$Y$3</f>
        <v/>
      </c>
      <c r="P21" s="40">
        <f>P19*Cost*$Y$3</f>
        <v/>
      </c>
      <c r="Q21" s="40">
        <f>Q19*Cost*$Y$3</f>
        <v/>
      </c>
      <c r="R21" s="40">
        <f>R19*Cost*$Y$3</f>
        <v/>
      </c>
      <c r="S21" s="40">
        <f>S19*Cost*$Y$3</f>
        <v/>
      </c>
      <c r="T21" s="40">
        <f>T19*Cost*$Y$3</f>
        <v/>
      </c>
      <c r="U21" s="40">
        <f>U19*Cost*$Y$3</f>
        <v/>
      </c>
      <c r="V21" s="40">
        <f>V19*Cost*$Y$3</f>
        <v/>
      </c>
      <c r="W21" s="40">
        <f>W19*Cost*$Y$3</f>
        <v/>
      </c>
      <c r="X21" s="40">
        <f>X19*Cost*$Y$3</f>
        <v/>
      </c>
      <c r="Y21" s="40">
        <f>Y19*Cost*$Y$3</f>
        <v/>
      </c>
      <c r="Z21" s="40">
        <f>Z19*Cost*$Y$3</f>
        <v/>
      </c>
      <c r="AA21" s="40">
        <f>AA19*Cost*$Y$3</f>
        <v/>
      </c>
      <c r="AB21" s="40">
        <f>AB19*Cost*$Y$3</f>
        <v/>
      </c>
      <c r="AC21" s="40">
        <f>AC19*Cost*$Y$3</f>
        <v/>
      </c>
      <c r="AD21" s="40">
        <f>AD19*Cost*$Y$3</f>
        <v/>
      </c>
      <c r="AE21" s="40">
        <f>AE19*Cost*$Y$3</f>
        <v/>
      </c>
      <c r="AF21" s="41">
        <f>SUM(F21:AE21)</f>
        <v/>
      </c>
    </row>
    <row r="22">
      <c r="B22" s="14">
        <f>"Gross Profit ("&amp;$Z$3&amp;")"</f>
        <v/>
      </c>
      <c r="F22" s="40">
        <f>F20-F21</f>
        <v/>
      </c>
      <c r="G22" s="40">
        <f>G20-G21</f>
        <v/>
      </c>
      <c r="H22" s="40">
        <f>H20-H21</f>
        <v/>
      </c>
      <c r="I22" s="40">
        <f>I20-I21</f>
        <v/>
      </c>
      <c r="J22" s="40">
        <f>J20-J21</f>
        <v/>
      </c>
      <c r="K22" s="40">
        <f>K20-K21</f>
        <v/>
      </c>
      <c r="L22" s="40">
        <f>L20-L21</f>
        <v/>
      </c>
      <c r="M22" s="40">
        <f>M20-M21</f>
        <v/>
      </c>
      <c r="N22" s="40">
        <f>N20-N21</f>
        <v/>
      </c>
      <c r="O22" s="40">
        <f>O20-O21</f>
        <v/>
      </c>
      <c r="P22" s="40">
        <f>P20-P21</f>
        <v/>
      </c>
      <c r="Q22" s="40">
        <f>Q20-Q21</f>
        <v/>
      </c>
      <c r="R22" s="40">
        <f>R20-R21</f>
        <v/>
      </c>
      <c r="S22" s="40">
        <f>S20-S21</f>
        <v/>
      </c>
      <c r="T22" s="40">
        <f>T20-T21</f>
        <v/>
      </c>
      <c r="U22" s="40">
        <f>U20-U21</f>
        <v/>
      </c>
      <c r="V22" s="40">
        <f>V20-V21</f>
        <v/>
      </c>
      <c r="W22" s="40">
        <f>W20-W21</f>
        <v/>
      </c>
      <c r="X22" s="40">
        <f>X20-X21</f>
        <v/>
      </c>
      <c r="Y22" s="40">
        <f>Y20-Y21</f>
        <v/>
      </c>
      <c r="Z22" s="40">
        <f>Z20-Z21</f>
        <v/>
      </c>
      <c r="AA22" s="40">
        <f>AA20-AA21</f>
        <v/>
      </c>
      <c r="AB22" s="40">
        <f>AB20-AB21</f>
        <v/>
      </c>
      <c r="AC22" s="40">
        <f>AC20-AC21</f>
        <v/>
      </c>
      <c r="AD22" s="40">
        <f>AD20-AD21</f>
        <v/>
      </c>
      <c r="AE22" s="40">
        <f>AE20-AE21</f>
        <v/>
      </c>
      <c r="AF22" s="41">
        <f>SUM(F22:AE22)</f>
        <v/>
      </c>
    </row>
    <row r="23">
      <c r="B23" s="11">
        <f>"Promo Spend ("&amp;$Z$3&amp;")"</f>
        <v/>
      </c>
      <c r="F23" s="40">
        <f>(Inputs!F55*DemoCost+Inputs!F56*EndCapCost+Inputs!F57*F19*Price*TPDPct+Inputs!F58*F19*Price*MdPct)*$Y$3</f>
        <v/>
      </c>
      <c r="G23" s="40">
        <f>(Inputs!G55*DemoCost+Inputs!G56*EndCapCost+Inputs!G57*G19*Price*TPDPct+Inputs!G58*G19*Price*MdPct)*$Y$3</f>
        <v/>
      </c>
      <c r="H23" s="40">
        <f>(Inputs!H55*DemoCost+Inputs!H56*EndCapCost+Inputs!H57*H19*Price*TPDPct+Inputs!H58*H19*Price*MdPct)*$Y$3</f>
        <v/>
      </c>
      <c r="I23" s="40">
        <f>(Inputs!I55*DemoCost+Inputs!I56*EndCapCost+Inputs!I57*I19*Price*TPDPct+Inputs!I58*I19*Price*MdPct)*$Y$3</f>
        <v/>
      </c>
      <c r="J23" s="40">
        <f>(Inputs!J55*DemoCost+Inputs!J56*EndCapCost+Inputs!J57*J19*Price*TPDPct+Inputs!J58*J19*Price*MdPct)*$Y$3</f>
        <v/>
      </c>
      <c r="K23" s="40">
        <f>(Inputs!K55*DemoCost+Inputs!K56*EndCapCost+Inputs!K57*K19*Price*TPDPct+Inputs!K58*K19*Price*MdPct)*$Y$3</f>
        <v/>
      </c>
      <c r="L23" s="40">
        <f>(Inputs!L55*DemoCost+Inputs!L56*EndCapCost+Inputs!L57*L19*Price*TPDPct+Inputs!L58*L19*Price*MdPct)*$Y$3</f>
        <v/>
      </c>
      <c r="M23" s="40">
        <f>(Inputs!M55*DemoCost+Inputs!M56*EndCapCost+Inputs!M57*M19*Price*TPDPct+Inputs!M58*M19*Price*MdPct)*$Y$3</f>
        <v/>
      </c>
      <c r="N23" s="40">
        <f>(Inputs!N55*DemoCost+Inputs!N56*EndCapCost+Inputs!N57*N19*Price*TPDPct+Inputs!N58*N19*Price*MdPct)*$Y$3</f>
        <v/>
      </c>
      <c r="O23" s="40">
        <f>(Inputs!O55*DemoCost+Inputs!O56*EndCapCost+Inputs!O57*O19*Price*TPDPct+Inputs!O58*O19*Price*MdPct)*$Y$3</f>
        <v/>
      </c>
      <c r="P23" s="40">
        <f>(Inputs!P55*DemoCost+Inputs!P56*EndCapCost+Inputs!P57*P19*Price*TPDPct+Inputs!P58*P19*Price*MdPct)*$Y$3</f>
        <v/>
      </c>
      <c r="Q23" s="40">
        <f>(Inputs!Q55*DemoCost+Inputs!Q56*EndCapCost+Inputs!Q57*Q19*Price*TPDPct+Inputs!Q58*Q19*Price*MdPct)*$Y$3</f>
        <v/>
      </c>
      <c r="R23" s="40">
        <f>(Inputs!R55*DemoCost+Inputs!R56*EndCapCost+Inputs!R57*R19*Price*TPDPct+Inputs!R58*R19*Price*MdPct)*$Y$3</f>
        <v/>
      </c>
      <c r="S23" s="40">
        <f>(Inputs!S55*DemoCost+Inputs!S56*EndCapCost+Inputs!S57*S19*Price*TPDPct+Inputs!S58*S19*Price*MdPct)*$Y$3</f>
        <v/>
      </c>
      <c r="T23" s="40">
        <f>(Inputs!T55*DemoCost+Inputs!T56*EndCapCost+Inputs!T57*T19*Price*TPDPct+Inputs!T58*T19*Price*MdPct)*$Y$3</f>
        <v/>
      </c>
      <c r="U23" s="40">
        <f>(Inputs!U55*DemoCost+Inputs!U56*EndCapCost+Inputs!U57*U19*Price*TPDPct+Inputs!U58*U19*Price*MdPct)*$Y$3</f>
        <v/>
      </c>
      <c r="V23" s="40">
        <f>(Inputs!V55*DemoCost+Inputs!V56*EndCapCost+Inputs!V57*V19*Price*TPDPct+Inputs!V58*V19*Price*MdPct)*$Y$3</f>
        <v/>
      </c>
      <c r="W23" s="40">
        <f>(Inputs!W55*DemoCost+Inputs!W56*EndCapCost+Inputs!W57*W19*Price*TPDPct+Inputs!W58*W19*Price*MdPct)*$Y$3</f>
        <v/>
      </c>
      <c r="X23" s="40">
        <f>(Inputs!X55*DemoCost+Inputs!X56*EndCapCost+Inputs!X57*X19*Price*TPDPct+Inputs!X58*X19*Price*MdPct)*$Y$3</f>
        <v/>
      </c>
      <c r="Y23" s="40">
        <f>(Inputs!Y55*DemoCost+Inputs!Y56*EndCapCost+Inputs!Y57*Y19*Price*TPDPct+Inputs!Y58*Y19*Price*MdPct)*$Y$3</f>
        <v/>
      </c>
      <c r="Z23" s="40">
        <f>(Inputs!Z55*DemoCost+Inputs!Z56*EndCapCost+Inputs!Z57*Z19*Price*TPDPct+Inputs!Z58*Z19*Price*MdPct)*$Y$3</f>
        <v/>
      </c>
      <c r="AA23" s="40">
        <f>(Inputs!AA55*DemoCost+Inputs!AA56*EndCapCost+Inputs!AA57*AA19*Price*TPDPct+Inputs!AA58*AA19*Price*MdPct)*$Y$3</f>
        <v/>
      </c>
      <c r="AB23" s="40">
        <f>(Inputs!AB55*DemoCost+Inputs!AB56*EndCapCost+Inputs!AB57*AB19*Price*TPDPct+Inputs!AB58*AB19*Price*MdPct)*$Y$3</f>
        <v/>
      </c>
      <c r="AC23" s="40">
        <f>(Inputs!AC55*DemoCost+Inputs!AC56*EndCapCost+Inputs!AC57*AC19*Price*TPDPct+Inputs!AC58*AC19*Price*MdPct)*$Y$3</f>
        <v/>
      </c>
      <c r="AD23" s="40">
        <f>(Inputs!AD55*DemoCost+Inputs!AD56*EndCapCost+Inputs!AD57*AD19*Price*TPDPct+Inputs!AD58*AD19*Price*MdPct)*$Y$3</f>
        <v/>
      </c>
      <c r="AE23" s="40">
        <f>(Inputs!AE55*DemoCost+Inputs!AE56*EndCapCost+Inputs!AE57*AE19*Price*TPDPct+Inputs!AE58*AE19*Price*MdPct)*$Y$3</f>
        <v/>
      </c>
      <c r="AF23" s="41">
        <f>SUM(F23:AE23)</f>
        <v/>
      </c>
    </row>
    <row r="24">
      <c r="B24" s="14">
        <f>"Net Profit ("&amp;$Z$3&amp;")"</f>
        <v/>
      </c>
      <c r="F24" s="40">
        <f>F22-F23</f>
        <v/>
      </c>
      <c r="G24" s="40">
        <f>G22-G23</f>
        <v/>
      </c>
      <c r="H24" s="40">
        <f>H22-H23</f>
        <v/>
      </c>
      <c r="I24" s="40">
        <f>I22-I23</f>
        <v/>
      </c>
      <c r="J24" s="40">
        <f>J22-J23</f>
        <v/>
      </c>
      <c r="K24" s="40">
        <f>K22-K23</f>
        <v/>
      </c>
      <c r="L24" s="40">
        <f>L22-L23</f>
        <v/>
      </c>
      <c r="M24" s="40">
        <f>M22-M23</f>
        <v/>
      </c>
      <c r="N24" s="40">
        <f>N22-N23</f>
        <v/>
      </c>
      <c r="O24" s="40">
        <f>O22-O23</f>
        <v/>
      </c>
      <c r="P24" s="40">
        <f>P22-P23</f>
        <v/>
      </c>
      <c r="Q24" s="40">
        <f>Q22-Q23</f>
        <v/>
      </c>
      <c r="R24" s="40">
        <f>R22-R23</f>
        <v/>
      </c>
      <c r="S24" s="40">
        <f>S22-S23</f>
        <v/>
      </c>
      <c r="T24" s="40">
        <f>T22-T23</f>
        <v/>
      </c>
      <c r="U24" s="40">
        <f>U22-U23</f>
        <v/>
      </c>
      <c r="V24" s="40">
        <f>V22-V23</f>
        <v/>
      </c>
      <c r="W24" s="40">
        <f>W22-W23</f>
        <v/>
      </c>
      <c r="X24" s="40">
        <f>X22-X23</f>
        <v/>
      </c>
      <c r="Y24" s="40">
        <f>Y22-Y23</f>
        <v/>
      </c>
      <c r="Z24" s="40">
        <f>Z22-Z23</f>
        <v/>
      </c>
      <c r="AA24" s="40">
        <f>AA22-AA23</f>
        <v/>
      </c>
      <c r="AB24" s="40">
        <f>AB22-AB23</f>
        <v/>
      </c>
      <c r="AC24" s="40">
        <f>AC22-AC23</f>
        <v/>
      </c>
      <c r="AD24" s="40">
        <f>AD22-AD23</f>
        <v/>
      </c>
      <c r="AE24" s="40">
        <f>AE22-AE23</f>
        <v/>
      </c>
      <c r="AF24" s="41">
        <f>SUM(F24:AE24)</f>
        <v/>
      </c>
    </row>
    <row r="27" ht="22" customHeight="1">
      <c r="B27" s="27" t="inlineStr">
        <is>
          <t>WORST · Launch then markdown clearance</t>
        </is>
      </c>
    </row>
    <row r="28">
      <c r="B28" s="28" t="inlineStr">
        <is>
          <t>Week</t>
        </is>
      </c>
      <c r="F28" s="15" t="inlineStr">
        <is>
          <t>W1</t>
        </is>
      </c>
      <c r="G28" s="15" t="inlineStr">
        <is>
          <t>W2</t>
        </is>
      </c>
      <c r="H28" s="15" t="inlineStr">
        <is>
          <t>W3</t>
        </is>
      </c>
      <c r="I28" s="15" t="inlineStr">
        <is>
          <t>W4</t>
        </is>
      </c>
      <c r="J28" s="15" t="inlineStr">
        <is>
          <t>W5</t>
        </is>
      </c>
      <c r="K28" s="15" t="inlineStr">
        <is>
          <t>W6</t>
        </is>
      </c>
      <c r="L28" s="15" t="inlineStr">
        <is>
          <t>W7</t>
        </is>
      </c>
      <c r="M28" s="15" t="inlineStr">
        <is>
          <t>W8</t>
        </is>
      </c>
      <c r="N28" s="15" t="inlineStr">
        <is>
          <t>W9</t>
        </is>
      </c>
      <c r="O28" s="15" t="inlineStr">
        <is>
          <t>W10</t>
        </is>
      </c>
      <c r="P28" s="15" t="inlineStr">
        <is>
          <t>W11</t>
        </is>
      </c>
      <c r="Q28" s="15" t="inlineStr">
        <is>
          <t>W12</t>
        </is>
      </c>
      <c r="R28" s="15" t="inlineStr">
        <is>
          <t>W13</t>
        </is>
      </c>
      <c r="S28" s="15" t="inlineStr">
        <is>
          <t>W14</t>
        </is>
      </c>
      <c r="T28" s="15" t="inlineStr">
        <is>
          <t>W15</t>
        </is>
      </c>
      <c r="U28" s="15" t="inlineStr">
        <is>
          <t>W16</t>
        </is>
      </c>
      <c r="V28" s="15" t="inlineStr">
        <is>
          <t>W17</t>
        </is>
      </c>
      <c r="W28" s="15" t="inlineStr">
        <is>
          <t>W18</t>
        </is>
      </c>
      <c r="X28" s="15" t="inlineStr">
        <is>
          <t>W19</t>
        </is>
      </c>
      <c r="Y28" s="15" t="inlineStr">
        <is>
          <t>W20</t>
        </is>
      </c>
      <c r="Z28" s="15" t="inlineStr">
        <is>
          <t>W21</t>
        </is>
      </c>
      <c r="AA28" s="15" t="inlineStr">
        <is>
          <t>W22</t>
        </is>
      </c>
      <c r="AB28" s="15" t="inlineStr">
        <is>
          <t>W23</t>
        </is>
      </c>
      <c r="AC28" s="15" t="inlineStr">
        <is>
          <t>W24</t>
        </is>
      </c>
      <c r="AD28" s="15" t="inlineStr">
        <is>
          <t>W25</t>
        </is>
      </c>
      <c r="AE28" s="15" t="inlineStr">
        <is>
          <t>W26</t>
        </is>
      </c>
      <c r="AF28" s="36" t="inlineStr">
        <is>
          <t>TOTAL</t>
        </is>
      </c>
    </row>
    <row r="29">
      <c r="B29" s="28" t="inlineStr">
        <is>
          <t>Wk-commencing</t>
        </is>
      </c>
      <c r="F29" s="29">
        <f>StartDate+7*0</f>
        <v/>
      </c>
      <c r="G29" s="29">
        <f>StartDate+7*1</f>
        <v/>
      </c>
      <c r="H29" s="29">
        <f>StartDate+7*2</f>
        <v/>
      </c>
      <c r="I29" s="29">
        <f>StartDate+7*3</f>
        <v/>
      </c>
      <c r="J29" s="29">
        <f>StartDate+7*4</f>
        <v/>
      </c>
      <c r="K29" s="29">
        <f>StartDate+7*5</f>
        <v/>
      </c>
      <c r="L29" s="29">
        <f>StartDate+7*6</f>
        <v/>
      </c>
      <c r="M29" s="29">
        <f>StartDate+7*7</f>
        <v/>
      </c>
      <c r="N29" s="29">
        <f>StartDate+7*8</f>
        <v/>
      </c>
      <c r="O29" s="29">
        <f>StartDate+7*9</f>
        <v/>
      </c>
      <c r="P29" s="29">
        <f>StartDate+7*10</f>
        <v/>
      </c>
      <c r="Q29" s="29">
        <f>StartDate+7*11</f>
        <v/>
      </c>
      <c r="R29" s="29">
        <f>StartDate+7*12</f>
        <v/>
      </c>
      <c r="S29" s="29">
        <f>StartDate+7*13</f>
        <v/>
      </c>
      <c r="T29" s="29">
        <f>StartDate+7*14</f>
        <v/>
      </c>
      <c r="U29" s="29">
        <f>StartDate+7*15</f>
        <v/>
      </c>
      <c r="V29" s="29">
        <f>StartDate+7*16</f>
        <v/>
      </c>
      <c r="W29" s="29">
        <f>StartDate+7*17</f>
        <v/>
      </c>
      <c r="X29" s="29">
        <f>StartDate+7*18</f>
        <v/>
      </c>
      <c r="Y29" s="29">
        <f>StartDate+7*19</f>
        <v/>
      </c>
      <c r="Z29" s="29">
        <f>StartDate+7*20</f>
        <v/>
      </c>
      <c r="AA29" s="29">
        <f>StartDate+7*21</f>
        <v/>
      </c>
      <c r="AB29" s="29">
        <f>StartDate+7*22</f>
        <v/>
      </c>
      <c r="AC29" s="29">
        <f>StartDate+7*23</f>
        <v/>
      </c>
      <c r="AD29" s="29">
        <f>StartDate+7*24</f>
        <v/>
      </c>
      <c r="AE29" s="29">
        <f>StartDate+7*25</f>
        <v/>
      </c>
      <c r="AF29" s="37" t="inlineStr"/>
    </row>
    <row r="30">
      <c r="B30" s="11" t="inlineStr">
        <is>
          <t>POS Units</t>
        </is>
      </c>
      <c r="F30" s="38">
        <f>ROUND(BaseUnits*Inputs!F69,0)</f>
        <v/>
      </c>
      <c r="G30" s="38">
        <f>ROUND(BaseUnits*Inputs!G69,0)</f>
        <v/>
      </c>
      <c r="H30" s="38">
        <f>ROUND(BaseUnits*Inputs!H69,0)</f>
        <v/>
      </c>
      <c r="I30" s="38">
        <f>ROUND(BaseUnits*Inputs!I69,0)</f>
        <v/>
      </c>
      <c r="J30" s="38">
        <f>ROUND(BaseUnits*Inputs!J69,0)</f>
        <v/>
      </c>
      <c r="K30" s="38">
        <f>ROUND(BaseUnits*Inputs!K69,0)</f>
        <v/>
      </c>
      <c r="L30" s="38">
        <f>ROUND(BaseUnits*Inputs!L69,0)</f>
        <v/>
      </c>
      <c r="M30" s="38">
        <f>ROUND(BaseUnits*Inputs!M69,0)</f>
        <v/>
      </c>
      <c r="N30" s="38">
        <f>ROUND(BaseUnits*Inputs!N69,0)</f>
        <v/>
      </c>
      <c r="O30" s="38">
        <f>ROUND(BaseUnits*Inputs!O69,0)</f>
        <v/>
      </c>
      <c r="P30" s="38">
        <f>ROUND(BaseUnits*Inputs!P69,0)</f>
        <v/>
      </c>
      <c r="Q30" s="38">
        <f>ROUND(BaseUnits*Inputs!Q69,0)</f>
        <v/>
      </c>
      <c r="R30" s="38">
        <f>ROUND(BaseUnits*Inputs!R69,0)</f>
        <v/>
      </c>
      <c r="S30" s="38">
        <f>ROUND(BaseUnits*Inputs!S69,0)</f>
        <v/>
      </c>
      <c r="T30" s="38">
        <f>ROUND(BaseUnits*Inputs!T69,0)</f>
        <v/>
      </c>
      <c r="U30" s="38">
        <f>ROUND(BaseUnits*Inputs!U69,0)</f>
        <v/>
      </c>
      <c r="V30" s="38">
        <f>ROUND(BaseUnits*Inputs!V69,0)</f>
        <v/>
      </c>
      <c r="W30" s="38">
        <f>ROUND(BaseUnits*Inputs!W69,0)</f>
        <v/>
      </c>
      <c r="X30" s="38">
        <f>ROUND(BaseUnits*Inputs!X69,0)</f>
        <v/>
      </c>
      <c r="Y30" s="38">
        <f>ROUND(BaseUnits*Inputs!Y69,0)</f>
        <v/>
      </c>
      <c r="Z30" s="38">
        <f>ROUND(BaseUnits*Inputs!Z69,0)</f>
        <v/>
      </c>
      <c r="AA30" s="38">
        <f>ROUND(BaseUnits*Inputs!AA69,0)</f>
        <v/>
      </c>
      <c r="AB30" s="38">
        <f>ROUND(BaseUnits*Inputs!AB69,0)</f>
        <v/>
      </c>
      <c r="AC30" s="38">
        <f>ROUND(BaseUnits*Inputs!AC69,0)</f>
        <v/>
      </c>
      <c r="AD30" s="38">
        <f>ROUND(BaseUnits*Inputs!AD69,0)</f>
        <v/>
      </c>
      <c r="AE30" s="38">
        <f>ROUND(BaseUnits*Inputs!AE69,0)</f>
        <v/>
      </c>
      <c r="AF30" s="39">
        <f>SUM(F30:AE30)</f>
        <v/>
      </c>
    </row>
    <row r="31">
      <c r="B31" s="11">
        <f>"Revenue ("&amp;$Z$3&amp;")"</f>
        <v/>
      </c>
      <c r="F31" s="40">
        <f>F30*Price*$Y$3</f>
        <v/>
      </c>
      <c r="G31" s="40">
        <f>G30*Price*$Y$3</f>
        <v/>
      </c>
      <c r="H31" s="40">
        <f>H30*Price*$Y$3</f>
        <v/>
      </c>
      <c r="I31" s="40">
        <f>I30*Price*$Y$3</f>
        <v/>
      </c>
      <c r="J31" s="40">
        <f>J30*Price*$Y$3</f>
        <v/>
      </c>
      <c r="K31" s="40">
        <f>K30*Price*$Y$3</f>
        <v/>
      </c>
      <c r="L31" s="40">
        <f>L30*Price*$Y$3</f>
        <v/>
      </c>
      <c r="M31" s="40">
        <f>M30*Price*$Y$3</f>
        <v/>
      </c>
      <c r="N31" s="40">
        <f>N30*Price*$Y$3</f>
        <v/>
      </c>
      <c r="O31" s="40">
        <f>O30*Price*$Y$3</f>
        <v/>
      </c>
      <c r="P31" s="40">
        <f>P30*Price*$Y$3</f>
        <v/>
      </c>
      <c r="Q31" s="40">
        <f>Q30*Price*$Y$3</f>
        <v/>
      </c>
      <c r="R31" s="40">
        <f>R30*Price*$Y$3</f>
        <v/>
      </c>
      <c r="S31" s="40">
        <f>S30*Price*$Y$3</f>
        <v/>
      </c>
      <c r="T31" s="40">
        <f>T30*Price*$Y$3</f>
        <v/>
      </c>
      <c r="U31" s="40">
        <f>U30*Price*$Y$3</f>
        <v/>
      </c>
      <c r="V31" s="40">
        <f>V30*Price*$Y$3</f>
        <v/>
      </c>
      <c r="W31" s="40">
        <f>W30*Price*$Y$3</f>
        <v/>
      </c>
      <c r="X31" s="40">
        <f>X30*Price*$Y$3</f>
        <v/>
      </c>
      <c r="Y31" s="40">
        <f>Y30*Price*$Y$3</f>
        <v/>
      </c>
      <c r="Z31" s="40">
        <f>Z30*Price*$Y$3</f>
        <v/>
      </c>
      <c r="AA31" s="40">
        <f>AA30*Price*$Y$3</f>
        <v/>
      </c>
      <c r="AB31" s="40">
        <f>AB30*Price*$Y$3</f>
        <v/>
      </c>
      <c r="AC31" s="40">
        <f>AC30*Price*$Y$3</f>
        <v/>
      </c>
      <c r="AD31" s="40">
        <f>AD30*Price*$Y$3</f>
        <v/>
      </c>
      <c r="AE31" s="40">
        <f>AE30*Price*$Y$3</f>
        <v/>
      </c>
      <c r="AF31" s="41">
        <f>SUM(F31:AE31)</f>
        <v/>
      </c>
    </row>
    <row r="32">
      <c r="B32" s="11">
        <f>"Raw COGS ("&amp;$Z$3&amp;")"</f>
        <v/>
      </c>
      <c r="F32" s="40">
        <f>F30*Cost*$Y$3</f>
        <v/>
      </c>
      <c r="G32" s="40">
        <f>G30*Cost*$Y$3</f>
        <v/>
      </c>
      <c r="H32" s="40">
        <f>H30*Cost*$Y$3</f>
        <v/>
      </c>
      <c r="I32" s="40">
        <f>I30*Cost*$Y$3</f>
        <v/>
      </c>
      <c r="J32" s="40">
        <f>J30*Cost*$Y$3</f>
        <v/>
      </c>
      <c r="K32" s="40">
        <f>K30*Cost*$Y$3</f>
        <v/>
      </c>
      <c r="L32" s="40">
        <f>L30*Cost*$Y$3</f>
        <v/>
      </c>
      <c r="M32" s="40">
        <f>M30*Cost*$Y$3</f>
        <v/>
      </c>
      <c r="N32" s="40">
        <f>N30*Cost*$Y$3</f>
        <v/>
      </c>
      <c r="O32" s="40">
        <f>O30*Cost*$Y$3</f>
        <v/>
      </c>
      <c r="P32" s="40">
        <f>P30*Cost*$Y$3</f>
        <v/>
      </c>
      <c r="Q32" s="40">
        <f>Q30*Cost*$Y$3</f>
        <v/>
      </c>
      <c r="R32" s="40">
        <f>R30*Cost*$Y$3</f>
        <v/>
      </c>
      <c r="S32" s="40">
        <f>S30*Cost*$Y$3</f>
        <v/>
      </c>
      <c r="T32" s="40">
        <f>T30*Cost*$Y$3</f>
        <v/>
      </c>
      <c r="U32" s="40">
        <f>U30*Cost*$Y$3</f>
        <v/>
      </c>
      <c r="V32" s="40">
        <f>V30*Cost*$Y$3</f>
        <v/>
      </c>
      <c r="W32" s="40">
        <f>W30*Cost*$Y$3</f>
        <v/>
      </c>
      <c r="X32" s="40">
        <f>X30*Cost*$Y$3</f>
        <v/>
      </c>
      <c r="Y32" s="40">
        <f>Y30*Cost*$Y$3</f>
        <v/>
      </c>
      <c r="Z32" s="40">
        <f>Z30*Cost*$Y$3</f>
        <v/>
      </c>
      <c r="AA32" s="40">
        <f>AA30*Cost*$Y$3</f>
        <v/>
      </c>
      <c r="AB32" s="40">
        <f>AB30*Cost*$Y$3</f>
        <v/>
      </c>
      <c r="AC32" s="40">
        <f>AC30*Cost*$Y$3</f>
        <v/>
      </c>
      <c r="AD32" s="40">
        <f>AD30*Cost*$Y$3</f>
        <v/>
      </c>
      <c r="AE32" s="40">
        <f>AE30*Cost*$Y$3</f>
        <v/>
      </c>
      <c r="AF32" s="41">
        <f>SUM(F32:AE32)</f>
        <v/>
      </c>
    </row>
    <row r="33">
      <c r="B33" s="14">
        <f>"Gross Profit ("&amp;$Z$3&amp;")"</f>
        <v/>
      </c>
      <c r="F33" s="40">
        <f>F31-F32</f>
        <v/>
      </c>
      <c r="G33" s="40">
        <f>G31-G32</f>
        <v/>
      </c>
      <c r="H33" s="40">
        <f>H31-H32</f>
        <v/>
      </c>
      <c r="I33" s="40">
        <f>I31-I32</f>
        <v/>
      </c>
      <c r="J33" s="40">
        <f>J31-J32</f>
        <v/>
      </c>
      <c r="K33" s="40">
        <f>K31-K32</f>
        <v/>
      </c>
      <c r="L33" s="40">
        <f>L31-L32</f>
        <v/>
      </c>
      <c r="M33" s="40">
        <f>M31-M32</f>
        <v/>
      </c>
      <c r="N33" s="40">
        <f>N31-N32</f>
        <v/>
      </c>
      <c r="O33" s="40">
        <f>O31-O32</f>
        <v/>
      </c>
      <c r="P33" s="40">
        <f>P31-P32</f>
        <v/>
      </c>
      <c r="Q33" s="40">
        <f>Q31-Q32</f>
        <v/>
      </c>
      <c r="R33" s="40">
        <f>R31-R32</f>
        <v/>
      </c>
      <c r="S33" s="40">
        <f>S31-S32</f>
        <v/>
      </c>
      <c r="T33" s="40">
        <f>T31-T32</f>
        <v/>
      </c>
      <c r="U33" s="40">
        <f>U31-U32</f>
        <v/>
      </c>
      <c r="V33" s="40">
        <f>V31-V32</f>
        <v/>
      </c>
      <c r="W33" s="40">
        <f>W31-W32</f>
        <v/>
      </c>
      <c r="X33" s="40">
        <f>X31-X32</f>
        <v/>
      </c>
      <c r="Y33" s="40">
        <f>Y31-Y32</f>
        <v/>
      </c>
      <c r="Z33" s="40">
        <f>Z31-Z32</f>
        <v/>
      </c>
      <c r="AA33" s="40">
        <f>AA31-AA32</f>
        <v/>
      </c>
      <c r="AB33" s="40">
        <f>AB31-AB32</f>
        <v/>
      </c>
      <c r="AC33" s="40">
        <f>AC31-AC32</f>
        <v/>
      </c>
      <c r="AD33" s="40">
        <f>AD31-AD32</f>
        <v/>
      </c>
      <c r="AE33" s="40">
        <f>AE31-AE32</f>
        <v/>
      </c>
      <c r="AF33" s="41">
        <f>SUM(F33:AE33)</f>
        <v/>
      </c>
    </row>
    <row r="34">
      <c r="B34" s="11">
        <f>"Promo Spend ("&amp;$Z$3&amp;")"</f>
        <v/>
      </c>
      <c r="F34" s="40">
        <f>(Inputs!F65*DemoCost+Inputs!F66*EndCapCost+Inputs!F67*F30*Price*TPDPct+Inputs!F68*F30*Price*MdPct)*$Y$3</f>
        <v/>
      </c>
      <c r="G34" s="40">
        <f>(Inputs!G65*DemoCost+Inputs!G66*EndCapCost+Inputs!G67*G30*Price*TPDPct+Inputs!G68*G30*Price*MdPct)*$Y$3</f>
        <v/>
      </c>
      <c r="H34" s="40">
        <f>(Inputs!H65*DemoCost+Inputs!H66*EndCapCost+Inputs!H67*H30*Price*TPDPct+Inputs!H68*H30*Price*MdPct)*$Y$3</f>
        <v/>
      </c>
      <c r="I34" s="40">
        <f>(Inputs!I65*DemoCost+Inputs!I66*EndCapCost+Inputs!I67*I30*Price*TPDPct+Inputs!I68*I30*Price*MdPct)*$Y$3</f>
        <v/>
      </c>
      <c r="J34" s="40">
        <f>(Inputs!J65*DemoCost+Inputs!J66*EndCapCost+Inputs!J67*J30*Price*TPDPct+Inputs!J68*J30*Price*MdPct)*$Y$3</f>
        <v/>
      </c>
      <c r="K34" s="40">
        <f>(Inputs!K65*DemoCost+Inputs!K66*EndCapCost+Inputs!K67*K30*Price*TPDPct+Inputs!K68*K30*Price*MdPct)*$Y$3</f>
        <v/>
      </c>
      <c r="L34" s="40">
        <f>(Inputs!L65*DemoCost+Inputs!L66*EndCapCost+Inputs!L67*L30*Price*TPDPct+Inputs!L68*L30*Price*MdPct)*$Y$3</f>
        <v/>
      </c>
      <c r="M34" s="40">
        <f>(Inputs!M65*DemoCost+Inputs!M66*EndCapCost+Inputs!M67*M30*Price*TPDPct+Inputs!M68*M30*Price*MdPct)*$Y$3</f>
        <v/>
      </c>
      <c r="N34" s="40">
        <f>(Inputs!N65*DemoCost+Inputs!N66*EndCapCost+Inputs!N67*N30*Price*TPDPct+Inputs!N68*N30*Price*MdPct)*$Y$3</f>
        <v/>
      </c>
      <c r="O34" s="40">
        <f>(Inputs!O65*DemoCost+Inputs!O66*EndCapCost+Inputs!O67*O30*Price*TPDPct+Inputs!O68*O30*Price*MdPct)*$Y$3</f>
        <v/>
      </c>
      <c r="P34" s="40">
        <f>(Inputs!P65*DemoCost+Inputs!P66*EndCapCost+Inputs!P67*P30*Price*TPDPct+Inputs!P68*P30*Price*MdPct)*$Y$3</f>
        <v/>
      </c>
      <c r="Q34" s="40">
        <f>(Inputs!Q65*DemoCost+Inputs!Q66*EndCapCost+Inputs!Q67*Q30*Price*TPDPct+Inputs!Q68*Q30*Price*MdPct)*$Y$3</f>
        <v/>
      </c>
      <c r="R34" s="40">
        <f>(Inputs!R65*DemoCost+Inputs!R66*EndCapCost+Inputs!R67*R30*Price*TPDPct+Inputs!R68*R30*Price*MdPct)*$Y$3</f>
        <v/>
      </c>
      <c r="S34" s="40">
        <f>(Inputs!S65*DemoCost+Inputs!S66*EndCapCost+Inputs!S67*S30*Price*TPDPct+Inputs!S68*S30*Price*MdPct)*$Y$3</f>
        <v/>
      </c>
      <c r="T34" s="40">
        <f>(Inputs!T65*DemoCost+Inputs!T66*EndCapCost+Inputs!T67*T30*Price*TPDPct+Inputs!T68*T30*Price*MdPct)*$Y$3</f>
        <v/>
      </c>
      <c r="U34" s="40">
        <f>(Inputs!U65*DemoCost+Inputs!U66*EndCapCost+Inputs!U67*U30*Price*TPDPct+Inputs!U68*U30*Price*MdPct)*$Y$3</f>
        <v/>
      </c>
      <c r="V34" s="40">
        <f>(Inputs!V65*DemoCost+Inputs!V66*EndCapCost+Inputs!V67*V30*Price*TPDPct+Inputs!V68*V30*Price*MdPct)*$Y$3</f>
        <v/>
      </c>
      <c r="W34" s="40">
        <f>(Inputs!W65*DemoCost+Inputs!W66*EndCapCost+Inputs!W67*W30*Price*TPDPct+Inputs!W68*W30*Price*MdPct)*$Y$3</f>
        <v/>
      </c>
      <c r="X34" s="40">
        <f>(Inputs!X65*DemoCost+Inputs!X66*EndCapCost+Inputs!X67*X30*Price*TPDPct+Inputs!X68*X30*Price*MdPct)*$Y$3</f>
        <v/>
      </c>
      <c r="Y34" s="40">
        <f>(Inputs!Y65*DemoCost+Inputs!Y66*EndCapCost+Inputs!Y67*Y30*Price*TPDPct+Inputs!Y68*Y30*Price*MdPct)*$Y$3</f>
        <v/>
      </c>
      <c r="Z34" s="40">
        <f>(Inputs!Z65*DemoCost+Inputs!Z66*EndCapCost+Inputs!Z67*Z30*Price*TPDPct+Inputs!Z68*Z30*Price*MdPct)*$Y$3</f>
        <v/>
      </c>
      <c r="AA34" s="40">
        <f>(Inputs!AA65*DemoCost+Inputs!AA66*EndCapCost+Inputs!AA67*AA30*Price*TPDPct+Inputs!AA68*AA30*Price*MdPct)*$Y$3</f>
        <v/>
      </c>
      <c r="AB34" s="40">
        <f>(Inputs!AB65*DemoCost+Inputs!AB66*EndCapCost+Inputs!AB67*AB30*Price*TPDPct+Inputs!AB68*AB30*Price*MdPct)*$Y$3</f>
        <v/>
      </c>
      <c r="AC34" s="40">
        <f>(Inputs!AC65*DemoCost+Inputs!AC66*EndCapCost+Inputs!AC67*AC30*Price*TPDPct+Inputs!AC68*AC30*Price*MdPct)*$Y$3</f>
        <v/>
      </c>
      <c r="AD34" s="40">
        <f>(Inputs!AD65*DemoCost+Inputs!AD66*EndCapCost+Inputs!AD67*AD30*Price*TPDPct+Inputs!AD68*AD30*Price*MdPct)*$Y$3</f>
        <v/>
      </c>
      <c r="AE34" s="40">
        <f>(Inputs!AE65*DemoCost+Inputs!AE66*EndCapCost+Inputs!AE67*AE30*Price*TPDPct+Inputs!AE68*AE30*Price*MdPct)*$Y$3</f>
        <v/>
      </c>
      <c r="AF34" s="41">
        <f>SUM(F34:AE34)</f>
        <v/>
      </c>
    </row>
    <row r="35">
      <c r="B35" s="14">
        <f>"Net Profit ("&amp;$Z$3&amp;")"</f>
        <v/>
      </c>
      <c r="F35" s="40">
        <f>F33-F34</f>
        <v/>
      </c>
      <c r="G35" s="40">
        <f>G33-G34</f>
        <v/>
      </c>
      <c r="H35" s="40">
        <f>H33-H34</f>
        <v/>
      </c>
      <c r="I35" s="40">
        <f>I33-I34</f>
        <v/>
      </c>
      <c r="J35" s="40">
        <f>J33-J34</f>
        <v/>
      </c>
      <c r="K35" s="40">
        <f>K33-K34</f>
        <v/>
      </c>
      <c r="L35" s="40">
        <f>L33-L34</f>
        <v/>
      </c>
      <c r="M35" s="40">
        <f>M33-M34</f>
        <v/>
      </c>
      <c r="N35" s="40">
        <f>N33-N34</f>
        <v/>
      </c>
      <c r="O35" s="40">
        <f>O33-O34</f>
        <v/>
      </c>
      <c r="P35" s="40">
        <f>P33-P34</f>
        <v/>
      </c>
      <c r="Q35" s="40">
        <f>Q33-Q34</f>
        <v/>
      </c>
      <c r="R35" s="40">
        <f>R33-R34</f>
        <v/>
      </c>
      <c r="S35" s="40">
        <f>S33-S34</f>
        <v/>
      </c>
      <c r="T35" s="40">
        <f>T33-T34</f>
        <v/>
      </c>
      <c r="U35" s="40">
        <f>U33-U34</f>
        <v/>
      </c>
      <c r="V35" s="40">
        <f>V33-V34</f>
        <v/>
      </c>
      <c r="W35" s="40">
        <f>W33-W34</f>
        <v/>
      </c>
      <c r="X35" s="40">
        <f>X33-X34</f>
        <v/>
      </c>
      <c r="Y35" s="40">
        <f>Y33-Y34</f>
        <v/>
      </c>
      <c r="Z35" s="40">
        <f>Z33-Z34</f>
        <v/>
      </c>
      <c r="AA35" s="40">
        <f>AA33-AA34</f>
        <v/>
      </c>
      <c r="AB35" s="40">
        <f>AB33-AB34</f>
        <v/>
      </c>
      <c r="AC35" s="40">
        <f>AC33-AC34</f>
        <v/>
      </c>
      <c r="AD35" s="40">
        <f>AD33-AD34</f>
        <v/>
      </c>
      <c r="AE35" s="40">
        <f>AE33-AE34</f>
        <v/>
      </c>
      <c r="AF35" s="41">
        <f>SUM(F35:AE35)</f>
        <v/>
      </c>
    </row>
  </sheetData>
  <mergeCells count="4">
    <mergeCell ref="B27:AF27"/>
    <mergeCell ref="B16:AF16"/>
    <mergeCell ref="B5:AF5"/>
    <mergeCell ref="B2:AF2"/>
  </mergeCells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Z1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</cols>
  <sheetData>
    <row r="2" ht="32" customHeight="1">
      <c r="B2" s="9">
        <f>"ROI SUMMARY  (Display: "&amp;$Z$3&amp;" "&amp;$C$3&amp;")"</f>
        <v/>
      </c>
    </row>
    <row r="3" ht="22" customHeight="1">
      <c r="B3" s="32" t="inlineStr">
        <is>
          <t>Display Currency</t>
        </is>
      </c>
      <c r="C3" s="12" t="inlineStr">
        <is>
          <t>GBP</t>
        </is>
      </c>
      <c r="D3" s="33">
        <f>"("&amp;VLOOKUP(C3,Inputs!$B$13:$D$16,2,FALSE)&amp;"  ·  rate "&amp;TEXT(VLOOKUP(C3,Inputs!$B$13:$D$16,3,FALSE),"0.0000")&amp;")"</f>
        <v/>
      </c>
      <c r="Y3" s="34">
        <f>VLOOKUP(C3,Inputs!$B$13:$D$16,3,FALSE)</f>
        <v/>
      </c>
      <c r="Z3" s="35">
        <f>VLOOKUP(C3,Inputs!$B$13:$D$16,2,FALSE)</f>
        <v/>
      </c>
    </row>
    <row r="4">
      <c r="B4" s="42">
        <f>"Test window: W1 ("&amp;TEXT(StartDate,"dd-mmm-yyyy")&amp;")  →  W"&amp;Period&amp;" ("&amp;TEXT(StartDate+7*(Period-1),"dd-mmm-yyyy")&amp;")"</f>
        <v/>
      </c>
    </row>
    <row r="6" ht="24" customHeight="1">
      <c r="B6" s="43" t="inlineStr">
        <is>
          <t>Metric</t>
        </is>
      </c>
      <c r="C6" s="44" t="inlineStr">
        <is>
          <t>BEST</t>
        </is>
      </c>
      <c r="D6" s="44" t="inlineStr">
        <is>
          <t>IDEAL</t>
        </is>
      </c>
      <c r="E6" s="44" t="inlineStr">
        <is>
          <t>WORST</t>
        </is>
      </c>
    </row>
    <row r="7" ht="22" customHeight="1">
      <c r="B7" s="45" t="inlineStr">
        <is>
          <t>Units Sold</t>
        </is>
      </c>
      <c r="C7" s="46">
        <f>Forecast!AF8</f>
        <v/>
      </c>
      <c r="D7" s="46">
        <f>Forecast!AF19</f>
        <v/>
      </c>
      <c r="E7" s="46">
        <f>Forecast!AF30</f>
        <v/>
      </c>
    </row>
    <row r="8" ht="22" customHeight="1">
      <c r="B8" s="45">
        <f>"Revenue ("&amp;$Z$3&amp;")"</f>
        <v/>
      </c>
      <c r="C8" s="47">
        <f>Forecast!AF9*($Y$3/Forecast!$Y$3)</f>
        <v/>
      </c>
      <c r="D8" s="47">
        <f>Forecast!AF20*($Y$3/Forecast!$Y$3)</f>
        <v/>
      </c>
      <c r="E8" s="47">
        <f>Forecast!AF31*($Y$3/Forecast!$Y$3)</f>
        <v/>
      </c>
    </row>
    <row r="9" ht="26" customHeight="1">
      <c r="B9" s="48">
        <f>"Gross Profit ("&amp;$Z$3&amp;")"</f>
        <v/>
      </c>
      <c r="C9" s="49">
        <f>Forecast!AF11*($Y$3/Forecast!$Y$3)</f>
        <v/>
      </c>
      <c r="D9" s="49">
        <f>Forecast!AF22*($Y$3/Forecast!$Y$3)</f>
        <v/>
      </c>
      <c r="E9" s="49">
        <f>Forecast!AF33*($Y$3/Forecast!$Y$3)</f>
        <v/>
      </c>
    </row>
    <row r="10" ht="26" customHeight="1">
      <c r="B10" s="48" t="inlineStr">
        <is>
          <t>Gross Margin %</t>
        </is>
      </c>
      <c r="C10" s="50">
        <f>IFERROR(Forecast!AF11/Forecast!AF9,0)</f>
        <v/>
      </c>
      <c r="D10" s="50">
        <f>IFERROR(Forecast!AF22/Forecast!AF20,0)</f>
        <v/>
      </c>
      <c r="E10" s="50">
        <f>IFERROR(Forecast!AF33/Forecast!AF31,0)</f>
        <v/>
      </c>
    </row>
    <row r="11" ht="22" customHeight="1">
      <c r="B11" s="45">
        <f>"Promo Spend ("&amp;$Z$3&amp;")"</f>
        <v/>
      </c>
      <c r="C11" s="47">
        <f>Forecast!AF12*($Y$3/Forecast!$Y$3)</f>
        <v/>
      </c>
      <c r="D11" s="47">
        <f>Forecast!AF23*($Y$3/Forecast!$Y$3)</f>
        <v/>
      </c>
      <c r="E11" s="47">
        <f>Forecast!AF34*($Y$3/Forecast!$Y$3)</f>
        <v/>
      </c>
    </row>
    <row r="12" ht="26" customHeight="1">
      <c r="B12" s="48">
        <f>"Net Profit ("&amp;$Z$3&amp;")"</f>
        <v/>
      </c>
      <c r="C12" s="49">
        <f>Forecast!AF13*($Y$3/Forecast!$Y$3)</f>
        <v/>
      </c>
      <c r="D12" s="49">
        <f>Forecast!AF24*($Y$3/Forecast!$Y$3)</f>
        <v/>
      </c>
      <c r="E12" s="49">
        <f>Forecast!AF35*($Y$3/Forecast!$Y$3)</f>
        <v/>
      </c>
    </row>
    <row r="13" ht="26" customHeight="1">
      <c r="B13" s="48" t="inlineStr">
        <is>
          <t>ROI on Promo Spend</t>
        </is>
      </c>
      <c r="C13" s="50">
        <f>IFERROR(Forecast!AF13/Forecast!AF12,0)</f>
        <v/>
      </c>
      <c r="D13" s="50">
        <f>IFERROR(Forecast!AF24/Forecast!AF23,0)</f>
        <v/>
      </c>
      <c r="E13" s="50">
        <f>IFERROR(Forecast!AF35/Forecast!AF34,0)</f>
        <v/>
      </c>
    </row>
    <row r="16" ht="22" customHeight="1">
      <c r="B16" s="10" t="inlineStr">
        <is>
          <t>Why each scenario?</t>
        </is>
      </c>
    </row>
    <row r="17" ht="28" customHeight="1">
      <c r="B17" s="51" t="inlineStr">
        <is>
          <t>BEST</t>
        </is>
      </c>
      <c r="C17" s="13" t="inlineStr">
        <is>
          <t>Two demo weekends with TPD. ~3x lift in-promo weeks.</t>
        </is>
      </c>
    </row>
    <row r="18" ht="28" customHeight="1">
      <c r="B18" s="51" t="inlineStr">
        <is>
          <t>IDEAL</t>
        </is>
      </c>
      <c r="C18" s="13" t="inlineStr">
        <is>
          <t>Stacked demo + end cap + TPD. ~3.6x lift.</t>
        </is>
      </c>
    </row>
    <row r="19" ht="28" customHeight="1">
      <c r="B19" s="51" t="inlineStr">
        <is>
          <t>WORST</t>
        </is>
      </c>
      <c r="C19" s="13" t="inlineStr">
        <is>
          <t>Launch as IDEAL, then 50% markdown to clear Wks 18-20.</t>
        </is>
      </c>
    </row>
  </sheetData>
  <mergeCells count="6">
    <mergeCell ref="B4:E4"/>
    <mergeCell ref="C19:E19"/>
    <mergeCell ref="B16:E16"/>
    <mergeCell ref="C18:E18"/>
    <mergeCell ref="C17:E17"/>
    <mergeCell ref="B2:E2"/>
  </mergeCells>
  <conditionalFormatting sqref="C12:E12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13:E13">
    <cfRule type="cellIs" priority="3" operator="lessThan" dxfId="0">
      <formula>0</formula>
    </cfRule>
    <cfRule type="cellIs" priority="4" operator="greaterThanOrEqual" dxfId="1">
      <formula>0</formula>
    </cfRule>
  </conditionalFormatting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Z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2" customWidth="1" min="9" max="9"/>
    <col width="13" customWidth="1" min="10" max="10"/>
    <col width="8" customWidth="1" min="11" max="11"/>
    <col width="34" customWidth="1" min="12" max="12"/>
  </cols>
  <sheetData>
    <row r="2" ht="32" customHeight="1">
      <c r="B2" s="9">
        <f>"PORTFOLIO — D93 Pitch SKUs · Y1 Roll-Up  (Display: "&amp;$Z$3&amp;" "&amp;$C$3&amp;")"</f>
        <v/>
      </c>
    </row>
    <row r="3" ht="22" customHeight="1">
      <c r="B3" s="32" t="inlineStr">
        <is>
          <t>Display Currency</t>
        </is>
      </c>
      <c r="C3" s="12" t="inlineStr">
        <is>
          <t>GBP</t>
        </is>
      </c>
      <c r="D3" s="33">
        <f>"("&amp;VLOOKUP(C3,Inputs!$B$13:$D$16,2,FALSE)&amp;"  ·  rate "&amp;TEXT(VLOOKUP(C3,Inputs!$B$13:$D$16,3,FALSE),"0.0000")&amp;")"</f>
        <v/>
      </c>
      <c r="Y3" s="34">
        <f>VLOOKUP(C3,Inputs!$B$13:$D$16,3,FALSE)</f>
        <v/>
      </c>
      <c r="Z3" s="35">
        <f>VLOOKUP(C3,Inputs!$B$13:$D$16,2,FALSE)</f>
        <v/>
      </c>
    </row>
    <row r="4" ht="24" customHeight="1">
      <c r="B4" s="52" t="inlineStr">
        <is>
          <t>Bee Propolis pre-filled. Fill SP / Cost / Y1 Units / Promo Spend for SKUs 2-7 (yellow cells). Bottom row blends across SKUs.</t>
        </is>
      </c>
    </row>
    <row r="6">
      <c r="B6" s="15" t="inlineStr">
        <is>
          <t>#</t>
        </is>
      </c>
      <c r="C6" s="16" t="inlineStr">
        <is>
          <t>SKU</t>
        </is>
      </c>
      <c r="D6" s="15">
        <f>"SP ("&amp;$Z$3&amp;")"</f>
        <v/>
      </c>
      <c r="E6" s="15">
        <f>"Cost ("&amp;$Z$3&amp;")"</f>
        <v/>
      </c>
      <c r="F6" s="15" t="inlineStr">
        <is>
          <t>GM %</t>
        </is>
      </c>
      <c r="G6" s="15" t="inlineStr">
        <is>
          <t>Y1 Units</t>
        </is>
      </c>
      <c r="H6" s="15">
        <f>"Revenue ("&amp;$Z$3&amp;")"</f>
        <v/>
      </c>
      <c r="I6" s="15">
        <f>"Promo ("&amp;$Z$3&amp;")"</f>
        <v/>
      </c>
      <c r="J6" s="15">
        <f>"Net Profit ("&amp;$Z$3&amp;")"</f>
        <v/>
      </c>
      <c r="K6" s="15" t="inlineStr">
        <is>
          <t>ROI</t>
        </is>
      </c>
      <c r="L6" s="16" t="inlineStr">
        <is>
          <t>Rationale</t>
        </is>
      </c>
    </row>
    <row r="7" ht="22" customHeight="1">
      <c r="B7" s="53" t="n">
        <v>1</v>
      </c>
      <c r="C7" s="54" t="inlineStr">
        <is>
          <t>Bee Propolis Spray 30ml x2</t>
        </is>
      </c>
      <c r="D7" s="55" t="n">
        <v>15.99</v>
      </c>
      <c r="E7" s="55" t="n">
        <v>7.29</v>
      </c>
      <c r="F7" s="56">
        <f>IFERROR((D7-E7)/D7,0)</f>
        <v/>
      </c>
      <c r="G7" s="21" t="n">
        <v>17000</v>
      </c>
      <c r="H7" s="40">
        <f>IFERROR(G7*D7,0)</f>
        <v/>
      </c>
      <c r="I7" s="57" t="n">
        <v>25000</v>
      </c>
      <c r="J7" s="41">
        <f>IFERROR((G7*(D7-E7))-I7,0)</f>
        <v/>
      </c>
      <c r="K7" s="56">
        <f>IFERROR(J7/I7,0)</f>
        <v/>
      </c>
      <c r="L7" s="58" t="inlineStr">
        <is>
          <t>Lead pitch — strong GP%.</t>
        </is>
      </c>
    </row>
    <row r="8" ht="22" customHeight="1">
      <c r="B8" s="53" t="n">
        <v>2</v>
      </c>
      <c r="C8" s="54" t="inlineStr">
        <is>
          <t>Mag 8-in-1 90's/120's</t>
        </is>
      </c>
      <c r="D8" s="55" t="n"/>
      <c r="E8" s="55" t="n"/>
      <c r="F8" s="56">
        <f>IFERROR((D8-E8)/D8,0)</f>
        <v/>
      </c>
      <c r="G8" s="21" t="n"/>
      <c r="H8" s="40">
        <f>IFERROR(G8*D8,0)</f>
        <v/>
      </c>
      <c r="I8" s="57" t="n"/>
      <c r="J8" s="41">
        <f>IFERROR((G8*(D8-E8))-I8,0)</f>
        <v/>
      </c>
      <c r="K8" s="56">
        <f>IFERROR(J8/I8,0)</f>
        <v/>
      </c>
      <c r="L8" s="58" t="n"/>
    </row>
    <row r="9" ht="22" customHeight="1">
      <c r="B9" s="53" t="n">
        <v>3</v>
      </c>
      <c r="C9" s="54" t="inlineStr">
        <is>
          <t>O1 450g</t>
        </is>
      </c>
      <c r="D9" s="55" t="n"/>
      <c r="E9" s="55" t="n"/>
      <c r="F9" s="56">
        <f>IFERROR((D9-E9)/D9,0)</f>
        <v/>
      </c>
      <c r="G9" s="21" t="n"/>
      <c r="H9" s="40">
        <f>IFERROR(G9*D9,0)</f>
        <v/>
      </c>
      <c r="I9" s="57" t="n"/>
      <c r="J9" s="41">
        <f>IFERROR((G9*(D9-E9))-I9,0)</f>
        <v/>
      </c>
      <c r="K9" s="56">
        <f>IFERROR(J9/I9,0)</f>
        <v/>
      </c>
      <c r="L9" s="58" t="n"/>
    </row>
    <row r="10" ht="22" customHeight="1">
      <c r="B10" s="53" t="n">
        <v>4</v>
      </c>
      <c r="C10" s="54" t="inlineStr">
        <is>
          <t>Belli Bliss Raspberry, 450g</t>
        </is>
      </c>
      <c r="D10" s="55" t="n"/>
      <c r="E10" s="55" t="n"/>
      <c r="F10" s="56">
        <f>IFERROR((D10-E10)/D10,0)</f>
        <v/>
      </c>
      <c r="G10" s="21" t="n"/>
      <c r="H10" s="40">
        <f>IFERROR(G10*D10,0)</f>
        <v/>
      </c>
      <c r="I10" s="57" t="n"/>
      <c r="J10" s="41">
        <f>IFERROR((G10*(D10-E10))-I10,0)</f>
        <v/>
      </c>
      <c r="K10" s="56">
        <f>IFERROR(J10/I10,0)</f>
        <v/>
      </c>
      <c r="L10" s="58" t="n"/>
    </row>
    <row r="11" ht="22" customHeight="1">
      <c r="B11" s="53" t="n">
        <v>5</v>
      </c>
      <c r="C11" s="54" t="inlineStr">
        <is>
          <t>Daily Boost</t>
        </is>
      </c>
      <c r="D11" s="55" t="n"/>
      <c r="E11" s="55" t="n"/>
      <c r="F11" s="56">
        <f>IFERROR((D11-E11)/D11,0)</f>
        <v/>
      </c>
      <c r="G11" s="21" t="n"/>
      <c r="H11" s="40">
        <f>IFERROR(G11*D11,0)</f>
        <v/>
      </c>
      <c r="I11" s="57" t="n"/>
      <c r="J11" s="41">
        <f>IFERROR((G11*(D11-E11))-I11,0)</f>
        <v/>
      </c>
      <c r="K11" s="56">
        <f>IFERROR(J11/I11,0)</f>
        <v/>
      </c>
      <c r="L11" s="58" t="n"/>
    </row>
    <row r="12" ht="22" customHeight="1">
      <c r="B12" s="53" t="n">
        <v>6</v>
      </c>
      <c r="C12" s="54" t="inlineStr">
        <is>
          <t>Berberine 90's/120's</t>
        </is>
      </c>
      <c r="D12" s="55" t="n"/>
      <c r="E12" s="55" t="n"/>
      <c r="F12" s="56">
        <f>IFERROR((D12-E12)/D12,0)</f>
        <v/>
      </c>
      <c r="G12" s="21" t="n"/>
      <c r="H12" s="40">
        <f>IFERROR(G12*D12,0)</f>
        <v/>
      </c>
      <c r="I12" s="57" t="n"/>
      <c r="J12" s="41">
        <f>IFERROR((G12*(D12-E12))-I12,0)</f>
        <v/>
      </c>
      <c r="K12" s="56">
        <f>IFERROR(J12/I12,0)</f>
        <v/>
      </c>
      <c r="L12" s="58" t="n"/>
    </row>
    <row r="13" ht="22" customHeight="1">
      <c r="B13" s="53" t="n">
        <v>7</v>
      </c>
      <c r="C13" s="54" t="inlineStr">
        <is>
          <t>L-theanine Capsules 90's/120's</t>
        </is>
      </c>
      <c r="D13" s="55" t="n"/>
      <c r="E13" s="55" t="n"/>
      <c r="F13" s="56">
        <f>IFERROR((D13-E13)/D13,0)</f>
        <v/>
      </c>
      <c r="G13" s="21" t="n"/>
      <c r="H13" s="40">
        <f>IFERROR(G13*D13,0)</f>
        <v/>
      </c>
      <c r="I13" s="57" t="n"/>
      <c r="J13" s="41">
        <f>IFERROR((G13*(D13-E13))-I13,0)</f>
        <v/>
      </c>
      <c r="K13" s="56">
        <f>IFERROR(J13/I13,0)</f>
        <v/>
      </c>
      <c r="L13" s="58" t="n"/>
    </row>
    <row r="14" ht="26" customHeight="1">
      <c r="B14" s="59" t="inlineStr"/>
      <c r="C14" s="60" t="inlineStr">
        <is>
          <t>PORTFOLIO TOTAL / BLENDED</t>
        </is>
      </c>
      <c r="D14" s="59" t="inlineStr"/>
      <c r="E14" s="59" t="inlineStr"/>
      <c r="F14" s="61">
        <f>IFERROR(SUM(H7:H13)*0+ (SUMPRODUCT(G7:G13,(D7:D13-E7:E13)))/SUM(H7:H13),0)</f>
        <v/>
      </c>
      <c r="G14" s="62">
        <f>SUM(G7:G13)</f>
        <v/>
      </c>
      <c r="H14" s="63">
        <f>SUM(H7:H13)</f>
        <v/>
      </c>
      <c r="I14" s="63">
        <f>SUM(I7:I13)</f>
        <v/>
      </c>
      <c r="J14" s="63">
        <f>SUM(J7:J13)</f>
        <v/>
      </c>
      <c r="K14" s="61">
        <f>IFERROR(J14/I14,0)</f>
        <v/>
      </c>
      <c r="L14" s="60" t="inlineStr">
        <is>
          <t>Blended across SKUs</t>
        </is>
      </c>
    </row>
  </sheetData>
  <mergeCells count="2">
    <mergeCell ref="B2:L2"/>
    <mergeCell ref="B4:L4"/>
  </mergeCells>
  <dataValidations count="1">
    <dataValidation sqref="C3" showDropDown="0" showInputMessage="0" showErrorMessage="0" allowBlank="0" type="list">
      <formula1>"GBP,USD,CAD,EUR"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2026-05-31T20:59:31Z</dcterms:created>
  <dcterms:modified xsi:type="dcterms:W3CDTF">2026-05-31T20:59:31Z</dcterms:modified>
</cp:coreProperties>
</file>