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Tracker" sheetId="2" state="visible" r:id="rId2"/>
    <sheet name="Decision Log" sheetId="3" state="visible" r:id="rId3"/>
    <sheet name="Risk Register" sheetId="4" state="visible" r:id="rId4"/>
    <sheet name="Customer Asks" sheetId="5" state="visible" r:id="rId5"/>
    <sheet name="Deck Backlog" sheetId="6" state="visible" r:id="rId6"/>
    <sheet name="Meeting Queue" sheetId="7" state="visible" r:id="rId7"/>
    <sheet name="File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1F2A37"/>
      <sz val="20"/>
    </font>
    <font>
      <i val="1"/>
      <color rgb="005B6570"/>
      <sz val="10"/>
    </font>
    <font>
      <color rgb="008A94A0"/>
      <sz val="9"/>
    </font>
    <font>
      <b val="1"/>
      <color rgb="00C0491F"/>
      <sz val="12"/>
    </font>
    <font>
      <color rgb="001F2A37"/>
      <sz val="11"/>
    </font>
    <font>
      <b val="1"/>
      <color rgb="001F2A37"/>
      <sz val="12"/>
    </font>
    <font>
      <b val="1"/>
      <color rgb="00C0491F"/>
    </font>
    <font>
      <i val="1"/>
      <color rgb="005B657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8E7"/>
      </patternFill>
    </fill>
    <fill>
      <patternFill patternType="solid">
        <fgColor rgb="00F2F5F9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4" fillId="0" borderId="0" pivotButton="0" quotePrefix="0" xfId="0"/>
    <xf numFmtId="0" fontId="5" fillId="3" borderId="1" pivotButton="0" quotePrefix="0" xfId="0"/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B42318"/>
      </font>
    </dxf>
    <dxf>
      <font>
        <b val="1"/>
        <color rgb="00B42318"/>
      </font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491F"/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30" customWidth="1" min="4" max="4"/>
    <col width="14" customWidth="1" min="5" max="5"/>
  </cols>
  <sheetData>
    <row r="2">
      <c r="B2" s="1" t="inlineStr">
        <is>
          <t>Commercial Control Tower</t>
        </is>
      </c>
    </row>
    <row r="3">
      <c r="B3" s="2" t="inlineStr">
        <is>
          <t>Claude Cowork Commercial OS v4  ·  one workbook per project</t>
        </is>
      </c>
    </row>
    <row r="4">
      <c r="B4" s="3" t="inlineStr">
        <is>
          <t>Set the project name in cell D4 →</t>
        </is>
      </c>
      <c r="D4" s="4" t="inlineStr">
        <is>
          <t>[Project]</t>
        </is>
      </c>
    </row>
    <row r="6">
      <c r="B6" s="5" t="inlineStr">
        <is>
          <t>Health at a glance</t>
        </is>
      </c>
    </row>
    <row r="7">
      <c r="B7" s="6" t="inlineStr">
        <is>
          <t>Open actions</t>
        </is>
      </c>
      <c r="C7" s="7">
        <f>COUNTIFS('Action Tracker'!F:F,"&lt;&gt;Done",'Action Tracker'!F:F,"&lt;&gt;Dropped",'Action Tracker'!B:B,"&lt;&gt;")-1</f>
        <v/>
      </c>
    </row>
    <row r="8">
      <c r="B8" s="6" t="inlineStr">
        <is>
          <t>Overdue actions</t>
        </is>
      </c>
      <c r="C8" s="7">
        <f>COUNTIFS('Action Tracker'!G:G,"&lt;"&amp;TODAY(),'Action Tracker'!F:F,"&lt;&gt;Done",'Action Tracker'!F:F,"&lt;&gt;Dropped")</f>
        <v/>
      </c>
    </row>
    <row r="9">
      <c r="B9" s="6" t="inlineStr">
        <is>
          <t>P0 / P1 open</t>
        </is>
      </c>
      <c r="C9" s="7">
        <f>COUNTIFS('Action Tracker'!E:E,"P0",'Action Tracker'!F:F,"&lt;&gt;Done")+COUNTIFS('Action Tracker'!E:E,"P1",'Action Tracker'!F:F,"&lt;&gt;Done")</f>
        <v/>
      </c>
    </row>
    <row r="10">
      <c r="B10" s="6" t="inlineStr">
        <is>
          <t>Actions missing owner</t>
        </is>
      </c>
      <c r="C10" s="7">
        <f>COUNTIFS('Action Tracker'!C:C,"",'Action Tracker'!B:B,"&lt;&gt;")-1</f>
        <v/>
      </c>
    </row>
    <row r="11">
      <c r="B11" s="6" t="inlineStr">
        <is>
          <t>Actions missing due date</t>
        </is>
      </c>
      <c r="C11" s="7">
        <f>COUNTIFS('Action Tracker'!G:G,"",'Action Tracker'!B:B,"&lt;&gt;")-1</f>
        <v/>
      </c>
    </row>
    <row r="12">
      <c r="B12" s="6" t="inlineStr">
        <is>
          <t>Open customer asks</t>
        </is>
      </c>
      <c r="C12" s="7">
        <f>COUNTIFS('Customer Asks'!G:G,"&lt;&gt;Done",'Customer Asks'!G:G,"&lt;&gt;Dropped",'Customer Asks'!B:B,"&lt;&gt;")-1</f>
        <v/>
      </c>
    </row>
    <row r="13">
      <c r="B13" s="6" t="inlineStr">
        <is>
          <t>Live risks (High)</t>
        </is>
      </c>
      <c r="C13" s="7">
        <f>COUNTIFS('Risk Register'!C:C,"High",'Risk Register'!G:G,"&lt;&gt;Done")</f>
        <v/>
      </c>
    </row>
    <row r="14">
      <c r="B14" s="6" t="inlineStr">
        <is>
          <t>Open decisions to revisit</t>
        </is>
      </c>
      <c r="C14" s="7">
        <f>COUNTIF('Decision Log'!G:G,"Revisit")</f>
        <v/>
      </c>
    </row>
    <row r="15">
      <c r="B15" s="6" t="inlineStr">
        <is>
          <t>Deck backlog open</t>
        </is>
      </c>
      <c r="C15" s="7">
        <f>COUNTIFS('Deck Backlog'!G:G,"&lt;&gt;Done",'Deck Backlog'!B:B,"&lt;&gt;")-1</f>
        <v/>
      </c>
    </row>
    <row r="16">
      <c r="B16" s="6" t="inlineStr">
        <is>
          <t>Meetings unprocessed</t>
        </is>
      </c>
      <c r="C16" s="7">
        <f>COUNTIF('Meeting Queue'!E:E,"No")+COUNTIF('Meeting Queue'!E:E,"Partial")</f>
        <v/>
      </c>
    </row>
    <row r="18">
      <c r="B18" s="8" t="inlineStr">
        <is>
          <t>The rule that matters</t>
        </is>
      </c>
    </row>
    <row r="19">
      <c r="B19" s="9" t="inlineStr">
        <is>
          <t>No summary is finished until the parts that matter have landed here.</t>
        </is>
      </c>
    </row>
    <row r="21">
      <c r="B21" s="3" t="inlineStr">
        <is>
          <t>Tabs: Action Tracker · Decision Log · Risk Register · Customer Asks · Deck Backlog · Meeting Queue · File Index</t>
        </is>
      </c>
    </row>
    <row r="22">
      <c r="B22" s="3" t="inlineStr">
        <is>
          <t>Update in review-copy mode by default. Never mark Done without evidence.</t>
        </is>
      </c>
    </row>
  </sheetData>
  <conditionalFormatting sqref="C8:C16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0" customWidth="1" min="4" max="4"/>
    <col width="16" customWidth="1" min="5" max="5"/>
    <col width="13" customWidth="1" min="6" max="6"/>
    <col width="13" customWidth="1" min="7" max="7"/>
    <col width="13" customWidth="1" min="8" max="8"/>
    <col width="24" customWidth="1" min="9" max="9"/>
    <col width="34" customWidth="1" min="10" max="10"/>
  </cols>
  <sheetData>
    <row r="1" ht="26" customHeight="1">
      <c r="A1" s="10" t="inlineStr">
        <is>
          <t>ID</t>
        </is>
      </c>
      <c r="B1" s="10" t="inlineStr">
        <is>
          <t>Action</t>
        </is>
      </c>
      <c r="C1" s="10" t="inlineStr">
        <is>
          <t>Owner</t>
        </is>
      </c>
      <c r="D1" s="10" t="inlineStr">
        <is>
          <t>Priority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Due Date</t>
        </is>
      </c>
      <c r="H1" s="10" t="inlineStr">
        <is>
          <t>Created</t>
        </is>
      </c>
      <c r="I1" s="10" t="inlineStr">
        <is>
          <t>Source Meeting</t>
        </is>
      </c>
      <c r="J1" s="10" t="inlineStr">
        <is>
          <t>Notes / Evidence</t>
        </is>
      </c>
    </row>
    <row r="2">
      <c r="A2" s="11" t="inlineStr">
        <is>
          <t>A-001</t>
        </is>
      </c>
      <c r="B2" s="11" t="inlineStr">
        <is>
          <t>Send Costco buyer the revised pack architecture options</t>
        </is>
      </c>
      <c r="C2" s="11" t="inlineStr">
        <is>
          <t>Louis</t>
        </is>
      </c>
      <c r="D2" s="11" t="inlineStr">
        <is>
          <t>P1</t>
        </is>
      </c>
      <c r="E2" s="11" t="inlineStr">
        <is>
          <t>Customer-facing</t>
        </is>
      </c>
      <c r="F2" s="11" t="inlineStr">
        <is>
          <t>In Progress</t>
        </is>
      </c>
      <c r="G2" s="12">
        <f>TODAY()+3</f>
        <v/>
      </c>
      <c r="H2" s="12">
        <f>TODAY()-1</f>
        <v/>
      </c>
      <c r="I2" s="11" t="inlineStr">
        <is>
          <t>Costco JBP prep</t>
        </is>
      </c>
      <c r="J2" s="11" t="inlineStr">
        <is>
          <t>Buyer asked for 2 vs 3 pack options with landed cost</t>
        </is>
      </c>
    </row>
    <row r="3">
      <c r="A3" s="13" t="inlineStr">
        <is>
          <t>A-002</t>
        </is>
      </c>
      <c r="B3" s="13" t="inlineStr">
        <is>
          <t>Confirm item setup timing with supply planning</t>
        </is>
      </c>
      <c r="C3" s="13" t="inlineStr"/>
      <c r="D3" s="13" t="inlineStr">
        <is>
          <t>P0</t>
        </is>
      </c>
      <c r="E3" s="13" t="inlineStr">
        <is>
          <t>Internal</t>
        </is>
      </c>
      <c r="F3" s="13" t="inlineStr">
        <is>
          <t>Open</t>
        </is>
      </c>
      <c r="G3" s="14">
        <f>TODAY()+1</f>
        <v/>
      </c>
      <c r="H3" s="14">
        <f>TODAY()-1</f>
        <v/>
      </c>
      <c r="I3" s="13" t="inlineStr">
        <is>
          <t>Costco JBP prep</t>
        </is>
      </c>
      <c r="J3" s="13" t="inlineStr">
        <is>
          <t>MISSING OWNER — assign before it slips</t>
        </is>
      </c>
    </row>
    <row r="4">
      <c r="A4" s="11" t="inlineStr">
        <is>
          <t>A-003</t>
        </is>
      </c>
      <c r="B4" s="11" t="inlineStr">
        <is>
          <t>Update forecast file with committed promo weeks</t>
        </is>
      </c>
      <c r="C4" s="11" t="inlineStr">
        <is>
          <t>Teresa</t>
        </is>
      </c>
      <c r="D4" s="11" t="inlineStr">
        <is>
          <t>P2</t>
        </is>
      </c>
      <c r="E4" s="11" t="inlineStr">
        <is>
          <t>Internal</t>
        </is>
      </c>
      <c r="F4" s="11" t="inlineStr">
        <is>
          <t>Waiting</t>
        </is>
      </c>
      <c r="G4" s="12">
        <f>TODAY()-2</f>
        <v/>
      </c>
      <c r="H4" s="12">
        <f>TODAY()-5</f>
        <v/>
      </c>
      <c r="I4" s="11" t="inlineStr">
        <is>
          <t>Weekly sync</t>
        </is>
      </c>
      <c r="J4" s="11" t="inlineStr">
        <is>
          <t>OVERDUE example — waiting on promo calendar sign-off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</row>
  </sheetData>
  <conditionalFormatting sqref="G2:G400">
    <cfRule type="expression" priority="1" dxfId="1">
      <formula>AND($G2&lt;&gt;"",$G2&lt;TODAY(),$F2&lt;&gt;"Done",$F2&lt;&gt;"Dropped")</formula>
    </cfRule>
  </conditionalFormatting>
  <conditionalFormatting sqref="A2:J400">
    <cfRule type="expression" priority="2" dxfId="0">
      <formula>$D2="P0"</formula>
    </cfRule>
  </conditionalFormatting>
  <dataValidations count="3">
    <dataValidation sqref="D2:D400" showDropDown="0" showInputMessage="0" showErrorMessage="0" allowBlank="1" errorTitle="Invalid entry" error="Pick a value from the list" prompt="Choose: P0, P1, P2, P3" type="list">
      <formula1>"P0,P1,P2,P3"</formula1>
    </dataValidation>
    <dataValidation sqref="E2:E400" showDropDown="0" showInputMessage="0" showErrorMessage="0" allowBlank="1" errorTitle="Invalid entry" error="Pick a value from the list" prompt="Choose: Customer-facing, Internal" type="list">
      <formula1>"Customer-facing,Internal"</formula1>
    </dataValidation>
    <dataValidation sqref="F2:F400" showDropDown="0" showInputMessage="0" showErrorMessage="0" allowBlank="1" errorTitle="Invalid entry" error="Pick a value from the list" prompt="Choose: Open, In Progress, Waiting, Blocked, Done, Dropped" type="list">
      <formula1>"Open,In Progress,Waiting,Blocked,Done,Dropped"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6E8F"/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16" customWidth="1" min="4" max="4"/>
    <col width="34" customWidth="1" min="5" max="5"/>
    <col width="22" customWidth="1" min="6" max="6"/>
    <col width="12" customWidth="1" min="7" max="7"/>
    <col width="30" customWidth="1" min="8" max="8"/>
  </cols>
  <sheetData>
    <row r="1" ht="26" customHeight="1">
      <c r="A1" s="10" t="inlineStr">
        <is>
          <t>ID</t>
        </is>
      </c>
      <c r="B1" s="10" t="inlineStr">
        <is>
          <t>Decision</t>
        </is>
      </c>
      <c r="C1" s="10" t="inlineStr">
        <is>
          <t>Date</t>
        </is>
      </c>
      <c r="D1" s="10" t="inlineStr">
        <is>
          <t>Owner</t>
        </is>
      </c>
      <c r="E1" s="10" t="inlineStr">
        <is>
          <t>Rationale</t>
        </is>
      </c>
      <c r="F1" s="10" t="inlineStr">
        <is>
          <t>Source</t>
        </is>
      </c>
      <c r="G1" s="10" t="inlineStr">
        <is>
          <t>Status</t>
        </is>
      </c>
      <c r="H1" s="10" t="inlineStr">
        <is>
          <t>Notes</t>
        </is>
      </c>
    </row>
    <row r="2">
      <c r="A2" s="11" t="inlineStr">
        <is>
          <t>D-001</t>
        </is>
      </c>
      <c r="B2" s="11" t="inlineStr">
        <is>
          <t>Lead with 3-pack architecture for Costco line review</t>
        </is>
      </c>
      <c r="C2" s="11">
        <f>TODAY()-1</f>
        <v/>
      </c>
      <c r="D2" s="11" t="inlineStr">
        <is>
          <t>Aaron</t>
        </is>
      </c>
      <c r="E2" s="11" t="inlineStr">
        <is>
          <t>Better landed cost story and cleaner shelf block</t>
        </is>
      </c>
      <c r="F2" s="11" t="inlineStr">
        <is>
          <t>Costco JBP prep</t>
        </is>
      </c>
      <c r="G2" s="11" t="inlineStr">
        <is>
          <t>Decided</t>
        </is>
      </c>
      <c r="H2" s="11" t="inlineStr">
        <is>
          <t>Revisit if buyer pushes on price gap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</row>
  </sheetData>
  <dataValidations count="1">
    <dataValidation sqref="G2:G400" showDropDown="0" showInputMessage="0" showErrorMessage="0" allowBlank="1" errorTitle="Invalid entry" error="Pick a value from the list" prompt="Choose: Decided, Revisit, Superseded" type="list">
      <formula1>"Decided,Revisit,Superseded"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2318"/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1" customWidth="1" min="3" max="3"/>
    <col width="12" customWidth="1" min="4" max="4"/>
    <col width="34" customWidth="1" min="5" max="5"/>
    <col width="14" customWidth="1" min="6" max="6"/>
    <col width="12" customWidth="1" min="7" max="7"/>
    <col width="13" customWidth="1" min="8" max="8"/>
    <col width="26" customWidth="1" min="9" max="9"/>
  </cols>
  <sheetData>
    <row r="1" ht="26" customHeight="1">
      <c r="A1" s="10" t="inlineStr">
        <is>
          <t>ID</t>
        </is>
      </c>
      <c r="B1" s="10" t="inlineStr">
        <is>
          <t>Risk</t>
        </is>
      </c>
      <c r="C1" s="10" t="inlineStr">
        <is>
          <t>Severity</t>
        </is>
      </c>
      <c r="D1" s="10" t="inlineStr">
        <is>
          <t>Likelihood</t>
        </is>
      </c>
      <c r="E1" s="10" t="inlineStr">
        <is>
          <t>Mitigation</t>
        </is>
      </c>
      <c r="F1" s="10" t="inlineStr">
        <is>
          <t>Owner</t>
        </is>
      </c>
      <c r="G1" s="10" t="inlineStr">
        <is>
          <t>Status</t>
        </is>
      </c>
      <c r="H1" s="10" t="inlineStr">
        <is>
          <t>Review Date</t>
        </is>
      </c>
      <c r="I1" s="10" t="inlineStr">
        <is>
          <t>Notes</t>
        </is>
      </c>
    </row>
    <row r="2">
      <c r="A2" s="11" t="inlineStr">
        <is>
          <t>R-001</t>
        </is>
      </c>
      <c r="B2" s="11" t="inlineStr">
        <is>
          <t>Item setup may miss the Costco reset window</t>
        </is>
      </c>
      <c r="C2" s="11" t="inlineStr">
        <is>
          <t>High</t>
        </is>
      </c>
      <c r="D2" s="11" t="inlineStr">
        <is>
          <t>Medium</t>
        </is>
      </c>
      <c r="E2" s="11" t="inlineStr">
        <is>
          <t>Lock setup timing with supply planning this week</t>
        </is>
      </c>
      <c r="F2" s="11" t="inlineStr">
        <is>
          <t>Louis</t>
        </is>
      </c>
      <c r="G2" s="11" t="inlineStr">
        <is>
          <t>Open</t>
        </is>
      </c>
      <c r="H2" s="12">
        <f>TODAY()+7</f>
        <v/>
      </c>
      <c r="I2" s="11" t="inlineStr">
        <is>
          <t>Tied to A-002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</row>
  </sheetData>
  <conditionalFormatting sqref="C2:C400">
    <cfRule type="cellIs" priority="1" operator="equal" dxfId="1">
      <formula>"High"</formula>
    </cfRule>
  </conditionalFormatting>
  <dataValidations count="3">
    <dataValidation sqref="C2:C400" showDropDown="0" showInputMessage="0" showErrorMessage="0" allowBlank="1" errorTitle="Invalid entry" error="Pick a value from the list" prompt="Choose: High, Medium, Low" type="list">
      <formula1>"High,Medium,Low"</formula1>
    </dataValidation>
    <dataValidation sqref="D2:D400" showDropDown="0" showInputMessage="0" showErrorMessage="0" allowBlank="1" errorTitle="Invalid entry" error="Pick a value from the list" prompt="Choose: High, Medium, Low" type="list">
      <formula1>"High,Medium,Low"</formula1>
    </dataValidation>
    <dataValidation sqref="G2:G400" showDropDown="0" showInputMessage="0" showErrorMessage="0" allowBlank="1" errorTitle="Invalid entry" error="Pick a value from the list" prompt="Choose: Open, In Progress, Waiting, Blocked, Done, Dropped" type="list">
      <formula1>"Open,In Progress,Waiting,Blocked,Done,Dropped"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7F4F"/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3" customWidth="1" min="4" max="4"/>
    <col width="16" customWidth="1" min="5" max="5"/>
    <col width="30" customWidth="1" min="6" max="6"/>
    <col width="12" customWidth="1" min="7" max="7"/>
    <col width="13" customWidth="1" min="8" max="8"/>
    <col width="24" customWidth="1" min="9" max="9"/>
  </cols>
  <sheetData>
    <row r="1" ht="26" customHeight="1">
      <c r="A1" s="10" t="inlineStr">
        <is>
          <t>ID</t>
        </is>
      </c>
      <c r="B1" s="10" t="inlineStr">
        <is>
          <t>Ask</t>
        </is>
      </c>
      <c r="C1" s="10" t="inlineStr">
        <is>
          <t>Requested By</t>
        </is>
      </c>
      <c r="D1" s="10" t="inlineStr">
        <is>
          <t>Date</t>
        </is>
      </c>
      <c r="E1" s="10" t="inlineStr">
        <is>
          <t>Internal Owner</t>
        </is>
      </c>
      <c r="F1" s="10" t="inlineStr">
        <is>
          <t>Internal Action Needed</t>
        </is>
      </c>
      <c r="G1" s="10" t="inlineStr">
        <is>
          <t>Status</t>
        </is>
      </c>
      <c r="H1" s="10" t="inlineStr">
        <is>
          <t>Due</t>
        </is>
      </c>
      <c r="I1" s="10" t="inlineStr">
        <is>
          <t>Notes</t>
        </is>
      </c>
    </row>
    <row r="2">
      <c r="A2" s="11" t="inlineStr">
        <is>
          <t>C-001</t>
        </is>
      </c>
      <c r="B2" s="11" t="inlineStr">
        <is>
          <t>Two vs three pack options with landed cost</t>
        </is>
      </c>
      <c r="C2" s="11" t="inlineStr">
        <is>
          <t>Costco buyer</t>
        </is>
      </c>
      <c r="D2" s="11">
        <f>TODAY()-1</f>
        <v/>
      </c>
      <c r="E2" s="11" t="inlineStr">
        <is>
          <t>Louis</t>
        </is>
      </c>
      <c r="F2" s="11" t="inlineStr">
        <is>
          <t>Build costed pack-architecture comparison</t>
        </is>
      </c>
      <c r="G2" s="11" t="inlineStr">
        <is>
          <t>Open</t>
        </is>
      </c>
      <c r="H2" s="11">
        <f>TODAY()+3</f>
        <v/>
      </c>
      <c r="I2" s="11" t="inlineStr">
        <is>
          <t>Feeds A-001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</row>
  </sheetData>
  <dataValidations count="1">
    <dataValidation sqref="G2:G400" showDropDown="0" showInputMessage="0" showErrorMessage="0" allowBlank="1" errorTitle="Invalid entry" error="Pick a value from the list" prompt="Choose: Open, In Progress, Waiting, Blocked, Done, Dropped" type="list">
      <formula1>"Open,In Progress,Waiting,Blocked,Done,Dropped"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4690E"/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26" customWidth="1" min="5" max="5"/>
    <col width="10" customWidth="1" min="6" max="6"/>
    <col width="12" customWidth="1" min="7" max="7"/>
    <col width="22" customWidth="1" min="8" max="8"/>
  </cols>
  <sheetData>
    <row r="1" ht="26" customHeight="1">
      <c r="A1" s="10" t="inlineStr">
        <is>
          <t>ID</t>
        </is>
      </c>
      <c r="B1" s="10" t="inlineStr">
        <is>
          <t>Slide / Section</t>
        </is>
      </c>
      <c r="C1" s="10" t="inlineStr">
        <is>
          <t>Current State</t>
        </is>
      </c>
      <c r="D1" s="10" t="inlineStr">
        <is>
          <t>Needed Change</t>
        </is>
      </c>
      <c r="E1" s="10" t="inlineStr">
        <is>
          <t>Why It Matters</t>
        </is>
      </c>
      <c r="F1" s="10" t="inlineStr">
        <is>
          <t>Priority</t>
        </is>
      </c>
      <c r="G1" s="10" t="inlineStr">
        <is>
          <t>Status</t>
        </is>
      </c>
      <c r="H1" s="10" t="inlineStr">
        <is>
          <t>Notes</t>
        </is>
      </c>
    </row>
    <row r="2">
      <c r="A2" s="11" t="inlineStr">
        <is>
          <t>K-001</t>
        </is>
      </c>
      <c r="B2" s="11" t="inlineStr">
        <is>
          <t>Pack architecture</t>
        </is>
      </c>
      <c r="C2" s="11" t="inlineStr">
        <is>
          <t>Shows 2-pack only</t>
        </is>
      </c>
      <c r="D2" s="11" t="inlineStr">
        <is>
          <t>Add 3-pack option + landed cost</t>
        </is>
      </c>
      <c r="E2" s="11" t="inlineStr">
        <is>
          <t>Buyer asked; changes the margin story</t>
        </is>
      </c>
      <c r="F2" s="11" t="inlineStr">
        <is>
          <t>P1</t>
        </is>
      </c>
      <c r="G2" s="11" t="inlineStr">
        <is>
          <t>Open</t>
        </is>
      </c>
      <c r="H2" s="11" t="inlineStr">
        <is>
          <t>After A-001 lands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</row>
  </sheetData>
  <dataValidations count="2">
    <dataValidation sqref="F2:F400" showDropDown="0" showInputMessage="0" showErrorMessage="0" allowBlank="1" errorTitle="Invalid entry" error="Pick a value from the list" prompt="Choose: P0, P1, P2, P3" type="list">
      <formula1>"P0,P1,P2,P3"</formula1>
    </dataValidation>
    <dataValidation sqref="G2:G400" showDropDown="0" showInputMessage="0" showErrorMessage="0" allowBlank="1" errorTitle="Invalid entry" error="Pick a value from the list" prompt="Choose: Open, In Progress, Waiting, Blocked, Done, Dropped" type="list">
      <formula1>"Open,In Progress,Waiting,Blocked,Done,Dropped"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6570"/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3" customWidth="1" min="3" max="3"/>
    <col width="26" customWidth="1" min="4" max="4"/>
    <col width="13" customWidth="1" min="5" max="5"/>
    <col width="30" customWidth="1" min="6" max="6"/>
    <col width="26" customWidth="1" min="7" max="7"/>
  </cols>
  <sheetData>
    <row r="1" ht="26" customHeight="1">
      <c r="A1" s="10" t="inlineStr">
        <is>
          <t>ID</t>
        </is>
      </c>
      <c r="B1" s="10" t="inlineStr">
        <is>
          <t>Meeting</t>
        </is>
      </c>
      <c r="C1" s="10" t="inlineStr">
        <is>
          <t>Date</t>
        </is>
      </c>
      <c r="D1" s="10" t="inlineStr">
        <is>
          <t>Artifacts</t>
        </is>
      </c>
      <c r="E1" s="10" t="inlineStr">
        <is>
          <t>Processed?</t>
        </is>
      </c>
      <c r="F1" s="10" t="inlineStr">
        <is>
          <t>Summary File</t>
        </is>
      </c>
      <c r="G1" s="10" t="inlineStr">
        <is>
          <t>Notes</t>
        </is>
      </c>
    </row>
    <row r="2">
      <c r="A2" s="11" t="inlineStr">
        <is>
          <t>M-001</t>
        </is>
      </c>
      <c r="B2" s="11" t="inlineStr">
        <is>
          <t>Costco JBP prep</t>
        </is>
      </c>
      <c r="C2" s="11">
        <f>TODAY()-1</f>
        <v/>
      </c>
      <c r="D2" s="11" t="inlineStr">
        <is>
          <t>Transcript + notes + agenda</t>
        </is>
      </c>
      <c r="E2" s="11" t="inlineStr">
        <is>
          <t>Yes</t>
        </is>
      </c>
      <c r="F2" s="11" t="inlineStr">
        <is>
          <t>YYYY-MM-DD - Costco - Meeting Summary - JBP prep</t>
        </is>
      </c>
      <c r="G2" s="11" t="inlineStr">
        <is>
          <t>One queue entry per meeting</t>
        </is>
      </c>
    </row>
    <row r="3">
      <c r="A3" s="13" t="inlineStr">
        <is>
          <t>M-002</t>
        </is>
      </c>
      <c r="B3" s="13" t="inlineStr">
        <is>
          <t>Weekly internal sync</t>
        </is>
      </c>
      <c r="C3" s="13">
        <f>TODAY()</f>
        <v/>
      </c>
      <c r="D3" s="13" t="inlineStr">
        <is>
          <t>Recording</t>
        </is>
      </c>
      <c r="E3" s="13" t="inlineStr">
        <is>
          <t>No</t>
        </is>
      </c>
      <c r="F3" s="13" t="inlineStr"/>
      <c r="G3" s="13" t="inlineStr">
        <is>
          <t>Awaiting Meeting Inbox Processor</t>
        </is>
      </c>
    </row>
    <row r="4">
      <c r="A4" s="11" t="n"/>
      <c r="B4" s="11" t="n"/>
      <c r="C4" s="11" t="n"/>
      <c r="D4" s="11" t="n"/>
      <c r="E4" s="11" t="n"/>
      <c r="F4" s="11" t="n"/>
      <c r="G4" s="11" t="n"/>
    </row>
    <row r="5">
      <c r="A5" s="13" t="n"/>
      <c r="B5" s="13" t="n"/>
      <c r="C5" s="13" t="n"/>
      <c r="D5" s="13" t="n"/>
      <c r="E5" s="13" t="n"/>
      <c r="F5" s="13" t="n"/>
      <c r="G5" s="13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3" t="n"/>
      <c r="B7" s="13" t="n"/>
      <c r="C7" s="13" t="n"/>
      <c r="D7" s="13" t="n"/>
      <c r="E7" s="13" t="n"/>
      <c r="F7" s="13" t="n"/>
      <c r="G7" s="13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3" t="n"/>
      <c r="B11" s="13" t="n"/>
      <c r="C11" s="13" t="n"/>
      <c r="D11" s="13" t="n"/>
      <c r="E11" s="13" t="n"/>
      <c r="F11" s="13" t="n"/>
      <c r="G11" s="13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3" t="n"/>
      <c r="B13" s="13" t="n"/>
      <c r="C13" s="13" t="n"/>
      <c r="D13" s="13" t="n"/>
      <c r="E13" s="13" t="n"/>
      <c r="F13" s="13" t="n"/>
      <c r="G13" s="13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3" t="n"/>
      <c r="B15" s="13" t="n"/>
      <c r="C15" s="13" t="n"/>
      <c r="D15" s="13" t="n"/>
      <c r="E15" s="13" t="n"/>
      <c r="F15" s="13" t="n"/>
      <c r="G15" s="13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3" t="n"/>
      <c r="B17" s="13" t="n"/>
      <c r="C17" s="13" t="n"/>
      <c r="D17" s="13" t="n"/>
      <c r="E17" s="13" t="n"/>
      <c r="F17" s="13" t="n"/>
      <c r="G17" s="13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3" t="n"/>
      <c r="B19" s="13" t="n"/>
      <c r="C19" s="13" t="n"/>
      <c r="D19" s="13" t="n"/>
      <c r="E19" s="13" t="n"/>
      <c r="F19" s="13" t="n"/>
      <c r="G19" s="13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3" t="n"/>
      <c r="B21" s="13" t="n"/>
      <c r="C21" s="13" t="n"/>
      <c r="D21" s="13" t="n"/>
      <c r="E21" s="13" t="n"/>
      <c r="F21" s="13" t="n"/>
      <c r="G21" s="13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3" t="n"/>
      <c r="B23" s="13" t="n"/>
      <c r="C23" s="13" t="n"/>
      <c r="D23" s="13" t="n"/>
      <c r="E23" s="13" t="n"/>
      <c r="F23" s="13" t="n"/>
      <c r="G23" s="13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3" t="n"/>
      <c r="B25" s="13" t="n"/>
      <c r="C25" s="13" t="n"/>
      <c r="D25" s="13" t="n"/>
      <c r="E25" s="13" t="n"/>
      <c r="F25" s="13" t="n"/>
      <c r="G25" s="13" t="n"/>
    </row>
    <row r="26">
      <c r="A26" s="11" t="n"/>
      <c r="B26" s="11" t="n"/>
      <c r="C26" s="11" t="n"/>
      <c r="D26" s="11" t="n"/>
      <c r="E26" s="11" t="n"/>
      <c r="F26" s="11" t="n"/>
      <c r="G26" s="11" t="n"/>
    </row>
    <row r="27">
      <c r="A27" s="13" t="n"/>
      <c r="B27" s="13" t="n"/>
      <c r="C27" s="13" t="n"/>
      <c r="D27" s="13" t="n"/>
      <c r="E27" s="13" t="n"/>
      <c r="F27" s="13" t="n"/>
      <c r="G27" s="13" t="n"/>
    </row>
    <row r="28">
      <c r="A28" s="11" t="n"/>
      <c r="B28" s="11" t="n"/>
      <c r="C28" s="11" t="n"/>
      <c r="D28" s="11" t="n"/>
      <c r="E28" s="11" t="n"/>
      <c r="F28" s="11" t="n"/>
      <c r="G28" s="11" t="n"/>
    </row>
    <row r="29">
      <c r="A29" s="13" t="n"/>
      <c r="B29" s="13" t="n"/>
      <c r="C29" s="13" t="n"/>
      <c r="D29" s="13" t="n"/>
      <c r="E29" s="13" t="n"/>
      <c r="F29" s="13" t="n"/>
      <c r="G29" s="13" t="n"/>
    </row>
    <row r="30">
      <c r="A30" s="11" t="n"/>
      <c r="B30" s="11" t="n"/>
      <c r="C30" s="11" t="n"/>
      <c r="D30" s="11" t="n"/>
      <c r="E30" s="11" t="n"/>
      <c r="F30" s="11" t="n"/>
      <c r="G30" s="11" t="n"/>
    </row>
    <row r="31">
      <c r="A31" s="13" t="n"/>
      <c r="B31" s="13" t="n"/>
      <c r="C31" s="13" t="n"/>
      <c r="D31" s="13" t="n"/>
      <c r="E31" s="13" t="n"/>
      <c r="F31" s="13" t="n"/>
      <c r="G31" s="13" t="n"/>
    </row>
    <row r="32">
      <c r="A32" s="11" t="n"/>
      <c r="B32" s="11" t="n"/>
      <c r="C32" s="11" t="n"/>
      <c r="D32" s="11" t="n"/>
      <c r="E32" s="11" t="n"/>
      <c r="F32" s="11" t="n"/>
      <c r="G32" s="11" t="n"/>
    </row>
    <row r="33">
      <c r="A33" s="13" t="n"/>
      <c r="B33" s="13" t="n"/>
      <c r="C33" s="13" t="n"/>
      <c r="D33" s="13" t="n"/>
      <c r="E33" s="13" t="n"/>
      <c r="F33" s="13" t="n"/>
      <c r="G33" s="13" t="n"/>
    </row>
    <row r="34">
      <c r="A34" s="11" t="n"/>
      <c r="B34" s="11" t="n"/>
      <c r="C34" s="11" t="n"/>
      <c r="D34" s="11" t="n"/>
      <c r="E34" s="11" t="n"/>
      <c r="F34" s="11" t="n"/>
      <c r="G34" s="11" t="n"/>
    </row>
    <row r="35">
      <c r="A35" s="13" t="n"/>
      <c r="B35" s="13" t="n"/>
      <c r="C35" s="13" t="n"/>
      <c r="D35" s="13" t="n"/>
      <c r="E35" s="13" t="n"/>
      <c r="F35" s="13" t="n"/>
      <c r="G35" s="13" t="n"/>
    </row>
    <row r="36">
      <c r="A36" s="11" t="n"/>
      <c r="B36" s="11" t="n"/>
      <c r="C36" s="11" t="n"/>
      <c r="D36" s="11" t="n"/>
      <c r="E36" s="11" t="n"/>
      <c r="F36" s="11" t="n"/>
      <c r="G36" s="11" t="n"/>
    </row>
    <row r="37">
      <c r="A37" s="13" t="n"/>
      <c r="B37" s="13" t="n"/>
      <c r="C37" s="13" t="n"/>
      <c r="D37" s="13" t="n"/>
      <c r="E37" s="13" t="n"/>
      <c r="F37" s="13" t="n"/>
      <c r="G37" s="13" t="n"/>
    </row>
    <row r="38">
      <c r="A38" s="11" t="n"/>
      <c r="B38" s="11" t="n"/>
      <c r="C38" s="11" t="n"/>
      <c r="D38" s="11" t="n"/>
      <c r="E38" s="11" t="n"/>
      <c r="F38" s="11" t="n"/>
      <c r="G38" s="11" t="n"/>
    </row>
    <row r="39">
      <c r="A39" s="13" t="n"/>
      <c r="B39" s="13" t="n"/>
      <c r="C39" s="13" t="n"/>
      <c r="D39" s="13" t="n"/>
      <c r="E39" s="13" t="n"/>
      <c r="F39" s="13" t="n"/>
      <c r="G39" s="13" t="n"/>
    </row>
    <row r="40">
      <c r="A40" s="11" t="n"/>
      <c r="B40" s="11" t="n"/>
      <c r="C40" s="11" t="n"/>
      <c r="D40" s="11" t="n"/>
      <c r="E40" s="11" t="n"/>
      <c r="F40" s="11" t="n"/>
      <c r="G40" s="11" t="n"/>
    </row>
    <row r="41">
      <c r="A41" s="13" t="n"/>
      <c r="B41" s="13" t="n"/>
      <c r="C41" s="13" t="n"/>
      <c r="D41" s="13" t="n"/>
      <c r="E41" s="13" t="n"/>
      <c r="F41" s="13" t="n"/>
      <c r="G41" s="13" t="n"/>
    </row>
    <row r="42">
      <c r="A42" s="11" t="n"/>
      <c r="B42" s="11" t="n"/>
      <c r="C42" s="11" t="n"/>
      <c r="D42" s="11" t="n"/>
      <c r="E42" s="11" t="n"/>
      <c r="F42" s="11" t="n"/>
      <c r="G42" s="11" t="n"/>
    </row>
    <row r="43">
      <c r="A43" s="13" t="n"/>
      <c r="B43" s="13" t="n"/>
      <c r="C43" s="13" t="n"/>
      <c r="D43" s="13" t="n"/>
      <c r="E43" s="13" t="n"/>
      <c r="F43" s="13" t="n"/>
      <c r="G43" s="13" t="n"/>
    </row>
    <row r="44">
      <c r="A44" s="11" t="n"/>
      <c r="B44" s="11" t="n"/>
      <c r="C44" s="11" t="n"/>
      <c r="D44" s="11" t="n"/>
      <c r="E44" s="11" t="n"/>
      <c r="F44" s="11" t="n"/>
      <c r="G44" s="11" t="n"/>
    </row>
    <row r="45">
      <c r="A45" s="13" t="n"/>
      <c r="B45" s="13" t="n"/>
      <c r="C45" s="13" t="n"/>
      <c r="D45" s="13" t="n"/>
      <c r="E45" s="13" t="n"/>
      <c r="F45" s="13" t="n"/>
      <c r="G45" s="13" t="n"/>
    </row>
    <row r="46">
      <c r="A46" s="11" t="n"/>
      <c r="B46" s="11" t="n"/>
      <c r="C46" s="11" t="n"/>
      <c r="D46" s="11" t="n"/>
      <c r="E46" s="11" t="n"/>
      <c r="F46" s="11" t="n"/>
      <c r="G46" s="11" t="n"/>
    </row>
    <row r="47">
      <c r="A47" s="13" t="n"/>
      <c r="B47" s="13" t="n"/>
      <c r="C47" s="13" t="n"/>
      <c r="D47" s="13" t="n"/>
      <c r="E47" s="13" t="n"/>
      <c r="F47" s="13" t="n"/>
      <c r="G47" s="13" t="n"/>
    </row>
    <row r="48">
      <c r="A48" s="11" t="n"/>
      <c r="B48" s="11" t="n"/>
      <c r="C48" s="11" t="n"/>
      <c r="D48" s="11" t="n"/>
      <c r="E48" s="11" t="n"/>
      <c r="F48" s="11" t="n"/>
      <c r="G48" s="11" t="n"/>
    </row>
    <row r="49">
      <c r="A49" s="13" t="n"/>
      <c r="B49" s="13" t="n"/>
      <c r="C49" s="13" t="n"/>
      <c r="D49" s="13" t="n"/>
      <c r="E49" s="13" t="n"/>
      <c r="F49" s="13" t="n"/>
      <c r="G49" s="13" t="n"/>
    </row>
    <row r="50">
      <c r="A50" s="11" t="n"/>
      <c r="B50" s="11" t="n"/>
      <c r="C50" s="11" t="n"/>
      <c r="D50" s="11" t="n"/>
      <c r="E50" s="11" t="n"/>
      <c r="F50" s="11" t="n"/>
      <c r="G50" s="11" t="n"/>
    </row>
    <row r="51">
      <c r="A51" s="13" t="n"/>
      <c r="B51" s="13" t="n"/>
      <c r="C51" s="13" t="n"/>
      <c r="D51" s="13" t="n"/>
      <c r="E51" s="13" t="n"/>
      <c r="F51" s="13" t="n"/>
      <c r="G51" s="13" t="n"/>
    </row>
    <row r="52">
      <c r="A52" s="11" t="n"/>
      <c r="B52" s="11" t="n"/>
      <c r="C52" s="11" t="n"/>
      <c r="D52" s="11" t="n"/>
      <c r="E52" s="11" t="n"/>
      <c r="F52" s="11" t="n"/>
      <c r="G52" s="11" t="n"/>
    </row>
    <row r="53">
      <c r="A53" s="13" t="n"/>
      <c r="B53" s="13" t="n"/>
      <c r="C53" s="13" t="n"/>
      <c r="D53" s="13" t="n"/>
      <c r="E53" s="13" t="n"/>
      <c r="F53" s="13" t="n"/>
      <c r="G53" s="13" t="n"/>
    </row>
    <row r="54">
      <c r="A54" s="11" t="n"/>
      <c r="B54" s="11" t="n"/>
      <c r="C54" s="11" t="n"/>
      <c r="D54" s="11" t="n"/>
      <c r="E54" s="11" t="n"/>
      <c r="F54" s="11" t="n"/>
      <c r="G54" s="11" t="n"/>
    </row>
    <row r="55">
      <c r="A55" s="13" t="n"/>
      <c r="B55" s="13" t="n"/>
      <c r="C55" s="13" t="n"/>
      <c r="D55" s="13" t="n"/>
      <c r="E55" s="13" t="n"/>
      <c r="F55" s="13" t="n"/>
      <c r="G55" s="13" t="n"/>
    </row>
    <row r="56">
      <c r="A56" s="11" t="n"/>
      <c r="B56" s="11" t="n"/>
      <c r="C56" s="11" t="n"/>
      <c r="D56" s="11" t="n"/>
      <c r="E56" s="11" t="n"/>
      <c r="F56" s="11" t="n"/>
      <c r="G56" s="11" t="n"/>
    </row>
    <row r="57">
      <c r="A57" s="13" t="n"/>
      <c r="B57" s="13" t="n"/>
      <c r="C57" s="13" t="n"/>
      <c r="D57" s="13" t="n"/>
      <c r="E57" s="13" t="n"/>
      <c r="F57" s="13" t="n"/>
      <c r="G57" s="13" t="n"/>
    </row>
    <row r="58">
      <c r="A58" s="11" t="n"/>
      <c r="B58" s="11" t="n"/>
      <c r="C58" s="11" t="n"/>
      <c r="D58" s="11" t="n"/>
      <c r="E58" s="11" t="n"/>
      <c r="F58" s="11" t="n"/>
      <c r="G58" s="11" t="n"/>
    </row>
    <row r="59">
      <c r="A59" s="13" t="n"/>
      <c r="B59" s="13" t="n"/>
      <c r="C59" s="13" t="n"/>
      <c r="D59" s="13" t="n"/>
      <c r="E59" s="13" t="n"/>
      <c r="F59" s="13" t="n"/>
      <c r="G59" s="13" t="n"/>
    </row>
    <row r="60">
      <c r="A60" s="11" t="n"/>
      <c r="B60" s="11" t="n"/>
      <c r="C60" s="11" t="n"/>
      <c r="D60" s="11" t="n"/>
      <c r="E60" s="11" t="n"/>
      <c r="F60" s="11" t="n"/>
      <c r="G60" s="11" t="n"/>
    </row>
  </sheetData>
  <dataValidations count="1">
    <dataValidation sqref="E2:E400" showDropDown="0" showInputMessage="0" showErrorMessage="0" allowBlank="1" errorTitle="Invalid entry" error="Pick a value from the list" prompt="Choose: Yes, No, Partial, Duplicate" type="list">
      <formula1>"Yes,No,Partial,Duplicate"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2A37"/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24" customWidth="1" min="4" max="4"/>
    <col width="13" customWidth="1" min="5" max="5"/>
    <col width="26" customWidth="1" min="6" max="6"/>
  </cols>
  <sheetData>
    <row r="1" ht="26" customHeight="1">
      <c r="A1" s="10" t="inlineStr">
        <is>
          <t>Type</t>
        </is>
      </c>
      <c r="B1" s="10" t="inlineStr">
        <is>
          <t>File Name</t>
        </is>
      </c>
      <c r="C1" s="10" t="inlineStr">
        <is>
          <t>Status</t>
        </is>
      </c>
      <c r="D1" s="10" t="inlineStr">
        <is>
          <t>Location</t>
        </is>
      </c>
      <c r="E1" s="10" t="inlineStr">
        <is>
          <t>Last Updated</t>
        </is>
      </c>
      <c r="F1" s="10" t="inlineStr">
        <is>
          <t>Notes</t>
        </is>
      </c>
    </row>
    <row r="2">
      <c r="A2" s="11" t="inlineStr">
        <is>
          <t>Deck</t>
        </is>
      </c>
      <c r="B2" s="11" t="inlineStr">
        <is>
          <t>Costco Line Review vX.pptx</t>
        </is>
      </c>
      <c r="C2" s="11" t="inlineStr">
        <is>
          <t>Approved (source of truth)</t>
        </is>
      </c>
      <c r="D2" s="11" t="inlineStr">
        <is>
          <t>/04 Decks</t>
        </is>
      </c>
      <c r="E2" s="11">
        <f>TODAY()-3</f>
        <v/>
      </c>
      <c r="F2" s="11" t="inlineStr">
        <is>
          <t>The one Claude should read first</t>
        </is>
      </c>
    </row>
    <row r="3">
      <c r="A3" s="13" t="inlineStr">
        <is>
          <t>Deck</t>
        </is>
      </c>
      <c r="B3" s="13" t="inlineStr">
        <is>
          <t>REVIEW - Costco Line Review.pptx</t>
        </is>
      </c>
      <c r="C3" s="13" t="inlineStr">
        <is>
          <t>Review copy</t>
        </is>
      </c>
      <c r="D3" s="13" t="inlineStr">
        <is>
          <t>/04 Decks</t>
        </is>
      </c>
      <c r="E3" s="13">
        <f>TODAY()-1</f>
        <v/>
      </c>
      <c r="F3" s="13" t="inlineStr">
        <is>
          <t>Working edits only</t>
        </is>
      </c>
    </row>
    <row r="4">
      <c r="A4" s="11" t="inlineStr">
        <is>
          <t>Workbook</t>
        </is>
      </c>
      <c r="B4" s="11" t="inlineStr">
        <is>
          <t>Commercial_Control_Tower_Template_v2.xlsx</t>
        </is>
      </c>
      <c r="C4" s="11" t="inlineStr">
        <is>
          <t>Approved (source of truth)</t>
        </is>
      </c>
      <c r="D4" s="11" t="inlineStr">
        <is>
          <t>/02 Control Tower</t>
        </is>
      </c>
      <c r="E4" s="11">
        <f>TODAY()</f>
        <v/>
      </c>
      <c r="F4" s="11" t="inlineStr">
        <is>
          <t>This file</t>
        </is>
      </c>
    </row>
    <row r="5">
      <c r="A5" s="13" t="inlineStr">
        <is>
          <t>Forecast</t>
        </is>
      </c>
      <c r="B5" s="13" t="inlineStr">
        <is>
          <t>Costco Forecast vX.xlsx</t>
        </is>
      </c>
      <c r="C5" s="13" t="inlineStr">
        <is>
          <t>Approved (source of truth)</t>
        </is>
      </c>
      <c r="D5" s="13" t="inlineStr">
        <is>
          <t>/05 Workbooks</t>
        </is>
      </c>
      <c r="E5" s="13">
        <f>TODAY()-4</f>
        <v/>
      </c>
      <c r="F5" s="13" t="inlineStr"/>
    </row>
    <row r="6">
      <c r="A6" s="11" t="n"/>
      <c r="B6" s="11" t="n"/>
      <c r="C6" s="11" t="n"/>
      <c r="D6" s="11" t="n"/>
      <c r="E6" s="11" t="n"/>
      <c r="F6" s="11" t="n"/>
    </row>
    <row r="7">
      <c r="A7" s="13" t="n"/>
      <c r="B7" s="13" t="n"/>
      <c r="C7" s="13" t="n"/>
      <c r="D7" s="13" t="n"/>
      <c r="E7" s="13" t="n"/>
      <c r="F7" s="13" t="n"/>
    </row>
    <row r="8">
      <c r="A8" s="11" t="n"/>
      <c r="B8" s="11" t="n"/>
      <c r="C8" s="11" t="n"/>
      <c r="D8" s="11" t="n"/>
      <c r="E8" s="11" t="n"/>
      <c r="F8" s="11" t="n"/>
    </row>
    <row r="9">
      <c r="A9" s="13" t="n"/>
      <c r="B9" s="13" t="n"/>
      <c r="C9" s="13" t="n"/>
      <c r="D9" s="13" t="n"/>
      <c r="E9" s="13" t="n"/>
      <c r="F9" s="13" t="n"/>
    </row>
    <row r="10">
      <c r="A10" s="11" t="n"/>
      <c r="B10" s="11" t="n"/>
      <c r="C10" s="11" t="n"/>
      <c r="D10" s="11" t="n"/>
      <c r="E10" s="11" t="n"/>
      <c r="F10" s="11" t="n"/>
    </row>
    <row r="11">
      <c r="A11" s="13" t="n"/>
      <c r="B11" s="13" t="n"/>
      <c r="C11" s="13" t="n"/>
      <c r="D11" s="13" t="n"/>
      <c r="E11" s="13" t="n"/>
      <c r="F11" s="13" t="n"/>
    </row>
    <row r="12">
      <c r="A12" s="11" t="n"/>
      <c r="B12" s="11" t="n"/>
      <c r="C12" s="11" t="n"/>
      <c r="D12" s="11" t="n"/>
      <c r="E12" s="11" t="n"/>
      <c r="F12" s="11" t="n"/>
    </row>
    <row r="13">
      <c r="A13" s="13" t="n"/>
      <c r="B13" s="13" t="n"/>
      <c r="C13" s="13" t="n"/>
      <c r="D13" s="13" t="n"/>
      <c r="E13" s="13" t="n"/>
      <c r="F13" s="13" t="n"/>
    </row>
    <row r="14">
      <c r="A14" s="11" t="n"/>
      <c r="B14" s="11" t="n"/>
      <c r="C14" s="11" t="n"/>
      <c r="D14" s="11" t="n"/>
      <c r="E14" s="11" t="n"/>
      <c r="F14" s="11" t="n"/>
    </row>
    <row r="15">
      <c r="A15" s="13" t="n"/>
      <c r="B15" s="13" t="n"/>
      <c r="C15" s="13" t="n"/>
      <c r="D15" s="13" t="n"/>
      <c r="E15" s="13" t="n"/>
      <c r="F15" s="13" t="n"/>
    </row>
    <row r="16">
      <c r="A16" s="11" t="n"/>
      <c r="B16" s="11" t="n"/>
      <c r="C16" s="11" t="n"/>
      <c r="D16" s="11" t="n"/>
      <c r="E16" s="11" t="n"/>
      <c r="F16" s="11" t="n"/>
    </row>
    <row r="17">
      <c r="A17" s="13" t="n"/>
      <c r="B17" s="13" t="n"/>
      <c r="C17" s="13" t="n"/>
      <c r="D17" s="13" t="n"/>
      <c r="E17" s="13" t="n"/>
      <c r="F17" s="13" t="n"/>
    </row>
    <row r="18">
      <c r="A18" s="11" t="n"/>
      <c r="B18" s="11" t="n"/>
      <c r="C18" s="11" t="n"/>
      <c r="D18" s="11" t="n"/>
      <c r="E18" s="11" t="n"/>
      <c r="F18" s="11" t="n"/>
    </row>
    <row r="19">
      <c r="A19" s="13" t="n"/>
      <c r="B19" s="13" t="n"/>
      <c r="C19" s="13" t="n"/>
      <c r="D19" s="13" t="n"/>
      <c r="E19" s="13" t="n"/>
      <c r="F19" s="13" t="n"/>
    </row>
    <row r="20">
      <c r="A20" s="11" t="n"/>
      <c r="B20" s="11" t="n"/>
      <c r="C20" s="11" t="n"/>
      <c r="D20" s="11" t="n"/>
      <c r="E20" s="11" t="n"/>
      <c r="F20" s="11" t="n"/>
    </row>
    <row r="21">
      <c r="A21" s="13" t="n"/>
      <c r="B21" s="13" t="n"/>
      <c r="C21" s="13" t="n"/>
      <c r="D21" s="13" t="n"/>
      <c r="E21" s="13" t="n"/>
      <c r="F21" s="13" t="n"/>
    </row>
    <row r="22">
      <c r="A22" s="11" t="n"/>
      <c r="B22" s="11" t="n"/>
      <c r="C22" s="11" t="n"/>
      <c r="D22" s="11" t="n"/>
      <c r="E22" s="11" t="n"/>
      <c r="F22" s="11" t="n"/>
    </row>
    <row r="23">
      <c r="A23" s="13" t="n"/>
      <c r="B23" s="13" t="n"/>
      <c r="C23" s="13" t="n"/>
      <c r="D23" s="13" t="n"/>
      <c r="E23" s="13" t="n"/>
      <c r="F23" s="13" t="n"/>
    </row>
    <row r="24">
      <c r="A24" s="11" t="n"/>
      <c r="B24" s="11" t="n"/>
      <c r="C24" s="11" t="n"/>
      <c r="D24" s="11" t="n"/>
      <c r="E24" s="11" t="n"/>
      <c r="F24" s="11" t="n"/>
    </row>
    <row r="25">
      <c r="A25" s="13" t="n"/>
      <c r="B25" s="13" t="n"/>
      <c r="C25" s="13" t="n"/>
      <c r="D25" s="13" t="n"/>
      <c r="E25" s="13" t="n"/>
      <c r="F25" s="13" t="n"/>
    </row>
    <row r="26">
      <c r="A26" s="11" t="n"/>
      <c r="B26" s="11" t="n"/>
      <c r="C26" s="11" t="n"/>
      <c r="D26" s="11" t="n"/>
      <c r="E26" s="11" t="n"/>
      <c r="F26" s="11" t="n"/>
    </row>
    <row r="27">
      <c r="A27" s="13" t="n"/>
      <c r="B27" s="13" t="n"/>
      <c r="C27" s="13" t="n"/>
      <c r="D27" s="13" t="n"/>
      <c r="E27" s="13" t="n"/>
      <c r="F27" s="13" t="n"/>
    </row>
    <row r="28">
      <c r="A28" s="11" t="n"/>
      <c r="B28" s="11" t="n"/>
      <c r="C28" s="11" t="n"/>
      <c r="D28" s="11" t="n"/>
      <c r="E28" s="11" t="n"/>
      <c r="F28" s="11" t="n"/>
    </row>
    <row r="29">
      <c r="A29" s="13" t="n"/>
      <c r="B29" s="13" t="n"/>
      <c r="C29" s="13" t="n"/>
      <c r="D29" s="13" t="n"/>
      <c r="E29" s="13" t="n"/>
      <c r="F29" s="13" t="n"/>
    </row>
    <row r="30">
      <c r="A30" s="11" t="n"/>
      <c r="B30" s="11" t="n"/>
      <c r="C30" s="11" t="n"/>
      <c r="D30" s="11" t="n"/>
      <c r="E30" s="11" t="n"/>
      <c r="F30" s="11" t="n"/>
    </row>
    <row r="31">
      <c r="A31" s="13" t="n"/>
      <c r="B31" s="13" t="n"/>
      <c r="C31" s="13" t="n"/>
      <c r="D31" s="13" t="n"/>
      <c r="E31" s="13" t="n"/>
      <c r="F31" s="13" t="n"/>
    </row>
    <row r="32">
      <c r="A32" s="11" t="n"/>
      <c r="B32" s="11" t="n"/>
      <c r="C32" s="11" t="n"/>
      <c r="D32" s="11" t="n"/>
      <c r="E32" s="11" t="n"/>
      <c r="F32" s="11" t="n"/>
    </row>
    <row r="33">
      <c r="A33" s="13" t="n"/>
      <c r="B33" s="13" t="n"/>
      <c r="C33" s="13" t="n"/>
      <c r="D33" s="13" t="n"/>
      <c r="E33" s="13" t="n"/>
      <c r="F33" s="13" t="n"/>
    </row>
    <row r="34">
      <c r="A34" s="11" t="n"/>
      <c r="B34" s="11" t="n"/>
      <c r="C34" s="11" t="n"/>
      <c r="D34" s="11" t="n"/>
      <c r="E34" s="11" t="n"/>
      <c r="F34" s="11" t="n"/>
    </row>
    <row r="35">
      <c r="A35" s="13" t="n"/>
      <c r="B35" s="13" t="n"/>
      <c r="C35" s="13" t="n"/>
      <c r="D35" s="13" t="n"/>
      <c r="E35" s="13" t="n"/>
      <c r="F35" s="13" t="n"/>
    </row>
    <row r="36">
      <c r="A36" s="11" t="n"/>
      <c r="B36" s="11" t="n"/>
      <c r="C36" s="11" t="n"/>
      <c r="D36" s="11" t="n"/>
      <c r="E36" s="11" t="n"/>
      <c r="F36" s="11" t="n"/>
    </row>
    <row r="37">
      <c r="A37" s="13" t="n"/>
      <c r="B37" s="13" t="n"/>
      <c r="C37" s="13" t="n"/>
      <c r="D37" s="13" t="n"/>
      <c r="E37" s="13" t="n"/>
      <c r="F37" s="13" t="n"/>
    </row>
    <row r="38">
      <c r="A38" s="11" t="n"/>
      <c r="B38" s="11" t="n"/>
      <c r="C38" s="11" t="n"/>
      <c r="D38" s="11" t="n"/>
      <c r="E38" s="11" t="n"/>
      <c r="F38" s="11" t="n"/>
    </row>
    <row r="39">
      <c r="A39" s="13" t="n"/>
      <c r="B39" s="13" t="n"/>
      <c r="C39" s="13" t="n"/>
      <c r="D39" s="13" t="n"/>
      <c r="E39" s="13" t="n"/>
      <c r="F39" s="13" t="n"/>
    </row>
    <row r="40">
      <c r="A40" s="11" t="n"/>
      <c r="B40" s="11" t="n"/>
      <c r="C40" s="11" t="n"/>
      <c r="D40" s="11" t="n"/>
      <c r="E40" s="11" t="n"/>
      <c r="F40" s="11" t="n"/>
    </row>
    <row r="41">
      <c r="A41" s="13" t="n"/>
      <c r="B41" s="13" t="n"/>
      <c r="C41" s="13" t="n"/>
      <c r="D41" s="13" t="n"/>
      <c r="E41" s="13" t="n"/>
      <c r="F41" s="13" t="n"/>
    </row>
    <row r="42">
      <c r="A42" s="11" t="n"/>
      <c r="B42" s="11" t="n"/>
      <c r="C42" s="11" t="n"/>
      <c r="D42" s="11" t="n"/>
      <c r="E42" s="11" t="n"/>
      <c r="F42" s="11" t="n"/>
    </row>
    <row r="43">
      <c r="A43" s="13" t="n"/>
      <c r="B43" s="13" t="n"/>
      <c r="C43" s="13" t="n"/>
      <c r="D43" s="13" t="n"/>
      <c r="E43" s="13" t="n"/>
      <c r="F43" s="13" t="n"/>
    </row>
    <row r="44">
      <c r="A44" s="11" t="n"/>
      <c r="B44" s="11" t="n"/>
      <c r="C44" s="11" t="n"/>
      <c r="D44" s="11" t="n"/>
      <c r="E44" s="11" t="n"/>
      <c r="F44" s="11" t="n"/>
    </row>
    <row r="45">
      <c r="A45" s="13" t="n"/>
      <c r="B45" s="13" t="n"/>
      <c r="C45" s="13" t="n"/>
      <c r="D45" s="13" t="n"/>
      <c r="E45" s="13" t="n"/>
      <c r="F45" s="13" t="n"/>
    </row>
    <row r="46">
      <c r="A46" s="11" t="n"/>
      <c r="B46" s="11" t="n"/>
      <c r="C46" s="11" t="n"/>
      <c r="D46" s="11" t="n"/>
      <c r="E46" s="11" t="n"/>
      <c r="F46" s="11" t="n"/>
    </row>
    <row r="47">
      <c r="A47" s="13" t="n"/>
      <c r="B47" s="13" t="n"/>
      <c r="C47" s="13" t="n"/>
      <c r="D47" s="13" t="n"/>
      <c r="E47" s="13" t="n"/>
      <c r="F47" s="13" t="n"/>
    </row>
    <row r="48">
      <c r="A48" s="11" t="n"/>
      <c r="B48" s="11" t="n"/>
      <c r="C48" s="11" t="n"/>
      <c r="D48" s="11" t="n"/>
      <c r="E48" s="11" t="n"/>
      <c r="F48" s="11" t="n"/>
    </row>
    <row r="49">
      <c r="A49" s="13" t="n"/>
      <c r="B49" s="13" t="n"/>
      <c r="C49" s="13" t="n"/>
      <c r="D49" s="13" t="n"/>
      <c r="E49" s="13" t="n"/>
      <c r="F49" s="13" t="n"/>
    </row>
    <row r="50">
      <c r="A50" s="11" t="n"/>
      <c r="B50" s="11" t="n"/>
      <c r="C50" s="11" t="n"/>
      <c r="D50" s="11" t="n"/>
      <c r="E50" s="11" t="n"/>
      <c r="F50" s="11" t="n"/>
    </row>
    <row r="51">
      <c r="A51" s="13" t="n"/>
      <c r="B51" s="13" t="n"/>
      <c r="C51" s="13" t="n"/>
      <c r="D51" s="13" t="n"/>
      <c r="E51" s="13" t="n"/>
      <c r="F51" s="13" t="n"/>
    </row>
    <row r="52">
      <c r="A52" s="11" t="n"/>
      <c r="B52" s="11" t="n"/>
      <c r="C52" s="11" t="n"/>
      <c r="D52" s="11" t="n"/>
      <c r="E52" s="11" t="n"/>
      <c r="F52" s="11" t="n"/>
    </row>
    <row r="53">
      <c r="A53" s="13" t="n"/>
      <c r="B53" s="13" t="n"/>
      <c r="C53" s="13" t="n"/>
      <c r="D53" s="13" t="n"/>
      <c r="E53" s="13" t="n"/>
      <c r="F53" s="13" t="n"/>
    </row>
    <row r="54">
      <c r="A54" s="11" t="n"/>
      <c r="B54" s="11" t="n"/>
      <c r="C54" s="11" t="n"/>
      <c r="D54" s="11" t="n"/>
      <c r="E54" s="11" t="n"/>
      <c r="F54" s="11" t="n"/>
    </row>
    <row r="55">
      <c r="A55" s="13" t="n"/>
      <c r="B55" s="13" t="n"/>
      <c r="C55" s="13" t="n"/>
      <c r="D55" s="13" t="n"/>
      <c r="E55" s="13" t="n"/>
      <c r="F55" s="13" t="n"/>
    </row>
    <row r="56">
      <c r="A56" s="11" t="n"/>
      <c r="B56" s="11" t="n"/>
      <c r="C56" s="11" t="n"/>
      <c r="D56" s="11" t="n"/>
      <c r="E56" s="11" t="n"/>
      <c r="F56" s="11" t="n"/>
    </row>
    <row r="57">
      <c r="A57" s="13" t="n"/>
      <c r="B57" s="13" t="n"/>
      <c r="C57" s="13" t="n"/>
      <c r="D57" s="13" t="n"/>
      <c r="E57" s="13" t="n"/>
      <c r="F57" s="13" t="n"/>
    </row>
    <row r="58">
      <c r="A58" s="11" t="n"/>
      <c r="B58" s="11" t="n"/>
      <c r="C58" s="11" t="n"/>
      <c r="D58" s="11" t="n"/>
      <c r="E58" s="11" t="n"/>
      <c r="F58" s="11" t="n"/>
    </row>
    <row r="59">
      <c r="A59" s="13" t="n"/>
      <c r="B59" s="13" t="n"/>
      <c r="C59" s="13" t="n"/>
      <c r="D59" s="13" t="n"/>
      <c r="E59" s="13" t="n"/>
      <c r="F59" s="13" t="n"/>
    </row>
    <row r="60">
      <c r="A60" s="11" t="n"/>
      <c r="B60" s="11" t="n"/>
      <c r="C60" s="11" t="n"/>
      <c r="D60" s="11" t="n"/>
      <c r="E60" s="11" t="n"/>
      <c r="F60" s="11" t="n"/>
    </row>
  </sheetData>
  <dataValidations count="1">
    <dataValidation sqref="C2:C400" showDropDown="0" showInputMessage="0" showErrorMessage="0" allowBlank="1" errorTitle="Invalid entry" error="Pick a value from the list" prompt="Choose: Approved (source of truth), Working copy, Review copy, Archive, Superseded" type="list">
      <formula1>"Approved (source of truth),Working copy,Review copy,Archive,Superseded"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2026-07-18T08:43:57Z</dcterms:created>
  <dcterms:modified xsi:type="dcterms:W3CDTF">2026-07-18T08:43:57Z</dcterms:modified>
</cp:coreProperties>
</file>