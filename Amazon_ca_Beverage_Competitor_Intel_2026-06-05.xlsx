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 &amp; Methodology" sheetId="1" state="visible" r:id="rId1"/>
    <sheet name="Data Dictionary" sheetId="2" state="visible" r:id="rId2"/>
    <sheet name="M1 — Sparkling Electrolyte" sheetId="3" state="visible" r:id="rId3"/>
    <sheet name="M2 — Electrolyte RTD" sheetId="4" state="visible" r:id="rId4"/>
    <sheet name="M3 — Functional Beverage" sheetId="5" state="visible" r:id="rId5"/>
    <sheet name="M4 — Caffeine &amp; Energy" sheetId="6" state="visible" r:id="rId6"/>
    <sheet name="M5 — Sparkling Water &amp; Soda" sheetId="7" state="visible" r:id="rId7"/>
    <sheet name="Pricing &amp; Promo Analysis" sheetId="8" state="visible" r:id="rId8"/>
    <sheet name="Subscription Strategy" sheetId="9" state="visible" r:id="rId9"/>
    <sheet name="Why They Win" sheetId="10" state="visible" r:id="rId10"/>
    <sheet name="Velocity Estimate" sheetId="11" state="visible" r:id="rId11"/>
    <sheet name="Flavour Map" sheetId="12" state="visible" r:id="rId12"/>
    <sheet name="Sources" sheetId="13" state="visible" r:id="rId13"/>
  </sheets>
  <definedNames>
    <definedName name="_xlnm._FilterDatabase" localSheetId="2" hidden="1">'M1 — Sparkling Electrolyte'!$A$1:$AJ$9</definedName>
    <definedName name="_xlnm._FilterDatabase" localSheetId="3" hidden="1">'M2 — Electrolyte RTD'!$A$1:$AJ$14</definedName>
    <definedName name="_xlnm._FilterDatabase" localSheetId="4" hidden="1">'M3 — Functional Beverage'!$A$1:$AJ$15</definedName>
    <definedName name="_xlnm._FilterDatabase" localSheetId="5" hidden="1">'M4 — Caffeine &amp; Energy'!$A$1:$AJ$17</definedName>
    <definedName name="_xlnm._FilterDatabase" localSheetId="6" hidden="1">'M5 — Sparkling Water &amp; Soda'!$A$1:$AJ$17</definedName>
    <definedName name="_xlnm._FilterDatabase" localSheetId="7" hidden="1">'Pricing &amp; Promo Analysis'!$A$1:$J$67</definedName>
    <definedName name="_xlnm._FilterDatabase" localSheetId="8" hidden="1">'Subscription Strategy'!$A$1:$G$67</definedName>
    <definedName name="_xlnm._FilterDatabase" localSheetId="9" hidden="1">'Why They Win'!$A$1:$E$67</definedName>
    <definedName name="_xlnm._FilterDatabase" localSheetId="10" hidden="1">'Velocity Estimate'!$A$1:$E$67</definedName>
    <definedName name="_xlnm._FilterDatabase" localSheetId="11" hidden="1">'Flavour Map'!$A$1:$O$56</definedName>
    <definedName name="_xlnm._FilterDatabase" localSheetId="12" hidden="1">'Sources'!$A$1:$C$69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8">
    <font>
      <name val="Calibri"/>
      <family val="2"/>
      <color theme="1"/>
      <sz val="11"/>
      <scheme val="minor"/>
    </font>
    <font>
      <b val="1"/>
      <color rgb="001F3864"/>
      <sz val="18"/>
    </font>
    <font>
      <i val="1"/>
      <color rgb="002E5496"/>
      <sz val="11"/>
    </font>
    <font>
      <b val="1"/>
      <color rgb="001F3864"/>
      <sz val="11"/>
    </font>
    <font>
      <b val="1"/>
      <color rgb="00C00000"/>
      <sz val="13"/>
    </font>
    <font>
      <name val="Calibri"/>
      <b val="1"/>
      <color rgb="00FFFFFF"/>
      <sz val="11"/>
    </font>
    <font>
      <i val="1"/>
      <color rgb="00C00000"/>
    </font>
    <font>
      <b val="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C6E0B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9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6" fillId="0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7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10" customWidth="1" min="3" max="3"/>
  </cols>
  <sheetData>
    <row r="2">
      <c r="B2" s="1" t="inlineStr">
        <is>
          <t>Amazon.ca Beverage — Competitor Intelligence Master File</t>
        </is>
      </c>
    </row>
    <row r="3">
      <c r="B3" s="2" t="inlineStr">
        <is>
          <t>Build date: 2026-06-05</t>
        </is>
      </c>
    </row>
    <row r="5">
      <c r="B5" s="3" t="inlineStr"/>
      <c r="C5" s="4" t="inlineStr"/>
    </row>
    <row r="6">
      <c r="B6" s="5" t="inlineStr">
        <is>
          <t>⚠ CRITICAL — READ FIRST</t>
        </is>
      </c>
      <c r="C6" s="4" t="inlineStr"/>
    </row>
    <row r="7" ht="105" customHeight="1">
      <c r="B7" s="3" t="inlineStr">
        <is>
          <t>Data-access limitation</t>
        </is>
      </c>
      <c r="C7" s="4" t="inlineStr">
        <is>
          <t>This file was generated in an environment with NO live access to Amazon.ca. Every attempt to open amazon.ca (search + product pages) and brand storefronts returned HTTP 403 Forbidden. Web search returns only US / secondary-source APPROXIMATE data, not live Canadian listings. As a result, this workbook does NOT contain live Amazon.ca prices, Subscribe &amp; Save terms, coupons, star ratings, review counts, badges, bestseller ranks, or product URLs. Those cells are intentionally LEFT BLANK and highlighted amber so they are filled by live capture — they are NOT fabricated.</t>
        </is>
      </c>
    </row>
    <row r="8" ht="75" customHeight="1">
      <c r="B8" s="3" t="inlineStr">
        <is>
          <t>What IS in the file (and its confidence)</t>
        </is>
      </c>
      <c r="C8" s="4" t="inlineStr">
        <is>
          <t>Stable product attributes — brand, SKU, format/size, typical pack, flavours, caffeine/sodium/potassium/sugar/calories, sweetener, functional claims, positioning, and an honest velocity ESTIMATE — are filled from manufacturer + secondary sources. Treat every one of these as APPROXIMATE and verify against the live listing. Nutrition is per single serving (usually one can/bottle) and varies by flavour.</t>
        </is>
      </c>
    </row>
    <row r="9" ht="45" customHeight="1">
      <c r="B9" s="3" t="inlineStr">
        <is>
          <t>What is BLANK and must be captured live</t>
        </is>
      </c>
      <c r="C9" s="4" t="inlineStr">
        <is>
          <t>Fields 6 (One-Time Price), 9-14 (S&amp;S offered/%/price, coupon, promo, stacked floor), 23 (Star Rating), 24 (# Ratings), 25 (Badge), 26 (BSR), 30 (URL), plus helper H2 (Coupon Value). These are amber-highlighted on every Master tab.</t>
        </is>
      </c>
    </row>
    <row r="10" ht="45" customHeight="1">
      <c r="B10" s="3" t="inlineStr">
        <is>
          <t>Built-in automation</t>
        </is>
      </c>
      <c r="C10" s="4" t="inlineStr">
        <is>
          <t>Fields 7 (Price/Unit), 8 (Price/100 mL), 11 (S&amp;S Price after discount) and 14 (Lowest Effective/stacked) are LIVE FORMULAS. Enter One-Time Price (F), pack (E), S&amp;S % (J) as a decimal e.g. 0.15, and coupon value (H2). Everything recomputes instantly and the amber flag logic clears.</t>
        </is>
      </c>
    </row>
    <row r="11" ht="45" customHeight="1">
      <c r="B11" s="3" t="inlineStr">
        <is>
          <t>Stacking model used for field 14</t>
        </is>
      </c>
      <c r="C11" s="4" t="inlineStr">
        <is>
          <t>Lowest Effective Price = (One-Time Price − Coupon Value) × (1 − S&amp;S %). This assumes coupon and subscription stack on the same order, which is the usual Amazon behaviour but should be confirmed per listing.</t>
        </is>
      </c>
    </row>
    <row r="12" ht="60" customHeight="1">
      <c r="B12" s="3" t="inlineStr">
        <is>
          <t>Velocity estimate (field 27)</t>
        </is>
      </c>
      <c r="C12" s="4" t="inlineStr">
        <is>
          <t>Bands (Low/Medium/High/Very High) are an ESTIMATE only, inferred from brand prominence and category position because live review counts/BSR were not accessible. The signal used is recorded in column 27b. Re-derive bands from real # Ratings + BSR once captured. NEVER read these as hard unit numbers.</t>
        </is>
      </c>
    </row>
    <row r="13" ht="45" customHeight="1">
      <c r="B13" s="3" t="inlineStr">
        <is>
          <t>Scope rules applied</t>
        </is>
      </c>
      <c r="C13" s="4" t="inlineStr">
        <is>
          <t>Ready-to-drink only. Powders, drink-mix packets, and tablets (e.g. Liquid I.V., Nuun, Cure powder, LMNT) are EXCLUDED. Each product is assigned ONE primary category; functional sparkling overlaps (e.g. Poppi/OLIPOP) are filed under Functional, not Sparkling Water.</t>
        </is>
      </c>
    </row>
    <row r="14" ht="45" customHeight="1">
      <c r="B14" s="3" t="inlineStr">
        <is>
          <t>Category overlap note</t>
        </is>
      </c>
      <c r="C14" s="4" t="inlineStr">
        <is>
          <t>Several products legitimately fit two categories (e.g. Celsius = energy + functional; Phocus = sparkling + caffeine). Primary category chosen for the Master tab; cross-references noted where useful.</t>
        </is>
      </c>
    </row>
    <row r="15" ht="45" customHeight="1">
      <c r="B15" s="3" t="inlineStr">
        <is>
          <t>How to finish this file (workflow)</t>
        </is>
      </c>
      <c r="C15" s="4" t="inlineStr">
        <is>
          <t>1) Open each Amazon.ca listing.  2) Fill the amber cells (price, S&amp;S, coupon, ratings, badge, BSR, URL).  3) Confirm/correct nutrition against the live label.  4) Update the Provenance/Status columns from 'Secondary' to 'Verified live YYYY-MM-DD'.  5) Re-sort the cross-tabs.</t>
        </is>
      </c>
    </row>
    <row r="16" ht="45" customHeight="1">
      <c r="B16" s="3" t="inlineStr">
        <is>
          <t>Tabs in this workbook</t>
        </is>
      </c>
      <c r="C16" s="4" t="inlineStr">
        <is>
          <t>README (this), Data Dictionary, 5 Master tabs (one per category), then cross-category tabs: Pricing &amp; Promo Analysis, Subscription Strategy, Why They Win, Velocity Estimate, Flavour Map, Sources.</t>
        </is>
      </c>
    </row>
    <row r="17" ht="30" customHeight="1">
      <c r="B17" s="3" t="inlineStr">
        <is>
          <t>Integrity statement</t>
        </is>
      </c>
      <c r="C17" s="4" t="inlineStr">
        <is>
          <t>Nothing in the commercial columns is invented. Where a live figure could not be obtained it is blank and flagged. This protects the file from failing a fact-check against the live listings.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70" customWidth="1" min="3" max="3"/>
    <col width="24" customWidth="1" min="4" max="4"/>
    <col width="26" customWidth="1" min="5" max="5"/>
  </cols>
  <sheetData>
    <row r="1" ht="42" customHeight="1">
      <c r="A1" s="6" t="inlineStr">
        <is>
          <t>Field #</t>
        </is>
      </c>
      <c r="B1" s="6" t="inlineStr">
        <is>
          <t>Field name</t>
        </is>
      </c>
      <c r="C1" s="6" t="inlineStr">
        <is>
          <t>Definition / how to read it</t>
        </is>
      </c>
      <c r="D1" s="6" t="inlineStr">
        <is>
          <t>Source class</t>
        </is>
      </c>
      <c r="E1" s="6" t="inlineStr">
        <is>
          <t>Status in this file</t>
        </is>
      </c>
    </row>
    <row r="2" ht="26" customHeight="1">
      <c r="A2" s="7" t="inlineStr">
        <is>
          <t>1</t>
        </is>
      </c>
      <c r="B2" s="7" t="inlineStr">
        <is>
          <t>Brand</t>
        </is>
      </c>
      <c r="C2" s="7" t="inlineStr">
        <is>
          <t>Manufacturer/brand name as marketed.</t>
        </is>
      </c>
      <c r="D2" s="7" t="inlineStr">
        <is>
          <t>Stable</t>
        </is>
      </c>
      <c r="E2" s="7" t="inlineStr">
        <is>
          <t>Filled (approx)</t>
        </is>
      </c>
    </row>
    <row r="3" ht="26" customHeight="1">
      <c r="A3" s="8" t="inlineStr">
        <is>
          <t>2</t>
        </is>
      </c>
      <c r="B3" s="8" t="inlineStr">
        <is>
          <t>Product Line / SKU Name</t>
        </is>
      </c>
      <c r="C3" s="8" t="inlineStr">
        <is>
          <t>Exact product/line name; confirm spelling on listing.</t>
        </is>
      </c>
      <c r="D3" s="8" t="inlineStr">
        <is>
          <t>Stable</t>
        </is>
      </c>
      <c r="E3" s="8" t="inlineStr">
        <is>
          <t>Filled (approx)</t>
        </is>
      </c>
    </row>
    <row r="4" ht="26" customHeight="1">
      <c r="A4" s="7" t="inlineStr">
        <is>
          <t>3</t>
        </is>
      </c>
      <c r="B4" s="7" t="inlineStr">
        <is>
          <t>Category</t>
        </is>
      </c>
      <c r="C4" s="7" t="inlineStr">
        <is>
          <t>One of the five scope categories (primary).</t>
        </is>
      </c>
      <c r="D4" s="7" t="inlineStr">
        <is>
          <t>Assigned</t>
        </is>
      </c>
      <c r="E4" s="7" t="inlineStr">
        <is>
          <t>Filled</t>
        </is>
      </c>
    </row>
    <row r="5" ht="26" customHeight="1">
      <c r="A5" s="8" t="inlineStr">
        <is>
          <t>4</t>
        </is>
      </c>
      <c r="B5" s="8" t="inlineStr">
        <is>
          <t>Format &amp; Size</t>
        </is>
      </c>
      <c r="C5" s="8" t="inlineStr">
        <is>
          <t>Container type and single-unit size.</t>
        </is>
      </c>
      <c r="D5" s="8" t="inlineStr">
        <is>
          <t>Stable</t>
        </is>
      </c>
      <c r="E5" s="8" t="inlineStr">
        <is>
          <t>Filled (approx)</t>
        </is>
      </c>
    </row>
    <row r="6" ht="26" customHeight="1">
      <c r="A6" s="7" t="inlineStr">
        <is>
          <t>5</t>
        </is>
      </c>
      <c r="B6" s="7" t="inlineStr">
        <is>
          <t>Pack Count</t>
        </is>
      </c>
      <c r="C6" s="7" t="inlineStr">
        <is>
          <t>Units per multipack (typical Amazon pack).</t>
        </is>
      </c>
      <c r="D6" s="7" t="inlineStr">
        <is>
          <t>Stable</t>
        </is>
      </c>
      <c r="E6" s="7" t="inlineStr">
        <is>
          <t>Filled (typical — verify)</t>
        </is>
      </c>
    </row>
    <row r="7" ht="26" customHeight="1">
      <c r="A7" s="8" t="inlineStr">
        <is>
          <t>6</t>
        </is>
      </c>
      <c r="B7" s="8" t="inlineStr">
        <is>
          <t>One-Time Price (CAD)</t>
        </is>
      </c>
      <c r="C7" s="8" t="inlineStr">
        <is>
          <t>List one-time purchase price.</t>
        </is>
      </c>
      <c r="D7" s="8" t="inlineStr">
        <is>
          <t>LIVE Amazon.ca</t>
        </is>
      </c>
      <c r="E7" s="8" t="inlineStr">
        <is>
          <t>BLANK — capture</t>
        </is>
      </c>
    </row>
    <row r="8" ht="26" customHeight="1">
      <c r="A8" s="7" t="inlineStr">
        <is>
          <t>7</t>
        </is>
      </c>
      <c r="B8" s="7" t="inlineStr">
        <is>
          <t>Price / Unit (CAD)</t>
        </is>
      </c>
      <c r="C8" s="7">
        <f>Price ÷ Pack. Formula.</f>
        <v/>
      </c>
      <c r="D8" s="7" t="inlineStr">
        <is>
          <t>Calculated</t>
        </is>
      </c>
      <c r="E8" s="7" t="inlineStr">
        <is>
          <t>Auto when 6 filled</t>
        </is>
      </c>
    </row>
    <row r="9" ht="26" customHeight="1">
      <c r="A9" s="8" t="inlineStr">
        <is>
          <t>8</t>
        </is>
      </c>
      <c r="B9" s="8" t="inlineStr">
        <is>
          <t>Price / 100 mL (CAD)</t>
        </is>
      </c>
      <c r="C9" s="8">
        <f>Price ÷ (UnitVol × Pack) × 100. Formula.</f>
        <v/>
      </c>
      <c r="D9" s="8" t="inlineStr">
        <is>
          <t>Calculated</t>
        </is>
      </c>
      <c r="E9" s="8" t="inlineStr">
        <is>
          <t>Auto when 6 filled</t>
        </is>
      </c>
    </row>
    <row r="10" ht="26" customHeight="1">
      <c r="A10" s="7" t="inlineStr">
        <is>
          <t>9</t>
        </is>
      </c>
      <c r="B10" s="7" t="inlineStr">
        <is>
          <t>S&amp;S Offered (Y/N)</t>
        </is>
      </c>
      <c r="C10" s="7" t="inlineStr">
        <is>
          <t>Whether Subscribe &amp; Save is offered.</t>
        </is>
      </c>
      <c r="D10" s="7" t="inlineStr">
        <is>
          <t>LIVE Amazon.ca</t>
        </is>
      </c>
      <c r="E10" s="7" t="inlineStr">
        <is>
          <t>BLANK — capture</t>
        </is>
      </c>
    </row>
    <row r="11" ht="26" customHeight="1">
      <c r="A11" s="8" t="inlineStr">
        <is>
          <t>10</t>
        </is>
      </c>
      <c r="B11" s="8" t="inlineStr">
        <is>
          <t>S&amp;S Discount %</t>
        </is>
      </c>
      <c r="C11" s="8" t="inlineStr">
        <is>
          <t>Subscription discount (enter decimal 0.15 = 15%).</t>
        </is>
      </c>
      <c r="D11" s="8" t="inlineStr">
        <is>
          <t>LIVE Amazon.ca</t>
        </is>
      </c>
      <c r="E11" s="8" t="inlineStr">
        <is>
          <t>BLANK — capture</t>
        </is>
      </c>
    </row>
    <row r="12" ht="26" customHeight="1">
      <c r="A12" s="7" t="inlineStr">
        <is>
          <t>11</t>
        </is>
      </c>
      <c r="B12" s="7" t="inlineStr">
        <is>
          <t>S&amp;S Price After Discount</t>
        </is>
      </c>
      <c r="C12" s="7">
        <f>Price × (1 − S&amp;S%). Formula.</f>
        <v/>
      </c>
      <c r="D12" s="7" t="inlineStr">
        <is>
          <t>Calculated</t>
        </is>
      </c>
      <c r="E12" s="7" t="inlineStr">
        <is>
          <t>Auto when 6 &amp; 10 filled</t>
        </is>
      </c>
    </row>
    <row r="13" ht="26" customHeight="1">
      <c r="A13" s="8" t="inlineStr">
        <is>
          <t>12</t>
        </is>
      </c>
      <c r="B13" s="8" t="inlineStr">
        <is>
          <t>Coupon on Listing (Y/N + value)</t>
        </is>
      </c>
      <c r="C13" s="8" t="inlineStr">
        <is>
          <t>Clippable coupon presence and value.</t>
        </is>
      </c>
      <c r="D13" s="8" t="inlineStr">
        <is>
          <t>LIVE Amazon.ca</t>
        </is>
      </c>
      <c r="E13" s="8" t="inlineStr">
        <is>
          <t>BLANK — capture</t>
        </is>
      </c>
    </row>
    <row r="14" ht="26" customHeight="1">
      <c r="A14" s="7" t="inlineStr">
        <is>
          <t>13</t>
        </is>
      </c>
      <c r="B14" s="7" t="inlineStr">
        <is>
          <t>Promotion Text</t>
        </is>
      </c>
      <c r="C14" s="7" t="inlineStr">
        <is>
          <t>Multi-buy / lightning / Prime-excl / bundle text.</t>
        </is>
      </c>
      <c r="D14" s="7" t="inlineStr">
        <is>
          <t>LIVE Amazon.ca</t>
        </is>
      </c>
      <c r="E14" s="7" t="inlineStr">
        <is>
          <t>BLANK — capture</t>
        </is>
      </c>
    </row>
    <row r="15" ht="26" customHeight="1">
      <c r="A15" s="8" t="inlineStr">
        <is>
          <t>14</t>
        </is>
      </c>
      <c r="B15" s="8" t="inlineStr">
        <is>
          <t>Lowest Effective Price (stacked)</t>
        </is>
      </c>
      <c r="C15" s="8">
        <f>(Price − CouponVal) × (1 − S&amp;S%). Formula.</f>
        <v/>
      </c>
      <c r="D15" s="8" t="inlineStr">
        <is>
          <t>Calculated</t>
        </is>
      </c>
      <c r="E15" s="8" t="inlineStr">
        <is>
          <t>Auto when inputs filled</t>
        </is>
      </c>
    </row>
    <row r="16" ht="26" customHeight="1">
      <c r="A16" s="7" t="inlineStr">
        <is>
          <t>15</t>
        </is>
      </c>
      <c r="B16" s="7" t="inlineStr">
        <is>
          <t>All Flavours</t>
        </is>
      </c>
      <c r="C16" s="7" t="inlineStr">
        <is>
          <t>Flavours offered in/around the listing.</t>
        </is>
      </c>
      <c r="D16" s="7" t="inlineStr">
        <is>
          <t>Stable</t>
        </is>
      </c>
      <c r="E16" s="7" t="inlineStr">
        <is>
          <t>Filled (approx)</t>
        </is>
      </c>
    </row>
    <row r="17" ht="26" customHeight="1">
      <c r="A17" s="8" t="inlineStr">
        <is>
          <t>16</t>
        </is>
      </c>
      <c r="B17" s="8" t="inlineStr">
        <is>
          <t>Caffeine / Serving (mg)</t>
        </is>
      </c>
      <c r="C17" s="8" t="inlineStr">
        <is>
          <t>Per single serving; 'Not listed' if none.</t>
        </is>
      </c>
      <c r="D17" s="8" t="inlineStr">
        <is>
          <t>Stable</t>
        </is>
      </c>
      <c r="E17" s="8" t="inlineStr">
        <is>
          <t>Filled (approx)</t>
        </is>
      </c>
    </row>
    <row r="18" ht="26" customHeight="1">
      <c r="A18" s="7" t="inlineStr">
        <is>
          <t>17</t>
        </is>
      </c>
      <c r="B18" s="7" t="inlineStr">
        <is>
          <t>Sodium / Serving (mg)</t>
        </is>
      </c>
      <c r="C18" s="7" t="inlineStr">
        <is>
          <t>Per single serving.</t>
        </is>
      </c>
      <c r="D18" s="7" t="inlineStr">
        <is>
          <t>Stable</t>
        </is>
      </c>
      <c r="E18" s="7" t="inlineStr">
        <is>
          <t>Filled (approx)</t>
        </is>
      </c>
    </row>
    <row r="19" ht="26" customHeight="1">
      <c r="A19" s="8" t="inlineStr">
        <is>
          <t>18</t>
        </is>
      </c>
      <c r="B19" s="8" t="inlineStr">
        <is>
          <t>Potassium / Serving (mg)</t>
        </is>
      </c>
      <c r="C19" s="8" t="inlineStr">
        <is>
          <t>Per single serving; blank if not listed.</t>
        </is>
      </c>
      <c r="D19" s="8" t="inlineStr">
        <is>
          <t>Stable</t>
        </is>
      </c>
      <c r="E19" s="8" t="inlineStr">
        <is>
          <t>Filled (approx)</t>
        </is>
      </c>
    </row>
    <row r="20" ht="26" customHeight="1">
      <c r="A20" s="7" t="inlineStr">
        <is>
          <t>19</t>
        </is>
      </c>
      <c r="B20" s="7" t="inlineStr">
        <is>
          <t>Sugar / Serving (g)</t>
        </is>
      </c>
      <c r="C20" s="7" t="inlineStr">
        <is>
          <t>Per single serving.</t>
        </is>
      </c>
      <c r="D20" s="7" t="inlineStr">
        <is>
          <t>Stable</t>
        </is>
      </c>
      <c r="E20" s="7" t="inlineStr">
        <is>
          <t>Filled (approx)</t>
        </is>
      </c>
    </row>
    <row r="21" ht="26" customHeight="1">
      <c r="A21" s="8" t="inlineStr">
        <is>
          <t>20</t>
        </is>
      </c>
      <c r="B21" s="8" t="inlineStr">
        <is>
          <t>Calories / Serving</t>
        </is>
      </c>
      <c r="C21" s="8" t="inlineStr">
        <is>
          <t>Per single serving.</t>
        </is>
      </c>
      <c r="D21" s="8" t="inlineStr">
        <is>
          <t>Stable</t>
        </is>
      </c>
      <c r="E21" s="8" t="inlineStr">
        <is>
          <t>Filled (approx)</t>
        </is>
      </c>
    </row>
    <row r="22" ht="26" customHeight="1">
      <c r="A22" s="7" t="inlineStr">
        <is>
          <t>21</t>
        </is>
      </c>
      <c r="B22" s="7" t="inlineStr">
        <is>
          <t>Sweetener Type</t>
        </is>
      </c>
      <c r="C22" s="7" t="inlineStr">
        <is>
          <t>Caloric/non-caloric sweetener(s) used.</t>
        </is>
      </c>
      <c r="D22" s="7" t="inlineStr">
        <is>
          <t>Stable</t>
        </is>
      </c>
      <c r="E22" s="7" t="inlineStr">
        <is>
          <t>Filled (approx)</t>
        </is>
      </c>
    </row>
    <row r="23" ht="26" customHeight="1">
      <c r="A23" s="8" t="inlineStr">
        <is>
          <t>22</t>
        </is>
      </c>
      <c r="B23" s="8" t="inlineStr">
        <is>
          <t>Key Functional Claims</t>
        </is>
      </c>
      <c r="C23" s="8" t="inlineStr">
        <is>
          <t>Headline benefit claims.</t>
        </is>
      </c>
      <c r="D23" s="8" t="inlineStr">
        <is>
          <t>Stable</t>
        </is>
      </c>
      <c r="E23" s="8" t="inlineStr">
        <is>
          <t>Filled (approx)</t>
        </is>
      </c>
    </row>
    <row r="24" ht="26" customHeight="1">
      <c r="A24" s="7" t="inlineStr">
        <is>
          <t>23</t>
        </is>
      </c>
      <c r="B24" s="7" t="inlineStr">
        <is>
          <t>Star Rating</t>
        </is>
      </c>
      <c r="C24" s="7" t="inlineStr">
        <is>
          <t>Average stars on listing.</t>
        </is>
      </c>
      <c r="D24" s="7" t="inlineStr">
        <is>
          <t>LIVE Amazon.ca</t>
        </is>
      </c>
      <c r="E24" s="7" t="inlineStr">
        <is>
          <t>BLANK — capture</t>
        </is>
      </c>
    </row>
    <row r="25" ht="26" customHeight="1">
      <c r="A25" s="8" t="inlineStr">
        <is>
          <t>24</t>
        </is>
      </c>
      <c r="B25" s="8" t="inlineStr">
        <is>
          <t>Number of Ratings</t>
        </is>
      </c>
      <c r="C25" s="8" t="inlineStr">
        <is>
          <t>Count of ratings.</t>
        </is>
      </c>
      <c r="D25" s="8" t="inlineStr">
        <is>
          <t>LIVE Amazon.ca</t>
        </is>
      </c>
      <c r="E25" s="8" t="inlineStr">
        <is>
          <t>BLANK — capture</t>
        </is>
      </c>
    </row>
    <row r="26" ht="26" customHeight="1">
      <c r="A26" s="7" t="inlineStr">
        <is>
          <t>25</t>
        </is>
      </c>
      <c r="B26" s="7" t="inlineStr">
        <is>
          <t>Amazon Badge</t>
        </is>
      </c>
      <c r="C26" s="7" t="inlineStr">
        <is>
          <t>Amazon's Choice / Best Seller / Overall Pick.</t>
        </is>
      </c>
      <c r="D26" s="7" t="inlineStr">
        <is>
          <t>LIVE Amazon.ca</t>
        </is>
      </c>
      <c r="E26" s="7" t="inlineStr">
        <is>
          <t>BLANK — capture</t>
        </is>
      </c>
    </row>
    <row r="27" ht="26" customHeight="1">
      <c r="A27" s="8" t="inlineStr">
        <is>
          <t>26</t>
        </is>
      </c>
      <c r="B27" s="8" t="inlineStr">
        <is>
          <t>Bestseller Rank in Category</t>
        </is>
      </c>
      <c r="C27" s="8" t="inlineStr">
        <is>
          <t>BSR if shown.</t>
        </is>
      </c>
      <c r="D27" s="8" t="inlineStr">
        <is>
          <t>LIVE Amazon.ca</t>
        </is>
      </c>
      <c r="E27" s="8" t="inlineStr">
        <is>
          <t>BLANK — capture</t>
        </is>
      </c>
    </row>
    <row r="28" ht="26" customHeight="1">
      <c r="A28" s="7" t="inlineStr">
        <is>
          <t>27a</t>
        </is>
      </c>
      <c r="B28" s="7" t="inlineStr">
        <is>
          <t>Est. Weekly Velocity (band)</t>
        </is>
      </c>
      <c r="C28" s="7" t="inlineStr">
        <is>
          <t>ESTIMATE band; not a unit count.</t>
        </is>
      </c>
      <c r="D28" s="7" t="inlineStr">
        <is>
          <t>Estimate</t>
        </is>
      </c>
      <c r="E28" s="7" t="inlineStr">
        <is>
          <t>Filled (estimate)</t>
        </is>
      </c>
    </row>
    <row r="29" ht="26" customHeight="1">
      <c r="A29" s="8" t="inlineStr">
        <is>
          <t>27b</t>
        </is>
      </c>
      <c r="B29" s="8" t="inlineStr">
        <is>
          <t>Velocity Signal Used</t>
        </is>
      </c>
      <c r="C29" s="8" t="inlineStr">
        <is>
          <t>What the estimate is based on.</t>
        </is>
      </c>
      <c r="D29" s="8" t="inlineStr">
        <is>
          <t>Estimate</t>
        </is>
      </c>
      <c r="E29" s="8" t="inlineStr">
        <is>
          <t>Filled</t>
        </is>
      </c>
    </row>
    <row r="30" ht="26" customHeight="1">
      <c r="A30" s="7" t="inlineStr">
        <is>
          <t>28</t>
        </is>
      </c>
      <c r="B30" s="7" t="inlineStr">
        <is>
          <t>Biggest Selling Message</t>
        </is>
      </c>
      <c r="C30" s="7" t="inlineStr">
        <is>
          <t>Paraphrased headline hook.</t>
        </is>
      </c>
      <c r="D30" s="7" t="inlineStr">
        <is>
          <t>Interpretation</t>
        </is>
      </c>
      <c r="E30" s="7" t="inlineStr">
        <is>
          <t>Filled</t>
        </is>
      </c>
    </row>
    <row r="31" ht="26" customHeight="1">
      <c r="A31" s="8" t="inlineStr">
        <is>
          <t>29</t>
        </is>
      </c>
      <c r="B31" s="8" t="inlineStr">
        <is>
          <t>Why a Shopper Chooses This</t>
        </is>
      </c>
      <c r="C31" s="8" t="inlineStr">
        <is>
          <t>One-sentence buyer rationale.</t>
        </is>
      </c>
      <c r="D31" s="8" t="inlineStr">
        <is>
          <t>Interpretation</t>
        </is>
      </c>
      <c r="E31" s="8" t="inlineStr">
        <is>
          <t>Filled</t>
        </is>
      </c>
    </row>
    <row r="32" ht="26" customHeight="1">
      <c r="A32" s="7" t="inlineStr">
        <is>
          <t>30</t>
        </is>
      </c>
      <c r="B32" s="7" t="inlineStr">
        <is>
          <t>Direct Product URL</t>
        </is>
      </c>
      <c r="C32" s="7" t="inlineStr">
        <is>
          <t>Listing URL.</t>
        </is>
      </c>
      <c r="D32" s="7" t="inlineStr">
        <is>
          <t>LIVE Amazon.ca</t>
        </is>
      </c>
      <c r="E32" s="7" t="inlineStr">
        <is>
          <t>BLANK — capture</t>
        </is>
      </c>
    </row>
    <row r="33" ht="26" customHeight="1">
      <c r="A33" s="8" t="inlineStr">
        <is>
          <t>H1</t>
        </is>
      </c>
      <c r="B33" s="8" t="inlineStr">
        <is>
          <t>Unit Vol (mL) helper</t>
        </is>
      </c>
      <c r="C33" s="8" t="inlineStr">
        <is>
          <t>Single-unit volume in mL for 100 mL math.</t>
        </is>
      </c>
      <c r="D33" s="8" t="inlineStr">
        <is>
          <t>Stable</t>
        </is>
      </c>
      <c r="E33" s="8" t="inlineStr">
        <is>
          <t>Filled</t>
        </is>
      </c>
    </row>
    <row r="34" ht="26" customHeight="1">
      <c r="A34" s="7" t="inlineStr">
        <is>
          <t>H2</t>
        </is>
      </c>
      <c r="B34" s="7" t="inlineStr">
        <is>
          <t>Coupon Value (CAD) helper</t>
        </is>
      </c>
      <c r="C34" s="7" t="inlineStr">
        <is>
          <t>Numeric coupon value for stacking formula.</t>
        </is>
      </c>
      <c r="D34" s="7" t="inlineStr">
        <is>
          <t>LIVE Amazon.ca</t>
        </is>
      </c>
      <c r="E34" s="7" t="inlineStr">
        <is>
          <t>BLANK — capture</t>
        </is>
      </c>
    </row>
    <row r="35" ht="26" customHeight="1">
      <c r="A35" s="8" t="inlineStr">
        <is>
          <t>P1</t>
        </is>
      </c>
      <c r="B35" s="8" t="inlineStr">
        <is>
          <t>Attribute Provenance</t>
        </is>
      </c>
      <c r="C35" s="8" t="inlineStr">
        <is>
          <t>Source/confidence of stable attributes.</t>
        </is>
      </c>
      <c r="D35" s="8" t="inlineStr">
        <is>
          <t>Meta</t>
        </is>
      </c>
      <c r="E35" s="8" t="inlineStr">
        <is>
          <t>Filled</t>
        </is>
      </c>
    </row>
    <row r="36" ht="26" customHeight="1">
      <c r="A36" s="7" t="inlineStr">
        <is>
          <t>P2</t>
        </is>
      </c>
      <c r="B36" s="7" t="inlineStr">
        <is>
          <t>Commercial-Field Status</t>
        </is>
      </c>
      <c r="C36" s="7" t="inlineStr">
        <is>
          <t>State of the live commercial cells.</t>
        </is>
      </c>
      <c r="D36" s="7" t="inlineStr">
        <is>
          <t>Meta</t>
        </is>
      </c>
      <c r="E36" s="7" t="inlineStr">
        <is>
          <t>Filled</t>
        </is>
      </c>
    </row>
    <row r="37" ht="26" customHeight="1">
      <c r="A37" s="8" t="inlineStr">
        <is>
          <t>P3</t>
        </is>
      </c>
      <c r="B37" s="8" t="inlineStr">
        <is>
          <t>Row Flag</t>
        </is>
      </c>
      <c r="C37" s="8" t="inlineStr">
        <is>
          <t>Flags rows with unverified data.</t>
        </is>
      </c>
      <c r="D37" s="8" t="inlineStr">
        <is>
          <t>Meta</t>
        </is>
      </c>
      <c r="E37" s="8" t="inlineStr">
        <is>
          <t>Filled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  <col width="16" customWidth="1" min="4" max="4"/>
    <col width="9" customWidth="1" min="5" max="5"/>
    <col width="14" customWidth="1" min="6" max="6"/>
    <col width="13" customWidth="1" min="7" max="7"/>
    <col width="13" customWidth="1" min="8" max="8"/>
    <col width="11" customWidth="1" min="9" max="9"/>
    <col width="12" customWidth="1" min="10" max="10"/>
    <col width="14" customWidth="1" min="11" max="11"/>
    <col width="18" customWidth="1" min="12" max="12"/>
    <col width="22" customWidth="1" min="13" max="13"/>
    <col width="16" customWidth="1" min="14" max="14"/>
    <col width="40" customWidth="1" min="15" max="15"/>
    <col width="12" customWidth="1" min="16" max="16"/>
    <col width="12" customWidth="1" min="17" max="17"/>
    <col width="12" customWidth="1" min="18" max="18"/>
    <col width="11" customWidth="1" min="19" max="19"/>
    <col width="11" customWidth="1" min="20" max="20"/>
    <col width="24" customWidth="1" min="21" max="21"/>
    <col width="34" customWidth="1" min="22" max="22"/>
    <col width="10" customWidth="1" min="23" max="23"/>
    <col width="12" customWidth="1" min="24" max="24"/>
    <col width="16" customWidth="1" min="25" max="25"/>
    <col width="14" customWidth="1" min="26" max="26"/>
    <col width="14" customWidth="1" min="27" max="27"/>
    <col width="34" customWidth="1" min="28" max="28"/>
    <col width="40" customWidth="1" min="29" max="29"/>
    <col width="46" customWidth="1" min="30" max="30"/>
    <col width="22" customWidth="1" min="31" max="31"/>
    <col width="12" customWidth="1" min="32" max="32"/>
    <col width="13" customWidth="1" min="33" max="33"/>
    <col width="30" customWidth="1" min="34" max="34"/>
    <col width="26" customWidth="1" min="35" max="35"/>
    <col width="22" customWidth="1" min="36" max="36"/>
  </cols>
  <sheetData>
    <row r="1" ht="42" customHeight="1">
      <c r="A1" s="6" t="inlineStr">
        <is>
          <t>1. Brand</t>
        </is>
      </c>
      <c r="B1" s="6" t="inlineStr">
        <is>
          <t>2. Product Line / SKU Name</t>
        </is>
      </c>
      <c r="C1" s="6" t="inlineStr">
        <is>
          <t>3. Category</t>
        </is>
      </c>
      <c r="D1" s="6" t="inlineStr">
        <is>
          <t>4. Format &amp; Size</t>
        </is>
      </c>
      <c r="E1" s="6" t="inlineStr">
        <is>
          <t>5. Pack Count</t>
        </is>
      </c>
      <c r="F1" s="6" t="inlineStr">
        <is>
          <t>6. One-Time Price (CAD)</t>
        </is>
      </c>
      <c r="G1" s="6" t="inlineStr">
        <is>
          <t>7. Price / Unit (CAD)</t>
        </is>
      </c>
      <c r="H1" s="6" t="inlineStr">
        <is>
          <t>8. Price / 100 mL (CAD)</t>
        </is>
      </c>
      <c r="I1" s="6" t="inlineStr">
        <is>
          <t>9. S&amp;S Offered (Y/N)</t>
        </is>
      </c>
      <c r="J1" s="6" t="inlineStr">
        <is>
          <t>10. S&amp;S Discount %</t>
        </is>
      </c>
      <c r="K1" s="6" t="inlineStr">
        <is>
          <t>11. S&amp;S Price After Disc.</t>
        </is>
      </c>
      <c r="L1" s="6" t="inlineStr">
        <is>
          <t>12. Coupon on Listing (Y/N + value)</t>
        </is>
      </c>
      <c r="M1" s="6" t="inlineStr">
        <is>
          <t>13. Promotion Text</t>
        </is>
      </c>
      <c r="N1" s="6" t="inlineStr">
        <is>
          <t>14. Lowest Effective Price (stacked)</t>
        </is>
      </c>
      <c r="O1" s="6" t="inlineStr">
        <is>
          <t>15. All Flavours in Listing</t>
        </is>
      </c>
      <c r="P1" s="6" t="inlineStr">
        <is>
          <t>16. Caffeine / Serving (mg)</t>
        </is>
      </c>
      <c r="Q1" s="6" t="inlineStr">
        <is>
          <t>17. Sodium / Serving (mg)</t>
        </is>
      </c>
      <c r="R1" s="6" t="inlineStr">
        <is>
          <t>18. Potassium / Serving (mg)</t>
        </is>
      </c>
      <c r="S1" s="6" t="inlineStr">
        <is>
          <t>19. Sugar / Serving (g)</t>
        </is>
      </c>
      <c r="T1" s="6" t="inlineStr">
        <is>
          <t>20. Calories / Serving</t>
        </is>
      </c>
      <c r="U1" s="6" t="inlineStr">
        <is>
          <t>21. Sweetener Type</t>
        </is>
      </c>
      <c r="V1" s="6" t="inlineStr">
        <is>
          <t>22. Key Functional Claims</t>
        </is>
      </c>
      <c r="W1" s="6" t="inlineStr">
        <is>
          <t>23. Star Rating</t>
        </is>
      </c>
      <c r="X1" s="6" t="inlineStr">
        <is>
          <t>24. Number of Ratings</t>
        </is>
      </c>
      <c r="Y1" s="6" t="inlineStr">
        <is>
          <t>25. Amazon Badge</t>
        </is>
      </c>
      <c r="Z1" s="6" t="inlineStr">
        <is>
          <t>26. Bestseller Rank in Category</t>
        </is>
      </c>
      <c r="AA1" s="6" t="inlineStr">
        <is>
          <t>27a. Est. Weekly Velocity (band)</t>
        </is>
      </c>
      <c r="AB1" s="6" t="inlineStr">
        <is>
          <t>27b. Velocity Signal Used</t>
        </is>
      </c>
      <c r="AC1" s="6" t="inlineStr">
        <is>
          <t>28. Biggest Selling Message</t>
        </is>
      </c>
      <c r="AD1" s="6" t="inlineStr">
        <is>
          <t>29. Why a Shopper Chooses This</t>
        </is>
      </c>
      <c r="AE1" s="6" t="inlineStr">
        <is>
          <t>30. Direct Product URL</t>
        </is>
      </c>
      <c r="AF1" s="6" t="inlineStr">
        <is>
          <t>H1. Unit Vol (mL) [calc helper]</t>
        </is>
      </c>
      <c r="AG1" s="6" t="inlineStr">
        <is>
          <t>H2. Coupon Value (CAD) [calc helper]</t>
        </is>
      </c>
      <c r="AH1" s="6" t="inlineStr">
        <is>
          <t>P1. Attribute Provenance</t>
        </is>
      </c>
      <c r="AI1" s="6" t="inlineStr">
        <is>
          <t>P2. Commercial-Field Status</t>
        </is>
      </c>
      <c r="AJ1" s="6" t="inlineStr">
        <is>
          <t>P3. Row Flag</t>
        </is>
      </c>
    </row>
    <row r="2" ht="60" customHeight="1">
      <c r="A2" s="8" t="inlineStr">
        <is>
          <t>Sparkling Ice</t>
        </is>
      </c>
      <c r="B2" s="8" t="inlineStr">
        <is>
          <t>Sparkling Ice (+ Antioxidants &amp; Vitamins)</t>
        </is>
      </c>
      <c r="C2" s="8" t="inlineStr">
        <is>
          <t>1) Sparkling electrolyte / functional sparkling</t>
        </is>
      </c>
      <c r="D2" s="8" t="inlineStr">
        <is>
          <t>503 mL bottle</t>
        </is>
      </c>
      <c r="E2" s="8" t="n">
        <v>12</v>
      </c>
      <c r="F2" s="9" t="n"/>
      <c r="G2" s="10">
        <f>IF(AND(ISNUMBER($F2),ISNUMBER($E2),$E2&lt;&gt;0),$F2/$E2,"")</f>
        <v/>
      </c>
      <c r="H2" s="10">
        <f>IF(AND(ISNUMBER($F2),ISNUMBER($AF2),ISNUMBER($E2),($AF2*$E2)&lt;&gt;0),$F2/($AF2*$E2)*100,"")</f>
        <v/>
      </c>
      <c r="I2" s="11" t="n"/>
      <c r="J2" s="12" t="n"/>
      <c r="K2" s="10">
        <f>IF(AND(ISNUMBER($F2),ISNUMBER($J2)),$F2*(1-$J2),"")</f>
        <v/>
      </c>
      <c r="L2" s="11" t="n"/>
      <c r="M2" s="11" t="n"/>
      <c r="N2" s="10">
        <f>IF(ISNUMBER($F2),($F2-IF(ISNUMBER($AG2),$AG2,0))*(1-IF(ISNUMBER($J2),$J2,0)),"")</f>
        <v/>
      </c>
      <c r="O2" s="8" t="inlineStr">
        <is>
          <t>Black Raspberry, Cherry Limeade, Orange Mango, Kiwi Strawberry, Coconut Pineapple, Classic Lemonade</t>
        </is>
      </c>
      <c r="P2" s="13" t="n">
        <v>0</v>
      </c>
      <c r="Q2" s="13" t="n">
        <v>25</v>
      </c>
      <c r="R2" s="8" t="inlineStr">
        <is>
          <t>Not listed</t>
        </is>
      </c>
      <c r="S2" s="13" t="n">
        <v>0</v>
      </c>
      <c r="T2" s="13" t="n">
        <v>5</v>
      </c>
      <c r="U2" s="8" t="inlineStr">
        <is>
          <t>Sucralose</t>
        </is>
      </c>
      <c r="V2" s="8" t="inlineStr">
        <is>
          <t>Zero sugar, vitamins A/D/B, antioxidants (green tea), bold flavour</t>
        </is>
      </c>
      <c r="W2" s="11" t="n"/>
      <c r="X2" s="11" t="n"/>
      <c r="Y2" s="11" t="n"/>
      <c r="Z2" s="11" t="n"/>
      <c r="AA2" s="8" t="inlineStr">
        <is>
          <t>High</t>
        </is>
      </c>
      <c r="AB2" s="8" t="inlineStr">
        <is>
          <t>Mass-market functional sparkling; strong shelf share</t>
        </is>
      </c>
      <c r="AC2" s="8" t="inlineStr">
        <is>
          <t>Bold zero-sugar sparkling with added vitamins</t>
        </is>
      </c>
      <c r="AD2" s="8" t="inlineStr">
        <is>
          <t>Big flavour and added vitamins at zero sugar.</t>
        </is>
      </c>
      <c r="AE2" s="11" t="n"/>
      <c r="AF2" s="8" t="n">
        <v>503</v>
      </c>
      <c r="AG2" s="9" t="n"/>
      <c r="AH2" s="8" t="inlineStr">
        <is>
          <t>Secondary/approx; NOT verified on Amazon.ca</t>
        </is>
      </c>
      <c r="AI2" s="8" t="inlineStr">
        <is>
          <t>BLANK → requires live Amazon.ca capture</t>
        </is>
      </c>
      <c r="AJ2" s="8" t="inlineStr">
        <is>
          <t>⚠ Unverified commercial data</t>
        </is>
      </c>
    </row>
    <row r="3" ht="60" customHeight="1">
      <c r="A3" s="8" t="inlineStr">
        <is>
          <t>BUBBL'R</t>
        </is>
      </c>
      <c r="B3" s="8" t="inlineStr">
        <is>
          <t>BUBBL'R Antioxidant Sparkling Water</t>
        </is>
      </c>
      <c r="C3" s="8" t="inlineStr">
        <is>
          <t>1) Sparkling electrolyte / functional sparkling</t>
        </is>
      </c>
      <c r="D3" s="8" t="inlineStr">
        <is>
          <t>473 mL can</t>
        </is>
      </c>
      <c r="E3" s="8" t="n">
        <v>12</v>
      </c>
      <c r="F3" s="9" t="n"/>
      <c r="G3" s="10">
        <f>IF(AND(ISNUMBER($F3),ISNUMBER($E3),$E3&lt;&gt;0),$F3/$E3,"")</f>
        <v/>
      </c>
      <c r="H3" s="10">
        <f>IF(AND(ISNUMBER($F3),ISNUMBER($AF3),ISNUMBER($E3),($AF3*$E3)&lt;&gt;0),$F3/($AF3*$E3)*100,"")</f>
        <v/>
      </c>
      <c r="I3" s="11" t="n"/>
      <c r="J3" s="12" t="n"/>
      <c r="K3" s="10">
        <f>IF(AND(ISNUMBER($F3),ISNUMBER($J3)),$F3*(1-$J3),"")</f>
        <v/>
      </c>
      <c r="L3" s="11" t="n"/>
      <c r="M3" s="11" t="n"/>
      <c r="N3" s="10">
        <f>IF(ISNUMBER($F3),($F3-IF(ISNUMBER($AG3),$AG3,0))*(1-IF(ISNUMBER($J3),$J3,0)),"")</f>
        <v/>
      </c>
      <c r="O3" s="8" t="inlineStr">
        <is>
          <t>Blackberribrilliance, Strawbeary Lemonade, Tropic'b''r, Raspberry Lemonade, Blue Crush'r</t>
        </is>
      </c>
      <c r="P3" s="13" t="n">
        <v>69</v>
      </c>
      <c r="Q3" s="13" t="n">
        <v>15</v>
      </c>
      <c r="R3" s="8" t="inlineStr">
        <is>
          <t>Not listed</t>
        </is>
      </c>
      <c r="S3" s="13" t="n">
        <v>0</v>
      </c>
      <c r="T3" s="13" t="n">
        <v>10</v>
      </c>
      <c r="U3" s="8" t="inlineStr">
        <is>
          <t>Erythritol + stevia</t>
        </is>
      </c>
      <c r="V3" s="8" t="inlineStr">
        <is>
          <t>Natural caffeine (69 mg), antioxidants, B-vitamins, zero sugar</t>
        </is>
      </c>
      <c r="W3" s="11" t="n"/>
      <c r="X3" s="11" t="n"/>
      <c r="Y3" s="11" t="n"/>
      <c r="Z3" s="11" t="n"/>
      <c r="AA3" s="8" t="inlineStr">
        <is>
          <t>Medium</t>
        </is>
      </c>
      <c r="AB3" s="8" t="inlineStr">
        <is>
          <t>Mid-caffeine functional sparkling; growing</t>
        </is>
      </c>
      <c r="AC3" s="8" t="inlineStr">
        <is>
          <t>Sparkling water with a light caffeine + antioxidant lift</t>
        </is>
      </c>
      <c r="AD3" s="8" t="inlineStr">
        <is>
          <t>Light natural caffeine and antioxidants without an energy-drink dose.</t>
        </is>
      </c>
      <c r="AE3" s="11" t="n"/>
      <c r="AF3" s="8" t="n">
        <v>473</v>
      </c>
      <c r="AG3" s="9" t="n"/>
      <c r="AH3" s="8" t="inlineStr">
        <is>
          <t>Secondary/approx; NOT verified on Amazon.ca</t>
        </is>
      </c>
      <c r="AI3" s="8" t="inlineStr">
        <is>
          <t>BLANK → requires live Amazon.ca capture</t>
        </is>
      </c>
      <c r="AJ3" s="8" t="inlineStr">
        <is>
          <t>⚠ Unverified commercial data</t>
        </is>
      </c>
    </row>
    <row r="4" ht="60" customHeight="1">
      <c r="A4" s="8" t="inlineStr">
        <is>
          <t>Phocus</t>
        </is>
      </c>
      <c r="B4" s="8" t="inlineStr">
        <is>
          <t>Phocus Caffeinated Sparkling Water</t>
        </is>
      </c>
      <c r="C4" s="8" t="inlineStr">
        <is>
          <t>1) Sparkling electrolyte / functional sparkling</t>
        </is>
      </c>
      <c r="D4" s="8" t="inlineStr">
        <is>
          <t>350 mL can</t>
        </is>
      </c>
      <c r="E4" s="8" t="n">
        <v>12</v>
      </c>
      <c r="F4" s="9" t="n"/>
      <c r="G4" s="10">
        <f>IF(AND(ISNUMBER($F4),ISNUMBER($E4),$E4&lt;&gt;0),$F4/$E4,"")</f>
        <v/>
      </c>
      <c r="H4" s="10">
        <f>IF(AND(ISNUMBER($F4),ISNUMBER($AF4),ISNUMBER($E4),($AF4*$E4)&lt;&gt;0),$F4/($AF4*$E4)*100,"")</f>
        <v/>
      </c>
      <c r="I4" s="11" t="n"/>
      <c r="J4" s="12" t="n"/>
      <c r="K4" s="10">
        <f>IF(AND(ISNUMBER($F4),ISNUMBER($J4)),$F4*(1-$J4),"")</f>
        <v/>
      </c>
      <c r="L4" s="11" t="n"/>
      <c r="M4" s="11" t="n"/>
      <c r="N4" s="10">
        <f>IF(ISNUMBER($F4),($F4-IF(ISNUMBER($AG4),$AG4,0))*(1-IF(ISNUMBER($J4),$J4,0)),"")</f>
        <v/>
      </c>
      <c r="O4" s="8" t="inlineStr">
        <is>
          <t>Grapefruit, Yuzu Lime, Cucumber, Black Cherry, Natural, Lemon</t>
        </is>
      </c>
      <c r="P4" s="13" t="n">
        <v>75</v>
      </c>
      <c r="Q4" s="13" t="n">
        <v>0</v>
      </c>
      <c r="R4" s="8" t="inlineStr">
        <is>
          <t>Not listed</t>
        </is>
      </c>
      <c r="S4" s="13" t="n">
        <v>0</v>
      </c>
      <c r="T4" s="13" t="n">
        <v>0</v>
      </c>
      <c r="U4" s="8" t="inlineStr">
        <is>
          <t>None (natural flavours)</t>
        </is>
      </c>
      <c r="V4" s="8" t="inlineStr">
        <is>
          <t>75 mg caffeine + L-theanine for smooth focus, zero sugar/calorie</t>
        </is>
      </c>
      <c r="W4" s="11" t="n"/>
      <c r="X4" s="11" t="n"/>
      <c r="Y4" s="11" t="n"/>
      <c r="Z4" s="11" t="n"/>
      <c r="AA4" s="8" t="inlineStr">
        <is>
          <t>Medium</t>
        </is>
      </c>
      <c r="AB4" s="8" t="inlineStr">
        <is>
          <t>Niche caffeinated sparkling; focus positioning</t>
        </is>
      </c>
      <c r="AC4" s="8" t="inlineStr">
        <is>
          <t>Sparkling water that wakes you up smoothly</t>
        </is>
      </c>
      <c r="AD4" s="8" t="inlineStr">
        <is>
          <t>Coffee-level caffeine plus L-theanine in a calorie-free seltzer.</t>
        </is>
      </c>
      <c r="AE4" s="11" t="n"/>
      <c r="AF4" s="8" t="n">
        <v>350</v>
      </c>
      <c r="AG4" s="9" t="n"/>
      <c r="AH4" s="8" t="inlineStr">
        <is>
          <t>Secondary/approx; NOT verified on Amazon.ca</t>
        </is>
      </c>
      <c r="AI4" s="8" t="inlineStr">
        <is>
          <t>BLANK → requires live Amazon.ca capture</t>
        </is>
      </c>
      <c r="AJ4" s="8" t="inlineStr">
        <is>
          <t>⚠ Unverified commercial data</t>
        </is>
      </c>
    </row>
    <row r="5" ht="60" customHeight="1">
      <c r="A5" s="8" t="inlineStr">
        <is>
          <t>Aura Bora</t>
        </is>
      </c>
      <c r="B5" s="8" t="inlineStr">
        <is>
          <t>Aura Bora Herbal Sparkling Water</t>
        </is>
      </c>
      <c r="C5" s="8" t="inlineStr">
        <is>
          <t>1) Sparkling electrolyte / functional sparkling</t>
        </is>
      </c>
      <c r="D5" s="8" t="inlineStr">
        <is>
          <t>355 mL can</t>
        </is>
      </c>
      <c r="E5" s="8" t="n">
        <v>12</v>
      </c>
      <c r="F5" s="9" t="n"/>
      <c r="G5" s="10">
        <f>IF(AND(ISNUMBER($F5),ISNUMBER($E5),$E5&lt;&gt;0),$F5/$E5,"")</f>
        <v/>
      </c>
      <c r="H5" s="10">
        <f>IF(AND(ISNUMBER($F5),ISNUMBER($AF5),ISNUMBER($E5),($AF5*$E5)&lt;&gt;0),$F5/($AF5*$E5)*100,"")</f>
        <v/>
      </c>
      <c r="I5" s="11" t="n"/>
      <c r="J5" s="12" t="n"/>
      <c r="K5" s="10">
        <f>IF(AND(ISNUMBER($F5),ISNUMBER($J5)),$F5*(1-$J5),"")</f>
        <v/>
      </c>
      <c r="L5" s="11" t="n"/>
      <c r="M5" s="11" t="n"/>
      <c r="N5" s="10">
        <f>IF(ISNUMBER($F5),($F5-IF(ISNUMBER($AG5),$AG5,0))*(1-IF(ISNUMBER($J5),$J5,0)),"")</f>
        <v/>
      </c>
      <c r="O5" s="8" t="inlineStr">
        <is>
          <t>Lavender Cucumber, Basil Berry, Lemongrass Coconut, Cactus Rose, Peppermint Watermelon</t>
        </is>
      </c>
      <c r="P5" s="13" t="n">
        <v>0</v>
      </c>
      <c r="Q5" s="13" t="n">
        <v>0</v>
      </c>
      <c r="R5" s="8" t="inlineStr">
        <is>
          <t>Not listed</t>
        </is>
      </c>
      <c r="S5" s="13" t="n">
        <v>0</v>
      </c>
      <c r="T5" s="13" t="n">
        <v>5</v>
      </c>
      <c r="U5" s="8" t="inlineStr">
        <is>
          <t>None (herbal extracts)</t>
        </is>
      </c>
      <c r="V5" s="8" t="inlineStr">
        <is>
          <t>Herb/flower/fruit flavours, zero sugar, calm/unique sensory</t>
        </is>
      </c>
      <c r="W5" s="11" t="n"/>
      <c r="X5" s="11" t="n"/>
      <c r="Y5" s="11" t="n"/>
      <c r="Z5" s="11" t="n"/>
      <c r="AA5" s="8" t="inlineStr">
        <is>
          <t>Low</t>
        </is>
      </c>
      <c r="AB5" s="8" t="inlineStr">
        <is>
          <t>Emerging craft brand; small but loyal</t>
        </is>
      </c>
      <c r="AC5" s="8" t="inlineStr">
        <is>
          <t>Whimsical herbal sparkling water for the curious</t>
        </is>
      </c>
      <c r="AD5" s="8" t="inlineStr">
        <is>
          <t>Unusual herbal-botanical flavours you can't get elsewhere.</t>
        </is>
      </c>
      <c r="AE5" s="11" t="n"/>
      <c r="AF5" s="8" t="n">
        <v>355</v>
      </c>
      <c r="AG5" s="9" t="n"/>
      <c r="AH5" s="8" t="inlineStr">
        <is>
          <t>Secondary/approx; NOT verified on Amazon.ca</t>
        </is>
      </c>
      <c r="AI5" s="8" t="inlineStr">
        <is>
          <t>BLANK → requires live Amazon.ca capture</t>
        </is>
      </c>
      <c r="AJ5" s="8" t="inlineStr">
        <is>
          <t>⚠ Unverified commercial data</t>
        </is>
      </c>
    </row>
    <row r="6" ht="60" customHeight="1">
      <c r="A6" s="8" t="inlineStr">
        <is>
          <t>Sound</t>
        </is>
      </c>
      <c r="B6" s="8" t="inlineStr">
        <is>
          <t>Sound Sparkling Water (Tea/Botanical)</t>
        </is>
      </c>
      <c r="C6" s="8" t="inlineStr">
        <is>
          <t>1) Sparkling electrolyte / functional sparkling</t>
        </is>
      </c>
      <c r="D6" s="8" t="inlineStr">
        <is>
          <t>355 mL can</t>
        </is>
      </c>
      <c r="E6" s="8" t="n">
        <v>12</v>
      </c>
      <c r="F6" s="9" t="n"/>
      <c r="G6" s="10">
        <f>IF(AND(ISNUMBER($F6),ISNUMBER($E6),$E6&lt;&gt;0),$F6/$E6,"")</f>
        <v/>
      </c>
      <c r="H6" s="10">
        <f>IF(AND(ISNUMBER($F6),ISNUMBER($AF6),ISNUMBER($E6),($AF6*$E6)&lt;&gt;0),$F6/($AF6*$E6)*100,"")</f>
        <v/>
      </c>
      <c r="I6" s="11" t="n"/>
      <c r="J6" s="12" t="n"/>
      <c r="K6" s="10">
        <f>IF(AND(ISNUMBER($F6),ISNUMBER($J6)),$F6*(1-$J6),"")</f>
        <v/>
      </c>
      <c r="L6" s="11" t="n"/>
      <c r="M6" s="11" t="n"/>
      <c r="N6" s="10">
        <f>IF(ISNUMBER($F6),($F6-IF(ISNUMBER($AG6),$AG6,0))*(1-IF(ISNUMBER($J6),$J6,0)),"")</f>
        <v/>
      </c>
      <c r="O6" s="8" t="inlineStr">
        <is>
          <t>Blackberry + Lemon Verbena, Grapefruit + Hops, Lemon Ginger, Cucumber + Mint Green Tea</t>
        </is>
      </c>
      <c r="P6" s="13" t="n">
        <v>15</v>
      </c>
      <c r="Q6" s="13" t="n">
        <v>0</v>
      </c>
      <c r="R6" s="8" t="inlineStr">
        <is>
          <t>Not listed</t>
        </is>
      </c>
      <c r="S6" s="13" t="n">
        <v>0</v>
      </c>
      <c r="T6" s="13" t="n">
        <v>0</v>
      </c>
      <c r="U6" s="8" t="inlineStr">
        <is>
          <t>None (unsweetened)</t>
        </is>
      </c>
      <c r="V6" s="8" t="inlineStr">
        <is>
          <t>Real brewed tea/botanicals, unsweetened, zero sugar/calorie</t>
        </is>
      </c>
      <c r="W6" s="11" t="n"/>
      <c r="X6" s="11" t="n"/>
      <c r="Y6" s="11" t="n"/>
      <c r="Z6" s="11" t="n"/>
      <c r="AA6" s="8" t="inlineStr">
        <is>
          <t>Low</t>
        </is>
      </c>
      <c r="AB6" s="8" t="inlineStr">
        <is>
          <t>Emerging unsweetened-botanical niche</t>
        </is>
      </c>
      <c r="AC6" s="8" t="inlineStr">
        <is>
          <t>Unsweetened sparkling brewed tea and botanicals</t>
        </is>
      </c>
      <c r="AD6" s="8" t="inlineStr">
        <is>
          <t>Genuinely unsweetened with real tea/botanical character.</t>
        </is>
      </c>
      <c r="AE6" s="11" t="n"/>
      <c r="AF6" s="8" t="n">
        <v>355</v>
      </c>
      <c r="AG6" s="9" t="n"/>
      <c r="AH6" s="8" t="inlineStr">
        <is>
          <t>Secondary/approx; NOT verified on Amazon.ca</t>
        </is>
      </c>
      <c r="AI6" s="8" t="inlineStr">
        <is>
          <t>BLANK → requires live Amazon.ca capture</t>
        </is>
      </c>
      <c r="AJ6" s="8" t="inlineStr">
        <is>
          <t>⚠ Unverified commercial data</t>
        </is>
      </c>
    </row>
    <row r="7" ht="60" customHeight="1">
      <c r="A7" s="8" t="inlineStr">
        <is>
          <t>Halo Sport</t>
        </is>
      </c>
      <c r="B7" s="8" t="inlineStr">
        <is>
          <t>Halo Sport Sparkling Electrolyte Water</t>
        </is>
      </c>
      <c r="C7" s="8" t="inlineStr">
        <is>
          <t>1) Sparkling electrolyte / functional sparkling</t>
        </is>
      </c>
      <c r="D7" s="8" t="inlineStr">
        <is>
          <t>355 mL can</t>
        </is>
      </c>
      <c r="E7" s="8" t="n">
        <v>12</v>
      </c>
      <c r="F7" s="9" t="n"/>
      <c r="G7" s="10">
        <f>IF(AND(ISNUMBER($F7),ISNUMBER($E7),$E7&lt;&gt;0),$F7/$E7,"")</f>
        <v/>
      </c>
      <c r="H7" s="10">
        <f>IF(AND(ISNUMBER($F7),ISNUMBER($AF7),ISNUMBER($E7),($AF7*$E7)&lt;&gt;0),$F7/($AF7*$E7)*100,"")</f>
        <v/>
      </c>
      <c r="I7" s="11" t="n"/>
      <c r="J7" s="12" t="n"/>
      <c r="K7" s="10">
        <f>IF(AND(ISNUMBER($F7),ISNUMBER($J7)),$F7*(1-$J7),"")</f>
        <v/>
      </c>
      <c r="L7" s="11" t="n"/>
      <c r="M7" s="11" t="n"/>
      <c r="N7" s="10">
        <f>IF(ISNUMBER($F7),($F7-IF(ISNUMBER($AG7),$AG7,0))*(1-IF(ISNUMBER($J7),$J7,0)),"")</f>
        <v/>
      </c>
      <c r="O7" s="8" t="inlineStr">
        <is>
          <t>Lemon Lime, Berry, Orange, Grapefruit</t>
        </is>
      </c>
      <c r="P7" s="13" t="n">
        <v>0</v>
      </c>
      <c r="Q7" s="13" t="n">
        <v>110</v>
      </c>
      <c r="R7" s="13" t="n">
        <v>40</v>
      </c>
      <c r="S7" s="13" t="n">
        <v>0</v>
      </c>
      <c r="T7" s="13" t="n">
        <v>5</v>
      </c>
      <c r="U7" s="8" t="inlineStr">
        <is>
          <t>Stevia</t>
        </is>
      </c>
      <c r="V7" s="8" t="inlineStr">
        <is>
          <t>Sparkling electrolytes, zero sugar, light hydration</t>
        </is>
      </c>
      <c r="W7" s="11" t="n"/>
      <c r="X7" s="11" t="n"/>
      <c r="Y7" s="11" t="n"/>
      <c r="Z7" s="11" t="n"/>
      <c r="AA7" s="8" t="inlineStr">
        <is>
          <t>Low</t>
        </is>
      </c>
      <c r="AB7" s="8" t="inlineStr">
        <is>
          <t>Small emerging sparkling-electrolyte entrant</t>
        </is>
      </c>
      <c r="AC7" s="8" t="inlineStr">
        <is>
          <t>Sparkling, lightly-mineralled hydration</t>
        </is>
      </c>
      <c r="AD7" s="8" t="inlineStr">
        <is>
          <t>Electrolytes in a fizzy, zero-sugar format.</t>
        </is>
      </c>
      <c r="AE7" s="11" t="n"/>
      <c r="AF7" s="8" t="n">
        <v>355</v>
      </c>
      <c r="AG7" s="9" t="n"/>
      <c r="AH7" s="8" t="inlineStr">
        <is>
          <t>Secondary/approx; NOT verified on Amazon.ca</t>
        </is>
      </c>
      <c r="AI7" s="8" t="inlineStr">
        <is>
          <t>BLANK → requires live Amazon.ca capture</t>
        </is>
      </c>
      <c r="AJ7" s="8" t="inlineStr">
        <is>
          <t>⚠ Unverified commercial data</t>
        </is>
      </c>
    </row>
    <row r="8" ht="60" customHeight="1">
      <c r="A8" s="8" t="inlineStr">
        <is>
          <t>Gorgie</t>
        </is>
      </c>
      <c r="B8" s="8" t="inlineStr">
        <is>
          <t>Gorgie Energy Sparkling Water</t>
        </is>
      </c>
      <c r="C8" s="8" t="inlineStr">
        <is>
          <t>1) Sparkling electrolyte / functional sparkling</t>
        </is>
      </c>
      <c r="D8" s="8" t="inlineStr">
        <is>
          <t>355 mL can</t>
        </is>
      </c>
      <c r="E8" s="8" t="n">
        <v>12</v>
      </c>
      <c r="F8" s="9" t="n"/>
      <c r="G8" s="10">
        <f>IF(AND(ISNUMBER($F8),ISNUMBER($E8),$E8&lt;&gt;0),$F8/$E8,"")</f>
        <v/>
      </c>
      <c r="H8" s="10">
        <f>IF(AND(ISNUMBER($F8),ISNUMBER($AF8),ISNUMBER($E8),($AF8*$E8)&lt;&gt;0),$F8/($AF8*$E8)*100,"")</f>
        <v/>
      </c>
      <c r="I8" s="11" t="n"/>
      <c r="J8" s="12" t="n"/>
      <c r="K8" s="10">
        <f>IF(AND(ISNUMBER($F8),ISNUMBER($J8)),$F8*(1-$J8),"")</f>
        <v/>
      </c>
      <c r="L8" s="11" t="n"/>
      <c r="M8" s="11" t="n"/>
      <c r="N8" s="10">
        <f>IF(ISNUMBER($F8),($F8-IF(ISNUMBER($AG8),$AG8,0))*(1-IF(ISNUMBER($J8),$J8,0)),"")</f>
        <v/>
      </c>
      <c r="O8" s="8" t="inlineStr">
        <is>
          <t>Watermelon, Tropical, Strawberry Lemonade, Cherry Limeade</t>
        </is>
      </c>
      <c r="P8" s="13" t="n">
        <v>120</v>
      </c>
      <c r="Q8" s="13" t="n">
        <v>10</v>
      </c>
      <c r="R8" s="8" t="inlineStr">
        <is>
          <t>Not listed</t>
        </is>
      </c>
      <c r="S8" s="13" t="n">
        <v>0</v>
      </c>
      <c r="T8" s="13" t="n">
        <v>10</v>
      </c>
      <c r="U8" s="8" t="inlineStr">
        <is>
          <t>Stevia</t>
        </is>
      </c>
      <c r="V8" s="8" t="inlineStr">
        <is>
          <t>120 mg natural caffeine, L-theanine, biotin, zero sugar, 'pretty' energy</t>
        </is>
      </c>
      <c r="W8" s="11" t="n"/>
      <c r="X8" s="11" t="n"/>
      <c r="Y8" s="11" t="n"/>
      <c r="Z8" s="11" t="n"/>
      <c r="AA8" s="8" t="inlineStr">
        <is>
          <t>Low</t>
        </is>
      </c>
      <c r="AB8" s="8" t="inlineStr">
        <is>
          <t>New social-driven entrant; small footprint</t>
        </is>
      </c>
      <c r="AC8" s="8" t="inlineStr">
        <is>
          <t>A lighter, prettier caffeinated sparkling energy</t>
        </is>
      </c>
      <c r="AD8" s="8" t="inlineStr">
        <is>
          <t>Mid-dose caffeine with a clean, lifestyle aesthetic.</t>
        </is>
      </c>
      <c r="AE8" s="11" t="n"/>
      <c r="AF8" s="8" t="n">
        <v>355</v>
      </c>
      <c r="AG8" s="9" t="n"/>
      <c r="AH8" s="8" t="inlineStr">
        <is>
          <t>Secondary/approx; NOT verified on Amazon.ca</t>
        </is>
      </c>
      <c r="AI8" s="8" t="inlineStr">
        <is>
          <t>BLANK → requires live Amazon.ca capture</t>
        </is>
      </c>
      <c r="AJ8" s="8" t="inlineStr">
        <is>
          <t>⚠ Unverified commercial data</t>
        </is>
      </c>
    </row>
    <row r="9" ht="60" customHeight="1">
      <c r="A9" s="8" t="inlineStr">
        <is>
          <t>United Sodas</t>
        </is>
      </c>
      <c r="B9" s="8" t="inlineStr">
        <is>
          <t>United Sodas of America</t>
        </is>
      </c>
      <c r="C9" s="8" t="inlineStr">
        <is>
          <t>1) Sparkling electrolyte / functional sparkling</t>
        </is>
      </c>
      <c r="D9" s="8" t="inlineStr">
        <is>
          <t>355 mL can</t>
        </is>
      </c>
      <c r="E9" s="8" t="n">
        <v>12</v>
      </c>
      <c r="F9" s="9" t="n"/>
      <c r="G9" s="10">
        <f>IF(AND(ISNUMBER($F9),ISNUMBER($E9),$E9&lt;&gt;0),$F9/$E9,"")</f>
        <v/>
      </c>
      <c r="H9" s="10">
        <f>IF(AND(ISNUMBER($F9),ISNUMBER($AF9),ISNUMBER($E9),($AF9*$E9)&lt;&gt;0),$F9/($AF9*$E9)*100,"")</f>
        <v/>
      </c>
      <c r="I9" s="11" t="n"/>
      <c r="J9" s="12" t="n"/>
      <c r="K9" s="10">
        <f>IF(AND(ISNUMBER($F9),ISNUMBER($J9)),$F9*(1-$J9),"")</f>
        <v/>
      </c>
      <c r="L9" s="11" t="n"/>
      <c r="M9" s="11" t="n"/>
      <c r="N9" s="10">
        <f>IF(ISNUMBER($F9),($F9-IF(ISNUMBER($AG9),$AG9,0))*(1-IF(ISNUMBER($J9),$J9,0)),"")</f>
        <v/>
      </c>
      <c r="O9" s="8" t="inlineStr">
        <is>
          <t>Wild Berry, Black Cherry, Mango Chili, Lemon Lime, Peach Vanilla</t>
        </is>
      </c>
      <c r="P9" s="13" t="n">
        <v>0</v>
      </c>
      <c r="Q9" s="13" t="n">
        <v>10</v>
      </c>
      <c r="R9" s="8" t="inlineStr">
        <is>
          <t>Not listed</t>
        </is>
      </c>
      <c r="S9" s="13" t="n">
        <v>8</v>
      </c>
      <c r="T9" s="13" t="n">
        <v>30</v>
      </c>
      <c r="U9" s="8" t="inlineStr">
        <is>
          <t>Cane sugar (small amount)</t>
        </is>
      </c>
      <c r="V9" s="8" t="inlineStr">
        <is>
          <t>Low calorie, light sparkling soda, minimalist branding</t>
        </is>
      </c>
      <c r="W9" s="11" t="n"/>
      <c r="X9" s="11" t="n"/>
      <c r="Y9" s="11" t="n"/>
      <c r="Z9" s="11" t="n"/>
      <c r="AA9" s="8" t="inlineStr">
        <is>
          <t>Low</t>
        </is>
      </c>
      <c r="AB9" s="8" t="inlineStr">
        <is>
          <t>Niche premium soda; design-led</t>
        </is>
      </c>
      <c r="AC9" s="8" t="inlineStr">
        <is>
          <t>A light, low-calorie modern soda</t>
        </is>
      </c>
      <c r="AD9" s="8" t="inlineStr">
        <is>
          <t>Low-calorie soda with a clean, design-forward identity.</t>
        </is>
      </c>
      <c r="AE9" s="11" t="n"/>
      <c r="AF9" s="8" t="n">
        <v>355</v>
      </c>
      <c r="AG9" s="9" t="n"/>
      <c r="AH9" s="8" t="inlineStr">
        <is>
          <t>Secondary/approx; NOT verified on Amazon.ca</t>
        </is>
      </c>
      <c r="AI9" s="8" t="inlineStr">
        <is>
          <t>BLANK → requires live Amazon.ca capture</t>
        </is>
      </c>
      <c r="AJ9" s="8" t="inlineStr">
        <is>
          <t>⚠ Unverified commercial data</t>
        </is>
      </c>
    </row>
  </sheetData>
  <autoFilter ref="A1:AJ9"/>
  <conditionalFormatting sqref="AJ2:AJ9">
    <cfRule type="expression" priority="1" dxfId="0">
      <formula>ISBLANK($F2)</formula>
    </cfRule>
  </conditionalFormatting>
  <dataValidations count="1">
    <dataValidation sqref="I2:I9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  <col width="16" customWidth="1" min="4" max="4"/>
    <col width="9" customWidth="1" min="5" max="5"/>
    <col width="14" customWidth="1" min="6" max="6"/>
    <col width="13" customWidth="1" min="7" max="7"/>
    <col width="13" customWidth="1" min="8" max="8"/>
    <col width="11" customWidth="1" min="9" max="9"/>
    <col width="12" customWidth="1" min="10" max="10"/>
    <col width="14" customWidth="1" min="11" max="11"/>
    <col width="18" customWidth="1" min="12" max="12"/>
    <col width="22" customWidth="1" min="13" max="13"/>
    <col width="16" customWidth="1" min="14" max="14"/>
    <col width="40" customWidth="1" min="15" max="15"/>
    <col width="12" customWidth="1" min="16" max="16"/>
    <col width="12" customWidth="1" min="17" max="17"/>
    <col width="12" customWidth="1" min="18" max="18"/>
    <col width="11" customWidth="1" min="19" max="19"/>
    <col width="11" customWidth="1" min="20" max="20"/>
    <col width="24" customWidth="1" min="21" max="21"/>
    <col width="34" customWidth="1" min="22" max="22"/>
    <col width="10" customWidth="1" min="23" max="23"/>
    <col width="12" customWidth="1" min="24" max="24"/>
    <col width="16" customWidth="1" min="25" max="25"/>
    <col width="14" customWidth="1" min="26" max="26"/>
    <col width="14" customWidth="1" min="27" max="27"/>
    <col width="34" customWidth="1" min="28" max="28"/>
    <col width="40" customWidth="1" min="29" max="29"/>
    <col width="46" customWidth="1" min="30" max="30"/>
    <col width="22" customWidth="1" min="31" max="31"/>
    <col width="12" customWidth="1" min="32" max="32"/>
    <col width="13" customWidth="1" min="33" max="33"/>
    <col width="30" customWidth="1" min="34" max="34"/>
    <col width="26" customWidth="1" min="35" max="35"/>
    <col width="22" customWidth="1" min="36" max="36"/>
  </cols>
  <sheetData>
    <row r="1" ht="42" customHeight="1">
      <c r="A1" s="6" t="inlineStr">
        <is>
          <t>1. Brand</t>
        </is>
      </c>
      <c r="B1" s="6" t="inlineStr">
        <is>
          <t>2. Product Line / SKU Name</t>
        </is>
      </c>
      <c r="C1" s="6" t="inlineStr">
        <is>
          <t>3. Category</t>
        </is>
      </c>
      <c r="D1" s="6" t="inlineStr">
        <is>
          <t>4. Format &amp; Size</t>
        </is>
      </c>
      <c r="E1" s="6" t="inlineStr">
        <is>
          <t>5. Pack Count</t>
        </is>
      </c>
      <c r="F1" s="6" t="inlineStr">
        <is>
          <t>6. One-Time Price (CAD)</t>
        </is>
      </c>
      <c r="G1" s="6" t="inlineStr">
        <is>
          <t>7. Price / Unit (CAD)</t>
        </is>
      </c>
      <c r="H1" s="6" t="inlineStr">
        <is>
          <t>8. Price / 100 mL (CAD)</t>
        </is>
      </c>
      <c r="I1" s="6" t="inlineStr">
        <is>
          <t>9. S&amp;S Offered (Y/N)</t>
        </is>
      </c>
      <c r="J1" s="6" t="inlineStr">
        <is>
          <t>10. S&amp;S Discount %</t>
        </is>
      </c>
      <c r="K1" s="6" t="inlineStr">
        <is>
          <t>11. S&amp;S Price After Disc.</t>
        </is>
      </c>
      <c r="L1" s="6" t="inlineStr">
        <is>
          <t>12. Coupon on Listing (Y/N + value)</t>
        </is>
      </c>
      <c r="M1" s="6" t="inlineStr">
        <is>
          <t>13. Promotion Text</t>
        </is>
      </c>
      <c r="N1" s="6" t="inlineStr">
        <is>
          <t>14. Lowest Effective Price (stacked)</t>
        </is>
      </c>
      <c r="O1" s="6" t="inlineStr">
        <is>
          <t>15. All Flavours in Listing</t>
        </is>
      </c>
      <c r="P1" s="6" t="inlineStr">
        <is>
          <t>16. Caffeine / Serving (mg)</t>
        </is>
      </c>
      <c r="Q1" s="6" t="inlineStr">
        <is>
          <t>17. Sodium / Serving (mg)</t>
        </is>
      </c>
      <c r="R1" s="6" t="inlineStr">
        <is>
          <t>18. Potassium / Serving (mg)</t>
        </is>
      </c>
      <c r="S1" s="6" t="inlineStr">
        <is>
          <t>19. Sugar / Serving (g)</t>
        </is>
      </c>
      <c r="T1" s="6" t="inlineStr">
        <is>
          <t>20. Calories / Serving</t>
        </is>
      </c>
      <c r="U1" s="6" t="inlineStr">
        <is>
          <t>21. Sweetener Type</t>
        </is>
      </c>
      <c r="V1" s="6" t="inlineStr">
        <is>
          <t>22. Key Functional Claims</t>
        </is>
      </c>
      <c r="W1" s="6" t="inlineStr">
        <is>
          <t>23. Star Rating</t>
        </is>
      </c>
      <c r="X1" s="6" t="inlineStr">
        <is>
          <t>24. Number of Ratings</t>
        </is>
      </c>
      <c r="Y1" s="6" t="inlineStr">
        <is>
          <t>25. Amazon Badge</t>
        </is>
      </c>
      <c r="Z1" s="6" t="inlineStr">
        <is>
          <t>26. Bestseller Rank in Category</t>
        </is>
      </c>
      <c r="AA1" s="6" t="inlineStr">
        <is>
          <t>27a. Est. Weekly Velocity (band)</t>
        </is>
      </c>
      <c r="AB1" s="6" t="inlineStr">
        <is>
          <t>27b. Velocity Signal Used</t>
        </is>
      </c>
      <c r="AC1" s="6" t="inlineStr">
        <is>
          <t>28. Biggest Selling Message</t>
        </is>
      </c>
      <c r="AD1" s="6" t="inlineStr">
        <is>
          <t>29. Why a Shopper Chooses This</t>
        </is>
      </c>
      <c r="AE1" s="6" t="inlineStr">
        <is>
          <t>30. Direct Product URL</t>
        </is>
      </c>
      <c r="AF1" s="6" t="inlineStr">
        <is>
          <t>H1. Unit Vol (mL) [calc helper]</t>
        </is>
      </c>
      <c r="AG1" s="6" t="inlineStr">
        <is>
          <t>H2. Coupon Value (CAD) [calc helper]</t>
        </is>
      </c>
      <c r="AH1" s="6" t="inlineStr">
        <is>
          <t>P1. Attribute Provenance</t>
        </is>
      </c>
      <c r="AI1" s="6" t="inlineStr">
        <is>
          <t>P2. Commercial-Field Status</t>
        </is>
      </c>
      <c r="AJ1" s="6" t="inlineStr">
        <is>
          <t>P3. Row Flag</t>
        </is>
      </c>
    </row>
    <row r="2" ht="60" customHeight="1">
      <c r="A2" s="8" t="inlineStr">
        <is>
          <t>Gatorade</t>
        </is>
      </c>
      <c r="B2" s="8" t="inlineStr">
        <is>
          <t>Gatorade Thirst Quencher</t>
        </is>
      </c>
      <c r="C2" s="8" t="inlineStr">
        <is>
          <t>2) Electrolyte beverage (RTD)</t>
        </is>
      </c>
      <c r="D2" s="8" t="inlineStr">
        <is>
          <t>591 mL bottle</t>
        </is>
      </c>
      <c r="E2" s="8" t="n">
        <v>12</v>
      </c>
      <c r="F2" s="9" t="n"/>
      <c r="G2" s="10">
        <f>IF(AND(ISNUMBER($F2),ISNUMBER($E2),$E2&lt;&gt;0),$F2/$E2,"")</f>
        <v/>
      </c>
      <c r="H2" s="10">
        <f>IF(AND(ISNUMBER($F2),ISNUMBER($AF2),ISNUMBER($E2),($AF2*$E2)&lt;&gt;0),$F2/($AF2*$E2)*100,"")</f>
        <v/>
      </c>
      <c r="I2" s="11" t="n"/>
      <c r="J2" s="12" t="n"/>
      <c r="K2" s="10">
        <f>IF(AND(ISNUMBER($F2),ISNUMBER($J2)),$F2*(1-$J2),"")</f>
        <v/>
      </c>
      <c r="L2" s="11" t="n"/>
      <c r="M2" s="11" t="n"/>
      <c r="N2" s="10">
        <f>IF(ISNUMBER($F2),($F2-IF(ISNUMBER($AG2),$AG2,0))*(1-IF(ISNUMBER($J2),$J2,0)),"")</f>
        <v/>
      </c>
      <c r="O2" s="8" t="inlineStr">
        <is>
          <t>Cool Blue, Fruit Punch, Glacier Freeze, Lemon-Lime, Orange, Riptide Rush</t>
        </is>
      </c>
      <c r="P2" s="13" t="n">
        <v>0</v>
      </c>
      <c r="Q2" s="13" t="n">
        <v>270</v>
      </c>
      <c r="R2" s="13" t="n">
        <v>75</v>
      </c>
      <c r="S2" s="13" t="n">
        <v>34</v>
      </c>
      <c r="T2" s="13" t="n">
        <v>140</v>
      </c>
      <c r="U2" s="8" t="inlineStr">
        <is>
          <t>Sugar + dextrose</t>
        </is>
      </c>
      <c r="V2" s="8" t="inlineStr">
        <is>
          <t>Rehydrate, replenish electrolytes, sports performance</t>
        </is>
      </c>
      <c r="W2" s="11" t="n"/>
      <c r="X2" s="11" t="n"/>
      <c r="Y2" s="11" t="n"/>
      <c r="Z2" s="11" t="n"/>
      <c r="AA2" s="8" t="inlineStr">
        <is>
          <t>Very High</t>
        </is>
      </c>
      <c r="AB2" s="8" t="inlineStr">
        <is>
          <t>Category-defining sports drink; mass repeat purchase</t>
        </is>
      </c>
      <c r="AC2" s="8" t="inlineStr">
        <is>
          <t>The original sports hydration standard</t>
        </is>
      </c>
      <c r="AD2" s="8" t="inlineStr">
        <is>
          <t>Sodium-led rehydration with unmatched brand trust.</t>
        </is>
      </c>
      <c r="AE2" s="11" t="n"/>
      <c r="AF2" s="8" t="n">
        <v>591</v>
      </c>
      <c r="AG2" s="9" t="n"/>
      <c r="AH2" s="8" t="inlineStr">
        <is>
          <t>Secondary/approx; NOT verified on Amazon.ca</t>
        </is>
      </c>
      <c r="AI2" s="8" t="inlineStr">
        <is>
          <t>BLANK → requires live Amazon.ca capture</t>
        </is>
      </c>
      <c r="AJ2" s="8" t="inlineStr">
        <is>
          <t>⚠ Unverified commercial data</t>
        </is>
      </c>
    </row>
    <row r="3" ht="60" customHeight="1">
      <c r="A3" s="8" t="inlineStr">
        <is>
          <t>Gatorade</t>
        </is>
      </c>
      <c r="B3" s="8" t="inlineStr">
        <is>
          <t>Gatorade Zero Sugar</t>
        </is>
      </c>
      <c r="C3" s="8" t="inlineStr">
        <is>
          <t>2) Electrolyte beverage (RTD)</t>
        </is>
      </c>
      <c r="D3" s="8" t="inlineStr">
        <is>
          <t>591 mL bottle</t>
        </is>
      </c>
      <c r="E3" s="8" t="n">
        <v>12</v>
      </c>
      <c r="F3" s="9" t="n"/>
      <c r="G3" s="10">
        <f>IF(AND(ISNUMBER($F3),ISNUMBER($E3),$E3&lt;&gt;0),$F3/$E3,"")</f>
        <v/>
      </c>
      <c r="H3" s="10">
        <f>IF(AND(ISNUMBER($F3),ISNUMBER($AF3),ISNUMBER($E3),($AF3*$E3)&lt;&gt;0),$F3/($AF3*$E3)*100,"")</f>
        <v/>
      </c>
      <c r="I3" s="11" t="n"/>
      <c r="J3" s="12" t="n"/>
      <c r="K3" s="10">
        <f>IF(AND(ISNUMBER($F3),ISNUMBER($J3)),$F3*(1-$J3),"")</f>
        <v/>
      </c>
      <c r="L3" s="11" t="n"/>
      <c r="M3" s="11" t="n"/>
      <c r="N3" s="10">
        <f>IF(ISNUMBER($F3),($F3-IF(ISNUMBER($AG3),$AG3,0))*(1-IF(ISNUMBER($J3),$J3,0)),"")</f>
        <v/>
      </c>
      <c r="O3" s="8" t="inlineStr">
        <is>
          <t>Glacier Cherry, Lemon-Lime, Orange, Berry, Glacier Freeze</t>
        </is>
      </c>
      <c r="P3" s="13" t="n">
        <v>0</v>
      </c>
      <c r="Q3" s="13" t="n">
        <v>270</v>
      </c>
      <c r="R3" s="13" t="n">
        <v>75</v>
      </c>
      <c r="S3" s="13" t="n">
        <v>0</v>
      </c>
      <c r="T3" s="13" t="n">
        <v>5</v>
      </c>
      <c r="U3" s="8" t="inlineStr">
        <is>
          <t>Sucralose + acesulfame-K</t>
        </is>
      </c>
      <c r="V3" s="8" t="inlineStr">
        <is>
          <t>Same electrolytes, zero sugar</t>
        </is>
      </c>
      <c r="W3" s="11" t="n"/>
      <c r="X3" s="11" t="n"/>
      <c r="Y3" s="11" t="n"/>
      <c r="Z3" s="11" t="n"/>
      <c r="AA3" s="8" t="inlineStr">
        <is>
          <t>Very High</t>
        </is>
      </c>
      <c r="AB3" s="8" t="inlineStr">
        <is>
          <t>Top zero-sugar sports drink</t>
        </is>
      </c>
      <c r="AC3" s="8" t="inlineStr">
        <is>
          <t>Gatorade electrolytes without the sugar</t>
        </is>
      </c>
      <c r="AD3" s="8" t="inlineStr">
        <is>
          <t>Full electrolytes minus the sugar load.</t>
        </is>
      </c>
      <c r="AE3" s="11" t="n"/>
      <c r="AF3" s="8" t="n">
        <v>591</v>
      </c>
      <c r="AG3" s="9" t="n"/>
      <c r="AH3" s="8" t="inlineStr">
        <is>
          <t>Secondary/approx; NOT verified on Amazon.ca</t>
        </is>
      </c>
      <c r="AI3" s="8" t="inlineStr">
        <is>
          <t>BLANK → requires live Amazon.ca capture</t>
        </is>
      </c>
      <c r="AJ3" s="8" t="inlineStr">
        <is>
          <t>⚠ Unverified commercial data</t>
        </is>
      </c>
    </row>
    <row r="4" ht="60" customHeight="1">
      <c r="A4" s="8" t="inlineStr">
        <is>
          <t>Powerade</t>
        </is>
      </c>
      <c r="B4" s="8" t="inlineStr">
        <is>
          <t>Powerade Mountain Berry Blast</t>
        </is>
      </c>
      <c r="C4" s="8" t="inlineStr">
        <is>
          <t>2) Electrolyte beverage (RTD)</t>
        </is>
      </c>
      <c r="D4" s="8" t="inlineStr">
        <is>
          <t>591 mL bottle</t>
        </is>
      </c>
      <c r="E4" s="8" t="n">
        <v>12</v>
      </c>
      <c r="F4" s="9" t="n"/>
      <c r="G4" s="10">
        <f>IF(AND(ISNUMBER($F4),ISNUMBER($E4),$E4&lt;&gt;0),$F4/$E4,"")</f>
        <v/>
      </c>
      <c r="H4" s="10">
        <f>IF(AND(ISNUMBER($F4),ISNUMBER($AF4),ISNUMBER($E4),($AF4*$E4)&lt;&gt;0),$F4/($AF4*$E4)*100,"")</f>
        <v/>
      </c>
      <c r="I4" s="11" t="n"/>
      <c r="J4" s="12" t="n"/>
      <c r="K4" s="10">
        <f>IF(AND(ISNUMBER($F4),ISNUMBER($J4)),$F4*(1-$J4),"")</f>
        <v/>
      </c>
      <c r="L4" s="11" t="n"/>
      <c r="M4" s="11" t="n"/>
      <c r="N4" s="10">
        <f>IF(ISNUMBER($F4),($F4-IF(ISNUMBER($AG4),$AG4,0))*(1-IF(ISNUMBER($J4),$J4,0)),"")</f>
        <v/>
      </c>
      <c r="O4" s="8" t="inlineStr">
        <is>
          <t>Mountain Berry Blast, Fruit Punch, Grape, White Cherry, Lemon-Lime</t>
        </is>
      </c>
      <c r="P4" s="13" t="n">
        <v>0</v>
      </c>
      <c r="Q4" s="13" t="n">
        <v>250</v>
      </c>
      <c r="R4" s="13" t="n">
        <v>70</v>
      </c>
      <c r="S4" s="13" t="n">
        <v>35</v>
      </c>
      <c r="T4" s="13" t="n">
        <v>130</v>
      </c>
      <c r="U4" s="8" t="inlineStr">
        <is>
          <t>High-fructose corn syrup</t>
        </is>
      </c>
      <c r="V4" s="8" t="inlineStr">
        <is>
          <t>ION4 electrolytes, B-vitamins, hydration</t>
        </is>
      </c>
      <c r="W4" s="11" t="n"/>
      <c r="X4" s="11" t="n"/>
      <c r="Y4" s="11" t="n"/>
      <c r="Z4" s="11" t="n"/>
      <c r="AA4" s="8" t="inlineStr">
        <is>
          <t>High</t>
        </is>
      </c>
      <c r="AB4" s="8" t="inlineStr">
        <is>
          <t>Strong #2; Coca-Cola distribution &amp; price</t>
        </is>
      </c>
      <c r="AC4" s="8" t="inlineStr">
        <is>
          <t>Value-priced electrolyte hydration</t>
        </is>
      </c>
      <c r="AD4" s="8" t="inlineStr">
        <is>
          <t>Cheaper electrolyte alternative to Gatorade.</t>
        </is>
      </c>
      <c r="AE4" s="11" t="n"/>
      <c r="AF4" s="8" t="n">
        <v>591</v>
      </c>
      <c r="AG4" s="9" t="n"/>
      <c r="AH4" s="8" t="inlineStr">
        <is>
          <t>Secondary/approx; NOT verified on Amazon.ca</t>
        </is>
      </c>
      <c r="AI4" s="8" t="inlineStr">
        <is>
          <t>BLANK → requires live Amazon.ca capture</t>
        </is>
      </c>
      <c r="AJ4" s="8" t="inlineStr">
        <is>
          <t>⚠ Unverified commercial data</t>
        </is>
      </c>
    </row>
    <row r="5" ht="60" customHeight="1">
      <c r="A5" s="8" t="inlineStr">
        <is>
          <t>Powerade</t>
        </is>
      </c>
      <c r="B5" s="8" t="inlineStr">
        <is>
          <t>Powerade Zero</t>
        </is>
      </c>
      <c r="C5" s="8" t="inlineStr">
        <is>
          <t>2) Electrolyte beverage (RTD)</t>
        </is>
      </c>
      <c r="D5" s="8" t="inlineStr">
        <is>
          <t>591 mL bottle</t>
        </is>
      </c>
      <c r="E5" s="8" t="n">
        <v>12</v>
      </c>
      <c r="F5" s="9" t="n"/>
      <c r="G5" s="10">
        <f>IF(AND(ISNUMBER($F5),ISNUMBER($E5),$E5&lt;&gt;0),$F5/$E5,"")</f>
        <v/>
      </c>
      <c r="H5" s="10">
        <f>IF(AND(ISNUMBER($F5),ISNUMBER($AF5),ISNUMBER($E5),($AF5*$E5)&lt;&gt;0),$F5/($AF5*$E5)*100,"")</f>
        <v/>
      </c>
      <c r="I5" s="11" t="n"/>
      <c r="J5" s="12" t="n"/>
      <c r="K5" s="10">
        <f>IF(AND(ISNUMBER($F5),ISNUMBER($J5)),$F5*(1-$J5),"")</f>
        <v/>
      </c>
      <c r="L5" s="11" t="n"/>
      <c r="M5" s="11" t="n"/>
      <c r="N5" s="10">
        <f>IF(ISNUMBER($F5),($F5-IF(ISNUMBER($AG5),$AG5,0))*(1-IF(ISNUMBER($J5),$J5,0)),"")</f>
        <v/>
      </c>
      <c r="O5" s="8" t="inlineStr">
        <is>
          <t>Mixed Berry, Fruit Punch, Grape, White Cherry</t>
        </is>
      </c>
      <c r="P5" s="13" t="n">
        <v>0</v>
      </c>
      <c r="Q5" s="13" t="n">
        <v>250</v>
      </c>
      <c r="R5" s="13" t="n">
        <v>35</v>
      </c>
      <c r="S5" s="13" t="n">
        <v>0</v>
      </c>
      <c r="T5" s="13" t="n">
        <v>0</v>
      </c>
      <c r="U5" s="8" t="inlineStr">
        <is>
          <t>Sucralose + acesulfame-K</t>
        </is>
      </c>
      <c r="V5" s="8" t="inlineStr">
        <is>
          <t>Zero sugar/calorie, ION4 electrolytes, vitamins</t>
        </is>
      </c>
      <c r="W5" s="11" t="n"/>
      <c r="X5" s="11" t="n"/>
      <c r="Y5" s="11" t="n"/>
      <c r="Z5" s="11" t="n"/>
      <c r="AA5" s="8" t="inlineStr">
        <is>
          <t>High</t>
        </is>
      </c>
      <c r="AB5" s="8" t="inlineStr">
        <is>
          <t>Popular zero-sugar value option</t>
        </is>
      </c>
      <c r="AC5" s="8" t="inlineStr">
        <is>
          <t>Zero-calorie electrolytes at a value price</t>
        </is>
      </c>
      <c r="AD5" s="8" t="inlineStr">
        <is>
          <t>Cheapest zero-sugar electrolyte option.</t>
        </is>
      </c>
      <c r="AE5" s="11" t="n"/>
      <c r="AF5" s="8" t="n">
        <v>591</v>
      </c>
      <c r="AG5" s="9" t="n"/>
      <c r="AH5" s="8" t="inlineStr">
        <is>
          <t>Secondary/approx; NOT verified on Amazon.ca</t>
        </is>
      </c>
      <c r="AI5" s="8" t="inlineStr">
        <is>
          <t>BLANK → requires live Amazon.ca capture</t>
        </is>
      </c>
      <c r="AJ5" s="8" t="inlineStr">
        <is>
          <t>⚠ Unverified commercial data</t>
        </is>
      </c>
    </row>
    <row r="6" ht="60" customHeight="1">
      <c r="A6" s="8" t="inlineStr">
        <is>
          <t>BODYARMOR</t>
        </is>
      </c>
      <c r="B6" s="8" t="inlineStr">
        <is>
          <t>BODYARMOR Sports Drink</t>
        </is>
      </c>
      <c r="C6" s="8" t="inlineStr">
        <is>
          <t>2) Electrolyte beverage (RTD)</t>
        </is>
      </c>
      <c r="D6" s="8" t="inlineStr">
        <is>
          <t>473 mL bottle</t>
        </is>
      </c>
      <c r="E6" s="8" t="n">
        <v>12</v>
      </c>
      <c r="F6" s="9" t="n"/>
      <c r="G6" s="10">
        <f>IF(AND(ISNUMBER($F6),ISNUMBER($E6),$E6&lt;&gt;0),$F6/$E6,"")</f>
        <v/>
      </c>
      <c r="H6" s="10">
        <f>IF(AND(ISNUMBER($F6),ISNUMBER($AF6),ISNUMBER($E6),($AF6*$E6)&lt;&gt;0),$F6/($AF6*$E6)*100,"")</f>
        <v/>
      </c>
      <c r="I6" s="11" t="n"/>
      <c r="J6" s="12" t="n"/>
      <c r="K6" s="10">
        <f>IF(AND(ISNUMBER($F6),ISNUMBER($J6)),$F6*(1-$J6),"")</f>
        <v/>
      </c>
      <c r="L6" s="11" t="n"/>
      <c r="M6" s="11" t="n"/>
      <c r="N6" s="10">
        <f>IF(ISNUMBER($F6),($F6-IF(ISNUMBER($AG6),$AG6,0))*(1-IF(ISNUMBER($J6),$J6,0)),"")</f>
        <v/>
      </c>
      <c r="O6" s="8" t="inlineStr">
        <is>
          <t>Fruit Punch, Strawberry Banana, Orange Mango, Mixed Berry, Tropical Punch</t>
        </is>
      </c>
      <c r="P6" s="13" t="n">
        <v>0</v>
      </c>
      <c r="Q6" s="13" t="n">
        <v>30</v>
      </c>
      <c r="R6" s="13" t="n">
        <v>350</v>
      </c>
      <c r="S6" s="13" t="n">
        <v>21</v>
      </c>
      <c r="T6" s="13" t="n">
        <v>90</v>
      </c>
      <c r="U6" s="8" t="inlineStr">
        <is>
          <t>Cane sugar</t>
        </is>
      </c>
      <c r="V6" s="8" t="inlineStr">
        <is>
          <t>Potassium-packed electrolytes, coconut water, vitamins, no artificial</t>
        </is>
      </c>
      <c r="W6" s="11" t="n"/>
      <c r="X6" s="11" t="n"/>
      <c r="Y6" s="11" t="n"/>
      <c r="Z6" s="11" t="n"/>
      <c r="AA6" s="8" t="inlineStr">
        <is>
          <t>High</t>
        </is>
      </c>
      <c r="AB6" s="8" t="inlineStr">
        <is>
          <t>Fast-growing premium sports drink (Coca-Cola owned)</t>
        </is>
      </c>
      <c r="AC6" s="8" t="inlineStr">
        <is>
          <t>Premium, natural sports hydration with potassium</t>
        </is>
      </c>
      <c r="AD6" s="8" t="inlineStr">
        <is>
          <t>Coconut-water electrolytes and a cleaner label than legacy brands.</t>
        </is>
      </c>
      <c r="AE6" s="11" t="n"/>
      <c r="AF6" s="8" t="n">
        <v>473</v>
      </c>
      <c r="AG6" s="9" t="n"/>
      <c r="AH6" s="8" t="inlineStr">
        <is>
          <t>Secondary/approx; NOT verified on Amazon.ca</t>
        </is>
      </c>
      <c r="AI6" s="8" t="inlineStr">
        <is>
          <t>BLANK → requires live Amazon.ca capture</t>
        </is>
      </c>
      <c r="AJ6" s="8" t="inlineStr">
        <is>
          <t>⚠ Unverified commercial data</t>
        </is>
      </c>
    </row>
    <row r="7" ht="60" customHeight="1">
      <c r="A7" s="8" t="inlineStr">
        <is>
          <t>BODYARMOR</t>
        </is>
      </c>
      <c r="B7" s="8" t="inlineStr">
        <is>
          <t>BODYARMOR LYTE</t>
        </is>
      </c>
      <c r="C7" s="8" t="inlineStr">
        <is>
          <t>2) Electrolyte beverage (RTD)</t>
        </is>
      </c>
      <c r="D7" s="8" t="inlineStr">
        <is>
          <t>473 mL bottle</t>
        </is>
      </c>
      <c r="E7" s="8" t="n">
        <v>12</v>
      </c>
      <c r="F7" s="9" t="n"/>
      <c r="G7" s="10">
        <f>IF(AND(ISNUMBER($F7),ISNUMBER($E7),$E7&lt;&gt;0),$F7/$E7,"")</f>
        <v/>
      </c>
      <c r="H7" s="10">
        <f>IF(AND(ISNUMBER($F7),ISNUMBER($AF7),ISNUMBER($E7),($AF7*$E7)&lt;&gt;0),$F7/($AF7*$E7)*100,"")</f>
        <v/>
      </c>
      <c r="I7" s="11" t="n"/>
      <c r="J7" s="12" t="n"/>
      <c r="K7" s="10">
        <f>IF(AND(ISNUMBER($F7),ISNUMBER($J7)),$F7*(1-$J7),"")</f>
        <v/>
      </c>
      <c r="L7" s="11" t="n"/>
      <c r="M7" s="11" t="n"/>
      <c r="N7" s="10">
        <f>IF(ISNUMBER($F7),($F7-IF(ISNUMBER($AG7),$AG7,0))*(1-IF(ISNUMBER($J7),$J7,0)),"")</f>
        <v/>
      </c>
      <c r="O7" s="8" t="inlineStr">
        <is>
          <t>Blueberry Pomegranate, Peach Mango, Tropical Coconut, Berry Punch</t>
        </is>
      </c>
      <c r="P7" s="13" t="n">
        <v>0</v>
      </c>
      <c r="Q7" s="13" t="n">
        <v>30</v>
      </c>
      <c r="R7" s="13" t="n">
        <v>350</v>
      </c>
      <c r="S7" s="13" t="n">
        <v>3</v>
      </c>
      <c r="T7" s="13" t="n">
        <v>20</v>
      </c>
      <c r="U7" s="8" t="inlineStr">
        <is>
          <t>Stevia + erythritol</t>
        </is>
      </c>
      <c r="V7" s="8" t="inlineStr">
        <is>
          <t>Low sugar, potassium electrolytes, coconut water, vitamins</t>
        </is>
      </c>
      <c r="W7" s="11" t="n"/>
      <c r="X7" s="11" t="n"/>
      <c r="Y7" s="11" t="n"/>
      <c r="Z7" s="11" t="n"/>
      <c r="AA7" s="8" t="inlineStr">
        <is>
          <t>Medium</t>
        </is>
      </c>
      <c r="AB7" s="8" t="inlineStr">
        <is>
          <t>Low-sugar variant of fast-grower</t>
        </is>
      </c>
      <c r="AC7" s="8" t="inlineStr">
        <is>
          <t>Low-sugar premium hydration</t>
        </is>
      </c>
      <c r="AD7" s="8" t="inlineStr">
        <is>
          <t>High potassium with very little sugar.</t>
        </is>
      </c>
      <c r="AE7" s="11" t="n"/>
      <c r="AF7" s="8" t="n">
        <v>473</v>
      </c>
      <c r="AG7" s="9" t="n"/>
      <c r="AH7" s="8" t="inlineStr">
        <is>
          <t>Secondary/approx; NOT verified on Amazon.ca</t>
        </is>
      </c>
      <c r="AI7" s="8" t="inlineStr">
        <is>
          <t>BLANK → requires live Amazon.ca capture</t>
        </is>
      </c>
      <c r="AJ7" s="8" t="inlineStr">
        <is>
          <t>⚠ Unverified commercial data</t>
        </is>
      </c>
    </row>
    <row r="8" ht="60" customHeight="1">
      <c r="A8" s="8" t="inlineStr">
        <is>
          <t>Prime</t>
        </is>
      </c>
      <c r="B8" s="8" t="inlineStr">
        <is>
          <t>Prime Hydration</t>
        </is>
      </c>
      <c r="C8" s="8" t="inlineStr">
        <is>
          <t>2) Electrolyte beverage (RTD)</t>
        </is>
      </c>
      <c r="D8" s="8" t="inlineStr">
        <is>
          <t>500 mL bottle</t>
        </is>
      </c>
      <c r="E8" s="8" t="n">
        <v>12</v>
      </c>
      <c r="F8" s="9" t="n"/>
      <c r="G8" s="10">
        <f>IF(AND(ISNUMBER($F8),ISNUMBER($E8),$E8&lt;&gt;0),$F8/$E8,"")</f>
        <v/>
      </c>
      <c r="H8" s="10">
        <f>IF(AND(ISNUMBER($F8),ISNUMBER($AF8),ISNUMBER($E8),($AF8*$E8)&lt;&gt;0),$F8/($AF8*$E8)*100,"")</f>
        <v/>
      </c>
      <c r="I8" s="11" t="n"/>
      <c r="J8" s="12" t="n"/>
      <c r="K8" s="10">
        <f>IF(AND(ISNUMBER($F8),ISNUMBER($J8)),$F8*(1-$J8),"")</f>
        <v/>
      </c>
      <c r="L8" s="11" t="n"/>
      <c r="M8" s="11" t="n"/>
      <c r="N8" s="10">
        <f>IF(ISNUMBER($F8),($F8-IF(ISNUMBER($AG8),$AG8,0))*(1-IF(ISNUMBER($J8),$J8,0)),"")</f>
        <v/>
      </c>
      <c r="O8" s="8" t="inlineStr">
        <is>
          <t>Blue Raspberry, Tropical Punch, Ice Pop, Lemon Lime, Strawberry Watermelon, Meta Moon</t>
        </is>
      </c>
      <c r="P8" s="13" t="n">
        <v>0</v>
      </c>
      <c r="Q8" s="13" t="n">
        <v>10</v>
      </c>
      <c r="R8" s="13" t="n">
        <v>700</v>
      </c>
      <c r="S8" s="13" t="n">
        <v>0</v>
      </c>
      <c r="T8" s="13" t="n">
        <v>20</v>
      </c>
      <c r="U8" s="8" t="inlineStr">
        <is>
          <t>Sucralose + acesulfame-K</t>
        </is>
      </c>
      <c r="V8" s="8" t="inlineStr">
        <is>
          <t>Zero sugar, BCAAs, electrolytes, coconut water, vitamins</t>
        </is>
      </c>
      <c r="W8" s="11" t="n"/>
      <c r="X8" s="11" t="n"/>
      <c r="Y8" s="11" t="n"/>
      <c r="Z8" s="11" t="n"/>
      <c r="AA8" s="8" t="inlineStr">
        <is>
          <t>High</t>
        </is>
      </c>
      <c r="AB8" s="8" t="inlineStr">
        <is>
          <t>Influencer hype; strong youth pull</t>
        </is>
      </c>
      <c r="AC8" s="8" t="inlineStr">
        <is>
          <t>Hype-brand zero-sugar hydration with BCAAs</t>
        </is>
      </c>
      <c r="AD8" s="8" t="inlineStr">
        <is>
          <t>Brand cachet plus zero sugar and added BCAAs.</t>
        </is>
      </c>
      <c r="AE8" s="11" t="n"/>
      <c r="AF8" s="8" t="n">
        <v>500</v>
      </c>
      <c r="AG8" s="9" t="n"/>
      <c r="AH8" s="8" t="inlineStr">
        <is>
          <t>Secondary/approx; NOT verified on Amazon.ca</t>
        </is>
      </c>
      <c r="AI8" s="8" t="inlineStr">
        <is>
          <t>BLANK → requires live Amazon.ca capture</t>
        </is>
      </c>
      <c r="AJ8" s="8" t="inlineStr">
        <is>
          <t>⚠ Unverified commercial data</t>
        </is>
      </c>
    </row>
    <row r="9" ht="60" customHeight="1">
      <c r="A9" s="8" t="inlineStr">
        <is>
          <t>Roar Organic</t>
        </is>
      </c>
      <c r="B9" s="8" t="inlineStr">
        <is>
          <t>Roar Organic Electrolyte Infusions</t>
        </is>
      </c>
      <c r="C9" s="8" t="inlineStr">
        <is>
          <t>2) Electrolyte beverage (RTD)</t>
        </is>
      </c>
      <c r="D9" s="8" t="inlineStr">
        <is>
          <t>532 mL bottle</t>
        </is>
      </c>
      <c r="E9" s="8" t="n">
        <v>12</v>
      </c>
      <c r="F9" s="9" t="n"/>
      <c r="G9" s="10">
        <f>IF(AND(ISNUMBER($F9),ISNUMBER($E9),$E9&lt;&gt;0),$F9/$E9,"")</f>
        <v/>
      </c>
      <c r="H9" s="10">
        <f>IF(AND(ISNUMBER($F9),ISNUMBER($AF9),ISNUMBER($E9),($AF9*$E9)&lt;&gt;0),$F9/($AF9*$E9)*100,"")</f>
        <v/>
      </c>
      <c r="I9" s="11" t="n"/>
      <c r="J9" s="12" t="n"/>
      <c r="K9" s="10">
        <f>IF(AND(ISNUMBER($F9),ISNUMBER($J9)),$F9*(1-$J9),"")</f>
        <v/>
      </c>
      <c r="L9" s="11" t="n"/>
      <c r="M9" s="11" t="n"/>
      <c r="N9" s="10">
        <f>IF(ISNUMBER($F9),($F9-IF(ISNUMBER($AG9),$AG9,0))*(1-IF(ISNUMBER($J9),$J9,0)),"")</f>
        <v/>
      </c>
      <c r="O9" s="8" t="inlineStr">
        <is>
          <t>Cucumber Watermelon, Mango Clementine, Blueberry Acai, Georgia Peach</t>
        </is>
      </c>
      <c r="P9" s="13" t="n">
        <v>0</v>
      </c>
      <c r="Q9" s="13" t="n">
        <v>45</v>
      </c>
      <c r="R9" s="13" t="n">
        <v>100</v>
      </c>
      <c r="S9" s="13" t="n">
        <v>2</v>
      </c>
      <c r="T9" s="13" t="n">
        <v>10</v>
      </c>
      <c r="U9" s="8" t="inlineStr">
        <is>
          <t>Stevia + erythritol</t>
        </is>
      </c>
      <c r="V9" s="8" t="inlineStr">
        <is>
          <t>Coconut-water electrolytes, antioxidants, B-vitamins, low sugar, organic</t>
        </is>
      </c>
      <c r="W9" s="11" t="n"/>
      <c r="X9" s="11" t="n"/>
      <c r="Y9" s="11" t="n"/>
      <c r="Z9" s="11" t="n"/>
      <c r="AA9" s="8" t="inlineStr">
        <is>
          <t>Low</t>
        </is>
      </c>
      <c r="AB9" s="8" t="inlineStr">
        <is>
          <t>Emerging organic niche; modest shelf share</t>
        </is>
      </c>
      <c r="AC9" s="8" t="inlineStr">
        <is>
          <t>Organic, low-sugar coconut-water hydration</t>
        </is>
      </c>
      <c r="AD9" s="8" t="inlineStr">
        <is>
          <t>Organic and barely-sweetened for clean-label hydration seekers.</t>
        </is>
      </c>
      <c r="AE9" s="11" t="n"/>
      <c r="AF9" s="8" t="n">
        <v>532</v>
      </c>
      <c r="AG9" s="9" t="n"/>
      <c r="AH9" s="8" t="inlineStr">
        <is>
          <t>Secondary/approx; NOT verified on Amazon.ca</t>
        </is>
      </c>
      <c r="AI9" s="8" t="inlineStr">
        <is>
          <t>BLANK → requires live Amazon.ca capture</t>
        </is>
      </c>
      <c r="AJ9" s="8" t="inlineStr">
        <is>
          <t>⚠ Unverified commercial data</t>
        </is>
      </c>
    </row>
    <row r="10" ht="60" customHeight="1">
      <c r="A10" s="8" t="inlineStr">
        <is>
          <t>BioSteel</t>
        </is>
      </c>
      <c r="B10" s="8" t="inlineStr">
        <is>
          <t>BioSteel Sports Drink (RTD)</t>
        </is>
      </c>
      <c r="C10" s="8" t="inlineStr">
        <is>
          <t>2) Electrolyte beverage (RTD)</t>
        </is>
      </c>
      <c r="D10" s="8" t="inlineStr">
        <is>
          <t>500 mL bottle</t>
        </is>
      </c>
      <c r="E10" s="8" t="n">
        <v>12</v>
      </c>
      <c r="F10" s="9" t="n"/>
      <c r="G10" s="10">
        <f>IF(AND(ISNUMBER($F10),ISNUMBER($E10),$E10&lt;&gt;0),$F10/$E10,"")</f>
        <v/>
      </c>
      <c r="H10" s="10">
        <f>IF(AND(ISNUMBER($F10),ISNUMBER($AF10),ISNUMBER($E10),($AF10*$E10)&lt;&gt;0),$F10/($AF10*$E10)*100,"")</f>
        <v/>
      </c>
      <c r="I10" s="11" t="n"/>
      <c r="J10" s="12" t="n"/>
      <c r="K10" s="10">
        <f>IF(AND(ISNUMBER($F10),ISNUMBER($J10)),$F10*(1-$J10),"")</f>
        <v/>
      </c>
      <c r="L10" s="11" t="n"/>
      <c r="M10" s="11" t="n"/>
      <c r="N10" s="10">
        <f>IF(ISNUMBER($F10),($F10-IF(ISNUMBER($AG10),$AG10,0))*(1-IF(ISNUMBER($J10),$J10,0)),"")</f>
        <v/>
      </c>
      <c r="O10" s="8" t="inlineStr">
        <is>
          <t>Blue Raspberry, White Freeze, Rainbow Twist, Mixed Berry, Peach Mango</t>
        </is>
      </c>
      <c r="P10" s="13" t="n">
        <v>0</v>
      </c>
      <c r="Q10" s="13" t="n">
        <v>130</v>
      </c>
      <c r="R10" s="13" t="n">
        <v>20</v>
      </c>
      <c r="S10" s="13" t="n">
        <v>0</v>
      </c>
      <c r="T10" s="13" t="n">
        <v>0</v>
      </c>
      <c r="U10" s="8" t="inlineStr">
        <is>
          <t>Stevia</t>
        </is>
      </c>
      <c r="V10" s="8" t="inlineStr">
        <is>
          <t>Zero sugar, electrolytes, no artificial, pro-sports endorsed</t>
        </is>
      </c>
      <c r="W10" s="11" t="n"/>
      <c r="X10" s="11" t="n"/>
      <c r="Y10" s="11" t="n"/>
      <c r="Z10" s="11" t="n"/>
      <c r="AA10" s="8" t="inlineStr">
        <is>
          <t>Medium</t>
        </is>
      </c>
      <c r="AB10" s="8" t="inlineStr">
        <is>
          <t>Canadian brand; strong domestic hockey/sports tie-ins</t>
        </is>
      </c>
      <c r="AC10" s="8" t="inlineStr">
        <is>
          <t>Zero-sugar clean sports hydration (Canadian, pro-endorsed)</t>
        </is>
      </c>
      <c r="AD10" s="8" t="inlineStr">
        <is>
          <t>Zero sugar plus pro-sports credibility, made in Canada.</t>
        </is>
      </c>
      <c r="AE10" s="11" t="n"/>
      <c r="AF10" s="8" t="n">
        <v>500</v>
      </c>
      <c r="AG10" s="9" t="n"/>
      <c r="AH10" s="8" t="inlineStr">
        <is>
          <t>Secondary/approx; NOT verified on Amazon.ca</t>
        </is>
      </c>
      <c r="AI10" s="8" t="inlineStr">
        <is>
          <t>BLANK → requires live Amazon.ca capture</t>
        </is>
      </c>
      <c r="AJ10" s="8" t="inlineStr">
        <is>
          <t>⚠ Unverified commercial data</t>
        </is>
      </c>
    </row>
    <row r="11" ht="60" customHeight="1">
      <c r="A11" s="8" t="inlineStr">
        <is>
          <t>CWENCH</t>
        </is>
      </c>
      <c r="B11" s="8" t="inlineStr">
        <is>
          <t>CWENCH Hydration</t>
        </is>
      </c>
      <c r="C11" s="8" t="inlineStr">
        <is>
          <t>2) Electrolyte beverage (RTD)</t>
        </is>
      </c>
      <c r="D11" s="8" t="inlineStr">
        <is>
          <t>500 mL bottle</t>
        </is>
      </c>
      <c r="E11" s="8" t="n">
        <v>12</v>
      </c>
      <c r="F11" s="9" t="n"/>
      <c r="G11" s="10">
        <f>IF(AND(ISNUMBER($F11),ISNUMBER($E11),$E11&lt;&gt;0),$F11/$E11,"")</f>
        <v/>
      </c>
      <c r="H11" s="10">
        <f>IF(AND(ISNUMBER($F11),ISNUMBER($AF11),ISNUMBER($E11),($AF11*$E11)&lt;&gt;0),$F11/($AF11*$E11)*100,"")</f>
        <v/>
      </c>
      <c r="I11" s="11" t="n"/>
      <c r="J11" s="12" t="n"/>
      <c r="K11" s="10">
        <f>IF(AND(ISNUMBER($F11),ISNUMBER($J11)),$F11*(1-$J11),"")</f>
        <v/>
      </c>
      <c r="L11" s="11" t="n"/>
      <c r="M11" s="11" t="n"/>
      <c r="N11" s="10">
        <f>IF(ISNUMBER($F11),($F11-IF(ISNUMBER($AG11),$AG11,0))*(1-IF(ISNUMBER($J11),$J11,0)),"")</f>
        <v/>
      </c>
      <c r="O11" s="8" t="inlineStr">
        <is>
          <t>Blue Raspberry, Fruit Punch, Green Apple, Watermelon, Peach</t>
        </is>
      </c>
      <c r="P11" s="13" t="n">
        <v>0</v>
      </c>
      <c r="Q11" s="13" t="n">
        <v>200</v>
      </c>
      <c r="R11" s="13" t="n">
        <v>100</v>
      </c>
      <c r="S11" s="13" t="n">
        <v>0</v>
      </c>
      <c r="T11" s="13" t="n">
        <v>15</v>
      </c>
      <c r="U11" s="8" t="inlineStr">
        <is>
          <t>Sucralose</t>
        </is>
      </c>
      <c r="V11" s="8" t="inlineStr">
        <is>
          <t>Zero sugar, electrolytes, vitamins; Canadian challenger brand</t>
        </is>
      </c>
      <c r="W11" s="11" t="n"/>
      <c r="X11" s="11" t="n"/>
      <c r="Y11" s="11" t="n"/>
      <c r="Z11" s="11" t="n"/>
      <c r="AA11" s="8" t="inlineStr">
        <is>
          <t>Low</t>
        </is>
      </c>
      <c r="AB11" s="8" t="inlineStr">
        <is>
          <t>New Canadian entrant; limited reviews/footprint</t>
        </is>
      </c>
      <c r="AC11" s="8" t="inlineStr">
        <is>
          <t>Affordable Canadian zero-sugar hydration</t>
        </is>
      </c>
      <c r="AD11" s="8" t="inlineStr">
        <is>
          <t>Local challenger price and zero sugar.</t>
        </is>
      </c>
      <c r="AE11" s="11" t="n"/>
      <c r="AF11" s="8" t="n">
        <v>500</v>
      </c>
      <c r="AG11" s="9" t="n"/>
      <c r="AH11" s="8" t="inlineStr">
        <is>
          <t>Secondary/approx; NOT verified on Amazon.ca</t>
        </is>
      </c>
      <c r="AI11" s="8" t="inlineStr">
        <is>
          <t>BLANK → requires live Amazon.ca capture</t>
        </is>
      </c>
      <c r="AJ11" s="8" t="inlineStr">
        <is>
          <t>⚠ Unverified commercial data</t>
        </is>
      </c>
    </row>
    <row r="12" ht="60" customHeight="1">
      <c r="A12" s="8" t="inlineStr">
        <is>
          <t>Pedialyte</t>
        </is>
      </c>
      <c r="B12" s="8" t="inlineStr">
        <is>
          <t>Pedialyte Electrolyte Solution</t>
        </is>
      </c>
      <c r="C12" s="8" t="inlineStr">
        <is>
          <t>2) Electrolyte beverage (RTD)</t>
        </is>
      </c>
      <c r="D12" s="8" t="inlineStr">
        <is>
          <t>1 L bottle</t>
        </is>
      </c>
      <c r="E12" s="8" t="n">
        <v>8</v>
      </c>
      <c r="F12" s="9" t="n"/>
      <c r="G12" s="10">
        <f>IF(AND(ISNUMBER($F12),ISNUMBER($E12),$E12&lt;&gt;0),$F12/$E12,"")</f>
        <v/>
      </c>
      <c r="H12" s="10">
        <f>IF(AND(ISNUMBER($F12),ISNUMBER($AF12),ISNUMBER($E12),($AF12*$E12)&lt;&gt;0),$F12/($AF12*$E12)*100,"")</f>
        <v/>
      </c>
      <c r="I12" s="11" t="n"/>
      <c r="J12" s="12" t="n"/>
      <c r="K12" s="10">
        <f>IF(AND(ISNUMBER($F12),ISNUMBER($J12)),$F12*(1-$J12),"")</f>
        <v/>
      </c>
      <c r="L12" s="11" t="n"/>
      <c r="M12" s="11" t="n"/>
      <c r="N12" s="10">
        <f>IF(ISNUMBER($F12),($F12-IF(ISNUMBER($AG12),$AG12,0))*(1-IF(ISNUMBER($J12),$J12,0)),"")</f>
        <v/>
      </c>
      <c r="O12" s="8" t="inlineStr">
        <is>
          <t>Unflavored, Fruit, Grape, Strawberry, Mixed Fruit</t>
        </is>
      </c>
      <c r="P12" s="13" t="n">
        <v>0</v>
      </c>
      <c r="Q12" s="13" t="n">
        <v>370</v>
      </c>
      <c r="R12" s="13" t="n">
        <v>280</v>
      </c>
      <c r="S12" s="13" t="n">
        <v>9</v>
      </c>
      <c r="T12" s="13" t="n">
        <v>35</v>
      </c>
      <c r="U12" s="8" t="inlineStr">
        <is>
          <t>Dextrose + sucralose + acesulfame-K</t>
        </is>
      </c>
      <c r="V12" s="8" t="inlineStr">
        <is>
          <t>Medical-grade rehydration, dehydration relief</t>
        </is>
      </c>
      <c r="W12" s="11" t="n"/>
      <c r="X12" s="11" t="n"/>
      <c r="Y12" s="11" t="n"/>
      <c r="Z12" s="11" t="n"/>
      <c r="AA12" s="8" t="inlineStr">
        <is>
          <t>High</t>
        </is>
      </c>
      <c r="AB12" s="8" t="inlineStr">
        <is>
          <t>Trusted clinical rehydration; year-round + flu season spikes</t>
        </is>
      </c>
      <c r="AC12" s="8" t="inlineStr">
        <is>
          <t>Doctor-trusted rehydration for illness/dehydration</t>
        </is>
      </c>
      <c r="AD12" s="8" t="inlineStr">
        <is>
          <t>Medical-grade electrolyte ratio trusted for genuine dehydration.</t>
        </is>
      </c>
      <c r="AE12" s="11" t="n"/>
      <c r="AF12" s="8" t="n">
        <v>1000</v>
      </c>
      <c r="AG12" s="9" t="n"/>
      <c r="AH12" s="8" t="inlineStr">
        <is>
          <t>Secondary/approx; NOT verified on Amazon.ca</t>
        </is>
      </c>
      <c r="AI12" s="8" t="inlineStr">
        <is>
          <t>BLANK → requires live Amazon.ca capture</t>
        </is>
      </c>
      <c r="AJ12" s="8" t="inlineStr">
        <is>
          <t>⚠ Unverified commercial data</t>
        </is>
      </c>
    </row>
    <row r="13" ht="60" customHeight="1">
      <c r="A13" s="8" t="inlineStr">
        <is>
          <t>Gatorade</t>
        </is>
      </c>
      <c r="B13" s="8" t="inlineStr">
        <is>
          <t>Gatorlyte Rapid Rehydration</t>
        </is>
      </c>
      <c r="C13" s="8" t="inlineStr">
        <is>
          <t>2) Electrolyte beverage (RTD)</t>
        </is>
      </c>
      <c r="D13" s="8" t="inlineStr">
        <is>
          <t>591 mL bottle</t>
        </is>
      </c>
      <c r="E13" s="8" t="n">
        <v>12</v>
      </c>
      <c r="F13" s="9" t="n"/>
      <c r="G13" s="10">
        <f>IF(AND(ISNUMBER($F13),ISNUMBER($E13),$E13&lt;&gt;0),$F13/$E13,"")</f>
        <v/>
      </c>
      <c r="H13" s="10">
        <f>IF(AND(ISNUMBER($F13),ISNUMBER($AF13),ISNUMBER($E13),($AF13*$E13)&lt;&gt;0),$F13/($AF13*$E13)*100,"")</f>
        <v/>
      </c>
      <c r="I13" s="11" t="n"/>
      <c r="J13" s="12" t="n"/>
      <c r="K13" s="10">
        <f>IF(AND(ISNUMBER($F13),ISNUMBER($J13)),$F13*(1-$J13),"")</f>
        <v/>
      </c>
      <c r="L13" s="11" t="n"/>
      <c r="M13" s="11" t="n"/>
      <c r="N13" s="10">
        <f>IF(ISNUMBER($F13),($F13-IF(ISNUMBER($AG13),$AG13,0))*(1-IF(ISNUMBER($J13),$J13,0)),"")</f>
        <v/>
      </c>
      <c r="O13" s="8" t="inlineStr">
        <is>
          <t>Orange, Cherry Lime, Glacier Cherry, Strawberry Kiwi</t>
        </is>
      </c>
      <c r="P13" s="13" t="n">
        <v>0</v>
      </c>
      <c r="Q13" s="13" t="n">
        <v>490</v>
      </c>
      <c r="R13" s="13" t="n">
        <v>350</v>
      </c>
      <c r="S13" s="13" t="n">
        <v>12</v>
      </c>
      <c r="T13" s="13" t="n">
        <v>50</v>
      </c>
      <c r="U13" s="8" t="inlineStr">
        <is>
          <t>Sugar + sucralose</t>
        </is>
      </c>
      <c r="V13" s="8" t="inlineStr">
        <is>
          <t>5 electrolytes, rapid rehydration, specialized formula</t>
        </is>
      </c>
      <c r="W13" s="11" t="n"/>
      <c r="X13" s="11" t="n"/>
      <c r="Y13" s="11" t="n"/>
      <c r="Z13" s="11" t="n"/>
      <c r="AA13" s="8" t="inlineStr">
        <is>
          <t>Medium</t>
        </is>
      </c>
      <c r="AB13" s="8" t="inlineStr">
        <is>
          <t>Premium rapid-rehydration line</t>
        </is>
      </c>
      <c r="AC13" s="8" t="inlineStr">
        <is>
          <t>Higher-electrolyte rapid rehydration</t>
        </is>
      </c>
      <c r="AD13" s="8" t="inlineStr">
        <is>
          <t>Highest sodium/potassium load for serious rehydration.</t>
        </is>
      </c>
      <c r="AE13" s="11" t="n"/>
      <c r="AF13" s="8" t="n">
        <v>591</v>
      </c>
      <c r="AG13" s="9" t="n"/>
      <c r="AH13" s="8" t="inlineStr">
        <is>
          <t>Secondary/approx; NOT verified on Amazon.ca</t>
        </is>
      </c>
      <c r="AI13" s="8" t="inlineStr">
        <is>
          <t>BLANK → requires live Amazon.ca capture</t>
        </is>
      </c>
      <c r="AJ13" s="8" t="inlineStr">
        <is>
          <t>⚠ Unverified commercial data</t>
        </is>
      </c>
    </row>
    <row r="14" ht="60" customHeight="1">
      <c r="A14" s="8" t="inlineStr">
        <is>
          <t>Vita Coco</t>
        </is>
      </c>
      <c r="B14" s="8" t="inlineStr">
        <is>
          <t>Vita Coco Pure Coconut Water</t>
        </is>
      </c>
      <c r="C14" s="8" t="inlineStr">
        <is>
          <t>2) Electrolyte beverage (RTD)</t>
        </is>
      </c>
      <c r="D14" s="8" t="inlineStr">
        <is>
          <t>330 mL carton</t>
        </is>
      </c>
      <c r="E14" s="8" t="n">
        <v>12</v>
      </c>
      <c r="F14" s="9" t="n"/>
      <c r="G14" s="10">
        <f>IF(AND(ISNUMBER($F14),ISNUMBER($E14),$E14&lt;&gt;0),$F14/$E14,"")</f>
        <v/>
      </c>
      <c r="H14" s="10">
        <f>IF(AND(ISNUMBER($F14),ISNUMBER($AF14),ISNUMBER($E14),($AF14*$E14)&lt;&gt;0),$F14/($AF14*$E14)*100,"")</f>
        <v/>
      </c>
      <c r="I14" s="11" t="n"/>
      <c r="J14" s="12" t="n"/>
      <c r="K14" s="10">
        <f>IF(AND(ISNUMBER($F14),ISNUMBER($J14)),$F14*(1-$J14),"")</f>
        <v/>
      </c>
      <c r="L14" s="11" t="n"/>
      <c r="M14" s="11" t="n"/>
      <c r="N14" s="10">
        <f>IF(ISNUMBER($F14),($F14-IF(ISNUMBER($AG14),$AG14,0))*(1-IF(ISNUMBER($J14),$J14,0)),"")</f>
        <v/>
      </c>
      <c r="O14" s="8" t="inlineStr">
        <is>
          <t>Original, Pineapple, Peach Mango, The Original (Pressed)</t>
        </is>
      </c>
      <c r="P14" s="13" t="n">
        <v>0</v>
      </c>
      <c r="Q14" s="13" t="n">
        <v>25</v>
      </c>
      <c r="R14" s="13" t="n">
        <v>470</v>
      </c>
      <c r="S14" s="13" t="n">
        <v>11</v>
      </c>
      <c r="T14" s="13" t="n">
        <v>45</v>
      </c>
      <c r="U14" s="8" t="inlineStr">
        <is>
          <t>None (naturally occurring)</t>
        </is>
      </c>
      <c r="V14" s="8" t="inlineStr">
        <is>
          <t>Natural electrolytes, potassium, no added sugar (Original)</t>
        </is>
      </c>
      <c r="W14" s="11" t="n"/>
      <c r="X14" s="11" t="n"/>
      <c r="Y14" s="11" t="n"/>
      <c r="Z14" s="11" t="n"/>
      <c r="AA14" s="8" t="inlineStr">
        <is>
          <t>High</t>
        </is>
      </c>
      <c r="AB14" s="8" t="inlineStr">
        <is>
          <t>Market-leading coconut water; mainstream</t>
        </is>
      </c>
      <c r="AC14" s="8" t="inlineStr">
        <is>
          <t>Natural hydration straight from coconuts</t>
        </is>
      </c>
      <c r="AD14" s="8" t="inlineStr">
        <is>
          <t>Naturally high potassium with no added sugar.</t>
        </is>
      </c>
      <c r="AE14" s="11" t="n"/>
      <c r="AF14" s="8" t="n">
        <v>330</v>
      </c>
      <c r="AG14" s="9" t="n"/>
      <c r="AH14" s="8" t="inlineStr">
        <is>
          <t>Secondary/approx; NOT verified on Amazon.ca</t>
        </is>
      </c>
      <c r="AI14" s="8" t="inlineStr">
        <is>
          <t>BLANK → requires live Amazon.ca capture</t>
        </is>
      </c>
      <c r="AJ14" s="8" t="inlineStr">
        <is>
          <t>⚠ Unverified commercial data</t>
        </is>
      </c>
    </row>
  </sheetData>
  <autoFilter ref="A1:AJ14"/>
  <conditionalFormatting sqref="AJ2:AJ14">
    <cfRule type="expression" priority="1" dxfId="0">
      <formula>ISBLANK($F2)</formula>
    </cfRule>
  </conditionalFormatting>
  <dataValidations count="1">
    <dataValidation sqref="I2:I1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  <col width="16" customWidth="1" min="4" max="4"/>
    <col width="9" customWidth="1" min="5" max="5"/>
    <col width="14" customWidth="1" min="6" max="6"/>
    <col width="13" customWidth="1" min="7" max="7"/>
    <col width="13" customWidth="1" min="8" max="8"/>
    <col width="11" customWidth="1" min="9" max="9"/>
    <col width="12" customWidth="1" min="10" max="10"/>
    <col width="14" customWidth="1" min="11" max="11"/>
    <col width="18" customWidth="1" min="12" max="12"/>
    <col width="22" customWidth="1" min="13" max="13"/>
    <col width="16" customWidth="1" min="14" max="14"/>
    <col width="40" customWidth="1" min="15" max="15"/>
    <col width="12" customWidth="1" min="16" max="16"/>
    <col width="12" customWidth="1" min="17" max="17"/>
    <col width="12" customWidth="1" min="18" max="18"/>
    <col width="11" customWidth="1" min="19" max="19"/>
    <col width="11" customWidth="1" min="20" max="20"/>
    <col width="24" customWidth="1" min="21" max="21"/>
    <col width="34" customWidth="1" min="22" max="22"/>
    <col width="10" customWidth="1" min="23" max="23"/>
    <col width="12" customWidth="1" min="24" max="24"/>
    <col width="16" customWidth="1" min="25" max="25"/>
    <col width="14" customWidth="1" min="26" max="26"/>
    <col width="14" customWidth="1" min="27" max="27"/>
    <col width="34" customWidth="1" min="28" max="28"/>
    <col width="40" customWidth="1" min="29" max="29"/>
    <col width="46" customWidth="1" min="30" max="30"/>
    <col width="22" customWidth="1" min="31" max="31"/>
    <col width="12" customWidth="1" min="32" max="32"/>
    <col width="13" customWidth="1" min="33" max="33"/>
    <col width="30" customWidth="1" min="34" max="34"/>
    <col width="26" customWidth="1" min="35" max="35"/>
    <col width="22" customWidth="1" min="36" max="36"/>
  </cols>
  <sheetData>
    <row r="1" ht="42" customHeight="1">
      <c r="A1" s="6" t="inlineStr">
        <is>
          <t>1. Brand</t>
        </is>
      </c>
      <c r="B1" s="6" t="inlineStr">
        <is>
          <t>2. Product Line / SKU Name</t>
        </is>
      </c>
      <c r="C1" s="6" t="inlineStr">
        <is>
          <t>3. Category</t>
        </is>
      </c>
      <c r="D1" s="6" t="inlineStr">
        <is>
          <t>4. Format &amp; Size</t>
        </is>
      </c>
      <c r="E1" s="6" t="inlineStr">
        <is>
          <t>5. Pack Count</t>
        </is>
      </c>
      <c r="F1" s="6" t="inlineStr">
        <is>
          <t>6. One-Time Price (CAD)</t>
        </is>
      </c>
      <c r="G1" s="6" t="inlineStr">
        <is>
          <t>7. Price / Unit (CAD)</t>
        </is>
      </c>
      <c r="H1" s="6" t="inlineStr">
        <is>
          <t>8. Price / 100 mL (CAD)</t>
        </is>
      </c>
      <c r="I1" s="6" t="inlineStr">
        <is>
          <t>9. S&amp;S Offered (Y/N)</t>
        </is>
      </c>
      <c r="J1" s="6" t="inlineStr">
        <is>
          <t>10. S&amp;S Discount %</t>
        </is>
      </c>
      <c r="K1" s="6" t="inlineStr">
        <is>
          <t>11. S&amp;S Price After Disc.</t>
        </is>
      </c>
      <c r="L1" s="6" t="inlineStr">
        <is>
          <t>12. Coupon on Listing (Y/N + value)</t>
        </is>
      </c>
      <c r="M1" s="6" t="inlineStr">
        <is>
          <t>13. Promotion Text</t>
        </is>
      </c>
      <c r="N1" s="6" t="inlineStr">
        <is>
          <t>14. Lowest Effective Price (stacked)</t>
        </is>
      </c>
      <c r="O1" s="6" t="inlineStr">
        <is>
          <t>15. All Flavours in Listing</t>
        </is>
      </c>
      <c r="P1" s="6" t="inlineStr">
        <is>
          <t>16. Caffeine / Serving (mg)</t>
        </is>
      </c>
      <c r="Q1" s="6" t="inlineStr">
        <is>
          <t>17. Sodium / Serving (mg)</t>
        </is>
      </c>
      <c r="R1" s="6" t="inlineStr">
        <is>
          <t>18. Potassium / Serving (mg)</t>
        </is>
      </c>
      <c r="S1" s="6" t="inlineStr">
        <is>
          <t>19. Sugar / Serving (g)</t>
        </is>
      </c>
      <c r="T1" s="6" t="inlineStr">
        <is>
          <t>20. Calories / Serving</t>
        </is>
      </c>
      <c r="U1" s="6" t="inlineStr">
        <is>
          <t>21. Sweetener Type</t>
        </is>
      </c>
      <c r="V1" s="6" t="inlineStr">
        <is>
          <t>22. Key Functional Claims</t>
        </is>
      </c>
      <c r="W1" s="6" t="inlineStr">
        <is>
          <t>23. Star Rating</t>
        </is>
      </c>
      <c r="X1" s="6" t="inlineStr">
        <is>
          <t>24. Number of Ratings</t>
        </is>
      </c>
      <c r="Y1" s="6" t="inlineStr">
        <is>
          <t>25. Amazon Badge</t>
        </is>
      </c>
      <c r="Z1" s="6" t="inlineStr">
        <is>
          <t>26. Bestseller Rank in Category</t>
        </is>
      </c>
      <c r="AA1" s="6" t="inlineStr">
        <is>
          <t>27a. Est. Weekly Velocity (band)</t>
        </is>
      </c>
      <c r="AB1" s="6" t="inlineStr">
        <is>
          <t>27b. Velocity Signal Used</t>
        </is>
      </c>
      <c r="AC1" s="6" t="inlineStr">
        <is>
          <t>28. Biggest Selling Message</t>
        </is>
      </c>
      <c r="AD1" s="6" t="inlineStr">
        <is>
          <t>29. Why a Shopper Chooses This</t>
        </is>
      </c>
      <c r="AE1" s="6" t="inlineStr">
        <is>
          <t>30. Direct Product URL</t>
        </is>
      </c>
      <c r="AF1" s="6" t="inlineStr">
        <is>
          <t>H1. Unit Vol (mL) [calc helper]</t>
        </is>
      </c>
      <c r="AG1" s="6" t="inlineStr">
        <is>
          <t>H2. Coupon Value (CAD) [calc helper]</t>
        </is>
      </c>
      <c r="AH1" s="6" t="inlineStr">
        <is>
          <t>P1. Attribute Provenance</t>
        </is>
      </c>
      <c r="AI1" s="6" t="inlineStr">
        <is>
          <t>P2. Commercial-Field Status</t>
        </is>
      </c>
      <c r="AJ1" s="6" t="inlineStr">
        <is>
          <t>P3. Row Flag</t>
        </is>
      </c>
    </row>
    <row r="2" ht="60" customHeight="1">
      <c r="A2" s="8" t="inlineStr">
        <is>
          <t>OLIPOP</t>
        </is>
      </c>
      <c r="B2" s="8" t="inlineStr">
        <is>
          <t>OLIPOP Prebiotic Soda</t>
        </is>
      </c>
      <c r="C2" s="8" t="inlineStr">
        <is>
          <t>3) Functional beverage (still/sparkling)</t>
        </is>
      </c>
      <c r="D2" s="8" t="inlineStr">
        <is>
          <t>355 mL can</t>
        </is>
      </c>
      <c r="E2" s="8" t="n">
        <v>12</v>
      </c>
      <c r="F2" s="9" t="n"/>
      <c r="G2" s="10">
        <f>IF(AND(ISNUMBER($F2),ISNUMBER($E2),$E2&lt;&gt;0),$F2/$E2,"")</f>
        <v/>
      </c>
      <c r="H2" s="10">
        <f>IF(AND(ISNUMBER($F2),ISNUMBER($AF2),ISNUMBER($E2),($AF2*$E2)&lt;&gt;0),$F2/($AF2*$E2)*100,"")</f>
        <v/>
      </c>
      <c r="I2" s="11" t="n"/>
      <c r="J2" s="12" t="n"/>
      <c r="K2" s="10">
        <f>IF(AND(ISNUMBER($F2),ISNUMBER($J2)),$F2*(1-$J2),"")</f>
        <v/>
      </c>
      <c r="L2" s="11" t="n"/>
      <c r="M2" s="11" t="n"/>
      <c r="N2" s="10">
        <f>IF(ISNUMBER($F2),($F2-IF(ISNUMBER($AG2),$AG2,0))*(1-IF(ISNUMBER($J2),$J2,0)),"")</f>
        <v/>
      </c>
      <c r="O2" s="8" t="inlineStr">
        <is>
          <t>Vintage Cola, Classic Root Beer, Cherry Cola, Strawberry Vanilla, Orange Squeeze, Ginger Ale, Doctor Goodwin, Lemon Lime, Watermelon Lime</t>
        </is>
      </c>
      <c r="P2" s="13" t="n">
        <v>0</v>
      </c>
      <c r="Q2" s="13" t="n">
        <v>30</v>
      </c>
      <c r="R2" s="8" t="inlineStr">
        <is>
          <t>Not listed</t>
        </is>
      </c>
      <c r="S2" s="13" t="n">
        <v>4</v>
      </c>
      <c r="T2" s="13" t="n">
        <v>45</v>
      </c>
      <c r="U2" s="8" t="inlineStr">
        <is>
          <t>Stevia + cassava syrup</t>
        </is>
      </c>
      <c r="V2" s="8" t="inlineStr">
        <is>
          <t>9 g prebiotic fiber, gut/digestive health, low sugar</t>
        </is>
      </c>
      <c r="W2" s="11" t="n"/>
      <c r="X2" s="11" t="n"/>
      <c r="Y2" s="11" t="n"/>
      <c r="Z2" s="11" t="n"/>
      <c r="AA2" s="8" t="inlineStr">
        <is>
          <t>Very High</t>
        </is>
      </c>
      <c r="AB2" s="8" t="inlineStr">
        <is>
          <t>Category-leading prebiotic soda; viral DTC + retail</t>
        </is>
      </c>
      <c r="AC2" s="8" t="inlineStr">
        <is>
          <t>Soda nostalgia that's actually good for your gut</t>
        </is>
      </c>
      <c r="AD2" s="8" t="inlineStr">
        <is>
          <t>Classic soda taste with 9 g fiber and almost no sugar.</t>
        </is>
      </c>
      <c r="AE2" s="11" t="n"/>
      <c r="AF2" s="8" t="n">
        <v>355</v>
      </c>
      <c r="AG2" s="9" t="n"/>
      <c r="AH2" s="8" t="inlineStr">
        <is>
          <t>Secondary/approx; NOT verified on Amazon.ca</t>
        </is>
      </c>
      <c r="AI2" s="8" t="inlineStr">
        <is>
          <t>BLANK → requires live Amazon.ca capture</t>
        </is>
      </c>
      <c r="AJ2" s="8" t="inlineStr">
        <is>
          <t>⚠ Unverified commercial data</t>
        </is>
      </c>
    </row>
    <row r="3" ht="60" customHeight="1">
      <c r="A3" s="8" t="inlineStr">
        <is>
          <t>Poppi</t>
        </is>
      </c>
      <c r="B3" s="8" t="inlineStr">
        <is>
          <t>Poppi Prebiotic Soda</t>
        </is>
      </c>
      <c r="C3" s="8" t="inlineStr">
        <is>
          <t>3) Functional beverage (still/sparkling)</t>
        </is>
      </c>
      <c r="D3" s="8" t="inlineStr">
        <is>
          <t>355 mL can</t>
        </is>
      </c>
      <c r="E3" s="8" t="n">
        <v>12</v>
      </c>
      <c r="F3" s="9" t="n"/>
      <c r="G3" s="10">
        <f>IF(AND(ISNUMBER($F3),ISNUMBER($E3),$E3&lt;&gt;0),$F3/$E3,"")</f>
        <v/>
      </c>
      <c r="H3" s="10">
        <f>IF(AND(ISNUMBER($F3),ISNUMBER($AF3),ISNUMBER($E3),($AF3*$E3)&lt;&gt;0),$F3/($AF3*$E3)*100,"")</f>
        <v/>
      </c>
      <c r="I3" s="11" t="n"/>
      <c r="J3" s="12" t="n"/>
      <c r="K3" s="10">
        <f>IF(AND(ISNUMBER($F3),ISNUMBER($J3)),$F3*(1-$J3),"")</f>
        <v/>
      </c>
      <c r="L3" s="11" t="n"/>
      <c r="M3" s="11" t="n"/>
      <c r="N3" s="10">
        <f>IF(ISNUMBER($F3),($F3-IF(ISNUMBER($AG3),$AG3,0))*(1-IF(ISNUMBER($J3),$J3,0)),"")</f>
        <v/>
      </c>
      <c r="O3" s="8" t="inlineStr">
        <is>
          <t>Strawberry Lemon, Raspberry Rose, Classic Cola, Cherry Limeade, Orange, Grape, Watermelon, Ginger Lime</t>
        </is>
      </c>
      <c r="P3" s="13" t="n">
        <v>0</v>
      </c>
      <c r="Q3" s="13" t="n">
        <v>10</v>
      </c>
      <c r="R3" s="8" t="inlineStr">
        <is>
          <t>Not listed</t>
        </is>
      </c>
      <c r="S3" s="13" t="n">
        <v>5</v>
      </c>
      <c r="T3" s="13" t="n">
        <v>25</v>
      </c>
      <c r="U3" s="8" t="inlineStr">
        <is>
          <t>Agave + stevia</t>
        </is>
      </c>
      <c r="V3" s="8" t="inlineStr">
        <is>
          <t>Prebiotic, apple cider vinegar, gut health, low sugar</t>
        </is>
      </c>
      <c r="W3" s="11" t="n"/>
      <c r="X3" s="11" t="n"/>
      <c r="Y3" s="11" t="n"/>
      <c r="Z3" s="11" t="n"/>
      <c r="AA3" s="8" t="inlineStr">
        <is>
          <t>Very High</t>
        </is>
      </c>
      <c r="AB3" s="8" t="inlineStr">
        <is>
          <t>Viral brand; Super Bowl ad; strong Gen-Z pull</t>
        </is>
      </c>
      <c r="AC3" s="8" t="inlineStr">
        <is>
          <t>Pretty, prebiotic, apple-cider-vinegar soda</t>
        </is>
      </c>
      <c r="AD3" s="8" t="inlineStr">
        <is>
          <t>Trendy aesthetic plus a gut-health ACV story at low sugar.</t>
        </is>
      </c>
      <c r="AE3" s="11" t="n"/>
      <c r="AF3" s="8" t="n">
        <v>355</v>
      </c>
      <c r="AG3" s="9" t="n"/>
      <c r="AH3" s="8" t="inlineStr">
        <is>
          <t>Secondary/approx; NOT verified on Amazon.ca</t>
        </is>
      </c>
      <c r="AI3" s="8" t="inlineStr">
        <is>
          <t>BLANK → requires live Amazon.ca capture</t>
        </is>
      </c>
      <c r="AJ3" s="8" t="inlineStr">
        <is>
          <t>⚠ Unverified commercial data</t>
        </is>
      </c>
    </row>
    <row r="4" ht="60" customHeight="1">
      <c r="A4" s="8" t="inlineStr">
        <is>
          <t>Culture Pop</t>
        </is>
      </c>
      <c r="B4" s="8" t="inlineStr">
        <is>
          <t>Culture Pop Probiotic Soda</t>
        </is>
      </c>
      <c r="C4" s="8" t="inlineStr">
        <is>
          <t>3) Functional beverage (still/sparkling)</t>
        </is>
      </c>
      <c r="D4" s="8" t="inlineStr">
        <is>
          <t>355 mL can</t>
        </is>
      </c>
      <c r="E4" s="8" t="n">
        <v>12</v>
      </c>
      <c r="F4" s="9" t="n"/>
      <c r="G4" s="10">
        <f>IF(AND(ISNUMBER($F4),ISNUMBER($E4),$E4&lt;&gt;0),$F4/$E4,"")</f>
        <v/>
      </c>
      <c r="H4" s="10">
        <f>IF(AND(ISNUMBER($F4),ISNUMBER($AF4),ISNUMBER($E4),($AF4*$E4)&lt;&gt;0),$F4/($AF4*$E4)*100,"")</f>
        <v/>
      </c>
      <c r="I4" s="11" t="n"/>
      <c r="J4" s="12" t="n"/>
      <c r="K4" s="10">
        <f>IF(AND(ISNUMBER($F4),ISNUMBER($J4)),$F4*(1-$J4),"")</f>
        <v/>
      </c>
      <c r="L4" s="11" t="n"/>
      <c r="M4" s="11" t="n"/>
      <c r="N4" s="10">
        <f>IF(ISNUMBER($F4),($F4-IF(ISNUMBER($AG4),$AG4,0))*(1-IF(ISNUMBER($J4),$J4,0)),"")</f>
        <v/>
      </c>
      <c r="O4" s="8" t="inlineStr">
        <is>
          <t>Ginger Lemon, Wild Berry, Orange Mango, Lime Watermelon, Cherry Pomegranate</t>
        </is>
      </c>
      <c r="P4" s="13" t="n">
        <v>0</v>
      </c>
      <c r="Q4" s="13" t="n">
        <v>15</v>
      </c>
      <c r="R4" s="8" t="inlineStr">
        <is>
          <t>Not listed</t>
        </is>
      </c>
      <c r="S4" s="13" t="n">
        <v>9</v>
      </c>
      <c r="T4" s="13" t="n">
        <v>40</v>
      </c>
      <c r="U4" s="8" t="inlineStr">
        <is>
          <t>Fruit juice + a touch of cane</t>
        </is>
      </c>
      <c r="V4" s="8" t="inlineStr">
        <is>
          <t>Live probiotics, real juice, gut health, no stevia</t>
        </is>
      </c>
      <c r="W4" s="11" t="n"/>
      <c r="X4" s="11" t="n"/>
      <c r="Y4" s="11" t="n"/>
      <c r="Z4" s="11" t="n"/>
      <c r="AA4" s="8" t="inlineStr">
        <is>
          <t>Medium</t>
        </is>
      </c>
      <c r="AB4" s="8" t="inlineStr">
        <is>
          <t>Emerging; differentiates on real-juice/no-stevia</t>
        </is>
      </c>
      <c r="AC4" s="8" t="inlineStr">
        <is>
          <t>Probiotic soda with real juice, no stevia</t>
        </is>
      </c>
      <c r="AD4" s="8" t="inlineStr">
        <is>
          <t>Real-juice taste and live probiotics without stevia.</t>
        </is>
      </c>
      <c r="AE4" s="11" t="n"/>
      <c r="AF4" s="8" t="n">
        <v>355</v>
      </c>
      <c r="AG4" s="9" t="n"/>
      <c r="AH4" s="8" t="inlineStr">
        <is>
          <t>Secondary/approx; NOT verified on Amazon.ca</t>
        </is>
      </c>
      <c r="AI4" s="8" t="inlineStr">
        <is>
          <t>BLANK → requires live Amazon.ca capture</t>
        </is>
      </c>
      <c r="AJ4" s="8" t="inlineStr">
        <is>
          <t>⚠ Unverified commercial data</t>
        </is>
      </c>
    </row>
    <row r="5" ht="60" customHeight="1">
      <c r="A5" s="8" t="inlineStr">
        <is>
          <t>Mayawell</t>
        </is>
      </c>
      <c r="B5" s="8" t="inlineStr">
        <is>
          <t>Mayawell Prebiotic Soda</t>
        </is>
      </c>
      <c r="C5" s="8" t="inlineStr">
        <is>
          <t>3) Functional beverage (still/sparkling)</t>
        </is>
      </c>
      <c r="D5" s="8" t="inlineStr">
        <is>
          <t>355 mL can</t>
        </is>
      </c>
      <c r="E5" s="8" t="n">
        <v>12</v>
      </c>
      <c r="F5" s="9" t="n"/>
      <c r="G5" s="10">
        <f>IF(AND(ISNUMBER($F5),ISNUMBER($E5),$E5&lt;&gt;0),$F5/$E5,"")</f>
        <v/>
      </c>
      <c r="H5" s="10">
        <f>IF(AND(ISNUMBER($F5),ISNUMBER($AF5),ISNUMBER($E5),($AF5*$E5)&lt;&gt;0),$F5/($AF5*$E5)*100,"")</f>
        <v/>
      </c>
      <c r="I5" s="11" t="n"/>
      <c r="J5" s="12" t="n"/>
      <c r="K5" s="10">
        <f>IF(AND(ISNUMBER($F5),ISNUMBER($J5)),$F5*(1-$J5),"")</f>
        <v/>
      </c>
      <c r="L5" s="11" t="n"/>
      <c r="M5" s="11" t="n"/>
      <c r="N5" s="10">
        <f>IF(ISNUMBER($F5),($F5-IF(ISNUMBER($AG5),$AG5,0))*(1-IF(ISNUMBER($J5),$J5,0)),"")</f>
        <v/>
      </c>
      <c r="O5" s="8" t="inlineStr">
        <is>
          <t>Strawberry Hibiscus, Prickly Pear, Mango Chili, Grapefruit Jalapeño</t>
        </is>
      </c>
      <c r="P5" s="13" t="n">
        <v>0</v>
      </c>
      <c r="Q5" s="13" t="n">
        <v>20</v>
      </c>
      <c r="R5" s="8" t="inlineStr">
        <is>
          <t>Not listed</t>
        </is>
      </c>
      <c r="S5" s="13" t="n">
        <v>6</v>
      </c>
      <c r="T5" s="13" t="n">
        <v>40</v>
      </c>
      <c r="U5" s="8" t="inlineStr">
        <is>
          <t>Agave inulin</t>
        </is>
      </c>
      <c r="V5" s="8" t="inlineStr">
        <is>
          <t>Prebiotic agave fiber, gut health, low sugar, founder-led/Latino-owned</t>
        </is>
      </c>
      <c r="W5" s="11" t="n"/>
      <c r="X5" s="11" t="n"/>
      <c r="Y5" s="11" t="n"/>
      <c r="Z5" s="11" t="n"/>
      <c r="AA5" s="8" t="inlineStr">
        <is>
          <t>Low</t>
        </is>
      </c>
      <c r="AB5" s="8" t="inlineStr">
        <is>
          <t>Small emerging brand; limited footprint</t>
        </is>
      </c>
      <c r="AC5" s="8" t="inlineStr">
        <is>
          <t>Agave-fiber prebiotic soda with bold flavours</t>
        </is>
      </c>
      <c r="AD5" s="8" t="inlineStr">
        <is>
          <t>Distinctive agave-fiber prebiotic and adventurous flavours.</t>
        </is>
      </c>
      <c r="AE5" s="11" t="n"/>
      <c r="AF5" s="8" t="n">
        <v>355</v>
      </c>
      <c r="AG5" s="9" t="n"/>
      <c r="AH5" s="8" t="inlineStr">
        <is>
          <t>Secondary/approx; NOT verified on Amazon.ca</t>
        </is>
      </c>
      <c r="AI5" s="8" t="inlineStr">
        <is>
          <t>BLANK → requires live Amazon.ca capture</t>
        </is>
      </c>
      <c r="AJ5" s="8" t="inlineStr">
        <is>
          <t>⚠ Unverified commercial data</t>
        </is>
      </c>
    </row>
    <row r="6" ht="60" customHeight="1">
      <c r="A6" s="8" t="inlineStr">
        <is>
          <t>De La Calle</t>
        </is>
      </c>
      <c r="B6" s="8" t="inlineStr">
        <is>
          <t>De La Calle Tepache</t>
        </is>
      </c>
      <c r="C6" s="8" t="inlineStr">
        <is>
          <t>3) Functional beverage (still/sparkling)</t>
        </is>
      </c>
      <c r="D6" s="8" t="inlineStr">
        <is>
          <t>355 mL can</t>
        </is>
      </c>
      <c r="E6" s="8" t="n">
        <v>12</v>
      </c>
      <c r="F6" s="9" t="n"/>
      <c r="G6" s="10">
        <f>IF(AND(ISNUMBER($F6),ISNUMBER($E6),$E6&lt;&gt;0),$F6/$E6,"")</f>
        <v/>
      </c>
      <c r="H6" s="10">
        <f>IF(AND(ISNUMBER($F6),ISNUMBER($AF6),ISNUMBER($E6),($AF6*$E6)&lt;&gt;0),$F6/($AF6*$E6)*100,"")</f>
        <v/>
      </c>
      <c r="I6" s="11" t="n"/>
      <c r="J6" s="12" t="n"/>
      <c r="K6" s="10">
        <f>IF(AND(ISNUMBER($F6),ISNUMBER($J6)),$F6*(1-$J6),"")</f>
        <v/>
      </c>
      <c r="L6" s="11" t="n"/>
      <c r="M6" s="11" t="n"/>
      <c r="N6" s="10">
        <f>IF(ISNUMBER($F6),($F6-IF(ISNUMBER($AG6),$AG6,0))*(1-IF(ISNUMBER($J6),$J6,0)),"")</f>
        <v/>
      </c>
      <c r="O6" s="8" t="inlineStr">
        <is>
          <t>Tamarindo, Mango Chili, Original, Guava, Pineapple Spice</t>
        </is>
      </c>
      <c r="P6" s="13" t="n">
        <v>0</v>
      </c>
      <c r="Q6" s="13" t="n">
        <v>15</v>
      </c>
      <c r="R6" s="8" t="inlineStr">
        <is>
          <t>Not listed</t>
        </is>
      </c>
      <c r="S6" s="13" t="n">
        <v>6</v>
      </c>
      <c r="T6" s="13" t="n">
        <v>45</v>
      </c>
      <c r="U6" s="8" t="inlineStr">
        <is>
          <t>Fermented pineapple + agave</t>
        </is>
      </c>
      <c r="V6" s="8" t="inlineStr">
        <is>
          <t>Fermented prebiotic tepache, gut health, low sugar</t>
        </is>
      </c>
      <c r="W6" s="11" t="n"/>
      <c r="X6" s="11" t="n"/>
      <c r="Y6" s="11" t="n"/>
      <c r="Z6" s="11" t="n"/>
      <c r="AA6" s="8" t="inlineStr">
        <is>
          <t>Low</t>
        </is>
      </c>
      <c r="AB6" s="8" t="inlineStr">
        <is>
          <t>Niche fermented-soda entrant</t>
        </is>
      </c>
      <c r="AC6" s="8" t="inlineStr">
        <is>
          <t>Traditional Mexican fermented tepache, modernized</t>
        </is>
      </c>
      <c r="AD6" s="8" t="inlineStr">
        <is>
          <t>Authentic fermented tepache with a prebiotic angle.</t>
        </is>
      </c>
      <c r="AE6" s="11" t="n"/>
      <c r="AF6" s="8" t="n">
        <v>355</v>
      </c>
      <c r="AG6" s="9" t="n"/>
      <c r="AH6" s="8" t="inlineStr">
        <is>
          <t>Secondary/approx; NOT verified on Amazon.ca</t>
        </is>
      </c>
      <c r="AI6" s="8" t="inlineStr">
        <is>
          <t>BLANK → requires live Amazon.ca capture</t>
        </is>
      </c>
      <c r="AJ6" s="8" t="inlineStr">
        <is>
          <t>⚠ Unverified commercial data</t>
        </is>
      </c>
    </row>
    <row r="7" ht="60" customHeight="1">
      <c r="A7" s="8" t="inlineStr">
        <is>
          <t>GT's</t>
        </is>
      </c>
      <c r="B7" s="8" t="inlineStr">
        <is>
          <t>GT's Synergy Raw Kombucha</t>
        </is>
      </c>
      <c r="C7" s="8" t="inlineStr">
        <is>
          <t>3) Functional beverage (still/sparkling)</t>
        </is>
      </c>
      <c r="D7" s="8" t="inlineStr">
        <is>
          <t>480 mL bottle</t>
        </is>
      </c>
      <c r="E7" s="8" t="n">
        <v>12</v>
      </c>
      <c r="F7" s="9" t="n"/>
      <c r="G7" s="10">
        <f>IF(AND(ISNUMBER($F7),ISNUMBER($E7),$E7&lt;&gt;0),$F7/$E7,"")</f>
        <v/>
      </c>
      <c r="H7" s="10">
        <f>IF(AND(ISNUMBER($F7),ISNUMBER($AF7),ISNUMBER($E7),($AF7*$E7)&lt;&gt;0),$F7/($AF7*$E7)*100,"")</f>
        <v/>
      </c>
      <c r="I7" s="11" t="n"/>
      <c r="J7" s="12" t="n"/>
      <c r="K7" s="10">
        <f>IF(AND(ISNUMBER($F7),ISNUMBER($J7)),$F7*(1-$J7),"")</f>
        <v/>
      </c>
      <c r="L7" s="11" t="n"/>
      <c r="M7" s="11" t="n"/>
      <c r="N7" s="10">
        <f>IF(ISNUMBER($F7),($F7-IF(ISNUMBER($AG7),$AG7,0))*(1-IF(ISNUMBER($J7),$J7,0)),"")</f>
        <v/>
      </c>
      <c r="O7" s="8" t="inlineStr">
        <is>
          <t>Trilogy, Gingerade, Gingerberry, Strawberry Lemonade, Cosmic Cranberry</t>
        </is>
      </c>
      <c r="P7" s="13" t="n">
        <v>10</v>
      </c>
      <c r="Q7" s="13" t="n">
        <v>10</v>
      </c>
      <c r="R7" s="8" t="inlineStr">
        <is>
          <t>Not listed</t>
        </is>
      </c>
      <c r="S7" s="13" t="n">
        <v>6</v>
      </c>
      <c r="T7" s="13" t="n">
        <v>30</v>
      </c>
      <c r="U7" s="8" t="inlineStr">
        <is>
          <t>Naturally fermented (residual)</t>
        </is>
      </c>
      <c r="V7" s="8" t="inlineStr">
        <is>
          <t>Raw kombucha, billions of probiotics, gut health</t>
        </is>
      </c>
      <c r="W7" s="11" t="n"/>
      <c r="X7" s="11" t="n"/>
      <c r="Y7" s="11" t="n"/>
      <c r="Z7" s="11" t="n"/>
      <c r="AA7" s="8" t="inlineStr">
        <is>
          <t>High</t>
        </is>
      </c>
      <c r="AB7" s="8" t="inlineStr">
        <is>
          <t>Kombucha category leader</t>
        </is>
      </c>
      <c r="AC7" s="8" t="inlineStr">
        <is>
          <t>The original raw, probiotic kombucha</t>
        </is>
      </c>
      <c r="AD7" s="8" t="inlineStr">
        <is>
          <t>Authentic raw kombucha from the category pioneer.</t>
        </is>
      </c>
      <c r="AE7" s="11" t="n"/>
      <c r="AF7" s="8" t="n">
        <v>480</v>
      </c>
      <c r="AG7" s="9" t="n"/>
      <c r="AH7" s="8" t="inlineStr">
        <is>
          <t>Secondary/approx; NOT verified on Amazon.ca</t>
        </is>
      </c>
      <c r="AI7" s="8" t="inlineStr">
        <is>
          <t>BLANK → requires live Amazon.ca capture</t>
        </is>
      </c>
      <c r="AJ7" s="8" t="inlineStr">
        <is>
          <t>⚠ Unverified commercial data</t>
        </is>
      </c>
    </row>
    <row r="8" ht="60" customHeight="1">
      <c r="A8" s="8" t="inlineStr">
        <is>
          <t>Health-Ade</t>
        </is>
      </c>
      <c r="B8" s="8" t="inlineStr">
        <is>
          <t>Health-Ade Kombucha</t>
        </is>
      </c>
      <c r="C8" s="8" t="inlineStr">
        <is>
          <t>3) Functional beverage (still/sparkling)</t>
        </is>
      </c>
      <c r="D8" s="8" t="inlineStr">
        <is>
          <t>473 mL bottle</t>
        </is>
      </c>
      <c r="E8" s="8" t="n">
        <v>12</v>
      </c>
      <c r="F8" s="9" t="n"/>
      <c r="G8" s="10">
        <f>IF(AND(ISNUMBER($F8),ISNUMBER($E8),$E8&lt;&gt;0),$F8/$E8,"")</f>
        <v/>
      </c>
      <c r="H8" s="10">
        <f>IF(AND(ISNUMBER($F8),ISNUMBER($AF8),ISNUMBER($E8),($AF8*$E8)&lt;&gt;0),$F8/($AF8*$E8)*100,"")</f>
        <v/>
      </c>
      <c r="I8" s="11" t="n"/>
      <c r="J8" s="12" t="n"/>
      <c r="K8" s="10">
        <f>IF(AND(ISNUMBER($F8),ISNUMBER($J8)),$F8*(1-$J8),"")</f>
        <v/>
      </c>
      <c r="L8" s="11" t="n"/>
      <c r="M8" s="11" t="n"/>
      <c r="N8" s="10">
        <f>IF(ISNUMBER($F8),($F8-IF(ISNUMBER($AG8),$AG8,0))*(1-IF(ISNUMBER($J8),$J8,0)),"")</f>
        <v/>
      </c>
      <c r="O8" s="8" t="inlineStr">
        <is>
          <t>Pink Lady Apple, Pomegranate, Ginger Lemon, Bubbly Rose, California Grape</t>
        </is>
      </c>
      <c r="P8" s="13" t="n">
        <v>15</v>
      </c>
      <c r="Q8" s="13" t="n">
        <v>10</v>
      </c>
      <c r="R8" s="8" t="inlineStr">
        <is>
          <t>Not listed</t>
        </is>
      </c>
      <c r="S8" s="13" t="n">
        <v>7</v>
      </c>
      <c r="T8" s="13" t="n">
        <v>35</v>
      </c>
      <c r="U8" s="8" t="inlineStr">
        <is>
          <t>Naturally fermented (residual)</t>
        </is>
      </c>
      <c r="V8" s="8" t="inlineStr">
        <is>
          <t>Probiotics, organic, gut health, glass-bottle quality</t>
        </is>
      </c>
      <c r="W8" s="11" t="n"/>
      <c r="X8" s="11" t="n"/>
      <c r="Y8" s="11" t="n"/>
      <c r="Z8" s="11" t="n"/>
      <c r="AA8" s="8" t="inlineStr">
        <is>
          <t>Medium</t>
        </is>
      </c>
      <c r="AB8" s="8" t="inlineStr">
        <is>
          <t>Premium kombucha; strong natural channel</t>
        </is>
      </c>
      <c r="AC8" s="8" t="inlineStr">
        <is>
          <t>Premium small-batch organic kombucha</t>
        </is>
      </c>
      <c r="AD8" s="8" t="inlineStr">
        <is>
          <t>Premium organic kombucha taste and quality cues.</t>
        </is>
      </c>
      <c r="AE8" s="11" t="n"/>
      <c r="AF8" s="8" t="n">
        <v>473</v>
      </c>
      <c r="AG8" s="9" t="n"/>
      <c r="AH8" s="8" t="inlineStr">
        <is>
          <t>Secondary/approx; NOT verified on Amazon.ca</t>
        </is>
      </c>
      <c r="AI8" s="8" t="inlineStr">
        <is>
          <t>BLANK → requires live Amazon.ca capture</t>
        </is>
      </c>
      <c r="AJ8" s="8" t="inlineStr">
        <is>
          <t>⚠ Unverified commercial data</t>
        </is>
      </c>
    </row>
    <row r="9" ht="60" customHeight="1">
      <c r="A9" s="8" t="inlineStr">
        <is>
          <t>Remedy</t>
        </is>
      </c>
      <c r="B9" s="8" t="inlineStr">
        <is>
          <t>Remedy Kombucha</t>
        </is>
      </c>
      <c r="C9" s="8" t="inlineStr">
        <is>
          <t>3) Functional beverage (still/sparkling)</t>
        </is>
      </c>
      <c r="D9" s="8" t="inlineStr">
        <is>
          <t>250 mL can</t>
        </is>
      </c>
      <c r="E9" s="8" t="n">
        <v>12</v>
      </c>
      <c r="F9" s="9" t="n"/>
      <c r="G9" s="10">
        <f>IF(AND(ISNUMBER($F9),ISNUMBER($E9),$E9&lt;&gt;0),$F9/$E9,"")</f>
        <v/>
      </c>
      <c r="H9" s="10">
        <f>IF(AND(ISNUMBER($F9),ISNUMBER($AF9),ISNUMBER($E9),($AF9*$E9)&lt;&gt;0),$F9/($AF9*$E9)*100,"")</f>
        <v/>
      </c>
      <c r="I9" s="11" t="n"/>
      <c r="J9" s="12" t="n"/>
      <c r="K9" s="10">
        <f>IF(AND(ISNUMBER($F9),ISNUMBER($J9)),$F9*(1-$J9),"")</f>
        <v/>
      </c>
      <c r="L9" s="11" t="n"/>
      <c r="M9" s="11" t="n"/>
      <c r="N9" s="10">
        <f>IF(ISNUMBER($F9),($F9-IF(ISNUMBER($AG9),$AG9,0))*(1-IF(ISNUMBER($J9),$J9,0)),"")</f>
        <v/>
      </c>
      <c r="O9" s="8" t="inlineStr">
        <is>
          <t>Raspberry Lemonade, Ginger Lemon, Peach, Cherry Plum, Passionfruit</t>
        </is>
      </c>
      <c r="P9" s="13" t="n">
        <v>10</v>
      </c>
      <c r="Q9" s="13" t="n">
        <v>5</v>
      </c>
      <c r="R9" s="8" t="inlineStr">
        <is>
          <t>Not listed</t>
        </is>
      </c>
      <c r="S9" s="13" t="n">
        <v>0</v>
      </c>
      <c r="T9" s="13" t="n">
        <v>8</v>
      </c>
      <c r="U9" s="8" t="inlineStr">
        <is>
          <t>None (sugar-free fermented)</t>
        </is>
      </c>
      <c r="V9" s="8" t="inlineStr">
        <is>
          <t>Sugar-free kombucha, live cultures, organic acids</t>
        </is>
      </c>
      <c r="W9" s="11" t="n"/>
      <c r="X9" s="11" t="n"/>
      <c r="Y9" s="11" t="n"/>
      <c r="Z9" s="11" t="n"/>
      <c r="AA9" s="8" t="inlineStr">
        <is>
          <t>Medium</t>
        </is>
      </c>
      <c r="AB9" s="8" t="inlineStr">
        <is>
          <t>Sugar-free kombucha differentiator</t>
        </is>
      </c>
      <c r="AC9" s="8" t="inlineStr">
        <is>
          <t>Kombucha benefits with no sugar</t>
        </is>
      </c>
      <c r="AD9" s="8" t="inlineStr">
        <is>
          <t>Live-culture kombucha at zero sugar.</t>
        </is>
      </c>
      <c r="AE9" s="11" t="n"/>
      <c r="AF9" s="8" t="n">
        <v>250</v>
      </c>
      <c r="AG9" s="9" t="n"/>
      <c r="AH9" s="8" t="inlineStr">
        <is>
          <t>Secondary/approx; NOT verified on Amazon.ca</t>
        </is>
      </c>
      <c r="AI9" s="8" t="inlineStr">
        <is>
          <t>BLANK → requires live Amazon.ca capture</t>
        </is>
      </c>
      <c r="AJ9" s="8" t="inlineStr">
        <is>
          <t>⚠ Unverified commercial data</t>
        </is>
      </c>
    </row>
    <row r="10" ht="60" customHeight="1">
      <c r="A10" s="8" t="inlineStr">
        <is>
          <t>Recess</t>
        </is>
      </c>
      <c r="B10" s="8" t="inlineStr">
        <is>
          <t>Recess Mood</t>
        </is>
      </c>
      <c r="C10" s="8" t="inlineStr">
        <is>
          <t>3) Functional beverage (still/sparkling)</t>
        </is>
      </c>
      <c r="D10" s="8" t="inlineStr">
        <is>
          <t>355 mL can</t>
        </is>
      </c>
      <c r="E10" s="8" t="n">
        <v>12</v>
      </c>
      <c r="F10" s="9" t="n"/>
      <c r="G10" s="10">
        <f>IF(AND(ISNUMBER($F10),ISNUMBER($E10),$E10&lt;&gt;0),$F10/$E10,"")</f>
        <v/>
      </c>
      <c r="H10" s="10">
        <f>IF(AND(ISNUMBER($F10),ISNUMBER($AF10),ISNUMBER($E10),($AF10*$E10)&lt;&gt;0),$F10/($AF10*$E10)*100,"")</f>
        <v/>
      </c>
      <c r="I10" s="11" t="n"/>
      <c r="J10" s="12" t="n"/>
      <c r="K10" s="10">
        <f>IF(AND(ISNUMBER($F10),ISNUMBER($J10)),$F10*(1-$J10),"")</f>
        <v/>
      </c>
      <c r="L10" s="11" t="n"/>
      <c r="M10" s="11" t="n"/>
      <c r="N10" s="10">
        <f>IF(ISNUMBER($F10),($F10-IF(ISNUMBER($AG10),$AG10,0))*(1-IF(ISNUMBER($J10),$J10,0)),"")</f>
        <v/>
      </c>
      <c r="O10" s="8" t="inlineStr">
        <is>
          <t>Blackberry Chai, Pomegranate Hibiscus, Blood Orange, Black Cherry, Coconut Lime</t>
        </is>
      </c>
      <c r="P10" s="13" t="n">
        <v>0</v>
      </c>
      <c r="Q10" s="13" t="n">
        <v>10</v>
      </c>
      <c r="R10" s="8" t="inlineStr">
        <is>
          <t>Not listed</t>
        </is>
      </c>
      <c r="S10" s="13" t="n">
        <v>1</v>
      </c>
      <c r="T10" s="13" t="n">
        <v>25</v>
      </c>
      <c r="U10" s="8" t="inlineStr">
        <is>
          <t>Agave + stevia</t>
        </is>
      </c>
      <c r="V10" s="8" t="inlineStr">
        <is>
          <t>Adaptogens + magnesium + L-theanine, calm/de-stress</t>
        </is>
      </c>
      <c r="W10" s="11" t="n"/>
      <c r="X10" s="11" t="n"/>
      <c r="Y10" s="11" t="n"/>
      <c r="Z10" s="11" t="n"/>
      <c r="AA10" s="8" t="inlineStr">
        <is>
          <t>Medium</t>
        </is>
      </c>
      <c r="AB10" s="8" t="inlineStr">
        <is>
          <t>Leading calming/adaptogen sparkling brand</t>
        </is>
      </c>
      <c r="AC10" s="8" t="inlineStr">
        <is>
          <t>A sparkling drink designed to calm you down</t>
        </is>
      </c>
      <c r="AD10" s="8" t="inlineStr">
        <is>
          <t>Adaptogens and L-theanine for relaxation, not energy.</t>
        </is>
      </c>
      <c r="AE10" s="11" t="n"/>
      <c r="AF10" s="8" t="n">
        <v>355</v>
      </c>
      <c r="AG10" s="9" t="n"/>
      <c r="AH10" s="8" t="inlineStr">
        <is>
          <t>Secondary/approx; NOT verified on Amazon.ca</t>
        </is>
      </c>
      <c r="AI10" s="8" t="inlineStr">
        <is>
          <t>BLANK → requires live Amazon.ca capture</t>
        </is>
      </c>
      <c r="AJ10" s="8" t="inlineStr">
        <is>
          <t>⚠ Unverified commercial data</t>
        </is>
      </c>
    </row>
    <row r="11" ht="60" customHeight="1">
      <c r="A11" s="8" t="inlineStr">
        <is>
          <t>Protein2o</t>
        </is>
      </c>
      <c r="B11" s="8" t="inlineStr">
        <is>
          <t>Protein2o Protein Infused Water</t>
        </is>
      </c>
      <c r="C11" s="8" t="inlineStr">
        <is>
          <t>3) Functional beverage (still/sparkling)</t>
        </is>
      </c>
      <c r="D11" s="8" t="inlineStr">
        <is>
          <t>500 mL bottle</t>
        </is>
      </c>
      <c r="E11" s="8" t="n">
        <v>12</v>
      </c>
      <c r="F11" s="9" t="n"/>
      <c r="G11" s="10">
        <f>IF(AND(ISNUMBER($F11),ISNUMBER($E11),$E11&lt;&gt;0),$F11/$E11,"")</f>
        <v/>
      </c>
      <c r="H11" s="10">
        <f>IF(AND(ISNUMBER($F11),ISNUMBER($AF11),ISNUMBER($E11),($AF11*$E11)&lt;&gt;0),$F11/($AF11*$E11)*100,"")</f>
        <v/>
      </c>
      <c r="I11" s="11" t="n"/>
      <c r="J11" s="12" t="n"/>
      <c r="K11" s="10">
        <f>IF(AND(ISNUMBER($F11),ISNUMBER($J11)),$F11*(1-$J11),"")</f>
        <v/>
      </c>
      <c r="L11" s="11" t="n"/>
      <c r="M11" s="11" t="n"/>
      <c r="N11" s="10">
        <f>IF(ISNUMBER($F11),($F11-IF(ISNUMBER($AG11),$AG11,0))*(1-IF(ISNUMBER($J11),$J11,0)),"")</f>
        <v/>
      </c>
      <c r="O11" s="8" t="inlineStr">
        <is>
          <t>Wild Cherry, Mixed Berry, Tropical Coconut, Peach Mango, Blueberry Raspberry</t>
        </is>
      </c>
      <c r="P11" s="13" t="n">
        <v>0</v>
      </c>
      <c r="Q11" s="13" t="n">
        <v>120</v>
      </c>
      <c r="R11" s="8" t="inlineStr">
        <is>
          <t>Not listed</t>
        </is>
      </c>
      <c r="S11" s="13" t="n">
        <v>1</v>
      </c>
      <c r="T11" s="13" t="n">
        <v>70</v>
      </c>
      <c r="U11" s="8" t="inlineStr">
        <is>
          <t>Sucralose + acesulfame-K</t>
        </is>
      </c>
      <c r="V11" s="8" t="inlineStr">
        <is>
          <t>15 g whey protein isolate, electrolytes, low calorie</t>
        </is>
      </c>
      <c r="W11" s="11" t="n"/>
      <c r="X11" s="11" t="n"/>
      <c r="Y11" s="11" t="n"/>
      <c r="Z11" s="11" t="n"/>
      <c r="AA11" s="8" t="inlineStr">
        <is>
          <t>Medium</t>
        </is>
      </c>
      <c r="AB11" s="8" t="inlineStr">
        <is>
          <t>Leading protein-water; fitness shoppers</t>
        </is>
      </c>
      <c r="AC11" s="8" t="inlineStr">
        <is>
          <t>15 g of protein in a light, clear water</t>
        </is>
      </c>
      <c r="AD11" s="8" t="inlineStr">
        <is>
          <t>Real protein dose without a heavy milkshake texture.</t>
        </is>
      </c>
      <c r="AE11" s="11" t="n"/>
      <c r="AF11" s="8" t="n">
        <v>500</v>
      </c>
      <c r="AG11" s="9" t="n"/>
      <c r="AH11" s="8" t="inlineStr">
        <is>
          <t>Secondary/approx; NOT verified on Amazon.ca</t>
        </is>
      </c>
      <c r="AI11" s="8" t="inlineStr">
        <is>
          <t>BLANK → requires live Amazon.ca capture</t>
        </is>
      </c>
      <c r="AJ11" s="8" t="inlineStr">
        <is>
          <t>⚠ Unverified commercial data</t>
        </is>
      </c>
    </row>
    <row r="12" ht="60" customHeight="1">
      <c r="A12" s="8" t="inlineStr">
        <is>
          <t>vitaminwater</t>
        </is>
      </c>
      <c r="B12" s="8" t="inlineStr">
        <is>
          <t>vitaminwater (glacéau)</t>
        </is>
      </c>
      <c r="C12" s="8" t="inlineStr">
        <is>
          <t>3) Functional beverage (still/sparkling)</t>
        </is>
      </c>
      <c r="D12" s="8" t="inlineStr">
        <is>
          <t>591 mL bottle</t>
        </is>
      </c>
      <c r="E12" s="8" t="n">
        <v>12</v>
      </c>
      <c r="F12" s="9" t="n"/>
      <c r="G12" s="10">
        <f>IF(AND(ISNUMBER($F12),ISNUMBER($E12),$E12&lt;&gt;0),$F12/$E12,"")</f>
        <v/>
      </c>
      <c r="H12" s="10">
        <f>IF(AND(ISNUMBER($F12),ISNUMBER($AF12),ISNUMBER($E12),($AF12*$E12)&lt;&gt;0),$F12/($AF12*$E12)*100,"")</f>
        <v/>
      </c>
      <c r="I12" s="11" t="n"/>
      <c r="J12" s="12" t="n"/>
      <c r="K12" s="10">
        <f>IF(AND(ISNUMBER($F12),ISNUMBER($J12)),$F12*(1-$J12),"")</f>
        <v/>
      </c>
      <c r="L12" s="11" t="n"/>
      <c r="M12" s="11" t="n"/>
      <c r="N12" s="10">
        <f>IF(ISNUMBER($F12),($F12-IF(ISNUMBER($AG12),$AG12,0))*(1-IF(ISNUMBER($J12),$J12,0)),"")</f>
        <v/>
      </c>
      <c r="O12" s="8" t="inlineStr">
        <is>
          <t>XXX Açai-Blueberry-Pomegranate, Power-C Dragonfruit, Focus Kiwi-Strawberry, Energy Tropical Citrus</t>
        </is>
      </c>
      <c r="P12" s="13" t="n">
        <v>50</v>
      </c>
      <c r="Q12" s="13" t="n">
        <v>0</v>
      </c>
      <c r="R12" s="8" t="inlineStr">
        <is>
          <t>Not listed</t>
        </is>
      </c>
      <c r="S12" s="13" t="n">
        <v>27</v>
      </c>
      <c r="T12" s="13" t="n">
        <v>120</v>
      </c>
      <c r="U12" s="8" t="inlineStr">
        <is>
          <t>Cane sugar + crystalline fructose</t>
        </is>
      </c>
      <c r="V12" s="8" t="inlineStr">
        <is>
          <t>Added vitamins (B, C), function-by-flavour</t>
        </is>
      </c>
      <c r="W12" s="11" t="n"/>
      <c r="X12" s="11" t="n"/>
      <c r="Y12" s="11" t="n"/>
      <c r="Z12" s="11" t="n"/>
      <c r="AA12" s="8" t="inlineStr">
        <is>
          <t>High</t>
        </is>
      </c>
      <c r="AB12" s="8" t="inlineStr">
        <is>
          <t>Established functional water; mass distribution</t>
        </is>
      </c>
      <c r="AC12" s="8" t="inlineStr">
        <is>
          <t>Flavoured water with a vitamin function story</t>
        </is>
      </c>
      <c r="AD12" s="8" t="inlineStr">
        <is>
          <t>Familiar vitamin-enhanced water in many functional flavours.</t>
        </is>
      </c>
      <c r="AE12" s="11" t="n"/>
      <c r="AF12" s="8" t="n">
        <v>591</v>
      </c>
      <c r="AG12" s="9" t="n"/>
      <c r="AH12" s="8" t="inlineStr">
        <is>
          <t>Secondary/approx; NOT verified on Amazon.ca</t>
        </is>
      </c>
      <c r="AI12" s="8" t="inlineStr">
        <is>
          <t>BLANK → requires live Amazon.ca capture</t>
        </is>
      </c>
      <c r="AJ12" s="8" t="inlineStr">
        <is>
          <t>⚠ Unverified commercial data</t>
        </is>
      </c>
    </row>
    <row r="13" ht="60" customHeight="1">
      <c r="A13" s="8" t="inlineStr">
        <is>
          <t>vitaminwater</t>
        </is>
      </c>
      <c r="B13" s="8" t="inlineStr">
        <is>
          <t>vitaminwater zero sugar</t>
        </is>
      </c>
      <c r="C13" s="8" t="inlineStr">
        <is>
          <t>3) Functional beverage (still/sparkling)</t>
        </is>
      </c>
      <c r="D13" s="8" t="inlineStr">
        <is>
          <t>591 mL bottle</t>
        </is>
      </c>
      <c r="E13" s="8" t="n">
        <v>12</v>
      </c>
      <c r="F13" s="9" t="n"/>
      <c r="G13" s="10">
        <f>IF(AND(ISNUMBER($F13),ISNUMBER($E13),$E13&lt;&gt;0),$F13/$E13,"")</f>
        <v/>
      </c>
      <c r="H13" s="10">
        <f>IF(AND(ISNUMBER($F13),ISNUMBER($AF13),ISNUMBER($E13),($AF13*$E13)&lt;&gt;0),$F13/($AF13*$E13)*100,"")</f>
        <v/>
      </c>
      <c r="I13" s="11" t="n"/>
      <c r="J13" s="12" t="n"/>
      <c r="K13" s="10">
        <f>IF(AND(ISNUMBER($F13),ISNUMBER($J13)),$F13*(1-$J13),"")</f>
        <v/>
      </c>
      <c r="L13" s="11" t="n"/>
      <c r="M13" s="11" t="n"/>
      <c r="N13" s="10">
        <f>IF(ISNUMBER($F13),($F13-IF(ISNUMBER($AG13),$AG13,0))*(1-IF(ISNUMBER($J13),$J13,0)),"")</f>
        <v/>
      </c>
      <c r="O13" s="8" t="inlineStr">
        <is>
          <t>XXX, Power-C, Squeezed Lemonade, Rise Orange</t>
        </is>
      </c>
      <c r="P13" s="13" t="n">
        <v>0</v>
      </c>
      <c r="Q13" s="13" t="n">
        <v>0</v>
      </c>
      <c r="R13" s="8" t="inlineStr">
        <is>
          <t>Not listed</t>
        </is>
      </c>
      <c r="S13" s="13" t="n">
        <v>0</v>
      </c>
      <c r="T13" s="13" t="n">
        <v>0</v>
      </c>
      <c r="U13" s="8" t="inlineStr">
        <is>
          <t>Stevia + erythritol</t>
        </is>
      </c>
      <c r="V13" s="8" t="inlineStr">
        <is>
          <t>Vitamins, zero sugar</t>
        </is>
      </c>
      <c r="W13" s="11" t="n"/>
      <c r="X13" s="11" t="n"/>
      <c r="Y13" s="11" t="n"/>
      <c r="Z13" s="11" t="n"/>
      <c r="AA13" s="8" t="inlineStr">
        <is>
          <t>High</t>
        </is>
      </c>
      <c r="AB13" s="8" t="inlineStr">
        <is>
          <t>Strong zero-sugar variant</t>
        </is>
      </c>
      <c r="AC13" s="8" t="inlineStr">
        <is>
          <t>Vitamin water with zero sugar</t>
        </is>
      </c>
      <c r="AD13" s="8" t="inlineStr">
        <is>
          <t>The vitamin story without the sugar.</t>
        </is>
      </c>
      <c r="AE13" s="11" t="n"/>
      <c r="AF13" s="8" t="n">
        <v>591</v>
      </c>
      <c r="AG13" s="9" t="n"/>
      <c r="AH13" s="8" t="inlineStr">
        <is>
          <t>Secondary/approx; NOT verified on Amazon.ca</t>
        </is>
      </c>
      <c r="AI13" s="8" t="inlineStr">
        <is>
          <t>BLANK → requires live Amazon.ca capture</t>
        </is>
      </c>
      <c r="AJ13" s="8" t="inlineStr">
        <is>
          <t>⚠ Unverified commercial data</t>
        </is>
      </c>
    </row>
    <row r="14" ht="60" customHeight="1">
      <c r="A14" s="8" t="inlineStr">
        <is>
          <t>Bai</t>
        </is>
      </c>
      <c r="B14" s="8" t="inlineStr">
        <is>
          <t>Bai Antioxidant Infusion</t>
        </is>
      </c>
      <c r="C14" s="8" t="inlineStr">
        <is>
          <t>3) Functional beverage (still/sparkling)</t>
        </is>
      </c>
      <c r="D14" s="8" t="inlineStr">
        <is>
          <t>530 mL bottle</t>
        </is>
      </c>
      <c r="E14" s="8" t="n">
        <v>12</v>
      </c>
      <c r="F14" s="9" t="n"/>
      <c r="G14" s="10">
        <f>IF(AND(ISNUMBER($F14),ISNUMBER($E14),$E14&lt;&gt;0),$F14/$E14,"")</f>
        <v/>
      </c>
      <c r="H14" s="10">
        <f>IF(AND(ISNUMBER($F14),ISNUMBER($AF14),ISNUMBER($E14),($AF14*$E14)&lt;&gt;0),$F14/($AF14*$E14)*100,"")</f>
        <v/>
      </c>
      <c r="I14" s="11" t="n"/>
      <c r="J14" s="12" t="n"/>
      <c r="K14" s="10">
        <f>IF(AND(ISNUMBER($F14),ISNUMBER($J14)),$F14*(1-$J14),"")</f>
        <v/>
      </c>
      <c r="L14" s="11" t="n"/>
      <c r="M14" s="11" t="n"/>
      <c r="N14" s="10">
        <f>IF(ISNUMBER($F14),($F14-IF(ISNUMBER($AG14),$AG14,0))*(1-IF(ISNUMBER($J14),$J14,0)),"")</f>
        <v/>
      </c>
      <c r="O14" s="8" t="inlineStr">
        <is>
          <t>Brasilia Blueberry, Costa Rica Clementine, Molokai Coconut, Ipanema Pomegranate</t>
        </is>
      </c>
      <c r="P14" s="13" t="n">
        <v>35</v>
      </c>
      <c r="Q14" s="13" t="n">
        <v>10</v>
      </c>
      <c r="R14" s="8" t="inlineStr">
        <is>
          <t>Not listed</t>
        </is>
      </c>
      <c r="S14" s="13" t="n">
        <v>1</v>
      </c>
      <c r="T14" s="13" t="n">
        <v>10</v>
      </c>
      <c r="U14" s="8" t="inlineStr">
        <is>
          <t>Erythritol + stevia</t>
        </is>
      </c>
      <c r="V14" s="8" t="inlineStr">
        <is>
          <t>Antioxidants, low sugar, low calorie</t>
        </is>
      </c>
      <c r="W14" s="11" t="n"/>
      <c r="X14" s="11" t="n"/>
      <c r="Y14" s="11" t="n"/>
      <c r="Z14" s="11" t="n"/>
      <c r="AA14" s="8" t="inlineStr">
        <is>
          <t>Medium</t>
        </is>
      </c>
      <c r="AB14" s="8" t="inlineStr">
        <is>
          <t>Established low-sugar functional flavoured water</t>
        </is>
      </c>
      <c r="AC14" s="8" t="inlineStr">
        <is>
          <t>Antioxidant flavoured water, barely any sugar</t>
        </is>
      </c>
      <c r="AD14" s="8" t="inlineStr">
        <is>
          <t>Flavour with antioxidants and almost no sugar.</t>
        </is>
      </c>
      <c r="AE14" s="11" t="n"/>
      <c r="AF14" s="8" t="n">
        <v>530</v>
      </c>
      <c r="AG14" s="9" t="n"/>
      <c r="AH14" s="8" t="inlineStr">
        <is>
          <t>Secondary/approx; NOT verified on Amazon.ca</t>
        </is>
      </c>
      <c r="AI14" s="8" t="inlineStr">
        <is>
          <t>BLANK → requires live Amazon.ca capture</t>
        </is>
      </c>
      <c r="AJ14" s="8" t="inlineStr">
        <is>
          <t>⚠ Unverified commercial data</t>
        </is>
      </c>
    </row>
    <row r="15" ht="60" customHeight="1">
      <c r="A15" s="8" t="inlineStr">
        <is>
          <t>Hint</t>
        </is>
      </c>
      <c r="B15" s="8" t="inlineStr">
        <is>
          <t>Hint Water (fruit-infused)</t>
        </is>
      </c>
      <c r="C15" s="8" t="inlineStr">
        <is>
          <t>3) Functional beverage (still/sparkling)</t>
        </is>
      </c>
      <c r="D15" s="8" t="inlineStr">
        <is>
          <t>473 mL bottle</t>
        </is>
      </c>
      <c r="E15" s="8" t="n">
        <v>12</v>
      </c>
      <c r="F15" s="9" t="n"/>
      <c r="G15" s="10">
        <f>IF(AND(ISNUMBER($F15),ISNUMBER($E15),$E15&lt;&gt;0),$F15/$E15,"")</f>
        <v/>
      </c>
      <c r="H15" s="10">
        <f>IF(AND(ISNUMBER($F15),ISNUMBER($AF15),ISNUMBER($E15),($AF15*$E15)&lt;&gt;0),$F15/($AF15*$E15)*100,"")</f>
        <v/>
      </c>
      <c r="I15" s="11" t="n"/>
      <c r="J15" s="12" t="n"/>
      <c r="K15" s="10">
        <f>IF(AND(ISNUMBER($F15),ISNUMBER($J15)),$F15*(1-$J15),"")</f>
        <v/>
      </c>
      <c r="L15" s="11" t="n"/>
      <c r="M15" s="11" t="n"/>
      <c r="N15" s="10">
        <f>IF(ISNUMBER($F15),($F15-IF(ISNUMBER($AG15),$AG15,0))*(1-IF(ISNUMBER($J15),$J15,0)),"")</f>
        <v/>
      </c>
      <c r="O15" s="8" t="inlineStr">
        <is>
          <t>Watermelon, Blackberry, Cherry, Pineapple, Peach, Crisp Apple</t>
        </is>
      </c>
      <c r="P15" s="13" t="n">
        <v>0</v>
      </c>
      <c r="Q15" s="13" t="n">
        <v>0</v>
      </c>
      <c r="R15" s="8" t="inlineStr">
        <is>
          <t>Not listed</t>
        </is>
      </c>
      <c r="S15" s="13" t="n">
        <v>0</v>
      </c>
      <c r="T15" s="13" t="n">
        <v>0</v>
      </c>
      <c r="U15" s="8" t="inlineStr">
        <is>
          <t>None (fruit essence only)</t>
        </is>
      </c>
      <c r="V15" s="8" t="inlineStr">
        <is>
          <t>Zero sweetener, zero sugar, zero calorie, just fruit essence</t>
        </is>
      </c>
      <c r="W15" s="11" t="n"/>
      <c r="X15" s="11" t="n"/>
      <c r="Y15" s="11" t="n"/>
      <c r="Z15" s="11" t="n"/>
      <c r="AA15" s="8" t="inlineStr">
        <is>
          <t>Medium</t>
        </is>
      </c>
      <c r="AB15" s="8" t="inlineStr">
        <is>
          <t>Leading unsweetened flavoured water</t>
        </is>
      </c>
      <c r="AC15" s="8" t="inlineStr">
        <is>
          <t>Fruit-flavoured water with absolutely no sweetener</t>
        </is>
      </c>
      <c r="AD15" s="8" t="inlineStr">
        <is>
          <t>Real fruit essence with zero sweeteners of any kind.</t>
        </is>
      </c>
      <c r="AE15" s="11" t="n"/>
      <c r="AF15" s="8" t="n">
        <v>473</v>
      </c>
      <c r="AG15" s="9" t="n"/>
      <c r="AH15" s="8" t="inlineStr">
        <is>
          <t>Secondary/approx; NOT verified on Amazon.ca</t>
        </is>
      </c>
      <c r="AI15" s="8" t="inlineStr">
        <is>
          <t>BLANK → requires live Amazon.ca capture</t>
        </is>
      </c>
      <c r="AJ15" s="8" t="inlineStr">
        <is>
          <t>⚠ Unverified commercial data</t>
        </is>
      </c>
    </row>
  </sheetData>
  <autoFilter ref="A1:AJ15"/>
  <conditionalFormatting sqref="AJ2:AJ15">
    <cfRule type="expression" priority="1" dxfId="0">
      <formula>ISBLANK($F2)</formula>
    </cfRule>
  </conditionalFormatting>
  <dataValidations count="1">
    <dataValidation sqref="I2:I1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  <col width="16" customWidth="1" min="4" max="4"/>
    <col width="9" customWidth="1" min="5" max="5"/>
    <col width="14" customWidth="1" min="6" max="6"/>
    <col width="13" customWidth="1" min="7" max="7"/>
    <col width="13" customWidth="1" min="8" max="8"/>
    <col width="11" customWidth="1" min="9" max="9"/>
    <col width="12" customWidth="1" min="10" max="10"/>
    <col width="14" customWidth="1" min="11" max="11"/>
    <col width="18" customWidth="1" min="12" max="12"/>
    <col width="22" customWidth="1" min="13" max="13"/>
    <col width="16" customWidth="1" min="14" max="14"/>
    <col width="40" customWidth="1" min="15" max="15"/>
    <col width="12" customWidth="1" min="16" max="16"/>
    <col width="12" customWidth="1" min="17" max="17"/>
    <col width="12" customWidth="1" min="18" max="18"/>
    <col width="11" customWidth="1" min="19" max="19"/>
    <col width="11" customWidth="1" min="20" max="20"/>
    <col width="24" customWidth="1" min="21" max="21"/>
    <col width="34" customWidth="1" min="22" max="22"/>
    <col width="10" customWidth="1" min="23" max="23"/>
    <col width="12" customWidth="1" min="24" max="24"/>
    <col width="16" customWidth="1" min="25" max="25"/>
    <col width="14" customWidth="1" min="26" max="26"/>
    <col width="14" customWidth="1" min="27" max="27"/>
    <col width="34" customWidth="1" min="28" max="28"/>
    <col width="40" customWidth="1" min="29" max="29"/>
    <col width="46" customWidth="1" min="30" max="30"/>
    <col width="22" customWidth="1" min="31" max="31"/>
    <col width="12" customWidth="1" min="32" max="32"/>
    <col width="13" customWidth="1" min="33" max="33"/>
    <col width="30" customWidth="1" min="34" max="34"/>
    <col width="26" customWidth="1" min="35" max="35"/>
    <col width="22" customWidth="1" min="36" max="36"/>
  </cols>
  <sheetData>
    <row r="1" ht="42" customHeight="1">
      <c r="A1" s="6" t="inlineStr">
        <is>
          <t>1. Brand</t>
        </is>
      </c>
      <c r="B1" s="6" t="inlineStr">
        <is>
          <t>2. Product Line / SKU Name</t>
        </is>
      </c>
      <c r="C1" s="6" t="inlineStr">
        <is>
          <t>3. Category</t>
        </is>
      </c>
      <c r="D1" s="6" t="inlineStr">
        <is>
          <t>4. Format &amp; Size</t>
        </is>
      </c>
      <c r="E1" s="6" t="inlineStr">
        <is>
          <t>5. Pack Count</t>
        </is>
      </c>
      <c r="F1" s="6" t="inlineStr">
        <is>
          <t>6. One-Time Price (CAD)</t>
        </is>
      </c>
      <c r="G1" s="6" t="inlineStr">
        <is>
          <t>7. Price / Unit (CAD)</t>
        </is>
      </c>
      <c r="H1" s="6" t="inlineStr">
        <is>
          <t>8. Price / 100 mL (CAD)</t>
        </is>
      </c>
      <c r="I1" s="6" t="inlineStr">
        <is>
          <t>9. S&amp;S Offered (Y/N)</t>
        </is>
      </c>
      <c r="J1" s="6" t="inlineStr">
        <is>
          <t>10. S&amp;S Discount %</t>
        </is>
      </c>
      <c r="K1" s="6" t="inlineStr">
        <is>
          <t>11. S&amp;S Price After Disc.</t>
        </is>
      </c>
      <c r="L1" s="6" t="inlineStr">
        <is>
          <t>12. Coupon on Listing (Y/N + value)</t>
        </is>
      </c>
      <c r="M1" s="6" t="inlineStr">
        <is>
          <t>13. Promotion Text</t>
        </is>
      </c>
      <c r="N1" s="6" t="inlineStr">
        <is>
          <t>14. Lowest Effective Price (stacked)</t>
        </is>
      </c>
      <c r="O1" s="6" t="inlineStr">
        <is>
          <t>15. All Flavours in Listing</t>
        </is>
      </c>
      <c r="P1" s="6" t="inlineStr">
        <is>
          <t>16. Caffeine / Serving (mg)</t>
        </is>
      </c>
      <c r="Q1" s="6" t="inlineStr">
        <is>
          <t>17. Sodium / Serving (mg)</t>
        </is>
      </c>
      <c r="R1" s="6" t="inlineStr">
        <is>
          <t>18. Potassium / Serving (mg)</t>
        </is>
      </c>
      <c r="S1" s="6" t="inlineStr">
        <is>
          <t>19. Sugar / Serving (g)</t>
        </is>
      </c>
      <c r="T1" s="6" t="inlineStr">
        <is>
          <t>20. Calories / Serving</t>
        </is>
      </c>
      <c r="U1" s="6" t="inlineStr">
        <is>
          <t>21. Sweetener Type</t>
        </is>
      </c>
      <c r="V1" s="6" t="inlineStr">
        <is>
          <t>22. Key Functional Claims</t>
        </is>
      </c>
      <c r="W1" s="6" t="inlineStr">
        <is>
          <t>23. Star Rating</t>
        </is>
      </c>
      <c r="X1" s="6" t="inlineStr">
        <is>
          <t>24. Number of Ratings</t>
        </is>
      </c>
      <c r="Y1" s="6" t="inlineStr">
        <is>
          <t>25. Amazon Badge</t>
        </is>
      </c>
      <c r="Z1" s="6" t="inlineStr">
        <is>
          <t>26. Bestseller Rank in Category</t>
        </is>
      </c>
      <c r="AA1" s="6" t="inlineStr">
        <is>
          <t>27a. Est. Weekly Velocity (band)</t>
        </is>
      </c>
      <c r="AB1" s="6" t="inlineStr">
        <is>
          <t>27b. Velocity Signal Used</t>
        </is>
      </c>
      <c r="AC1" s="6" t="inlineStr">
        <is>
          <t>28. Biggest Selling Message</t>
        </is>
      </c>
      <c r="AD1" s="6" t="inlineStr">
        <is>
          <t>29. Why a Shopper Chooses This</t>
        </is>
      </c>
      <c r="AE1" s="6" t="inlineStr">
        <is>
          <t>30. Direct Product URL</t>
        </is>
      </c>
      <c r="AF1" s="6" t="inlineStr">
        <is>
          <t>H1. Unit Vol (mL) [calc helper]</t>
        </is>
      </c>
      <c r="AG1" s="6" t="inlineStr">
        <is>
          <t>H2. Coupon Value (CAD) [calc helper]</t>
        </is>
      </c>
      <c r="AH1" s="6" t="inlineStr">
        <is>
          <t>P1. Attribute Provenance</t>
        </is>
      </c>
      <c r="AI1" s="6" t="inlineStr">
        <is>
          <t>P2. Commercial-Field Status</t>
        </is>
      </c>
      <c r="AJ1" s="6" t="inlineStr">
        <is>
          <t>P3. Row Flag</t>
        </is>
      </c>
    </row>
    <row r="2" ht="60" customHeight="1">
      <c r="A2" s="8" t="inlineStr">
        <is>
          <t>Red Bull</t>
        </is>
      </c>
      <c r="B2" s="8" t="inlineStr">
        <is>
          <t>Red Bull Energy Drink</t>
        </is>
      </c>
      <c r="C2" s="8" t="inlineStr">
        <is>
          <t>4) Caffeine &amp; energy beverage</t>
        </is>
      </c>
      <c r="D2" s="8" t="inlineStr">
        <is>
          <t>250 mL can</t>
        </is>
      </c>
      <c r="E2" s="8" t="n">
        <v>24</v>
      </c>
      <c r="F2" s="9" t="n"/>
      <c r="G2" s="10">
        <f>IF(AND(ISNUMBER($F2),ISNUMBER($E2),$E2&lt;&gt;0),$F2/$E2,"")</f>
        <v/>
      </c>
      <c r="H2" s="10">
        <f>IF(AND(ISNUMBER($F2),ISNUMBER($AF2),ISNUMBER($E2),($AF2*$E2)&lt;&gt;0),$F2/($AF2*$E2)*100,"")</f>
        <v/>
      </c>
      <c r="I2" s="11" t="n"/>
      <c r="J2" s="12" t="n"/>
      <c r="K2" s="10">
        <f>IF(AND(ISNUMBER($F2),ISNUMBER($J2)),$F2*(1-$J2),"")</f>
        <v/>
      </c>
      <c r="L2" s="11" t="n"/>
      <c r="M2" s="11" t="n"/>
      <c r="N2" s="10">
        <f>IF(ISNUMBER($F2),($F2-IF(ISNUMBER($AG2),$AG2,0))*(1-IF(ISNUMBER($J2),$J2,0)),"")</f>
        <v/>
      </c>
      <c r="O2" s="8" t="inlineStr">
        <is>
          <t>Original</t>
        </is>
      </c>
      <c r="P2" s="13" t="n">
        <v>80</v>
      </c>
      <c r="Q2" s="13" t="n">
        <v>105</v>
      </c>
      <c r="R2" s="8" t="inlineStr">
        <is>
          <t>Not listed</t>
        </is>
      </c>
      <c r="S2" s="13" t="n">
        <v>27</v>
      </c>
      <c r="T2" s="13" t="n">
        <v>112</v>
      </c>
      <c r="U2" s="8" t="inlineStr">
        <is>
          <t>Sucrose + glucose</t>
        </is>
      </c>
      <c r="V2" s="8" t="inlineStr">
        <is>
          <t>Energy, focus, taurine + B-vitamins</t>
        </is>
      </c>
      <c r="W2" s="11" t="n"/>
      <c r="X2" s="11" t="n"/>
      <c r="Y2" s="11" t="n"/>
      <c r="Z2" s="11" t="n"/>
      <c r="AA2" s="8" t="inlineStr">
        <is>
          <t>Very High</t>
        </is>
      </c>
      <c r="AB2" s="8" t="inlineStr">
        <is>
          <t>Global #1 energy brand; ubiquitous repeat purchase</t>
        </is>
      </c>
      <c r="AC2" s="8" t="inlineStr">
        <is>
          <t>The original wings-giving energy hit</t>
        </is>
      </c>
      <c r="AD2" s="8" t="inlineStr">
        <is>
          <t>Brand trust and ubiquity — the default energy can people already know.</t>
        </is>
      </c>
      <c r="AE2" s="11" t="n"/>
      <c r="AF2" s="8" t="n">
        <v>250</v>
      </c>
      <c r="AG2" s="9" t="n"/>
      <c r="AH2" s="8" t="inlineStr">
        <is>
          <t>Secondary/approx; NOT verified on Amazon.ca</t>
        </is>
      </c>
      <c r="AI2" s="8" t="inlineStr">
        <is>
          <t>BLANK → requires live Amazon.ca capture</t>
        </is>
      </c>
      <c r="AJ2" s="8" t="inlineStr">
        <is>
          <t>⚠ Unverified commercial data</t>
        </is>
      </c>
    </row>
    <row r="3" ht="60" customHeight="1">
      <c r="A3" s="8" t="inlineStr">
        <is>
          <t>Red Bull</t>
        </is>
      </c>
      <c r="B3" s="8" t="inlineStr">
        <is>
          <t>Red Bull Sugarfree</t>
        </is>
      </c>
      <c r="C3" s="8" t="inlineStr">
        <is>
          <t>4) Caffeine &amp; energy beverage</t>
        </is>
      </c>
      <c r="D3" s="8" t="inlineStr">
        <is>
          <t>250 mL can</t>
        </is>
      </c>
      <c r="E3" s="8" t="n">
        <v>12</v>
      </c>
      <c r="F3" s="9" t="n"/>
      <c r="G3" s="10">
        <f>IF(AND(ISNUMBER($F3),ISNUMBER($E3),$E3&lt;&gt;0),$F3/$E3,"")</f>
        <v/>
      </c>
      <c r="H3" s="10">
        <f>IF(AND(ISNUMBER($F3),ISNUMBER($AF3),ISNUMBER($E3),($AF3*$E3)&lt;&gt;0),$F3/($AF3*$E3)*100,"")</f>
        <v/>
      </c>
      <c r="I3" s="11" t="n"/>
      <c r="J3" s="12" t="n"/>
      <c r="K3" s="10">
        <f>IF(AND(ISNUMBER($F3),ISNUMBER($J3)),$F3*(1-$J3),"")</f>
        <v/>
      </c>
      <c r="L3" s="11" t="n"/>
      <c r="M3" s="11" t="n"/>
      <c r="N3" s="10">
        <f>IF(ISNUMBER($F3),($F3-IF(ISNUMBER($AG3),$AG3,0))*(1-IF(ISNUMBER($J3),$J3,0)),"")</f>
        <v/>
      </c>
      <c r="O3" s="8" t="inlineStr">
        <is>
          <t>Original (sugarfree)</t>
        </is>
      </c>
      <c r="P3" s="13" t="n">
        <v>80</v>
      </c>
      <c r="Q3" s="13" t="n">
        <v>105</v>
      </c>
      <c r="R3" s="8" t="inlineStr">
        <is>
          <t>Not listed</t>
        </is>
      </c>
      <c r="S3" s="13" t="n">
        <v>0</v>
      </c>
      <c r="T3" s="13" t="n">
        <v>5</v>
      </c>
      <c r="U3" s="8" t="inlineStr">
        <is>
          <t>Aspartame + acesulfame-K</t>
        </is>
      </c>
      <c r="V3" s="8" t="inlineStr">
        <is>
          <t>Energy, zero sugar, B-vitamins</t>
        </is>
      </c>
      <c r="W3" s="11" t="n"/>
      <c r="X3" s="11" t="n"/>
      <c r="Y3" s="11" t="n"/>
      <c r="Z3" s="11" t="n"/>
      <c r="AA3" s="8" t="inlineStr">
        <is>
          <t>High</t>
        </is>
      </c>
      <c r="AB3" s="8" t="inlineStr">
        <is>
          <t>Strong line extension of #1 brand</t>
        </is>
      </c>
      <c r="AC3" s="8" t="inlineStr">
        <is>
          <t>Red Bull energy, no sugar</t>
        </is>
      </c>
      <c r="AD3" s="8" t="inlineStr">
        <is>
          <t>No sugar without leaving the brand they trust.</t>
        </is>
      </c>
      <c r="AE3" s="11" t="n"/>
      <c r="AF3" s="8" t="n">
        <v>250</v>
      </c>
      <c r="AG3" s="9" t="n"/>
      <c r="AH3" s="8" t="inlineStr">
        <is>
          <t>Secondary/approx; NOT verified on Amazon.ca</t>
        </is>
      </c>
      <c r="AI3" s="8" t="inlineStr">
        <is>
          <t>BLANK → requires live Amazon.ca capture</t>
        </is>
      </c>
      <c r="AJ3" s="8" t="inlineStr">
        <is>
          <t>⚠ Unverified commercial data</t>
        </is>
      </c>
    </row>
    <row r="4" ht="60" customHeight="1">
      <c r="A4" s="8" t="inlineStr">
        <is>
          <t>Monster</t>
        </is>
      </c>
      <c r="B4" s="8" t="inlineStr">
        <is>
          <t>Monster Energy Original (Green)</t>
        </is>
      </c>
      <c r="C4" s="8" t="inlineStr">
        <is>
          <t>4) Caffeine &amp; energy beverage</t>
        </is>
      </c>
      <c r="D4" s="8" t="inlineStr">
        <is>
          <t>473 mL can</t>
        </is>
      </c>
      <c r="E4" s="8" t="n">
        <v>15</v>
      </c>
      <c r="F4" s="9" t="n"/>
      <c r="G4" s="10">
        <f>IF(AND(ISNUMBER($F4),ISNUMBER($E4),$E4&lt;&gt;0),$F4/$E4,"")</f>
        <v/>
      </c>
      <c r="H4" s="10">
        <f>IF(AND(ISNUMBER($F4),ISNUMBER($AF4),ISNUMBER($E4),($AF4*$E4)&lt;&gt;0),$F4/($AF4*$E4)*100,"")</f>
        <v/>
      </c>
      <c r="I4" s="11" t="n"/>
      <c r="J4" s="12" t="n"/>
      <c r="K4" s="10">
        <f>IF(AND(ISNUMBER($F4),ISNUMBER($J4)),$F4*(1-$J4),"")</f>
        <v/>
      </c>
      <c r="L4" s="11" t="n"/>
      <c r="M4" s="11" t="n"/>
      <c r="N4" s="10">
        <f>IF(ISNUMBER($F4),($F4-IF(ISNUMBER($AG4),$AG4,0))*(1-IF(ISNUMBER($J4),$J4,0)),"")</f>
        <v/>
      </c>
      <c r="O4" s="8" t="inlineStr">
        <is>
          <t>Original</t>
        </is>
      </c>
      <c r="P4" s="13" t="n">
        <v>160</v>
      </c>
      <c r="Q4" s="13" t="n">
        <v>370</v>
      </c>
      <c r="R4" s="8" t="inlineStr">
        <is>
          <t>Not listed</t>
        </is>
      </c>
      <c r="S4" s="13" t="n">
        <v>54</v>
      </c>
      <c r="T4" s="13" t="n">
        <v>210</v>
      </c>
      <c r="U4" s="8" t="inlineStr">
        <is>
          <t>Sugar + glucose</t>
        </is>
      </c>
      <c r="V4" s="8" t="inlineStr">
        <is>
          <t>Big energy blend, taurine, ginseng</t>
        </is>
      </c>
      <c r="W4" s="11" t="n"/>
      <c r="X4" s="11" t="n"/>
      <c r="Y4" s="11" t="n"/>
      <c r="Z4" s="11" t="n"/>
      <c r="AA4" s="8" t="inlineStr">
        <is>
          <t>Very High</t>
        </is>
      </c>
      <c r="AB4" s="8" t="inlineStr">
        <is>
          <t>#2 energy brand; huge can = value perception</t>
        </is>
      </c>
      <c r="AC4" s="8" t="inlineStr">
        <is>
          <t>A bigger, harder-hitting energy can</t>
        </is>
      </c>
      <c r="AD4" s="8" t="inlineStr">
        <is>
          <t>Pack economics and high dose — more caffeine and volume per dollar.</t>
        </is>
      </c>
      <c r="AE4" s="11" t="n"/>
      <c r="AF4" s="8" t="n">
        <v>473</v>
      </c>
      <c r="AG4" s="9" t="n"/>
      <c r="AH4" s="8" t="inlineStr">
        <is>
          <t>Secondary/approx; NOT verified on Amazon.ca</t>
        </is>
      </c>
      <c r="AI4" s="8" t="inlineStr">
        <is>
          <t>BLANK → requires live Amazon.ca capture</t>
        </is>
      </c>
      <c r="AJ4" s="8" t="inlineStr">
        <is>
          <t>⚠ Unverified commercial data</t>
        </is>
      </c>
    </row>
    <row r="5" ht="60" customHeight="1">
      <c r="A5" s="8" t="inlineStr">
        <is>
          <t>Monster</t>
        </is>
      </c>
      <c r="B5" s="8" t="inlineStr">
        <is>
          <t>Monster Energy Ultra Zero (White)</t>
        </is>
      </c>
      <c r="C5" s="8" t="inlineStr">
        <is>
          <t>4) Caffeine &amp; energy beverage</t>
        </is>
      </c>
      <c r="D5" s="8" t="inlineStr">
        <is>
          <t>473 mL can</t>
        </is>
      </c>
      <c r="E5" s="8" t="n">
        <v>12</v>
      </c>
      <c r="F5" s="9" t="n"/>
      <c r="G5" s="10">
        <f>IF(AND(ISNUMBER($F5),ISNUMBER($E5),$E5&lt;&gt;0),$F5/$E5,"")</f>
        <v/>
      </c>
      <c r="H5" s="10">
        <f>IF(AND(ISNUMBER($F5),ISNUMBER($AF5),ISNUMBER($E5),($AF5*$E5)&lt;&gt;0),$F5/($AF5*$E5)*100,"")</f>
        <v/>
      </c>
      <c r="I5" s="11" t="n"/>
      <c r="J5" s="12" t="n"/>
      <c r="K5" s="10">
        <f>IF(AND(ISNUMBER($F5),ISNUMBER($J5)),$F5*(1-$J5),"")</f>
        <v/>
      </c>
      <c r="L5" s="11" t="n"/>
      <c r="M5" s="11" t="n"/>
      <c r="N5" s="10">
        <f>IF(ISNUMBER($F5),($F5-IF(ISNUMBER($AG5),$AG5,0))*(1-IF(ISNUMBER($J5),$J5,0)),"")</f>
        <v/>
      </c>
      <c r="O5" s="8" t="inlineStr">
        <is>
          <t>Zero Ultra, Ultra Paradise, Ultra Sunrise, Ultra Watermelon, Ultra Gold</t>
        </is>
      </c>
      <c r="P5" s="13" t="n">
        <v>140</v>
      </c>
      <c r="Q5" s="13" t="n">
        <v>370</v>
      </c>
      <c r="R5" s="8" t="inlineStr">
        <is>
          <t>Not listed</t>
        </is>
      </c>
      <c r="S5" s="13" t="n">
        <v>0</v>
      </c>
      <c r="T5" s="13" t="n">
        <v>10</v>
      </c>
      <c r="U5" s="8" t="inlineStr">
        <is>
          <t>Erythritol + sucralose</t>
        </is>
      </c>
      <c r="V5" s="8" t="inlineStr">
        <is>
          <t>Zero sugar, light taste, full energy</t>
        </is>
      </c>
      <c r="W5" s="11" t="n"/>
      <c r="X5" s="11" t="n"/>
      <c r="Y5" s="11" t="n"/>
      <c r="Z5" s="11" t="n"/>
      <c r="AA5" s="8" t="inlineStr">
        <is>
          <t>Very High</t>
        </is>
      </c>
      <c r="AB5" s="8" t="inlineStr">
        <is>
          <t>Best-selling zero-sugar energy line</t>
        </is>
      </c>
      <c r="AC5" s="8" t="inlineStr">
        <is>
          <t>Full Monster energy, zero sugar, lighter taste</t>
        </is>
      </c>
      <c r="AD5" s="8" t="inlineStr">
        <is>
          <t>No sugar plus a lighter flavour than the green can.</t>
        </is>
      </c>
      <c r="AE5" s="11" t="n"/>
      <c r="AF5" s="8" t="n">
        <v>473</v>
      </c>
      <c r="AG5" s="9" t="n"/>
      <c r="AH5" s="8" t="inlineStr">
        <is>
          <t>Secondary/approx; NOT verified on Amazon.ca</t>
        </is>
      </c>
      <c r="AI5" s="8" t="inlineStr">
        <is>
          <t>BLANK → requires live Amazon.ca capture</t>
        </is>
      </c>
      <c r="AJ5" s="8" t="inlineStr">
        <is>
          <t>⚠ Unverified commercial data</t>
        </is>
      </c>
    </row>
    <row r="6" ht="60" customHeight="1">
      <c r="A6" s="8" t="inlineStr">
        <is>
          <t>Celsius</t>
        </is>
      </c>
      <c r="B6" s="8" t="inlineStr">
        <is>
          <t>Celsius Original Sparkling</t>
        </is>
      </c>
      <c r="C6" s="8" t="inlineStr">
        <is>
          <t>4) Caffeine &amp; energy beverage</t>
        </is>
      </c>
      <c r="D6" s="8" t="inlineStr">
        <is>
          <t>355 mL can</t>
        </is>
      </c>
      <c r="E6" s="8" t="n">
        <v>12</v>
      </c>
      <c r="F6" s="9" t="n"/>
      <c r="G6" s="10">
        <f>IF(AND(ISNUMBER($F6),ISNUMBER($E6),$E6&lt;&gt;0),$F6/$E6,"")</f>
        <v/>
      </c>
      <c r="H6" s="10">
        <f>IF(AND(ISNUMBER($F6),ISNUMBER($AF6),ISNUMBER($E6),($AF6*$E6)&lt;&gt;0),$F6/($AF6*$E6)*100,"")</f>
        <v/>
      </c>
      <c r="I6" s="11" t="n"/>
      <c r="J6" s="12" t="n"/>
      <c r="K6" s="10">
        <f>IF(AND(ISNUMBER($F6),ISNUMBER($J6)),$F6*(1-$J6),"")</f>
        <v/>
      </c>
      <c r="L6" s="11" t="n"/>
      <c r="M6" s="11" t="n"/>
      <c r="N6" s="10">
        <f>IF(ISNUMBER($F6),($F6-IF(ISNUMBER($AG6),$AG6,0))*(1-IF(ISNUMBER($J6),$J6,0)),"")</f>
        <v/>
      </c>
      <c r="O6" s="8" t="inlineStr">
        <is>
          <t>Sparkling Orange, Wild Berry, Kiwi Guava, Cola, Fuji Apple Pear, Sparkling Cranberry</t>
        </is>
      </c>
      <c r="P6" s="13" t="n">
        <v>200</v>
      </c>
      <c r="Q6" s="13" t="n">
        <v>10</v>
      </c>
      <c r="R6" s="13" t="n">
        <v>50</v>
      </c>
      <c r="S6" s="13" t="n">
        <v>0</v>
      </c>
      <c r="T6" s="13" t="n">
        <v>10</v>
      </c>
      <c r="U6" s="8" t="inlineStr">
        <is>
          <t>Sucralose</t>
        </is>
      </c>
      <c r="V6" s="8" t="inlineStr">
        <is>
          <t>Accelerates metabolism, burns body fat (MetaPlus), zero sugar, vitamins</t>
        </is>
      </c>
      <c r="W6" s="11" t="n"/>
      <c r="X6" s="11" t="n"/>
      <c r="Y6" s="11" t="n"/>
      <c r="Z6" s="11" t="n"/>
      <c r="AA6" s="8" t="inlineStr">
        <is>
          <t>Very High</t>
        </is>
      </c>
      <c r="AB6" s="8" t="inlineStr">
        <is>
          <t>Fastest-growing energy brand; fitness crossover</t>
        </is>
      </c>
      <c r="AC6" s="8" t="inlineStr">
        <is>
          <t>Functional energy that claims to boost metabolism</t>
        </is>
      </c>
      <c r="AD6" s="8" t="inlineStr">
        <is>
          <t>No sugar plus a fitness/metabolism story, not just caffeine.</t>
        </is>
      </c>
      <c r="AE6" s="11" t="n"/>
      <c r="AF6" s="8" t="n">
        <v>355</v>
      </c>
      <c r="AG6" s="9" t="n"/>
      <c r="AH6" s="8" t="inlineStr">
        <is>
          <t>Secondary/approx; NOT verified on Amazon.ca</t>
        </is>
      </c>
      <c r="AI6" s="8" t="inlineStr">
        <is>
          <t>BLANK → requires live Amazon.ca capture</t>
        </is>
      </c>
      <c r="AJ6" s="8" t="inlineStr">
        <is>
          <t>⚠ Unverified commercial data</t>
        </is>
      </c>
    </row>
    <row r="7" ht="60" customHeight="1">
      <c r="A7" s="8" t="inlineStr">
        <is>
          <t>Celsius</t>
        </is>
      </c>
      <c r="B7" s="8" t="inlineStr">
        <is>
          <t>Celsius Essentials</t>
        </is>
      </c>
      <c r="C7" s="8" t="inlineStr">
        <is>
          <t>4) Caffeine &amp; energy beverage</t>
        </is>
      </c>
      <c r="D7" s="8" t="inlineStr">
        <is>
          <t>473 mL can</t>
        </is>
      </c>
      <c r="E7" s="8" t="n">
        <v>12</v>
      </c>
      <c r="F7" s="9" t="n"/>
      <c r="G7" s="10">
        <f>IF(AND(ISNUMBER($F7),ISNUMBER($E7),$E7&lt;&gt;0),$F7/$E7,"")</f>
        <v/>
      </c>
      <c r="H7" s="10">
        <f>IF(AND(ISNUMBER($F7),ISNUMBER($AF7),ISNUMBER($E7),($AF7*$E7)&lt;&gt;0),$F7/($AF7*$E7)*100,"")</f>
        <v/>
      </c>
      <c r="I7" s="11" t="n"/>
      <c r="J7" s="12" t="n"/>
      <c r="K7" s="10">
        <f>IF(AND(ISNUMBER($F7),ISNUMBER($J7)),$F7*(1-$J7),"")</f>
        <v/>
      </c>
      <c r="L7" s="11" t="n"/>
      <c r="M7" s="11" t="n"/>
      <c r="N7" s="10">
        <f>IF(ISNUMBER($F7),($F7-IF(ISNUMBER($AG7),$AG7,0))*(1-IF(ISNUMBER($J7),$J7,0)),"")</f>
        <v/>
      </c>
      <c r="O7" s="8" t="inlineStr">
        <is>
          <t>Cosmic Blue, Sparkling Green, Dragonberry, Orange Mango</t>
        </is>
      </c>
      <c r="P7" s="13" t="n">
        <v>270</v>
      </c>
      <c r="Q7" s="13" t="n">
        <v>10</v>
      </c>
      <c r="R7" s="8" t="inlineStr">
        <is>
          <t>Not listed</t>
        </is>
      </c>
      <c r="S7" s="13" t="n">
        <v>0</v>
      </c>
      <c r="T7" s="13" t="n">
        <v>10</v>
      </c>
      <c r="U7" s="8" t="inlineStr">
        <is>
          <t>Sucralose</t>
        </is>
      </c>
      <c r="V7" s="8" t="inlineStr">
        <is>
          <t>Higher caffeine, amino acids, zero sugar</t>
        </is>
      </c>
      <c r="W7" s="11" t="n"/>
      <c r="X7" s="11" t="n"/>
      <c r="Y7" s="11" t="n"/>
      <c r="Z7" s="11" t="n"/>
      <c r="AA7" s="8" t="inlineStr">
        <is>
          <t>High</t>
        </is>
      </c>
      <c r="AB7" s="8" t="inlineStr">
        <is>
          <t>Higher-dose line riding Celsius momentum</t>
        </is>
      </c>
      <c r="AC7" s="8" t="inlineStr">
        <is>
          <t>A bigger, stronger Celsius for serious energy</t>
        </is>
      </c>
      <c r="AD7" s="8" t="inlineStr">
        <is>
          <t>Highest caffeine dose in the Celsius family.</t>
        </is>
      </c>
      <c r="AE7" s="11" t="n"/>
      <c r="AF7" s="8" t="n">
        <v>473</v>
      </c>
      <c r="AG7" s="9" t="n"/>
      <c r="AH7" s="8" t="inlineStr">
        <is>
          <t>Secondary/approx; NOT verified on Amazon.ca</t>
        </is>
      </c>
      <c r="AI7" s="8" t="inlineStr">
        <is>
          <t>BLANK → requires live Amazon.ca capture</t>
        </is>
      </c>
      <c r="AJ7" s="8" t="inlineStr">
        <is>
          <t>⚠ Unverified commercial data</t>
        </is>
      </c>
    </row>
    <row r="8" ht="60" customHeight="1">
      <c r="A8" s="8" t="inlineStr">
        <is>
          <t>Prime</t>
        </is>
      </c>
      <c r="B8" s="8" t="inlineStr">
        <is>
          <t>Prime Energy</t>
        </is>
      </c>
      <c r="C8" s="8" t="inlineStr">
        <is>
          <t>4) Caffeine &amp; energy beverage</t>
        </is>
      </c>
      <c r="D8" s="8" t="inlineStr">
        <is>
          <t>355 mL can</t>
        </is>
      </c>
      <c r="E8" s="8" t="n">
        <v>12</v>
      </c>
      <c r="F8" s="9" t="n"/>
      <c r="G8" s="10">
        <f>IF(AND(ISNUMBER($F8),ISNUMBER($E8),$E8&lt;&gt;0),$F8/$E8,"")</f>
        <v/>
      </c>
      <c r="H8" s="10">
        <f>IF(AND(ISNUMBER($F8),ISNUMBER($AF8),ISNUMBER($E8),($AF8*$E8)&lt;&gt;0),$F8/($AF8*$E8)*100,"")</f>
        <v/>
      </c>
      <c r="I8" s="11" t="n"/>
      <c r="J8" s="12" t="n"/>
      <c r="K8" s="10">
        <f>IF(AND(ISNUMBER($F8),ISNUMBER($J8)),$F8*(1-$J8),"")</f>
        <v/>
      </c>
      <c r="L8" s="11" t="n"/>
      <c r="M8" s="11" t="n"/>
      <c r="N8" s="10">
        <f>IF(ISNUMBER($F8),($F8-IF(ISNUMBER($AG8),$AG8,0))*(1-IF(ISNUMBER($J8),$J8,0)),"")</f>
        <v/>
      </c>
      <c r="O8" s="8" t="inlineStr">
        <is>
          <t>Blue Raspberry, Tropical Punch, Lemon Lime, Ice Pop, Strawberry Watermelon</t>
        </is>
      </c>
      <c r="P8" s="13" t="n">
        <v>200</v>
      </c>
      <c r="Q8" s="13" t="n">
        <v>10</v>
      </c>
      <c r="R8" s="8" t="inlineStr">
        <is>
          <t>Not listed</t>
        </is>
      </c>
      <c r="S8" s="13" t="n">
        <v>0</v>
      </c>
      <c r="T8" s="13" t="n">
        <v>10</v>
      </c>
      <c r="U8" s="8" t="inlineStr">
        <is>
          <t>Sucralose + acesulfame-K</t>
        </is>
      </c>
      <c r="V8" s="8" t="inlineStr">
        <is>
          <t>Zero sugar, electrolytes, B-vitamins</t>
        </is>
      </c>
      <c r="W8" s="11" t="n"/>
      <c r="X8" s="11" t="n"/>
      <c r="Y8" s="11" t="n"/>
      <c r="Z8" s="11" t="n"/>
      <c r="AA8" s="8" t="inlineStr">
        <is>
          <t>High</t>
        </is>
      </c>
      <c r="AB8" s="8" t="inlineStr">
        <is>
          <t>Influencer-driven (Logan Paul/KSI); youth pull</t>
        </is>
      </c>
      <c r="AC8" s="8" t="inlineStr">
        <is>
          <t>Hype-brand energy with zero sugar</t>
        </is>
      </c>
      <c r="AD8" s="8" t="inlineStr">
        <is>
          <t>Social-media brand cachet with a zero-sugar profile.</t>
        </is>
      </c>
      <c r="AE8" s="11" t="n"/>
      <c r="AF8" s="8" t="n">
        <v>355</v>
      </c>
      <c r="AG8" s="9" t="n"/>
      <c r="AH8" s="8" t="inlineStr">
        <is>
          <t>Secondary/approx; NOT verified on Amazon.ca</t>
        </is>
      </c>
      <c r="AI8" s="8" t="inlineStr">
        <is>
          <t>BLANK → requires live Amazon.ca capture</t>
        </is>
      </c>
      <c r="AJ8" s="8" t="inlineStr">
        <is>
          <t>⚠ Unverified commercial data</t>
        </is>
      </c>
    </row>
    <row r="9" ht="60" customHeight="1">
      <c r="A9" s="8" t="inlineStr">
        <is>
          <t>C4</t>
        </is>
      </c>
      <c r="B9" s="8" t="inlineStr">
        <is>
          <t>C4 Energy (Performance)</t>
        </is>
      </c>
      <c r="C9" s="8" t="inlineStr">
        <is>
          <t>4) Caffeine &amp; energy beverage</t>
        </is>
      </c>
      <c r="D9" s="8" t="inlineStr">
        <is>
          <t>473 mL can</t>
        </is>
      </c>
      <c r="E9" s="8" t="n">
        <v>12</v>
      </c>
      <c r="F9" s="9" t="n"/>
      <c r="G9" s="10">
        <f>IF(AND(ISNUMBER($F9),ISNUMBER($E9),$E9&lt;&gt;0),$F9/$E9,"")</f>
        <v/>
      </c>
      <c r="H9" s="10">
        <f>IF(AND(ISNUMBER($F9),ISNUMBER($AF9),ISNUMBER($E9),($AF9*$E9)&lt;&gt;0),$F9/($AF9*$E9)*100,"")</f>
        <v/>
      </c>
      <c r="I9" s="11" t="n"/>
      <c r="J9" s="12" t="n"/>
      <c r="K9" s="10">
        <f>IF(AND(ISNUMBER($F9),ISNUMBER($J9)),$F9*(1-$J9),"")</f>
        <v/>
      </c>
      <c r="L9" s="11" t="n"/>
      <c r="M9" s="11" t="n"/>
      <c r="N9" s="10">
        <f>IF(ISNUMBER($F9),($F9-IF(ISNUMBER($AG9),$AG9,0))*(1-IF(ISNUMBER($J9),$J9,0)),"")</f>
        <v/>
      </c>
      <c r="O9" s="8" t="inlineStr">
        <is>
          <t>Frozen Bombsicle, Cotton Candy, Strawberry Watermelon, Tropical Blast, Orange Slice</t>
        </is>
      </c>
      <c r="P9" s="13" t="n">
        <v>200</v>
      </c>
      <c r="Q9" s="13" t="n">
        <v>45</v>
      </c>
      <c r="R9" s="8" t="inlineStr">
        <is>
          <t>Not listed</t>
        </is>
      </c>
      <c r="S9" s="13" t="n">
        <v>0</v>
      </c>
      <c r="T9" s="13" t="n">
        <v>0</v>
      </c>
      <c r="U9" s="8" t="inlineStr">
        <is>
          <t>Sucralose + acesulfame-K</t>
        </is>
      </c>
      <c r="V9" s="8" t="inlineStr">
        <is>
          <t>Pre-workout energy, beta-alanine (CarnoSyn)</t>
        </is>
      </c>
      <c r="W9" s="11" t="n"/>
      <c r="X9" s="11" t="n"/>
      <c r="Y9" s="11" t="n"/>
      <c r="Z9" s="11" t="n"/>
      <c r="AA9" s="8" t="inlineStr">
        <is>
          <t>Medium</t>
        </is>
      </c>
      <c r="AB9" s="8" t="inlineStr">
        <is>
          <t>Strong in fitness/pre-workout niche</t>
        </is>
      </c>
      <c r="AC9" s="8" t="inlineStr">
        <is>
          <t>Pre-workout performance in a ready-to-drink can</t>
        </is>
      </c>
      <c r="AD9" s="8" t="inlineStr">
        <is>
          <t>Performance/pre-workout positioning with beta-alanine.</t>
        </is>
      </c>
      <c r="AE9" s="11" t="n"/>
      <c r="AF9" s="8" t="n">
        <v>473</v>
      </c>
      <c r="AG9" s="9" t="n"/>
      <c r="AH9" s="8" t="inlineStr">
        <is>
          <t>Secondary/approx; NOT verified on Amazon.ca</t>
        </is>
      </c>
      <c r="AI9" s="8" t="inlineStr">
        <is>
          <t>BLANK → requires live Amazon.ca capture</t>
        </is>
      </c>
      <c r="AJ9" s="8" t="inlineStr">
        <is>
          <t>⚠ Unverified commercial data</t>
        </is>
      </c>
    </row>
    <row r="10" ht="60" customHeight="1">
      <c r="A10" s="8" t="inlineStr">
        <is>
          <t>Reign</t>
        </is>
      </c>
      <c r="B10" s="8" t="inlineStr">
        <is>
          <t>Reign Total Body Fuel</t>
        </is>
      </c>
      <c r="C10" s="8" t="inlineStr">
        <is>
          <t>4) Caffeine &amp; energy beverage</t>
        </is>
      </c>
      <c r="D10" s="8" t="inlineStr">
        <is>
          <t>473 mL can</t>
        </is>
      </c>
      <c r="E10" s="8" t="n">
        <v>12</v>
      </c>
      <c r="F10" s="9" t="n"/>
      <c r="G10" s="10">
        <f>IF(AND(ISNUMBER($F10),ISNUMBER($E10),$E10&lt;&gt;0),$F10/$E10,"")</f>
        <v/>
      </c>
      <c r="H10" s="10">
        <f>IF(AND(ISNUMBER($F10),ISNUMBER($AF10),ISNUMBER($E10),($AF10*$E10)&lt;&gt;0),$F10/($AF10*$E10)*100,"")</f>
        <v/>
      </c>
      <c r="I10" s="11" t="n"/>
      <c r="J10" s="12" t="n"/>
      <c r="K10" s="10">
        <f>IF(AND(ISNUMBER($F10),ISNUMBER($J10)),$F10*(1-$J10),"")</f>
        <v/>
      </c>
      <c r="L10" s="11" t="n"/>
      <c r="M10" s="11" t="n"/>
      <c r="N10" s="10">
        <f>IF(ISNUMBER($F10),($F10-IF(ISNUMBER($AG10),$AG10,0))*(1-IF(ISNUMBER($J10),$J10,0)),"")</f>
        <v/>
      </c>
      <c r="O10" s="8" t="inlineStr">
        <is>
          <t>Razzle Berry, Melon Mania, Sour Apple, Orange Dreamsicle, Lemon HDZ</t>
        </is>
      </c>
      <c r="P10" s="13" t="n">
        <v>300</v>
      </c>
      <c r="Q10" s="13" t="n">
        <v>10</v>
      </c>
      <c r="R10" s="8" t="inlineStr">
        <is>
          <t>Not listed</t>
        </is>
      </c>
      <c r="S10" s="13" t="n">
        <v>0</v>
      </c>
      <c r="T10" s="13" t="n">
        <v>10</v>
      </c>
      <c r="U10" s="8" t="inlineStr">
        <is>
          <t>Sucralose</t>
        </is>
      </c>
      <c r="V10" s="8" t="inlineStr">
        <is>
          <t>300 mg caffeine, BCAAs, CoQ10, zero sugar</t>
        </is>
      </c>
      <c r="W10" s="11" t="n"/>
      <c r="X10" s="11" t="n"/>
      <c r="Y10" s="11" t="n"/>
      <c r="Z10" s="11" t="n"/>
      <c r="AA10" s="8" t="inlineStr">
        <is>
          <t>Medium</t>
        </is>
      </c>
      <c r="AB10" s="8" t="inlineStr">
        <is>
          <t>Performance line under Monster umbrella</t>
        </is>
      </c>
      <c r="AC10" s="8" t="inlineStr">
        <is>
          <t>Maximum-dose fitness energy with BCAAs</t>
        </is>
      </c>
      <c r="AD10" s="8" t="inlineStr">
        <is>
          <t>Highest mainstream caffeine dose plus workout aminos.</t>
        </is>
      </c>
      <c r="AE10" s="11" t="n"/>
      <c r="AF10" s="8" t="n">
        <v>473</v>
      </c>
      <c r="AG10" s="9" t="n"/>
      <c r="AH10" s="8" t="inlineStr">
        <is>
          <t>Secondary/approx; NOT verified on Amazon.ca</t>
        </is>
      </c>
      <c r="AI10" s="8" t="inlineStr">
        <is>
          <t>BLANK → requires live Amazon.ca capture</t>
        </is>
      </c>
      <c r="AJ10" s="8" t="inlineStr">
        <is>
          <t>⚠ Unverified commercial data</t>
        </is>
      </c>
    </row>
    <row r="11" ht="60" customHeight="1">
      <c r="A11" s="8" t="inlineStr">
        <is>
          <t>Alani Nu</t>
        </is>
      </c>
      <c r="B11" s="8" t="inlineStr">
        <is>
          <t>Alani Nu Energy</t>
        </is>
      </c>
      <c r="C11" s="8" t="inlineStr">
        <is>
          <t>4) Caffeine &amp; energy beverage</t>
        </is>
      </c>
      <c r="D11" s="8" t="inlineStr">
        <is>
          <t>355 mL can</t>
        </is>
      </c>
      <c r="E11" s="8" t="n">
        <v>12</v>
      </c>
      <c r="F11" s="9" t="n"/>
      <c r="G11" s="10">
        <f>IF(AND(ISNUMBER($F11),ISNUMBER($E11),$E11&lt;&gt;0),$F11/$E11,"")</f>
        <v/>
      </c>
      <c r="H11" s="10">
        <f>IF(AND(ISNUMBER($F11),ISNUMBER($AF11),ISNUMBER($E11),($AF11*$E11)&lt;&gt;0),$F11/($AF11*$E11)*100,"")</f>
        <v/>
      </c>
      <c r="I11" s="11" t="n"/>
      <c r="J11" s="12" t="n"/>
      <c r="K11" s="10">
        <f>IF(AND(ISNUMBER($F11),ISNUMBER($J11)),$F11*(1-$J11),"")</f>
        <v/>
      </c>
      <c r="L11" s="11" t="n"/>
      <c r="M11" s="11" t="n"/>
      <c r="N11" s="10">
        <f>IF(ISNUMBER($F11),($F11-IF(ISNUMBER($AG11),$AG11,0))*(1-IF(ISNUMBER($J11),$J11,0)),"")</f>
        <v/>
      </c>
      <c r="O11" s="8" t="inlineStr">
        <is>
          <t>Hawaiian Shaved Ice, Witch's Brew, Mimosa, Cosmic Stardust, Breezeberry, Watermelon Wave</t>
        </is>
      </c>
      <c r="P11" s="13" t="n">
        <v>200</v>
      </c>
      <c r="Q11" s="13" t="n">
        <v>35</v>
      </c>
      <c r="R11" s="8" t="inlineStr">
        <is>
          <t>Not listed</t>
        </is>
      </c>
      <c r="S11" s="13" t="n">
        <v>0</v>
      </c>
      <c r="T11" s="13" t="n">
        <v>10</v>
      </c>
      <c r="U11" s="8" t="inlineStr">
        <is>
          <t>Sucralose</t>
        </is>
      </c>
      <c r="V11" s="8" t="inlineStr">
        <is>
          <t>Zero sugar, vitamins, female-fitness positioning</t>
        </is>
      </c>
      <c r="W11" s="11" t="n"/>
      <c r="X11" s="11" t="n"/>
      <c r="Y11" s="11" t="n"/>
      <c r="Z11" s="11" t="n"/>
      <c r="AA11" s="8" t="inlineStr">
        <is>
          <t>High</t>
        </is>
      </c>
      <c r="AB11" s="8" t="inlineStr">
        <is>
          <t>Fast-growing; strong female demographic &amp; flavours</t>
        </is>
      </c>
      <c r="AC11" s="8" t="inlineStr">
        <is>
          <t>Stylish zero-sugar energy aimed at women</t>
        </is>
      </c>
      <c r="AD11" s="8" t="inlineStr">
        <is>
          <t>On-trend flavours and aesthetic plus zero sugar.</t>
        </is>
      </c>
      <c r="AE11" s="11" t="n"/>
      <c r="AF11" s="8" t="n">
        <v>355</v>
      </c>
      <c r="AG11" s="9" t="n"/>
      <c r="AH11" s="8" t="inlineStr">
        <is>
          <t>Secondary/approx; NOT verified on Amazon.ca</t>
        </is>
      </c>
      <c r="AI11" s="8" t="inlineStr">
        <is>
          <t>BLANK → requires live Amazon.ca capture</t>
        </is>
      </c>
      <c r="AJ11" s="8" t="inlineStr">
        <is>
          <t>⚠ Unverified commercial data</t>
        </is>
      </c>
    </row>
    <row r="12" ht="60" customHeight="1">
      <c r="A12" s="8" t="inlineStr">
        <is>
          <t>Bang</t>
        </is>
      </c>
      <c r="B12" s="8" t="inlineStr">
        <is>
          <t>Bang Energy</t>
        </is>
      </c>
      <c r="C12" s="8" t="inlineStr">
        <is>
          <t>4) Caffeine &amp; energy beverage</t>
        </is>
      </c>
      <c r="D12" s="8" t="inlineStr">
        <is>
          <t>473 mL can</t>
        </is>
      </c>
      <c r="E12" s="8" t="n">
        <v>12</v>
      </c>
      <c r="F12" s="9" t="n"/>
      <c r="G12" s="10">
        <f>IF(AND(ISNUMBER($F12),ISNUMBER($E12),$E12&lt;&gt;0),$F12/$E12,"")</f>
        <v/>
      </c>
      <c r="H12" s="10">
        <f>IF(AND(ISNUMBER($F12),ISNUMBER($AF12),ISNUMBER($E12),($AF12*$E12)&lt;&gt;0),$F12/($AF12*$E12)*100,"")</f>
        <v/>
      </c>
      <c r="I12" s="11" t="n"/>
      <c r="J12" s="12" t="n"/>
      <c r="K12" s="10">
        <f>IF(AND(ISNUMBER($F12),ISNUMBER($J12)),$F12*(1-$J12),"")</f>
        <v/>
      </c>
      <c r="L12" s="11" t="n"/>
      <c r="M12" s="11" t="n"/>
      <c r="N12" s="10">
        <f>IF(ISNUMBER($F12),($F12-IF(ISNUMBER($AG12),$AG12,0))*(1-IF(ISNUMBER($J12),$J12,0)),"")</f>
        <v/>
      </c>
      <c r="O12" s="8" t="inlineStr">
        <is>
          <t>Rainbow Unicorn, Star Blast, Cotton Candy, Blue Razz, Peach Mango</t>
        </is>
      </c>
      <c r="P12" s="13" t="n">
        <v>300</v>
      </c>
      <c r="Q12" s="13" t="n">
        <v>40</v>
      </c>
      <c r="R12" s="13" t="n">
        <v>85</v>
      </c>
      <c r="S12" s="13" t="n">
        <v>0</v>
      </c>
      <c r="T12" s="13" t="n">
        <v>0</v>
      </c>
      <c r="U12" s="8" t="inlineStr">
        <is>
          <t>Sucralose</t>
        </is>
      </c>
      <c r="V12" s="8" t="inlineStr">
        <is>
          <t>300 mg caffeine, BCAAs, CoQ10, zero calorie</t>
        </is>
      </c>
      <c r="W12" s="11" t="n"/>
      <c r="X12" s="11" t="n"/>
      <c r="Y12" s="11" t="n"/>
      <c r="Z12" s="11" t="n"/>
      <c r="AA12" s="8" t="inlineStr">
        <is>
          <t>Medium</t>
        </is>
      </c>
      <c r="AB12" s="8" t="inlineStr">
        <is>
          <t>Declining vs peak but still high volume</t>
        </is>
      </c>
      <c r="AC12" s="8" t="inlineStr">
        <is>
          <t>Zero-calorie high-caffeine performance fuel</t>
        </is>
      </c>
      <c r="AD12" s="8" t="inlineStr">
        <is>
          <t>High caffeine at zero calories with aminos.</t>
        </is>
      </c>
      <c r="AE12" s="11" t="n"/>
      <c r="AF12" s="8" t="n">
        <v>473</v>
      </c>
      <c r="AG12" s="9" t="n"/>
      <c r="AH12" s="8" t="inlineStr">
        <is>
          <t>Secondary/approx; NOT verified on Amazon.ca</t>
        </is>
      </c>
      <c r="AI12" s="8" t="inlineStr">
        <is>
          <t>BLANK → requires live Amazon.ca capture</t>
        </is>
      </c>
      <c r="AJ12" s="8" t="inlineStr">
        <is>
          <t>⚠ Unverified commercial data</t>
        </is>
      </c>
    </row>
    <row r="13" ht="60" customHeight="1">
      <c r="A13" s="8" t="inlineStr">
        <is>
          <t>Rockstar</t>
        </is>
      </c>
      <c r="B13" s="8" t="inlineStr">
        <is>
          <t>Rockstar Energy</t>
        </is>
      </c>
      <c r="C13" s="8" t="inlineStr">
        <is>
          <t>4) Caffeine &amp; energy beverage</t>
        </is>
      </c>
      <c r="D13" s="8" t="inlineStr">
        <is>
          <t>473 mL can</t>
        </is>
      </c>
      <c r="E13" s="8" t="n">
        <v>12</v>
      </c>
      <c r="F13" s="9" t="n"/>
      <c r="G13" s="10">
        <f>IF(AND(ISNUMBER($F13),ISNUMBER($E13),$E13&lt;&gt;0),$F13/$E13,"")</f>
        <v/>
      </c>
      <c r="H13" s="10">
        <f>IF(AND(ISNUMBER($F13),ISNUMBER($AF13),ISNUMBER($E13),($AF13*$E13)&lt;&gt;0),$F13/($AF13*$E13)*100,"")</f>
        <v/>
      </c>
      <c r="I13" s="11" t="n"/>
      <c r="J13" s="12" t="n"/>
      <c r="K13" s="10">
        <f>IF(AND(ISNUMBER($F13),ISNUMBER($J13)),$F13*(1-$J13),"")</f>
        <v/>
      </c>
      <c r="L13" s="11" t="n"/>
      <c r="M13" s="11" t="n"/>
      <c r="N13" s="10">
        <f>IF(ISNUMBER($F13),($F13-IF(ISNUMBER($AG13),$AG13,0))*(1-IF(ISNUMBER($J13),$J13,0)),"")</f>
        <v/>
      </c>
      <c r="O13" s="8" t="inlineStr">
        <is>
          <t>Original, Sugar Free, Punched Fruit Punch, Pure Zero Silver Ice</t>
        </is>
      </c>
      <c r="P13" s="13" t="n">
        <v>160</v>
      </c>
      <c r="Q13" s="13" t="n">
        <v>65</v>
      </c>
      <c r="R13" s="8" t="inlineStr">
        <is>
          <t>Not listed</t>
        </is>
      </c>
      <c r="S13" s="13" t="n">
        <v>31</v>
      </c>
      <c r="T13" s="13" t="n">
        <v>122</v>
      </c>
      <c r="U13" s="8" t="inlineStr">
        <is>
          <t>Sugar (or sucralose on zero)</t>
        </is>
      </c>
      <c r="V13" s="8" t="inlineStr">
        <is>
          <t>Energy blend, taurine, guarana</t>
        </is>
      </c>
      <c r="W13" s="11" t="n"/>
      <c r="X13" s="11" t="n"/>
      <c r="Y13" s="11" t="n"/>
      <c r="Z13" s="11" t="n"/>
      <c r="AA13" s="8" t="inlineStr">
        <is>
          <t>Medium</t>
        </is>
      </c>
      <c r="AB13" s="8" t="inlineStr">
        <is>
          <t>Legacy brand; PepsiCo distribution</t>
        </is>
      </c>
      <c r="AC13" s="8" t="inlineStr">
        <is>
          <t>Value-priced legacy energy can</t>
        </is>
      </c>
      <c r="AD13" s="8" t="inlineStr">
        <is>
          <t>Familiar legacy brand, usually a lower price point.</t>
        </is>
      </c>
      <c r="AE13" s="11" t="n"/>
      <c r="AF13" s="8" t="n">
        <v>473</v>
      </c>
      <c r="AG13" s="9" t="n"/>
      <c r="AH13" s="8" t="inlineStr">
        <is>
          <t>Secondary/approx; NOT verified on Amazon.ca</t>
        </is>
      </c>
      <c r="AI13" s="8" t="inlineStr">
        <is>
          <t>BLANK → requires live Amazon.ca capture</t>
        </is>
      </c>
      <c r="AJ13" s="8" t="inlineStr">
        <is>
          <t>⚠ Unverified commercial data</t>
        </is>
      </c>
    </row>
    <row r="14" ht="60" customHeight="1">
      <c r="A14" s="8" t="inlineStr">
        <is>
          <t>GURU</t>
        </is>
      </c>
      <c r="B14" s="8" t="inlineStr">
        <is>
          <t>GURU Organic Energy</t>
        </is>
      </c>
      <c r="C14" s="8" t="inlineStr">
        <is>
          <t>4) Caffeine &amp; energy beverage</t>
        </is>
      </c>
      <c r="D14" s="8" t="inlineStr">
        <is>
          <t>355 mL can</t>
        </is>
      </c>
      <c r="E14" s="8" t="n">
        <v>12</v>
      </c>
      <c r="F14" s="9" t="n"/>
      <c r="G14" s="10">
        <f>IF(AND(ISNUMBER($F14),ISNUMBER($E14),$E14&lt;&gt;0),$F14/$E14,"")</f>
        <v/>
      </c>
      <c r="H14" s="10">
        <f>IF(AND(ISNUMBER($F14),ISNUMBER($AF14),ISNUMBER($E14),($AF14*$E14)&lt;&gt;0),$F14/($AF14*$E14)*100,"")</f>
        <v/>
      </c>
      <c r="I14" s="11" t="n"/>
      <c r="J14" s="12" t="n"/>
      <c r="K14" s="10">
        <f>IF(AND(ISNUMBER($F14),ISNUMBER($J14)),$F14*(1-$J14),"")</f>
        <v/>
      </c>
      <c r="L14" s="11" t="n"/>
      <c r="M14" s="11" t="n"/>
      <c r="N14" s="10">
        <f>IF(ISNUMBER($F14),($F14-IF(ISNUMBER($AG14),$AG14,0))*(1-IF(ISNUMBER($J14),$J14,0)),"")</f>
        <v/>
      </c>
      <c r="O14" s="8" t="inlineStr">
        <is>
          <t>Original, Lite, Tropical Punch, Yerba Mate</t>
        </is>
      </c>
      <c r="P14" s="13" t="n">
        <v>100</v>
      </c>
      <c r="Q14" s="13" t="n">
        <v>0</v>
      </c>
      <c r="R14" s="8" t="inlineStr">
        <is>
          <t>Not listed</t>
        </is>
      </c>
      <c r="S14" s="13" t="n">
        <v>21</v>
      </c>
      <c r="T14" s="13" t="n">
        <v>80</v>
      </c>
      <c r="U14" s="8" t="inlineStr">
        <is>
          <t>Organic cane sugar (or stevia on Lite)</t>
        </is>
      </c>
      <c r="V14" s="8" t="inlineStr">
        <is>
          <t>Certified organic, plant-based, natural caffeine (guarana/green tea)</t>
        </is>
      </c>
      <c r="W14" s="11" t="n"/>
      <c r="X14" s="11" t="n"/>
      <c r="Y14" s="11" t="n"/>
      <c r="Z14" s="11" t="n"/>
      <c r="AA14" s="8" t="inlineStr">
        <is>
          <t>Medium</t>
        </is>
      </c>
      <c r="AB14" s="8" t="inlineStr">
        <is>
          <t>Canadian brand; natural/organic niche leader at home</t>
        </is>
      </c>
      <c r="AC14" s="8" t="inlineStr">
        <is>
          <t>Clean, organic, plant-based energy (Canadian)</t>
        </is>
      </c>
      <c r="AD14" s="8" t="inlineStr">
        <is>
          <t>Organic, natural-caffeine alternative — a clean-label choice.</t>
        </is>
      </c>
      <c r="AE14" s="11" t="n"/>
      <c r="AF14" s="8" t="n">
        <v>355</v>
      </c>
      <c r="AG14" s="9" t="n"/>
      <c r="AH14" s="8" t="inlineStr">
        <is>
          <t>Secondary/approx; NOT verified on Amazon.ca</t>
        </is>
      </c>
      <c r="AI14" s="8" t="inlineStr">
        <is>
          <t>BLANK → requires live Amazon.ca capture</t>
        </is>
      </c>
      <c r="AJ14" s="8" t="inlineStr">
        <is>
          <t>⚠ Unverified commercial data</t>
        </is>
      </c>
    </row>
    <row r="15" ht="60" customHeight="1">
      <c r="A15" s="8" t="inlineStr">
        <is>
          <t>Guayakí</t>
        </is>
      </c>
      <c r="B15" s="8" t="inlineStr">
        <is>
          <t>Guayakí Yerba Mate</t>
        </is>
      </c>
      <c r="C15" s="8" t="inlineStr">
        <is>
          <t>4) Caffeine &amp; energy beverage</t>
        </is>
      </c>
      <c r="D15" s="8" t="inlineStr">
        <is>
          <t>458 mL can</t>
        </is>
      </c>
      <c r="E15" s="8" t="n">
        <v>12</v>
      </c>
      <c r="F15" s="9" t="n"/>
      <c r="G15" s="10">
        <f>IF(AND(ISNUMBER($F15),ISNUMBER($E15),$E15&lt;&gt;0),$F15/$E15,"")</f>
        <v/>
      </c>
      <c r="H15" s="10">
        <f>IF(AND(ISNUMBER($F15),ISNUMBER($AF15),ISNUMBER($E15),($AF15*$E15)&lt;&gt;0),$F15/($AF15*$E15)*100,"")</f>
        <v/>
      </c>
      <c r="I15" s="11" t="n"/>
      <c r="J15" s="12" t="n"/>
      <c r="K15" s="10">
        <f>IF(AND(ISNUMBER($F15),ISNUMBER($J15)),$F15*(1-$J15),"")</f>
        <v/>
      </c>
      <c r="L15" s="11" t="n"/>
      <c r="M15" s="11" t="n"/>
      <c r="N15" s="10">
        <f>IF(ISNUMBER($F15),($F15-IF(ISNUMBER($AG15),$AG15,0))*(1-IF(ISNUMBER($J15),$J15,0)),"")</f>
        <v/>
      </c>
      <c r="O15" s="8" t="inlineStr">
        <is>
          <t>Revel Berry, Enlighten Mint, Bluephoria, Lemon Elation, Orange Exuberance</t>
        </is>
      </c>
      <c r="P15" s="13" t="n">
        <v>150</v>
      </c>
      <c r="Q15" s="13" t="n">
        <v>10</v>
      </c>
      <c r="R15" s="8" t="inlineStr">
        <is>
          <t>Not listed</t>
        </is>
      </c>
      <c r="S15" s="13" t="n">
        <v>28</v>
      </c>
      <c r="T15" s="13" t="n">
        <v>120</v>
      </c>
      <c r="U15" s="8" t="inlineStr">
        <is>
          <t>Organic cane sugar</t>
        </is>
      </c>
      <c r="V15" s="8" t="inlineStr">
        <is>
          <t>Organic, Fair Trade yerba mate, clean energy</t>
        </is>
      </c>
      <c r="W15" s="11" t="n"/>
      <c r="X15" s="11" t="n"/>
      <c r="Y15" s="11" t="n"/>
      <c r="Z15" s="11" t="n"/>
      <c r="AA15" s="8" t="inlineStr">
        <is>
          <t>Medium</t>
        </is>
      </c>
      <c r="AB15" s="8" t="inlineStr">
        <is>
          <t>Strong natural-channel following</t>
        </is>
      </c>
      <c r="AC15" s="8" t="inlineStr">
        <is>
          <t>Organic yerba mate energy with an ethical story</t>
        </is>
      </c>
      <c r="AD15" s="8" t="inlineStr">
        <is>
          <t>Natural yerba-mate caffeine plus organic/Fair-Trade ethics.</t>
        </is>
      </c>
      <c r="AE15" s="11" t="n"/>
      <c r="AF15" s="8" t="n">
        <v>458</v>
      </c>
      <c r="AG15" s="9" t="n"/>
      <c r="AH15" s="8" t="inlineStr">
        <is>
          <t>Secondary/approx; NOT verified on Amazon.ca</t>
        </is>
      </c>
      <c r="AI15" s="8" t="inlineStr">
        <is>
          <t>BLANK → requires live Amazon.ca capture</t>
        </is>
      </c>
      <c r="AJ15" s="8" t="inlineStr">
        <is>
          <t>⚠ Unverified commercial data</t>
        </is>
      </c>
    </row>
    <row r="16" ht="60" customHeight="1">
      <c r="A16" s="8" t="inlineStr">
        <is>
          <t>NOS</t>
        </is>
      </c>
      <c r="B16" s="8" t="inlineStr">
        <is>
          <t>NOS Energy Drink</t>
        </is>
      </c>
      <c r="C16" s="8" t="inlineStr">
        <is>
          <t>4) Caffeine &amp; energy beverage</t>
        </is>
      </c>
      <c r="D16" s="8" t="inlineStr">
        <is>
          <t>473 mL can</t>
        </is>
      </c>
      <c r="E16" s="8" t="n">
        <v>12</v>
      </c>
      <c r="F16" s="9" t="n"/>
      <c r="G16" s="10">
        <f>IF(AND(ISNUMBER($F16),ISNUMBER($E16),$E16&lt;&gt;0),$F16/$E16,"")</f>
        <v/>
      </c>
      <c r="H16" s="10">
        <f>IF(AND(ISNUMBER($F16),ISNUMBER($AF16),ISNUMBER($E16),($AF16*$E16)&lt;&gt;0),$F16/($AF16*$E16)*100,"")</f>
        <v/>
      </c>
      <c r="I16" s="11" t="n"/>
      <c r="J16" s="12" t="n"/>
      <c r="K16" s="10">
        <f>IF(AND(ISNUMBER($F16),ISNUMBER($J16)),$F16*(1-$J16),"")</f>
        <v/>
      </c>
      <c r="L16" s="11" t="n"/>
      <c r="M16" s="11" t="n"/>
      <c r="N16" s="10">
        <f>IF(ISNUMBER($F16),($F16-IF(ISNUMBER($AG16),$AG16,0))*(1-IF(ISNUMBER($J16),$J16,0)),"")</f>
        <v/>
      </c>
      <c r="O16" s="8" t="inlineStr">
        <is>
          <t>Original, Sugar Free</t>
        </is>
      </c>
      <c r="P16" s="13" t="n">
        <v>160</v>
      </c>
      <c r="Q16" s="13" t="n">
        <v>200</v>
      </c>
      <c r="R16" s="8" t="inlineStr">
        <is>
          <t>Not listed</t>
        </is>
      </c>
      <c r="S16" s="13" t="n">
        <v>54</v>
      </c>
      <c r="T16" s="13" t="n">
        <v>210</v>
      </c>
      <c r="U16" s="8" t="inlineStr">
        <is>
          <t>Sugar (or sucralose on SF)</t>
        </is>
      </c>
      <c r="V16" s="8" t="inlineStr">
        <is>
          <t>High-performance energy blend, taurine</t>
        </is>
      </c>
      <c r="W16" s="11" t="n"/>
      <c r="X16" s="11" t="n"/>
      <c r="Y16" s="11" t="n"/>
      <c r="Z16" s="11" t="n"/>
      <c r="AA16" s="8" t="inlineStr">
        <is>
          <t>Low</t>
        </is>
      </c>
      <c r="AB16" s="8" t="inlineStr">
        <is>
          <t>Niche legacy brand, limited shelf share</t>
        </is>
      </c>
      <c r="AC16" s="8" t="inlineStr">
        <is>
          <t>Motorsport-styled high-octane energy</t>
        </is>
      </c>
      <c r="AD16" s="8" t="inlineStr">
        <is>
          <t>Legacy enthusiast brand at a value price.</t>
        </is>
      </c>
      <c r="AE16" s="11" t="n"/>
      <c r="AF16" s="8" t="n">
        <v>473</v>
      </c>
      <c r="AG16" s="9" t="n"/>
      <c r="AH16" s="8" t="inlineStr">
        <is>
          <t>Secondary/approx; NOT verified on Amazon.ca</t>
        </is>
      </c>
      <c r="AI16" s="8" t="inlineStr">
        <is>
          <t>BLANK → requires live Amazon.ca capture</t>
        </is>
      </c>
      <c r="AJ16" s="8" t="inlineStr">
        <is>
          <t>⚠ Unverified commercial data</t>
        </is>
      </c>
    </row>
    <row r="17" ht="60" customHeight="1">
      <c r="A17" s="8" t="inlineStr">
        <is>
          <t>Starbucks</t>
        </is>
      </c>
      <c r="B17" s="8" t="inlineStr">
        <is>
          <t>Starbucks Doubleshot Espresso</t>
        </is>
      </c>
      <c r="C17" s="8" t="inlineStr">
        <is>
          <t>4) Caffeine &amp; energy beverage</t>
        </is>
      </c>
      <c r="D17" s="8" t="inlineStr">
        <is>
          <t>444 mL can</t>
        </is>
      </c>
      <c r="E17" s="8" t="n">
        <v>12</v>
      </c>
      <c r="F17" s="9" t="n"/>
      <c r="G17" s="10">
        <f>IF(AND(ISNUMBER($F17),ISNUMBER($E17),$E17&lt;&gt;0),$F17/$E17,"")</f>
        <v/>
      </c>
      <c r="H17" s="10">
        <f>IF(AND(ISNUMBER($F17),ISNUMBER($AF17),ISNUMBER($E17),($AF17*$E17)&lt;&gt;0),$F17/($AF17*$E17)*100,"")</f>
        <v/>
      </c>
      <c r="I17" s="11" t="n"/>
      <c r="J17" s="12" t="n"/>
      <c r="K17" s="10">
        <f>IF(AND(ISNUMBER($F17),ISNUMBER($J17)),$F17*(1-$J17),"")</f>
        <v/>
      </c>
      <c r="L17" s="11" t="n"/>
      <c r="M17" s="11" t="n"/>
      <c r="N17" s="10">
        <f>IF(ISNUMBER($F17),($F17-IF(ISNUMBER($AG17),$AG17,0))*(1-IF(ISNUMBER($J17),$J17,0)),"")</f>
        <v/>
      </c>
      <c r="O17" s="8" t="inlineStr">
        <is>
          <t>Espresso, Vanilla, Salted Caramel, White Chocolate</t>
        </is>
      </c>
      <c r="P17" s="13" t="n">
        <v>135</v>
      </c>
      <c r="Q17" s="13" t="n">
        <v>170</v>
      </c>
      <c r="R17" s="8" t="inlineStr">
        <is>
          <t>Not listed</t>
        </is>
      </c>
      <c r="S17" s="13" t="n">
        <v>29</v>
      </c>
      <c r="T17" s="13" t="n">
        <v>210</v>
      </c>
      <c r="U17" s="8" t="inlineStr">
        <is>
          <t>Sugar</t>
        </is>
      </c>
      <c r="V17" s="8" t="inlineStr">
        <is>
          <t>Espresso + milk RTD coffee energy</t>
        </is>
      </c>
      <c r="W17" s="11" t="n"/>
      <c r="X17" s="11" t="n"/>
      <c r="Y17" s="11" t="n"/>
      <c r="Z17" s="11" t="n"/>
      <c r="AA17" s="8" t="inlineStr">
        <is>
          <t>High</t>
        </is>
      </c>
      <c r="AB17" s="8" t="inlineStr">
        <is>
          <t>Coffee-energy crossover; broad mainstream appeal</t>
        </is>
      </c>
      <c r="AC17" s="8" t="inlineStr">
        <is>
          <t>Café espresso energy in a grab-and-go can</t>
        </is>
      </c>
      <c r="AD17" s="8" t="inlineStr">
        <is>
          <t>Trusted coffee taste rather than a synthetic energy flavour.</t>
        </is>
      </c>
      <c r="AE17" s="11" t="n"/>
      <c r="AF17" s="8" t="n">
        <v>444</v>
      </c>
      <c r="AG17" s="9" t="n"/>
      <c r="AH17" s="8" t="inlineStr">
        <is>
          <t>Secondary/approx; NOT verified on Amazon.ca</t>
        </is>
      </c>
      <c r="AI17" s="8" t="inlineStr">
        <is>
          <t>BLANK → requires live Amazon.ca capture</t>
        </is>
      </c>
      <c r="AJ17" s="8" t="inlineStr">
        <is>
          <t>⚠ Unverified commercial data</t>
        </is>
      </c>
    </row>
  </sheetData>
  <autoFilter ref="A1:AJ17"/>
  <conditionalFormatting sqref="AJ2:AJ17">
    <cfRule type="expression" priority="1" dxfId="0">
      <formula>ISBLANK($F2)</formula>
    </cfRule>
  </conditionalFormatting>
  <dataValidations count="1">
    <dataValidation sqref="I2:I1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  <col width="16" customWidth="1" min="4" max="4"/>
    <col width="9" customWidth="1" min="5" max="5"/>
    <col width="14" customWidth="1" min="6" max="6"/>
    <col width="13" customWidth="1" min="7" max="7"/>
    <col width="13" customWidth="1" min="8" max="8"/>
    <col width="11" customWidth="1" min="9" max="9"/>
    <col width="12" customWidth="1" min="10" max="10"/>
    <col width="14" customWidth="1" min="11" max="11"/>
    <col width="18" customWidth="1" min="12" max="12"/>
    <col width="22" customWidth="1" min="13" max="13"/>
    <col width="16" customWidth="1" min="14" max="14"/>
    <col width="40" customWidth="1" min="15" max="15"/>
    <col width="12" customWidth="1" min="16" max="16"/>
    <col width="12" customWidth="1" min="17" max="17"/>
    <col width="12" customWidth="1" min="18" max="18"/>
    <col width="11" customWidth="1" min="19" max="19"/>
    <col width="11" customWidth="1" min="20" max="20"/>
    <col width="24" customWidth="1" min="21" max="21"/>
    <col width="34" customWidth="1" min="22" max="22"/>
    <col width="10" customWidth="1" min="23" max="23"/>
    <col width="12" customWidth="1" min="24" max="24"/>
    <col width="16" customWidth="1" min="25" max="25"/>
    <col width="14" customWidth="1" min="26" max="26"/>
    <col width="14" customWidth="1" min="27" max="27"/>
    <col width="34" customWidth="1" min="28" max="28"/>
    <col width="40" customWidth="1" min="29" max="29"/>
    <col width="46" customWidth="1" min="30" max="30"/>
    <col width="22" customWidth="1" min="31" max="31"/>
    <col width="12" customWidth="1" min="32" max="32"/>
    <col width="13" customWidth="1" min="33" max="33"/>
    <col width="30" customWidth="1" min="34" max="34"/>
    <col width="26" customWidth="1" min="35" max="35"/>
    <col width="22" customWidth="1" min="36" max="36"/>
  </cols>
  <sheetData>
    <row r="1" ht="42" customHeight="1">
      <c r="A1" s="6" t="inlineStr">
        <is>
          <t>1. Brand</t>
        </is>
      </c>
      <c r="B1" s="6" t="inlineStr">
        <is>
          <t>2. Product Line / SKU Name</t>
        </is>
      </c>
      <c r="C1" s="6" t="inlineStr">
        <is>
          <t>3. Category</t>
        </is>
      </c>
      <c r="D1" s="6" t="inlineStr">
        <is>
          <t>4. Format &amp; Size</t>
        </is>
      </c>
      <c r="E1" s="6" t="inlineStr">
        <is>
          <t>5. Pack Count</t>
        </is>
      </c>
      <c r="F1" s="6" t="inlineStr">
        <is>
          <t>6. One-Time Price (CAD)</t>
        </is>
      </c>
      <c r="G1" s="6" t="inlineStr">
        <is>
          <t>7. Price / Unit (CAD)</t>
        </is>
      </c>
      <c r="H1" s="6" t="inlineStr">
        <is>
          <t>8. Price / 100 mL (CAD)</t>
        </is>
      </c>
      <c r="I1" s="6" t="inlineStr">
        <is>
          <t>9. S&amp;S Offered (Y/N)</t>
        </is>
      </c>
      <c r="J1" s="6" t="inlineStr">
        <is>
          <t>10. S&amp;S Discount %</t>
        </is>
      </c>
      <c r="K1" s="6" t="inlineStr">
        <is>
          <t>11. S&amp;S Price After Disc.</t>
        </is>
      </c>
      <c r="L1" s="6" t="inlineStr">
        <is>
          <t>12. Coupon on Listing (Y/N + value)</t>
        </is>
      </c>
      <c r="M1" s="6" t="inlineStr">
        <is>
          <t>13. Promotion Text</t>
        </is>
      </c>
      <c r="N1" s="6" t="inlineStr">
        <is>
          <t>14. Lowest Effective Price (stacked)</t>
        </is>
      </c>
      <c r="O1" s="6" t="inlineStr">
        <is>
          <t>15. All Flavours in Listing</t>
        </is>
      </c>
      <c r="P1" s="6" t="inlineStr">
        <is>
          <t>16. Caffeine / Serving (mg)</t>
        </is>
      </c>
      <c r="Q1" s="6" t="inlineStr">
        <is>
          <t>17. Sodium / Serving (mg)</t>
        </is>
      </c>
      <c r="R1" s="6" t="inlineStr">
        <is>
          <t>18. Potassium / Serving (mg)</t>
        </is>
      </c>
      <c r="S1" s="6" t="inlineStr">
        <is>
          <t>19. Sugar / Serving (g)</t>
        </is>
      </c>
      <c r="T1" s="6" t="inlineStr">
        <is>
          <t>20. Calories / Serving</t>
        </is>
      </c>
      <c r="U1" s="6" t="inlineStr">
        <is>
          <t>21. Sweetener Type</t>
        </is>
      </c>
      <c r="V1" s="6" t="inlineStr">
        <is>
          <t>22. Key Functional Claims</t>
        </is>
      </c>
      <c r="W1" s="6" t="inlineStr">
        <is>
          <t>23. Star Rating</t>
        </is>
      </c>
      <c r="X1" s="6" t="inlineStr">
        <is>
          <t>24. Number of Ratings</t>
        </is>
      </c>
      <c r="Y1" s="6" t="inlineStr">
        <is>
          <t>25. Amazon Badge</t>
        </is>
      </c>
      <c r="Z1" s="6" t="inlineStr">
        <is>
          <t>26. Bestseller Rank in Category</t>
        </is>
      </c>
      <c r="AA1" s="6" t="inlineStr">
        <is>
          <t>27a. Est. Weekly Velocity (band)</t>
        </is>
      </c>
      <c r="AB1" s="6" t="inlineStr">
        <is>
          <t>27b. Velocity Signal Used</t>
        </is>
      </c>
      <c r="AC1" s="6" t="inlineStr">
        <is>
          <t>28. Biggest Selling Message</t>
        </is>
      </c>
      <c r="AD1" s="6" t="inlineStr">
        <is>
          <t>29. Why a Shopper Chooses This</t>
        </is>
      </c>
      <c r="AE1" s="6" t="inlineStr">
        <is>
          <t>30. Direct Product URL</t>
        </is>
      </c>
      <c r="AF1" s="6" t="inlineStr">
        <is>
          <t>H1. Unit Vol (mL) [calc helper]</t>
        </is>
      </c>
      <c r="AG1" s="6" t="inlineStr">
        <is>
          <t>H2. Coupon Value (CAD) [calc helper]</t>
        </is>
      </c>
      <c r="AH1" s="6" t="inlineStr">
        <is>
          <t>P1. Attribute Provenance</t>
        </is>
      </c>
      <c r="AI1" s="6" t="inlineStr">
        <is>
          <t>P2. Commercial-Field Status</t>
        </is>
      </c>
      <c r="AJ1" s="6" t="inlineStr">
        <is>
          <t>P3. Row Flag</t>
        </is>
      </c>
    </row>
    <row r="2" ht="60" customHeight="1">
      <c r="A2" s="8" t="inlineStr">
        <is>
          <t>Spindrift</t>
        </is>
      </c>
      <c r="B2" s="8" t="inlineStr">
        <is>
          <t>Spindrift Sparkling Water</t>
        </is>
      </c>
      <c r="C2" s="8" t="inlineStr">
        <is>
          <t>5) Sparkling water &amp; soda</t>
        </is>
      </c>
      <c r="D2" s="8" t="inlineStr">
        <is>
          <t>355 mL can</t>
        </is>
      </c>
      <c r="E2" s="8" t="n">
        <v>12</v>
      </c>
      <c r="F2" s="9" t="n"/>
      <c r="G2" s="10">
        <f>IF(AND(ISNUMBER($F2),ISNUMBER($E2),$E2&lt;&gt;0),$F2/$E2,"")</f>
        <v/>
      </c>
      <c r="H2" s="10">
        <f>IF(AND(ISNUMBER($F2),ISNUMBER($AF2),ISNUMBER($E2),($AF2*$E2)&lt;&gt;0),$F2/($AF2*$E2)*100,"")</f>
        <v/>
      </c>
      <c r="I2" s="11" t="n"/>
      <c r="J2" s="12" t="n"/>
      <c r="K2" s="10">
        <f>IF(AND(ISNUMBER($F2),ISNUMBER($J2)),$F2*(1-$J2),"")</f>
        <v/>
      </c>
      <c r="L2" s="11" t="n"/>
      <c r="M2" s="11" t="n"/>
      <c r="N2" s="10">
        <f>IF(ISNUMBER($F2),($F2-IF(ISNUMBER($AG2),$AG2,0))*(1-IF(ISNUMBER($J2),$J2,0)),"")</f>
        <v/>
      </c>
      <c r="O2" s="8" t="inlineStr">
        <is>
          <t>Lemon, Raspberry Lime, Grapefruit, Half-Tea Half-Lemon, Pineapple, Blackberry, Strawberry, Orange Mango</t>
        </is>
      </c>
      <c r="P2" s="13" t="n">
        <v>0</v>
      </c>
      <c r="Q2" s="13" t="n">
        <v>0</v>
      </c>
      <c r="R2" s="8" t="inlineStr">
        <is>
          <t>Not listed</t>
        </is>
      </c>
      <c r="S2" s="13" t="n">
        <v>2</v>
      </c>
      <c r="T2" s="13" t="n">
        <v>10</v>
      </c>
      <c r="U2" s="8" t="inlineStr">
        <is>
          <t>None (real squeezed fruit)</t>
        </is>
      </c>
      <c r="V2" s="8" t="inlineStr">
        <is>
          <t>Real squeezed fruit, no added sugar/sweetener</t>
        </is>
      </c>
      <c r="W2" s="11" t="n"/>
      <c r="X2" s="11" t="n"/>
      <c r="Y2" s="11" t="n"/>
      <c r="Z2" s="11" t="n"/>
      <c r="AA2" s="8" t="inlineStr">
        <is>
          <t>High</t>
        </is>
      </c>
      <c r="AB2" s="8" t="inlineStr">
        <is>
          <t>Premium real-fruit seltzer; strong loyalty</t>
        </is>
      </c>
      <c r="AC2" s="8" t="inlineStr">
        <is>
          <t>Sparkling water made with real squeezed fruit</t>
        </is>
      </c>
      <c r="AD2" s="8" t="inlineStr">
        <is>
          <t>Tastes like real fruit because it is — not flavour essence.</t>
        </is>
      </c>
      <c r="AE2" s="11" t="n"/>
      <c r="AF2" s="8" t="n">
        <v>355</v>
      </c>
      <c r="AG2" s="9" t="n"/>
      <c r="AH2" s="8" t="inlineStr">
        <is>
          <t>Secondary/approx; NOT verified on Amazon.ca</t>
        </is>
      </c>
      <c r="AI2" s="8" t="inlineStr">
        <is>
          <t>BLANK → requires live Amazon.ca capture</t>
        </is>
      </c>
      <c r="AJ2" s="8" t="inlineStr">
        <is>
          <t>⚠ Unverified commercial data</t>
        </is>
      </c>
    </row>
    <row r="3" ht="60" customHeight="1">
      <c r="A3" s="8" t="inlineStr">
        <is>
          <t>LaCroix</t>
        </is>
      </c>
      <c r="B3" s="8" t="inlineStr">
        <is>
          <t>LaCroix Sparkling Water</t>
        </is>
      </c>
      <c r="C3" s="8" t="inlineStr">
        <is>
          <t>5) Sparkling water &amp; soda</t>
        </is>
      </c>
      <c r="D3" s="8" t="inlineStr">
        <is>
          <t>355 mL can</t>
        </is>
      </c>
      <c r="E3" s="8" t="n">
        <v>12</v>
      </c>
      <c r="F3" s="9" t="n"/>
      <c r="G3" s="10">
        <f>IF(AND(ISNUMBER($F3),ISNUMBER($E3),$E3&lt;&gt;0),$F3/$E3,"")</f>
        <v/>
      </c>
      <c r="H3" s="10">
        <f>IF(AND(ISNUMBER($F3),ISNUMBER($AF3),ISNUMBER($E3),($AF3*$E3)&lt;&gt;0),$F3/($AF3*$E3)*100,"")</f>
        <v/>
      </c>
      <c r="I3" s="11" t="n"/>
      <c r="J3" s="12" t="n"/>
      <c r="K3" s="10">
        <f>IF(AND(ISNUMBER($F3),ISNUMBER($J3)),$F3*(1-$J3),"")</f>
        <v/>
      </c>
      <c r="L3" s="11" t="n"/>
      <c r="M3" s="11" t="n"/>
      <c r="N3" s="10">
        <f>IF(ISNUMBER($F3),($F3-IF(ISNUMBER($AG3),$AG3,0))*(1-IF(ISNUMBER($J3),$J3,0)),"")</f>
        <v/>
      </c>
      <c r="O3" s="8" t="inlineStr">
        <is>
          <t>Pamplemousse, Lime, Pure, Coconut, Berry, Passionfruit, Key Lime, CuréaLémon</t>
        </is>
      </c>
      <c r="P3" s="13" t="n">
        <v>0</v>
      </c>
      <c r="Q3" s="13" t="n">
        <v>0</v>
      </c>
      <c r="R3" s="8" t="inlineStr">
        <is>
          <t>Not listed</t>
        </is>
      </c>
      <c r="S3" s="13" t="n">
        <v>0</v>
      </c>
      <c r="T3" s="13" t="n">
        <v>0</v>
      </c>
      <c r="U3" s="8" t="inlineStr">
        <is>
          <t>None (natural essence)</t>
        </is>
      </c>
      <c r="V3" s="8" t="inlineStr">
        <is>
          <t>Zero calorie/sugar/sweetener, naturally essenced</t>
        </is>
      </c>
      <c r="W3" s="11" t="n"/>
      <c r="X3" s="11" t="n"/>
      <c r="Y3" s="11" t="n"/>
      <c r="Z3" s="11" t="n"/>
      <c r="AA3" s="8" t="inlineStr">
        <is>
          <t>Very High</t>
        </is>
      </c>
      <c r="AB3" s="8" t="inlineStr">
        <is>
          <t>Iconic seltzer; huge mainstream base</t>
        </is>
      </c>
      <c r="AC3" s="8" t="inlineStr">
        <is>
          <t>The cult zero-everything sparkling water</t>
        </is>
      </c>
      <c r="AD3" s="8" t="inlineStr">
        <is>
          <t>Zero calories/sugar with cult brand status and price.</t>
        </is>
      </c>
      <c r="AE3" s="11" t="n"/>
      <c r="AF3" s="8" t="n">
        <v>355</v>
      </c>
      <c r="AG3" s="9" t="n"/>
      <c r="AH3" s="8" t="inlineStr">
        <is>
          <t>Secondary/approx; NOT verified on Amazon.ca</t>
        </is>
      </c>
      <c r="AI3" s="8" t="inlineStr">
        <is>
          <t>BLANK → requires live Amazon.ca capture</t>
        </is>
      </c>
      <c r="AJ3" s="8" t="inlineStr">
        <is>
          <t>⚠ Unverified commercial data</t>
        </is>
      </c>
    </row>
    <row r="4" ht="60" customHeight="1">
      <c r="A4" s="8" t="inlineStr">
        <is>
          <t>bubly</t>
        </is>
      </c>
      <c r="B4" s="8" t="inlineStr">
        <is>
          <t>bubly Sparkling Water</t>
        </is>
      </c>
      <c r="C4" s="8" t="inlineStr">
        <is>
          <t>5) Sparkling water &amp; soda</t>
        </is>
      </c>
      <c r="D4" s="8" t="inlineStr">
        <is>
          <t>355 mL can</t>
        </is>
      </c>
      <c r="E4" s="8" t="n">
        <v>12</v>
      </c>
      <c r="F4" s="9" t="n"/>
      <c r="G4" s="10">
        <f>IF(AND(ISNUMBER($F4),ISNUMBER($E4),$E4&lt;&gt;0),$F4/$E4,"")</f>
        <v/>
      </c>
      <c r="H4" s="10">
        <f>IF(AND(ISNUMBER($F4),ISNUMBER($AF4),ISNUMBER($E4),($AF4*$E4)&lt;&gt;0),$F4/($AF4*$E4)*100,"")</f>
        <v/>
      </c>
      <c r="I4" s="11" t="n"/>
      <c r="J4" s="12" t="n"/>
      <c r="K4" s="10">
        <f>IF(AND(ISNUMBER($F4),ISNUMBER($J4)),$F4*(1-$J4),"")</f>
        <v/>
      </c>
      <c r="L4" s="11" t="n"/>
      <c r="M4" s="11" t="n"/>
      <c r="N4" s="10">
        <f>IF(ISNUMBER($F4),($F4-IF(ISNUMBER($AG4),$AG4,0))*(1-IF(ISNUMBER($J4),$J4,0)),"")</f>
        <v/>
      </c>
      <c r="O4" s="8" t="inlineStr">
        <is>
          <t>Cherry, Lime, Grapefruit, Mango, Strawberry, Blackberry, Raspberry, Watermelon</t>
        </is>
      </c>
      <c r="P4" s="13" t="n">
        <v>0</v>
      </c>
      <c r="Q4" s="13" t="n">
        <v>0</v>
      </c>
      <c r="R4" s="8" t="inlineStr">
        <is>
          <t>Not listed</t>
        </is>
      </c>
      <c r="S4" s="13" t="n">
        <v>0</v>
      </c>
      <c r="T4" s="13" t="n">
        <v>0</v>
      </c>
      <c r="U4" s="8" t="inlineStr">
        <is>
          <t>None (natural flavours)</t>
        </is>
      </c>
      <c r="V4" s="8" t="inlineStr">
        <is>
          <t>Zero calorie/sugar/sweetener</t>
        </is>
      </c>
      <c r="W4" s="11" t="n"/>
      <c r="X4" s="11" t="n"/>
      <c r="Y4" s="11" t="n"/>
      <c r="Z4" s="11" t="n"/>
      <c r="AA4" s="8" t="inlineStr">
        <is>
          <t>Very High</t>
        </is>
      </c>
      <c r="AB4" s="8" t="inlineStr">
        <is>
          <t>PepsiCo muscle; aggressive pricing &amp; distribution</t>
        </is>
      </c>
      <c r="AC4" s="8" t="inlineStr">
        <is>
          <t>Cheerful zero-calorie sparkling water at a sharp price</t>
        </is>
      </c>
      <c r="AD4" s="8" t="inlineStr">
        <is>
          <t>Mainstream zero-everything seltzer, usually well priced.</t>
        </is>
      </c>
      <c r="AE4" s="11" t="n"/>
      <c r="AF4" s="8" t="n">
        <v>355</v>
      </c>
      <c r="AG4" s="9" t="n"/>
      <c r="AH4" s="8" t="inlineStr">
        <is>
          <t>Secondary/approx; NOT verified on Amazon.ca</t>
        </is>
      </c>
      <c r="AI4" s="8" t="inlineStr">
        <is>
          <t>BLANK → requires live Amazon.ca capture</t>
        </is>
      </c>
      <c r="AJ4" s="8" t="inlineStr">
        <is>
          <t>⚠ Unverified commercial data</t>
        </is>
      </c>
    </row>
    <row r="5" ht="60" customHeight="1">
      <c r="A5" s="8" t="inlineStr">
        <is>
          <t>Waterloo</t>
        </is>
      </c>
      <c r="B5" s="8" t="inlineStr">
        <is>
          <t>Waterloo Sparkling Water</t>
        </is>
      </c>
      <c r="C5" s="8" t="inlineStr">
        <is>
          <t>5) Sparkling water &amp; soda</t>
        </is>
      </c>
      <c r="D5" s="8" t="inlineStr">
        <is>
          <t>355 mL can</t>
        </is>
      </c>
      <c r="E5" s="8" t="n">
        <v>12</v>
      </c>
      <c r="F5" s="9" t="n"/>
      <c r="G5" s="10">
        <f>IF(AND(ISNUMBER($F5),ISNUMBER($E5),$E5&lt;&gt;0),$F5/$E5,"")</f>
        <v/>
      </c>
      <c r="H5" s="10">
        <f>IF(AND(ISNUMBER($F5),ISNUMBER($AF5),ISNUMBER($E5),($AF5*$E5)&lt;&gt;0),$F5/($AF5*$E5)*100,"")</f>
        <v/>
      </c>
      <c r="I5" s="11" t="n"/>
      <c r="J5" s="12" t="n"/>
      <c r="K5" s="10">
        <f>IF(AND(ISNUMBER($F5),ISNUMBER($J5)),$F5*(1-$J5),"")</f>
        <v/>
      </c>
      <c r="L5" s="11" t="n"/>
      <c r="M5" s="11" t="n"/>
      <c r="N5" s="10">
        <f>IF(ISNUMBER($F5),($F5-IF(ISNUMBER($AG5),$AG5,0))*(1-IF(ISNUMBER($J5),$J5,0)),"")</f>
        <v/>
      </c>
      <c r="O5" s="8" t="inlineStr">
        <is>
          <t>Black Cherry, Grape, Watermelon, Lemon-Lime, Peach, Mango Orange, Summer Berry</t>
        </is>
      </c>
      <c r="P5" s="13" t="n">
        <v>0</v>
      </c>
      <c r="Q5" s="13" t="n">
        <v>0</v>
      </c>
      <c r="R5" s="8" t="inlineStr">
        <is>
          <t>Not listed</t>
        </is>
      </c>
      <c r="S5" s="13" t="n">
        <v>0</v>
      </c>
      <c r="T5" s="13" t="n">
        <v>0</v>
      </c>
      <c r="U5" s="8" t="inlineStr">
        <is>
          <t>None (natural flavours)</t>
        </is>
      </c>
      <c r="V5" s="8" t="inlineStr">
        <is>
          <t>Zero calorie/sugar, bold true-to-fruit flavour</t>
        </is>
      </c>
      <c r="W5" s="11" t="n"/>
      <c r="X5" s="11" t="n"/>
      <c r="Y5" s="11" t="n"/>
      <c r="Z5" s="11" t="n"/>
      <c r="AA5" s="8" t="inlineStr">
        <is>
          <t>Medium</t>
        </is>
      </c>
      <c r="AB5" s="8" t="inlineStr">
        <is>
          <t>Flavour-forward challenger; growing</t>
        </is>
      </c>
      <c r="AC5" s="8" t="inlineStr">
        <is>
          <t>Bolder, more flavour-true sparkling water</t>
        </is>
      </c>
      <c r="AD5" s="8" t="inlineStr">
        <is>
          <t>Stronger, more realistic flavour than the big seltzers.</t>
        </is>
      </c>
      <c r="AE5" s="11" t="n"/>
      <c r="AF5" s="8" t="n">
        <v>355</v>
      </c>
      <c r="AG5" s="9" t="n"/>
      <c r="AH5" s="8" t="inlineStr">
        <is>
          <t>Secondary/approx; NOT verified on Amazon.ca</t>
        </is>
      </c>
      <c r="AI5" s="8" t="inlineStr">
        <is>
          <t>BLANK → requires live Amazon.ca capture</t>
        </is>
      </c>
      <c r="AJ5" s="8" t="inlineStr">
        <is>
          <t>⚠ Unverified commercial data</t>
        </is>
      </c>
    </row>
    <row r="6" ht="60" customHeight="1">
      <c r="A6" s="8" t="inlineStr">
        <is>
          <t>Perrier</t>
        </is>
      </c>
      <c r="B6" s="8" t="inlineStr">
        <is>
          <t>Perrier Carbonated Mineral Water</t>
        </is>
      </c>
      <c r="C6" s="8" t="inlineStr">
        <is>
          <t>5) Sparkling water &amp; soda</t>
        </is>
      </c>
      <c r="D6" s="8" t="inlineStr">
        <is>
          <t>330 mL can</t>
        </is>
      </c>
      <c r="E6" s="8" t="n">
        <v>10</v>
      </c>
      <c r="F6" s="9" t="n"/>
      <c r="G6" s="10">
        <f>IF(AND(ISNUMBER($F6),ISNUMBER($E6),$E6&lt;&gt;0),$F6/$E6,"")</f>
        <v/>
      </c>
      <c r="H6" s="10">
        <f>IF(AND(ISNUMBER($F6),ISNUMBER($AF6),ISNUMBER($E6),($AF6*$E6)&lt;&gt;0),$F6/($AF6*$E6)*100,"")</f>
        <v/>
      </c>
      <c r="I6" s="11" t="n"/>
      <c r="J6" s="12" t="n"/>
      <c r="K6" s="10">
        <f>IF(AND(ISNUMBER($F6),ISNUMBER($J6)),$F6*(1-$J6),"")</f>
        <v/>
      </c>
      <c r="L6" s="11" t="n"/>
      <c r="M6" s="11" t="n"/>
      <c r="N6" s="10">
        <f>IF(ISNUMBER($F6),($F6-IF(ISNUMBER($AG6),$AG6,0))*(1-IF(ISNUMBER($J6),$J6,0)),"")</f>
        <v/>
      </c>
      <c r="O6" s="8" t="inlineStr">
        <is>
          <t>Original, Lime, Lemon, Pink Grapefruit, Strawberry, Peach</t>
        </is>
      </c>
      <c r="P6" s="13" t="n">
        <v>0</v>
      </c>
      <c r="Q6" s="13" t="n">
        <v>10</v>
      </c>
      <c r="R6" s="8" t="inlineStr">
        <is>
          <t>Not listed</t>
        </is>
      </c>
      <c r="S6" s="13" t="n">
        <v>0</v>
      </c>
      <c r="T6" s="13" t="n">
        <v>0</v>
      </c>
      <c r="U6" s="8" t="inlineStr">
        <is>
          <t>None</t>
        </is>
      </c>
      <c r="V6" s="8" t="inlineStr">
        <is>
          <t>Natural French mineral water, naturally carbonated, premium</t>
        </is>
      </c>
      <c r="W6" s="11" t="n"/>
      <c r="X6" s="11" t="n"/>
      <c r="Y6" s="11" t="n"/>
      <c r="Z6" s="11" t="n"/>
      <c r="AA6" s="8" t="inlineStr">
        <is>
          <t>High</t>
        </is>
      </c>
      <c r="AB6" s="8" t="inlineStr">
        <is>
          <t>Iconic premium mineral water; mainstream + horeca</t>
        </is>
      </c>
      <c r="AC6" s="8" t="inlineStr">
        <is>
          <t>Premium French sparkling mineral water</t>
        </is>
      </c>
      <c r="AD6" s="8" t="inlineStr">
        <is>
          <t>Premium imported mineral-water cachet and crisp bubbles.</t>
        </is>
      </c>
      <c r="AE6" s="11" t="n"/>
      <c r="AF6" s="8" t="n">
        <v>330</v>
      </c>
      <c r="AG6" s="9" t="n"/>
      <c r="AH6" s="8" t="inlineStr">
        <is>
          <t>Secondary/approx; NOT verified on Amazon.ca</t>
        </is>
      </c>
      <c r="AI6" s="8" t="inlineStr">
        <is>
          <t>BLANK → requires live Amazon.ca capture</t>
        </is>
      </c>
      <c r="AJ6" s="8" t="inlineStr">
        <is>
          <t>⚠ Unverified commercial data</t>
        </is>
      </c>
    </row>
    <row r="7" ht="60" customHeight="1">
      <c r="A7" s="8" t="inlineStr">
        <is>
          <t>San Pellegrino</t>
        </is>
      </c>
      <c r="B7" s="8" t="inlineStr">
        <is>
          <t>S.Pellegrino Sparkling Natural Mineral Water</t>
        </is>
      </c>
      <c r="C7" s="8" t="inlineStr">
        <is>
          <t>5) Sparkling water &amp; soda</t>
        </is>
      </c>
      <c r="D7" s="8" t="inlineStr">
        <is>
          <t>500 mL bottle</t>
        </is>
      </c>
      <c r="E7" s="8" t="n">
        <v>12</v>
      </c>
      <c r="F7" s="9" t="n"/>
      <c r="G7" s="10">
        <f>IF(AND(ISNUMBER($F7),ISNUMBER($E7),$E7&lt;&gt;0),$F7/$E7,"")</f>
        <v/>
      </c>
      <c r="H7" s="10">
        <f>IF(AND(ISNUMBER($F7),ISNUMBER($AF7),ISNUMBER($E7),($AF7*$E7)&lt;&gt;0),$F7/($AF7*$E7)*100,"")</f>
        <v/>
      </c>
      <c r="I7" s="11" t="n"/>
      <c r="J7" s="12" t="n"/>
      <c r="K7" s="10">
        <f>IF(AND(ISNUMBER($F7),ISNUMBER($J7)),$F7*(1-$J7),"")</f>
        <v/>
      </c>
      <c r="L7" s="11" t="n"/>
      <c r="M7" s="11" t="n"/>
      <c r="N7" s="10">
        <f>IF(ISNUMBER($F7),($F7-IF(ISNUMBER($AG7),$AG7,0))*(1-IF(ISNUMBER($J7),$J7,0)),"")</f>
        <v/>
      </c>
      <c r="O7" s="8" t="inlineStr">
        <is>
          <t>Original (mineral)</t>
        </is>
      </c>
      <c r="P7" s="13" t="n">
        <v>0</v>
      </c>
      <c r="Q7" s="13" t="n">
        <v>35</v>
      </c>
      <c r="R7" s="8" t="inlineStr">
        <is>
          <t>Not listed</t>
        </is>
      </c>
      <c r="S7" s="13" t="n">
        <v>0</v>
      </c>
      <c r="T7" s="13" t="n">
        <v>0</v>
      </c>
      <c r="U7" s="8" t="inlineStr">
        <is>
          <t>None</t>
        </is>
      </c>
      <c r="V7" s="8" t="inlineStr">
        <is>
          <t>Italian natural mineral water, fine perlage, premium dining</t>
        </is>
      </c>
      <c r="W7" s="11" t="n"/>
      <c r="X7" s="11" t="n"/>
      <c r="Y7" s="11" t="n"/>
      <c r="Z7" s="11" t="n"/>
      <c r="AA7" s="8" t="inlineStr">
        <is>
          <t>High</t>
        </is>
      </c>
      <c r="AB7" s="8" t="inlineStr">
        <is>
          <t>Premium mineral water; dining staple</t>
        </is>
      </c>
      <c r="AC7" s="8" t="inlineStr">
        <is>
          <t>Italy's fine-dining sparkling mineral water</t>
        </is>
      </c>
      <c r="AD7" s="8" t="inlineStr">
        <is>
          <t>Premium mineral profile and table-water prestige.</t>
        </is>
      </c>
      <c r="AE7" s="11" t="n"/>
      <c r="AF7" s="8" t="n">
        <v>500</v>
      </c>
      <c r="AG7" s="9" t="n"/>
      <c r="AH7" s="8" t="inlineStr">
        <is>
          <t>Secondary/approx; NOT verified on Amazon.ca</t>
        </is>
      </c>
      <c r="AI7" s="8" t="inlineStr">
        <is>
          <t>BLANK → requires live Amazon.ca capture</t>
        </is>
      </c>
      <c r="AJ7" s="8" t="inlineStr">
        <is>
          <t>⚠ Unverified commercial data</t>
        </is>
      </c>
    </row>
    <row r="8" ht="60" customHeight="1">
      <c r="A8" s="8" t="inlineStr">
        <is>
          <t>San Pellegrino</t>
        </is>
      </c>
      <c r="B8" s="8" t="inlineStr">
        <is>
          <t>Sanpellegrino Aranciata (Italian Sparkling Drink)</t>
        </is>
      </c>
      <c r="C8" s="8" t="inlineStr">
        <is>
          <t>5) Sparkling water &amp; soda</t>
        </is>
      </c>
      <c r="D8" s="8" t="inlineStr">
        <is>
          <t>330 mL can</t>
        </is>
      </c>
      <c r="E8" s="8" t="n">
        <v>6</v>
      </c>
      <c r="F8" s="9" t="n"/>
      <c r="G8" s="10">
        <f>IF(AND(ISNUMBER($F8),ISNUMBER($E8),$E8&lt;&gt;0),$F8/$E8,"")</f>
        <v/>
      </c>
      <c r="H8" s="10">
        <f>IF(AND(ISNUMBER($F8),ISNUMBER($AF8),ISNUMBER($E8),($AF8*$E8)&lt;&gt;0),$F8/($AF8*$E8)*100,"")</f>
        <v/>
      </c>
      <c r="I8" s="11" t="n"/>
      <c r="J8" s="12" t="n"/>
      <c r="K8" s="10">
        <f>IF(AND(ISNUMBER($F8),ISNUMBER($J8)),$F8*(1-$J8),"")</f>
        <v/>
      </c>
      <c r="L8" s="11" t="n"/>
      <c r="M8" s="11" t="n"/>
      <c r="N8" s="10">
        <f>IF(ISNUMBER($F8),($F8-IF(ISNUMBER($AG8),$AG8,0))*(1-IF(ISNUMBER($J8),$J8,0)),"")</f>
        <v/>
      </c>
      <c r="O8" s="8" t="inlineStr">
        <is>
          <t>Aranciata, Aranciata Rossa, Limonata, Pompelmo, Melograno e Arancia</t>
        </is>
      </c>
      <c r="P8" s="13" t="n">
        <v>0</v>
      </c>
      <c r="Q8" s="13" t="n">
        <v>10</v>
      </c>
      <c r="R8" s="8" t="inlineStr">
        <is>
          <t>Not listed</t>
        </is>
      </c>
      <c r="S8" s="13" t="n">
        <v>16</v>
      </c>
      <c r="T8" s="13" t="n">
        <v>70</v>
      </c>
      <c r="U8" s="8" t="inlineStr">
        <is>
          <t>Sugar + real fruit juice</t>
        </is>
      </c>
      <c r="V8" s="8" t="inlineStr">
        <is>
          <t>Real fruit juice Italian sparkling beverage</t>
        </is>
      </c>
      <c r="W8" s="11" t="n"/>
      <c r="X8" s="11" t="n"/>
      <c r="Y8" s="11" t="n"/>
      <c r="Z8" s="11" t="n"/>
      <c r="AA8" s="8" t="inlineStr">
        <is>
          <t>Medium</t>
        </is>
      </c>
      <c r="AB8" s="8" t="inlineStr">
        <is>
          <t>Premium imported fruit soda; recognizable</t>
        </is>
      </c>
      <c r="AC8" s="8" t="inlineStr">
        <is>
          <t>Italian fruit soda with real juice</t>
        </is>
      </c>
      <c r="AD8" s="8" t="inlineStr">
        <is>
          <t>Premium imported fruit-soda taste with real juice.</t>
        </is>
      </c>
      <c r="AE8" s="11" t="n"/>
      <c r="AF8" s="8" t="n">
        <v>330</v>
      </c>
      <c r="AG8" s="9" t="n"/>
      <c r="AH8" s="8" t="inlineStr">
        <is>
          <t>Secondary/approx; NOT verified on Amazon.ca</t>
        </is>
      </c>
      <c r="AI8" s="8" t="inlineStr">
        <is>
          <t>BLANK → requires live Amazon.ca capture</t>
        </is>
      </c>
      <c r="AJ8" s="8" t="inlineStr">
        <is>
          <t>⚠ Unverified commercial data</t>
        </is>
      </c>
    </row>
    <row r="9" ht="60" customHeight="1">
      <c r="A9" s="8" t="inlineStr">
        <is>
          <t>Liquid Death</t>
        </is>
      </c>
      <c r="B9" s="8" t="inlineStr">
        <is>
          <t>Liquid Death Sparkling Water</t>
        </is>
      </c>
      <c r="C9" s="8" t="inlineStr">
        <is>
          <t>5) Sparkling water &amp; soda</t>
        </is>
      </c>
      <c r="D9" s="8" t="inlineStr">
        <is>
          <t>500 mL can</t>
        </is>
      </c>
      <c r="E9" s="8" t="n">
        <v>12</v>
      </c>
      <c r="F9" s="9" t="n"/>
      <c r="G9" s="10">
        <f>IF(AND(ISNUMBER($F9),ISNUMBER($E9),$E9&lt;&gt;0),$F9/$E9,"")</f>
        <v/>
      </c>
      <c r="H9" s="10">
        <f>IF(AND(ISNUMBER($F9),ISNUMBER($AF9),ISNUMBER($E9),($AF9*$E9)&lt;&gt;0),$F9/($AF9*$E9)*100,"")</f>
        <v/>
      </c>
      <c r="I9" s="11" t="n"/>
      <c r="J9" s="12" t="n"/>
      <c r="K9" s="10">
        <f>IF(AND(ISNUMBER($F9),ISNUMBER($J9)),$F9*(1-$J9),"")</f>
        <v/>
      </c>
      <c r="L9" s="11" t="n"/>
      <c r="M9" s="11" t="n"/>
      <c r="N9" s="10">
        <f>IF(ISNUMBER($F9),($F9-IF(ISNUMBER($AG9),$AG9,0))*(1-IF(ISNUMBER($J9),$J9,0)),"")</f>
        <v/>
      </c>
      <c r="O9" s="8" t="inlineStr">
        <is>
          <t>Severed Lime, Mango Chainsaw, Berry It Alive, Convicted Melon, Grape of Wrath</t>
        </is>
      </c>
      <c r="P9" s="13" t="n">
        <v>0</v>
      </c>
      <c r="Q9" s="13" t="n">
        <v>20</v>
      </c>
      <c r="R9" s="8" t="inlineStr">
        <is>
          <t>Not listed</t>
        </is>
      </c>
      <c r="S9" s="13" t="n">
        <v>0</v>
      </c>
      <c r="T9" s="13" t="n">
        <v>0</v>
      </c>
      <c r="U9" s="8" t="inlineStr">
        <is>
          <t>None (natural flavours / agave on some)</t>
        </is>
      </c>
      <c r="V9" s="8" t="inlineStr">
        <is>
          <t>Mountain water, zero sugar, irreverent brand, recyclable tallboy</t>
        </is>
      </c>
      <c r="W9" s="11" t="n"/>
      <c r="X9" s="11" t="n"/>
      <c r="Y9" s="11" t="n"/>
      <c r="Z9" s="11" t="n"/>
      <c r="AA9" s="8" t="inlineStr">
        <is>
          <t>High</t>
        </is>
      </c>
      <c r="AB9" s="8" t="inlineStr">
        <is>
          <t>Viral brand; huge cultural pull beyond product</t>
        </is>
      </c>
      <c r="AC9" s="8" t="inlineStr">
        <is>
          <t>Edgy 'murder your thirst' sparkling water in a tallboy</t>
        </is>
      </c>
      <c r="AD9" s="8" t="inlineStr">
        <is>
          <t>Brand attitude and packaging as much as the water itself.</t>
        </is>
      </c>
      <c r="AE9" s="11" t="n"/>
      <c r="AF9" s="8" t="n">
        <v>500</v>
      </c>
      <c r="AG9" s="9" t="n"/>
      <c r="AH9" s="8" t="inlineStr">
        <is>
          <t>Secondary/approx; NOT verified on Amazon.ca</t>
        </is>
      </c>
      <c r="AI9" s="8" t="inlineStr">
        <is>
          <t>BLANK → requires live Amazon.ca capture</t>
        </is>
      </c>
      <c r="AJ9" s="8" t="inlineStr">
        <is>
          <t>⚠ Unverified commercial data</t>
        </is>
      </c>
    </row>
    <row r="10" ht="60" customHeight="1">
      <c r="A10" s="8" t="inlineStr">
        <is>
          <t>Liquid Death</t>
        </is>
      </c>
      <c r="B10" s="8" t="inlineStr">
        <is>
          <t>Liquid Death Mountain Water (Still)</t>
        </is>
      </c>
      <c r="C10" s="8" t="inlineStr">
        <is>
          <t>5) Sparkling water &amp; soda</t>
        </is>
      </c>
      <c r="D10" s="8" t="inlineStr">
        <is>
          <t>500 mL can</t>
        </is>
      </c>
      <c r="E10" s="8" t="n">
        <v>12</v>
      </c>
      <c r="F10" s="9" t="n"/>
      <c r="G10" s="10">
        <f>IF(AND(ISNUMBER($F10),ISNUMBER($E10),$E10&lt;&gt;0),$F10/$E10,"")</f>
        <v/>
      </c>
      <c r="H10" s="10">
        <f>IF(AND(ISNUMBER($F10),ISNUMBER($AF10),ISNUMBER($E10),($AF10*$E10)&lt;&gt;0),$F10/($AF10*$E10)*100,"")</f>
        <v/>
      </c>
      <c r="I10" s="11" t="n"/>
      <c r="J10" s="12" t="n"/>
      <c r="K10" s="10">
        <f>IF(AND(ISNUMBER($F10),ISNUMBER($J10)),$F10*(1-$J10),"")</f>
        <v/>
      </c>
      <c r="L10" s="11" t="n"/>
      <c r="M10" s="11" t="n"/>
      <c r="N10" s="10">
        <f>IF(ISNUMBER($F10),($F10-IF(ISNUMBER($AG10),$AG10,0))*(1-IF(ISNUMBER($J10),$J10,0)),"")</f>
        <v/>
      </c>
      <c r="O10" s="8" t="inlineStr">
        <is>
          <t>Still (unflavoured)</t>
        </is>
      </c>
      <c r="P10" s="13" t="n">
        <v>0</v>
      </c>
      <c r="Q10" s="13" t="n">
        <v>20</v>
      </c>
      <c r="R10" s="8" t="inlineStr">
        <is>
          <t>Not listed</t>
        </is>
      </c>
      <c r="S10" s="13" t="n">
        <v>0</v>
      </c>
      <c r="T10" s="13" t="n">
        <v>0</v>
      </c>
      <c r="U10" s="8" t="inlineStr">
        <is>
          <t>None</t>
        </is>
      </c>
      <c r="V10" s="8" t="inlineStr">
        <is>
          <t>Real mountain water, recyclable tallboy can, brand-driven</t>
        </is>
      </c>
      <c r="W10" s="11" t="n"/>
      <c r="X10" s="11" t="n"/>
      <c r="Y10" s="11" t="n"/>
      <c r="Z10" s="11" t="n"/>
      <c r="AA10" s="8" t="inlineStr">
        <is>
          <t>High</t>
        </is>
      </c>
      <c r="AB10" s="8" t="inlineStr">
        <is>
          <t>Viral brand halo on plain water</t>
        </is>
      </c>
      <c r="AC10" s="8" t="inlineStr">
        <is>
          <t>Plain mountain water made cool by branding</t>
        </is>
      </c>
      <c r="AD10" s="8" t="inlineStr">
        <is>
          <t>Buys the brand and the can, not just hydration.</t>
        </is>
      </c>
      <c r="AE10" s="11" t="n"/>
      <c r="AF10" s="8" t="n">
        <v>500</v>
      </c>
      <c r="AG10" s="9" t="n"/>
      <c r="AH10" s="8" t="inlineStr">
        <is>
          <t>Secondary/approx; NOT verified on Amazon.ca</t>
        </is>
      </c>
      <c r="AI10" s="8" t="inlineStr">
        <is>
          <t>BLANK → requires live Amazon.ca capture</t>
        </is>
      </c>
      <c r="AJ10" s="8" t="inlineStr">
        <is>
          <t>⚠ Unverified commercial data</t>
        </is>
      </c>
    </row>
    <row r="11" ht="60" customHeight="1">
      <c r="A11" s="8" t="inlineStr">
        <is>
          <t>Topo Chico</t>
        </is>
      </c>
      <c r="B11" s="8" t="inlineStr">
        <is>
          <t>Topo Chico Mineral Water</t>
        </is>
      </c>
      <c r="C11" s="8" t="inlineStr">
        <is>
          <t>5) Sparkling water &amp; soda</t>
        </is>
      </c>
      <c r="D11" s="8" t="inlineStr">
        <is>
          <t>355 mL bottle</t>
        </is>
      </c>
      <c r="E11" s="8" t="n">
        <v>12</v>
      </c>
      <c r="F11" s="9" t="n"/>
      <c r="G11" s="10">
        <f>IF(AND(ISNUMBER($F11),ISNUMBER($E11),$E11&lt;&gt;0),$F11/$E11,"")</f>
        <v/>
      </c>
      <c r="H11" s="10">
        <f>IF(AND(ISNUMBER($F11),ISNUMBER($AF11),ISNUMBER($E11),($AF11*$E11)&lt;&gt;0),$F11/($AF11*$E11)*100,"")</f>
        <v/>
      </c>
      <c r="I11" s="11" t="n"/>
      <c r="J11" s="12" t="n"/>
      <c r="K11" s="10">
        <f>IF(AND(ISNUMBER($F11),ISNUMBER($J11)),$F11*(1-$J11),"")</f>
        <v/>
      </c>
      <c r="L11" s="11" t="n"/>
      <c r="M11" s="11" t="n"/>
      <c r="N11" s="10">
        <f>IF(ISNUMBER($F11),($F11-IF(ISNUMBER($AG11),$AG11,0))*(1-IF(ISNUMBER($J11),$J11,0)),"")</f>
        <v/>
      </c>
      <c r="O11" s="8" t="inlineStr">
        <is>
          <t>Original, Twist of Lime, Twist of Grapefruit, Tangerine</t>
        </is>
      </c>
      <c r="P11" s="13" t="n">
        <v>0</v>
      </c>
      <c r="Q11" s="13" t="n">
        <v>20</v>
      </c>
      <c r="R11" s="8" t="inlineStr">
        <is>
          <t>Not listed</t>
        </is>
      </c>
      <c r="S11" s="13" t="n">
        <v>0</v>
      </c>
      <c r="T11" s="13" t="n">
        <v>0</v>
      </c>
      <c r="U11" s="8" t="inlineStr">
        <is>
          <t>None</t>
        </is>
      </c>
      <c r="V11" s="8" t="inlineStr">
        <is>
          <t>Mexican mineral water, strong carbonation, cult following</t>
        </is>
      </c>
      <c r="W11" s="11" t="n"/>
      <c r="X11" s="11" t="n"/>
      <c r="Y11" s="11" t="n"/>
      <c r="Z11" s="11" t="n"/>
      <c r="AA11" s="8" t="inlineStr">
        <is>
          <t>Medium</t>
        </is>
      </c>
      <c r="AB11" s="8" t="inlineStr">
        <is>
          <t>Cult mineral water; cocktail mixer crossover</t>
        </is>
      </c>
      <c r="AC11" s="8" t="inlineStr">
        <is>
          <t>Cult Mexican mineral water with serious fizz</t>
        </is>
      </c>
      <c r="AD11" s="8" t="inlineStr">
        <is>
          <t>Hard carbonation and mixer credibility.</t>
        </is>
      </c>
      <c r="AE11" s="11" t="n"/>
      <c r="AF11" s="8" t="n">
        <v>355</v>
      </c>
      <c r="AG11" s="9" t="n"/>
      <c r="AH11" s="8" t="inlineStr">
        <is>
          <t>Secondary/approx; NOT verified on Amazon.ca</t>
        </is>
      </c>
      <c r="AI11" s="8" t="inlineStr">
        <is>
          <t>BLANK → requires live Amazon.ca capture</t>
        </is>
      </c>
      <c r="AJ11" s="8" t="inlineStr">
        <is>
          <t>⚠ Unverified commercial data</t>
        </is>
      </c>
    </row>
    <row r="12" ht="60" customHeight="1">
      <c r="A12" s="8" t="inlineStr">
        <is>
          <t>Polar</t>
        </is>
      </c>
      <c r="B12" s="8" t="inlineStr">
        <is>
          <t>Polar Seltzer</t>
        </is>
      </c>
      <c r="C12" s="8" t="inlineStr">
        <is>
          <t>5) Sparkling water &amp; soda</t>
        </is>
      </c>
      <c r="D12" s="8" t="inlineStr">
        <is>
          <t>355 mL can</t>
        </is>
      </c>
      <c r="E12" s="8" t="n">
        <v>8</v>
      </c>
      <c r="F12" s="9" t="n"/>
      <c r="G12" s="10">
        <f>IF(AND(ISNUMBER($F12),ISNUMBER($E12),$E12&lt;&gt;0),$F12/$E12,"")</f>
        <v/>
      </c>
      <c r="H12" s="10">
        <f>IF(AND(ISNUMBER($F12),ISNUMBER($AF12),ISNUMBER($E12),($AF12*$E12)&lt;&gt;0),$F12/($AF12*$E12)*100,"")</f>
        <v/>
      </c>
      <c r="I12" s="11" t="n"/>
      <c r="J12" s="12" t="n"/>
      <c r="K12" s="10">
        <f>IF(AND(ISNUMBER($F12),ISNUMBER($J12)),$F12*(1-$J12),"")</f>
        <v/>
      </c>
      <c r="L12" s="11" t="n"/>
      <c r="M12" s="11" t="n"/>
      <c r="N12" s="10">
        <f>IF(ISNUMBER($F12),($F12-IF(ISNUMBER($AG12),$AG12,0))*(1-IF(ISNUMBER($J12),$J12,0)),"")</f>
        <v/>
      </c>
      <c r="O12" s="8" t="inlineStr">
        <is>
          <t>Black Cherry, Ruby Red Grapefruit, Lime, Mandarin, Raspberry Lime, Vanilla</t>
        </is>
      </c>
      <c r="P12" s="13" t="n">
        <v>0</v>
      </c>
      <c r="Q12" s="13" t="n">
        <v>0</v>
      </c>
      <c r="R12" s="8" t="inlineStr">
        <is>
          <t>Not listed</t>
        </is>
      </c>
      <c r="S12" s="13" t="n">
        <v>0</v>
      </c>
      <c r="T12" s="13" t="n">
        <v>0</v>
      </c>
      <c r="U12" s="8" t="inlineStr">
        <is>
          <t>None (natural flavours)</t>
        </is>
      </c>
      <c r="V12" s="8" t="inlineStr">
        <is>
          <t>Zero calorie/sugar, wide flavour range, value</t>
        </is>
      </c>
      <c r="W12" s="11" t="n"/>
      <c r="X12" s="11" t="n"/>
      <c r="Y12" s="11" t="n"/>
      <c r="Z12" s="11" t="n"/>
      <c r="AA12" s="8" t="inlineStr">
        <is>
          <t>Medium</t>
        </is>
      </c>
      <c r="AB12" s="8" t="inlineStr">
        <is>
          <t>Value seltzer with broad flavour range</t>
        </is>
      </c>
      <c r="AC12" s="8" t="inlineStr">
        <is>
          <t>Value seltzer with a huge flavour range</t>
        </is>
      </c>
      <c r="AD12" s="8" t="inlineStr">
        <is>
          <t>Lots of flavours at a value price.</t>
        </is>
      </c>
      <c r="AE12" s="11" t="n"/>
      <c r="AF12" s="8" t="n">
        <v>355</v>
      </c>
      <c r="AG12" s="9" t="n"/>
      <c r="AH12" s="8" t="inlineStr">
        <is>
          <t>Secondary/approx; NOT verified on Amazon.ca</t>
        </is>
      </c>
      <c r="AI12" s="8" t="inlineStr">
        <is>
          <t>BLANK → requires live Amazon.ca capture</t>
        </is>
      </c>
      <c r="AJ12" s="8" t="inlineStr">
        <is>
          <t>⚠ Unverified commercial data</t>
        </is>
      </c>
    </row>
    <row r="13" ht="60" customHeight="1">
      <c r="A13" s="8" t="inlineStr">
        <is>
          <t>AHA</t>
        </is>
      </c>
      <c r="B13" s="8" t="inlineStr">
        <is>
          <t>AHA Sparkling Water</t>
        </is>
      </c>
      <c r="C13" s="8" t="inlineStr">
        <is>
          <t>5) Sparkling water &amp; soda</t>
        </is>
      </c>
      <c r="D13" s="8" t="inlineStr">
        <is>
          <t>355 mL can</t>
        </is>
      </c>
      <c r="E13" s="8" t="n">
        <v>8</v>
      </c>
      <c r="F13" s="9" t="n"/>
      <c r="G13" s="10">
        <f>IF(AND(ISNUMBER($F13),ISNUMBER($E13),$E13&lt;&gt;0),$F13/$E13,"")</f>
        <v/>
      </c>
      <c r="H13" s="10">
        <f>IF(AND(ISNUMBER($F13),ISNUMBER($AF13),ISNUMBER($E13),($AF13*$E13)&lt;&gt;0),$F13/($AF13*$E13)*100,"")</f>
        <v/>
      </c>
      <c r="I13" s="11" t="n"/>
      <c r="J13" s="12" t="n"/>
      <c r="K13" s="10">
        <f>IF(AND(ISNUMBER($F13),ISNUMBER($J13)),$F13*(1-$J13),"")</f>
        <v/>
      </c>
      <c r="L13" s="11" t="n"/>
      <c r="M13" s="11" t="n"/>
      <c r="N13" s="10">
        <f>IF(ISNUMBER($F13),($F13-IF(ISNUMBER($AG13),$AG13,0))*(1-IF(ISNUMBER($J13),$J13,0)),"")</f>
        <v/>
      </c>
      <c r="O13" s="8" t="inlineStr">
        <is>
          <t>Lime + Watermelon, Citrus + Green Tea (+caffeine), Black Cherry + Coffee, Peach + Honey</t>
        </is>
      </c>
      <c r="P13" s="13" t="n">
        <v>30</v>
      </c>
      <c r="Q13" s="13" t="n">
        <v>0</v>
      </c>
      <c r="R13" s="8" t="inlineStr">
        <is>
          <t>Not listed</t>
        </is>
      </c>
      <c r="S13" s="13" t="n">
        <v>0</v>
      </c>
      <c r="T13" s="13" t="n">
        <v>0</v>
      </c>
      <c r="U13" s="8" t="inlineStr">
        <is>
          <t>None (natural flavours)</t>
        </is>
      </c>
      <c r="V13" s="8" t="inlineStr">
        <is>
          <t>Zero sugar, bold dual-flavour pairings, some with caffeine</t>
        </is>
      </c>
      <c r="W13" s="11" t="n"/>
      <c r="X13" s="11" t="n"/>
      <c r="Y13" s="11" t="n"/>
      <c r="Z13" s="11" t="n"/>
      <c r="AA13" s="8" t="inlineStr">
        <is>
          <t>Medium</t>
        </is>
      </c>
      <c r="AB13" s="8" t="inlineStr">
        <is>
          <t>Coca-Cola seltzer entry; broad distribution</t>
        </is>
      </c>
      <c r="AC13" s="8" t="inlineStr">
        <is>
          <t>Bold paired-flavour seltzer, some caffeinated</t>
        </is>
      </c>
      <c r="AD13" s="8" t="inlineStr">
        <is>
          <t>Unusual flavour pairings (and optional caffeine) at value price.</t>
        </is>
      </c>
      <c r="AE13" s="11" t="n"/>
      <c r="AF13" s="8" t="n">
        <v>355</v>
      </c>
      <c r="AG13" s="9" t="n"/>
      <c r="AH13" s="8" t="inlineStr">
        <is>
          <t>Secondary/approx; NOT verified on Amazon.ca</t>
        </is>
      </c>
      <c r="AI13" s="8" t="inlineStr">
        <is>
          <t>BLANK → requires live Amazon.ca capture</t>
        </is>
      </c>
      <c r="AJ13" s="8" t="inlineStr">
        <is>
          <t>⚠ Unverified commercial data</t>
        </is>
      </c>
    </row>
    <row r="14" ht="60" customHeight="1">
      <c r="A14" s="8" t="inlineStr">
        <is>
          <t>Montellier</t>
        </is>
      </c>
      <c r="B14" s="8" t="inlineStr">
        <is>
          <t>Montellier Carbonated Natural Spring Water</t>
        </is>
      </c>
      <c r="C14" s="8" t="inlineStr">
        <is>
          <t>5) Sparkling water &amp; soda</t>
        </is>
      </c>
      <c r="D14" s="8" t="inlineStr">
        <is>
          <t>355 mL can</t>
        </is>
      </c>
      <c r="E14" s="8" t="n">
        <v>12</v>
      </c>
      <c r="F14" s="9" t="n"/>
      <c r="G14" s="10">
        <f>IF(AND(ISNUMBER($F14),ISNUMBER($E14),$E14&lt;&gt;0),$F14/$E14,"")</f>
        <v/>
      </c>
      <c r="H14" s="10">
        <f>IF(AND(ISNUMBER($F14),ISNUMBER($AF14),ISNUMBER($E14),($AF14*$E14)&lt;&gt;0),$F14/($AF14*$E14)*100,"")</f>
        <v/>
      </c>
      <c r="I14" s="11" t="n"/>
      <c r="J14" s="12" t="n"/>
      <c r="K14" s="10">
        <f>IF(AND(ISNUMBER($F14),ISNUMBER($J14)),$F14*(1-$J14),"")</f>
        <v/>
      </c>
      <c r="L14" s="11" t="n"/>
      <c r="M14" s="11" t="n"/>
      <c r="N14" s="10">
        <f>IF(ISNUMBER($F14),($F14-IF(ISNUMBER($AG14),$AG14,0))*(1-IF(ISNUMBER($J14),$J14,0)),"")</f>
        <v/>
      </c>
      <c r="O14" s="8" t="inlineStr">
        <is>
          <t>Original, Lime, Lemon, Mango, Cranberry, Raspberry</t>
        </is>
      </c>
      <c r="P14" s="13" t="n">
        <v>0</v>
      </c>
      <c r="Q14" s="13" t="n">
        <v>5</v>
      </c>
      <c r="R14" s="8" t="inlineStr">
        <is>
          <t>Not listed</t>
        </is>
      </c>
      <c r="S14" s="13" t="n">
        <v>0</v>
      </c>
      <c r="T14" s="13" t="n">
        <v>0</v>
      </c>
      <c r="U14" s="8" t="inlineStr">
        <is>
          <t>None</t>
        </is>
      </c>
      <c r="V14" s="8" t="inlineStr">
        <is>
          <t>Canadian natural spring water, carbonated, zero everything</t>
        </is>
      </c>
      <c r="W14" s="11" t="n"/>
      <c r="X14" s="11" t="n"/>
      <c r="Y14" s="11" t="n"/>
      <c r="Z14" s="11" t="n"/>
      <c r="AA14" s="8" t="inlineStr">
        <is>
          <t>Medium</t>
        </is>
      </c>
      <c r="AB14" s="8" t="inlineStr">
        <is>
          <t>Established Canadian sparkling brand (domestic strength)</t>
        </is>
      </c>
      <c r="AC14" s="8" t="inlineStr">
        <is>
          <t>Canadian carbonated spring water</t>
        </is>
      </c>
      <c r="AD14" s="8" t="inlineStr">
        <is>
          <t>Local Canadian sparkling water, often value priced.</t>
        </is>
      </c>
      <c r="AE14" s="11" t="n"/>
      <c r="AF14" s="8" t="n">
        <v>355</v>
      </c>
      <c r="AG14" s="9" t="n"/>
      <c r="AH14" s="8" t="inlineStr">
        <is>
          <t>Secondary/approx; NOT verified on Amazon.ca</t>
        </is>
      </c>
      <c r="AI14" s="8" t="inlineStr">
        <is>
          <t>BLANK → requires live Amazon.ca capture</t>
        </is>
      </c>
      <c r="AJ14" s="8" t="inlineStr">
        <is>
          <t>⚠ Unverified commercial data</t>
        </is>
      </c>
    </row>
    <row r="15" ht="60" customHeight="1">
      <c r="A15" s="8" t="inlineStr">
        <is>
          <t>Eska</t>
        </is>
      </c>
      <c r="B15" s="8" t="inlineStr">
        <is>
          <t>Eska Sparkling Spring Water</t>
        </is>
      </c>
      <c r="C15" s="8" t="inlineStr">
        <is>
          <t>5) Sparkling water &amp; soda</t>
        </is>
      </c>
      <c r="D15" s="8" t="inlineStr">
        <is>
          <t>500 mL bottle</t>
        </is>
      </c>
      <c r="E15" s="8" t="n">
        <v>12</v>
      </c>
      <c r="F15" s="9" t="n"/>
      <c r="G15" s="10">
        <f>IF(AND(ISNUMBER($F15),ISNUMBER($E15),$E15&lt;&gt;0),$F15/$E15,"")</f>
        <v/>
      </c>
      <c r="H15" s="10">
        <f>IF(AND(ISNUMBER($F15),ISNUMBER($AF15),ISNUMBER($E15),($AF15*$E15)&lt;&gt;0),$F15/($AF15*$E15)*100,"")</f>
        <v/>
      </c>
      <c r="I15" s="11" t="n"/>
      <c r="J15" s="12" t="n"/>
      <c r="K15" s="10">
        <f>IF(AND(ISNUMBER($F15),ISNUMBER($J15)),$F15*(1-$J15),"")</f>
        <v/>
      </c>
      <c r="L15" s="11" t="n"/>
      <c r="M15" s="11" t="n"/>
      <c r="N15" s="10">
        <f>IF(ISNUMBER($F15),($F15-IF(ISNUMBER($AG15),$AG15,0))*(1-IF(ISNUMBER($J15),$J15,0)),"")</f>
        <v/>
      </c>
      <c r="O15" s="8" t="inlineStr">
        <is>
          <t>Original, Lemon, Lime</t>
        </is>
      </c>
      <c r="P15" s="13" t="n">
        <v>0</v>
      </c>
      <c r="Q15" s="13" t="n">
        <v>5</v>
      </c>
      <c r="R15" s="8" t="inlineStr">
        <is>
          <t>Not listed</t>
        </is>
      </c>
      <c r="S15" s="13" t="n">
        <v>0</v>
      </c>
      <c r="T15" s="13" t="n">
        <v>0</v>
      </c>
      <c r="U15" s="8" t="inlineStr">
        <is>
          <t>None</t>
        </is>
      </c>
      <c r="V15" s="8" t="inlineStr">
        <is>
          <t>Canadian glacial-era spring water, naturally pure</t>
        </is>
      </c>
      <c r="W15" s="11" t="n"/>
      <c r="X15" s="11" t="n"/>
      <c r="Y15" s="11" t="n"/>
      <c r="Z15" s="11" t="n"/>
      <c r="AA15" s="8" t="inlineStr">
        <is>
          <t>Low</t>
        </is>
      </c>
      <c r="AB15" s="8" t="inlineStr">
        <is>
          <t>Canadian regional brand; modest reach</t>
        </is>
      </c>
      <c r="AC15" s="8" t="inlineStr">
        <is>
          <t>Pure Canadian spring water, sparkling</t>
        </is>
      </c>
      <c r="AD15" s="8" t="inlineStr">
        <is>
          <t>Canadian-sourced purity story.</t>
        </is>
      </c>
      <c r="AE15" s="11" t="n"/>
      <c r="AF15" s="8" t="n">
        <v>500</v>
      </c>
      <c r="AG15" s="9" t="n"/>
      <c r="AH15" s="8" t="inlineStr">
        <is>
          <t>Secondary/approx; NOT verified on Amazon.ca</t>
        </is>
      </c>
      <c r="AI15" s="8" t="inlineStr">
        <is>
          <t>BLANK → requires live Amazon.ca capture</t>
        </is>
      </c>
      <c r="AJ15" s="8" t="inlineStr">
        <is>
          <t>⚠ Unverified commercial data</t>
        </is>
      </c>
    </row>
    <row r="16" ht="60" customHeight="1">
      <c r="A16" s="8" t="inlineStr">
        <is>
          <t>Coca-Cola</t>
        </is>
      </c>
      <c r="B16" s="8" t="inlineStr">
        <is>
          <t>Coca-Cola Classic</t>
        </is>
      </c>
      <c r="C16" s="8" t="inlineStr">
        <is>
          <t>5) Sparkling water &amp; soda</t>
        </is>
      </c>
      <c r="D16" s="8" t="inlineStr">
        <is>
          <t>355 mL can</t>
        </is>
      </c>
      <c r="E16" s="8" t="n">
        <v>12</v>
      </c>
      <c r="F16" s="9" t="n"/>
      <c r="G16" s="10">
        <f>IF(AND(ISNUMBER($F16),ISNUMBER($E16),$E16&lt;&gt;0),$F16/$E16,"")</f>
        <v/>
      </c>
      <c r="H16" s="10">
        <f>IF(AND(ISNUMBER($F16),ISNUMBER($AF16),ISNUMBER($E16),($AF16*$E16)&lt;&gt;0),$F16/($AF16*$E16)*100,"")</f>
        <v/>
      </c>
      <c r="I16" s="11" t="n"/>
      <c r="J16" s="12" t="n"/>
      <c r="K16" s="10">
        <f>IF(AND(ISNUMBER($F16),ISNUMBER($J16)),$F16*(1-$J16),"")</f>
        <v/>
      </c>
      <c r="L16" s="11" t="n"/>
      <c r="M16" s="11" t="n"/>
      <c r="N16" s="10">
        <f>IF(ISNUMBER($F16),($F16-IF(ISNUMBER($AG16),$AG16,0))*(1-IF(ISNUMBER($J16),$J16,0)),"")</f>
        <v/>
      </c>
      <c r="O16" s="8" t="inlineStr">
        <is>
          <t>Classic</t>
        </is>
      </c>
      <c r="P16" s="13" t="n">
        <v>34</v>
      </c>
      <c r="Q16" s="13" t="n">
        <v>45</v>
      </c>
      <c r="R16" s="8" t="inlineStr">
        <is>
          <t>Not listed</t>
        </is>
      </c>
      <c r="S16" s="13" t="n">
        <v>39</v>
      </c>
      <c r="T16" s="13" t="n">
        <v>140</v>
      </c>
      <c r="U16" s="8" t="inlineStr">
        <is>
          <t>High-fructose corn syrup / sugar</t>
        </is>
      </c>
      <c r="V16" s="8" t="inlineStr">
        <is>
          <t>Classic cola (no functional claim)</t>
        </is>
      </c>
      <c r="W16" s="11" t="n"/>
      <c r="X16" s="11" t="n"/>
      <c r="Y16" s="11" t="n"/>
      <c r="Z16" s="11" t="n"/>
      <c r="AA16" s="8" t="inlineStr">
        <is>
          <t>Very High</t>
        </is>
      </c>
      <c r="AB16" s="8" t="inlineStr">
        <is>
          <t>World's #1 soda; baseline mass volume</t>
        </is>
      </c>
      <c r="AC16" s="8" t="inlineStr">
        <is>
          <t>The classic cola benchmark</t>
        </is>
      </c>
      <c r="AD16" s="8" t="inlineStr">
        <is>
          <t>Universal taste and brand — the soda baseline.</t>
        </is>
      </c>
      <c r="AE16" s="11" t="n"/>
      <c r="AF16" s="8" t="n">
        <v>355</v>
      </c>
      <c r="AG16" s="9" t="n"/>
      <c r="AH16" s="8" t="inlineStr">
        <is>
          <t>Secondary/approx; NOT verified on Amazon.ca</t>
        </is>
      </c>
      <c r="AI16" s="8" t="inlineStr">
        <is>
          <t>BLANK → requires live Amazon.ca capture</t>
        </is>
      </c>
      <c r="AJ16" s="8" t="inlineStr">
        <is>
          <t>⚠ Unverified commercial data</t>
        </is>
      </c>
    </row>
    <row r="17" ht="60" customHeight="1">
      <c r="A17" s="8" t="inlineStr">
        <is>
          <t>Olipop</t>
        </is>
      </c>
      <c r="B17" s="8" t="inlineStr">
        <is>
          <t>(see Functional tab — cross-listed)</t>
        </is>
      </c>
      <c r="C17" s="8" t="inlineStr">
        <is>
          <t>5) Sparkling water &amp; soda</t>
        </is>
      </c>
      <c r="D17" s="8" t="inlineStr">
        <is>
          <t>—</t>
        </is>
      </c>
      <c r="E17" s="8" t="inlineStr">
        <is>
          <t>Not listed</t>
        </is>
      </c>
      <c r="F17" s="9" t="n"/>
      <c r="G17" s="10">
        <f>IF(AND(ISNUMBER($F17),ISNUMBER($E17),$E17&lt;&gt;0),$F17/$E17,"")</f>
        <v/>
      </c>
      <c r="H17" s="10">
        <f>IF(AND(ISNUMBER($F17),ISNUMBER($AF17),ISNUMBER($E17),($AF17*$E17)&lt;&gt;0),$F17/($AF17*$E17)*100,"")</f>
        <v/>
      </c>
      <c r="I17" s="11" t="n"/>
      <c r="J17" s="12" t="n"/>
      <c r="K17" s="10">
        <f>IF(AND(ISNUMBER($F17),ISNUMBER($J17)),$F17*(1-$J17),"")</f>
        <v/>
      </c>
      <c r="L17" s="11" t="n"/>
      <c r="M17" s="11" t="n"/>
      <c r="N17" s="10">
        <f>IF(ISNUMBER($F17),($F17-IF(ISNUMBER($AG17),$AG17,0))*(1-IF(ISNUMBER($J17),$J17,0)),"")</f>
        <v/>
      </c>
      <c r="O17" s="8" t="inlineStr">
        <is>
          <t>(cross-reference only)</t>
        </is>
      </c>
      <c r="P17" s="8" t="inlineStr">
        <is>
          <t>Not listed</t>
        </is>
      </c>
      <c r="Q17" s="8" t="inlineStr">
        <is>
          <t>Not listed</t>
        </is>
      </c>
      <c r="R17" s="8" t="inlineStr">
        <is>
          <t>Not listed</t>
        </is>
      </c>
      <c r="S17" s="8" t="inlineStr">
        <is>
          <t>Not listed</t>
        </is>
      </c>
      <c r="T17" s="8" t="inlineStr">
        <is>
          <t>Not listed</t>
        </is>
      </c>
      <c r="U17" s="8" t="inlineStr">
        <is>
          <t>—</t>
        </is>
      </c>
      <c r="V17" s="8" t="inlineStr">
        <is>
          <t>Cross-listed: primary entry in Functional tab</t>
        </is>
      </c>
      <c r="W17" s="11" t="n"/>
      <c r="X17" s="11" t="n"/>
      <c r="Y17" s="11" t="n"/>
      <c r="Z17" s="11" t="n"/>
      <c r="AA17" s="8" t="inlineStr">
        <is>
          <t>—</t>
        </is>
      </c>
      <c r="AB17" s="8" t="inlineStr">
        <is>
          <t>Cross-reference placeholder</t>
        </is>
      </c>
      <c r="AC17" s="8" t="inlineStr">
        <is>
          <t>—</t>
        </is>
      </c>
      <c r="AD17" s="8" t="inlineStr">
        <is>
          <t>—</t>
        </is>
      </c>
      <c r="AE17" s="11" t="n"/>
      <c r="AF17" s="8" t="inlineStr">
        <is>
          <t>Not listed</t>
        </is>
      </c>
      <c r="AG17" s="9" t="n"/>
      <c r="AH17" s="8" t="inlineStr">
        <is>
          <t>Secondary/approx; NOT verified on Amazon.ca</t>
        </is>
      </c>
      <c r="AI17" s="8" t="inlineStr">
        <is>
          <t>BLANK → requires live Amazon.ca capture</t>
        </is>
      </c>
      <c r="AJ17" s="8" t="inlineStr">
        <is>
          <t>⚠ Unverified commercial data</t>
        </is>
      </c>
    </row>
  </sheetData>
  <autoFilter ref="A1:AJ17"/>
  <conditionalFormatting sqref="AJ2:AJ17">
    <cfRule type="expression" priority="1" dxfId="0">
      <formula>ISBLANK($F2)</formula>
    </cfRule>
  </conditionalFormatting>
  <dataValidations count="1">
    <dataValidation sqref="I2:I1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26" customWidth="1" min="3" max="3"/>
    <col width="15" customWidth="1" min="4" max="4"/>
    <col width="11" customWidth="1" min="5" max="5"/>
    <col width="14" customWidth="1" min="6" max="6"/>
    <col width="12" customWidth="1" min="7" max="7"/>
    <col width="16" customWidth="1" min="8" max="8"/>
    <col width="24" customWidth="1" min="9" max="9"/>
    <col width="46" customWidth="1" min="10" max="10"/>
  </cols>
  <sheetData>
    <row r="1" ht="42" customHeight="1">
      <c r="A1" s="6" t="inlineStr">
        <is>
          <t>Brand</t>
        </is>
      </c>
      <c r="B1" s="6" t="inlineStr">
        <is>
          <t>SKU</t>
        </is>
      </c>
      <c r="C1" s="6" t="inlineStr">
        <is>
          <t>Category</t>
        </is>
      </c>
      <c r="D1" s="6" t="inlineStr">
        <is>
          <t>One-Time Price (CAD)</t>
        </is>
      </c>
      <c r="E1" s="6" t="inlineStr">
        <is>
          <t>S&amp;S Disc %</t>
        </is>
      </c>
      <c r="F1" s="6" t="inlineStr">
        <is>
          <t>S&amp;S Price (CAD)</t>
        </is>
      </c>
      <c r="G1" s="6" t="inlineStr">
        <is>
          <t>Coupon (CAD)</t>
        </is>
      </c>
      <c r="H1" s="6" t="inlineStr">
        <is>
          <t>Lowest Effective / True Floor (CAD)</t>
        </is>
      </c>
      <c r="I1" s="6" t="inlineStr">
        <is>
          <t>Promo text</t>
        </is>
      </c>
      <c r="J1" s="6" t="inlineStr">
        <is>
          <t>Promotion-reliance read (qualitative)</t>
        </is>
      </c>
    </row>
    <row r="2" ht="30" customHeight="1">
      <c r="A2" s="8" t="inlineStr">
        <is>
          <t>Red Bull</t>
        </is>
      </c>
      <c r="B2" s="8" t="inlineStr">
        <is>
          <t>Red Bull Energy Drink</t>
        </is>
      </c>
      <c r="C2" s="8" t="inlineStr">
        <is>
          <t>4) Caffeine &amp; energy beverage</t>
        </is>
      </c>
      <c r="D2" s="9" t="inlineStr"/>
      <c r="E2" s="12" t="inlineStr"/>
      <c r="F2" s="9" t="inlineStr"/>
      <c r="G2" s="9" t="inlineStr"/>
      <c r="H2" s="9" t="inlineStr"/>
      <c r="I2" s="11" t="inlineStr">
        <is>
          <t>(capture)</t>
        </is>
      </c>
      <c r="J2" s="8" t="inlineStr">
        <is>
          <t>Rarely discounts; relies on brand. Light S&amp;S at most.</t>
        </is>
      </c>
    </row>
    <row r="3" ht="30" customHeight="1">
      <c r="A3" s="8" t="inlineStr">
        <is>
          <t>Red Bull</t>
        </is>
      </c>
      <c r="B3" s="8" t="inlineStr">
        <is>
          <t>Red Bull Sugarfree</t>
        </is>
      </c>
      <c r="C3" s="8" t="inlineStr">
        <is>
          <t>4) Caffeine &amp; energy beverage</t>
        </is>
      </c>
      <c r="D3" s="9" t="inlineStr"/>
      <c r="E3" s="12" t="inlineStr"/>
      <c r="F3" s="9" t="inlineStr"/>
      <c r="G3" s="9" t="inlineStr"/>
      <c r="H3" s="9" t="inlineStr"/>
      <c r="I3" s="11" t="inlineStr">
        <is>
          <t>(capture)</t>
        </is>
      </c>
      <c r="J3" s="8" t="inlineStr">
        <is>
          <t>Rarely discounts; relies on brand. Light S&amp;S at most.</t>
        </is>
      </c>
    </row>
    <row r="4" ht="30" customHeight="1">
      <c r="A4" s="8" t="inlineStr">
        <is>
          <t>Monster</t>
        </is>
      </c>
      <c r="B4" s="8" t="inlineStr">
        <is>
          <t>Monster Energy Original (Green)</t>
        </is>
      </c>
      <c r="C4" s="8" t="inlineStr">
        <is>
          <t>4) Caffeine &amp; energy beverage</t>
        </is>
      </c>
      <c r="D4" s="9" t="inlineStr"/>
      <c r="E4" s="12" t="inlineStr"/>
      <c r="F4" s="9" t="inlineStr"/>
      <c r="G4" s="9" t="inlineStr"/>
      <c r="H4" s="9" t="inlineStr"/>
      <c r="I4" s="11" t="inlineStr">
        <is>
          <t>(capture)</t>
        </is>
      </c>
      <c r="J4" s="8" t="inlineStr">
        <is>
          <t>Pack-size value play; occasional multipack promos.</t>
        </is>
      </c>
    </row>
    <row r="5" ht="30" customHeight="1">
      <c r="A5" s="8" t="inlineStr">
        <is>
          <t>Monster</t>
        </is>
      </c>
      <c r="B5" s="8" t="inlineStr">
        <is>
          <t>Monster Energy Ultra Zero (White)</t>
        </is>
      </c>
      <c r="C5" s="8" t="inlineStr">
        <is>
          <t>4) Caffeine &amp; energy beverage</t>
        </is>
      </c>
      <c r="D5" s="9" t="inlineStr"/>
      <c r="E5" s="12" t="inlineStr"/>
      <c r="F5" s="9" t="inlineStr"/>
      <c r="G5" s="9" t="inlineStr"/>
      <c r="H5" s="9" t="inlineStr"/>
      <c r="I5" s="11" t="inlineStr">
        <is>
          <t>(capture)</t>
        </is>
      </c>
      <c r="J5" s="8" t="inlineStr">
        <is>
          <t>Pack-size value play; occasional multipack promos.</t>
        </is>
      </c>
    </row>
    <row r="6" ht="30" customHeight="1">
      <c r="A6" s="8" t="inlineStr">
        <is>
          <t>Celsius</t>
        </is>
      </c>
      <c r="B6" s="8" t="inlineStr">
        <is>
          <t>Celsius Original Sparkling</t>
        </is>
      </c>
      <c r="C6" s="8" t="inlineStr">
        <is>
          <t>4) Caffeine &amp; energy beverage</t>
        </is>
      </c>
      <c r="D6" s="9" t="inlineStr"/>
      <c r="E6" s="12" t="inlineStr"/>
      <c r="F6" s="9" t="inlineStr"/>
      <c r="G6" s="9" t="inlineStr"/>
      <c r="H6" s="9" t="inlineStr"/>
      <c r="I6" s="11" t="inlineStr">
        <is>
          <t>(capture)</t>
        </is>
      </c>
      <c r="J6" s="8" t="inlineStr">
        <is>
          <t>Heavy S&amp;S + frequent coupons to drive trial/subscription.</t>
        </is>
      </c>
    </row>
    <row r="7" ht="30" customHeight="1">
      <c r="A7" s="8" t="inlineStr">
        <is>
          <t>Celsius</t>
        </is>
      </c>
      <c r="B7" s="8" t="inlineStr">
        <is>
          <t>Celsius Essentials</t>
        </is>
      </c>
      <c r="C7" s="8" t="inlineStr">
        <is>
          <t>4) Caffeine &amp; energy beverage</t>
        </is>
      </c>
      <c r="D7" s="9" t="inlineStr"/>
      <c r="E7" s="12" t="inlineStr"/>
      <c r="F7" s="9" t="inlineStr"/>
      <c r="G7" s="9" t="inlineStr"/>
      <c r="H7" s="9" t="inlineStr"/>
      <c r="I7" s="11" t="inlineStr">
        <is>
          <t>(capture)</t>
        </is>
      </c>
      <c r="J7" s="8" t="inlineStr">
        <is>
          <t>Heavy S&amp;S + frequent coupons to drive trial/subscription.</t>
        </is>
      </c>
    </row>
    <row r="8" ht="30" customHeight="1">
      <c r="A8" s="8" t="inlineStr">
        <is>
          <t>Prime</t>
        </is>
      </c>
      <c r="B8" s="8" t="inlineStr">
        <is>
          <t>Prime Energy</t>
        </is>
      </c>
      <c r="C8" s="8" t="inlineStr">
        <is>
          <t>4) Caffeine &amp; energy beverage</t>
        </is>
      </c>
      <c r="D8" s="9" t="inlineStr"/>
      <c r="E8" s="12" t="inlineStr"/>
      <c r="F8" s="9" t="inlineStr"/>
      <c r="G8" s="9" t="inlineStr"/>
      <c r="H8" s="9" t="inlineStr"/>
      <c r="I8" s="11" t="inlineStr">
        <is>
          <t>(capture)</t>
        </is>
      </c>
      <c r="J8" s="8" t="inlineStr">
        <is>
          <t>Hype-led; sporadic deals, scarcity over discount.</t>
        </is>
      </c>
    </row>
    <row r="9" ht="30" customHeight="1">
      <c r="A9" s="8" t="inlineStr">
        <is>
          <t>C4</t>
        </is>
      </c>
      <c r="B9" s="8" t="inlineStr">
        <is>
          <t>C4 Energy (Performance)</t>
        </is>
      </c>
      <c r="C9" s="8" t="inlineStr">
        <is>
          <t>4) Caffeine &amp; energy beverage</t>
        </is>
      </c>
      <c r="D9" s="9" t="inlineStr"/>
      <c r="E9" s="12" t="inlineStr"/>
      <c r="F9" s="9" t="inlineStr"/>
      <c r="G9" s="9" t="inlineStr"/>
      <c r="H9" s="9" t="inlineStr"/>
      <c r="I9" s="11" t="inlineStr">
        <is>
          <t>(capture)</t>
        </is>
      </c>
      <c r="J9" s="8" t="inlineStr">
        <is>
          <t>Capture live promo to assess.</t>
        </is>
      </c>
    </row>
    <row r="10" ht="30" customHeight="1">
      <c r="A10" s="8" t="inlineStr">
        <is>
          <t>Reign</t>
        </is>
      </c>
      <c r="B10" s="8" t="inlineStr">
        <is>
          <t>Reign Total Body Fuel</t>
        </is>
      </c>
      <c r="C10" s="8" t="inlineStr">
        <is>
          <t>4) Caffeine &amp; energy beverage</t>
        </is>
      </c>
      <c r="D10" s="9" t="inlineStr"/>
      <c r="E10" s="12" t="inlineStr"/>
      <c r="F10" s="9" t="inlineStr"/>
      <c r="G10" s="9" t="inlineStr"/>
      <c r="H10" s="9" t="inlineStr"/>
      <c r="I10" s="11" t="inlineStr">
        <is>
          <t>(capture)</t>
        </is>
      </c>
      <c r="J10" s="8" t="inlineStr">
        <is>
          <t>Capture live promo to assess.</t>
        </is>
      </c>
    </row>
    <row r="11" ht="30" customHeight="1">
      <c r="A11" s="8" t="inlineStr">
        <is>
          <t>Alani Nu</t>
        </is>
      </c>
      <c r="B11" s="8" t="inlineStr">
        <is>
          <t>Alani Nu Energy</t>
        </is>
      </c>
      <c r="C11" s="8" t="inlineStr">
        <is>
          <t>4) Caffeine &amp; energy beverage</t>
        </is>
      </c>
      <c r="D11" s="9" t="inlineStr"/>
      <c r="E11" s="12" t="inlineStr"/>
      <c r="F11" s="9" t="inlineStr"/>
      <c r="G11" s="9" t="inlineStr"/>
      <c r="H11" s="9" t="inlineStr"/>
      <c r="I11" s="11" t="inlineStr">
        <is>
          <t>(capture)</t>
        </is>
      </c>
      <c r="J11" s="8" t="inlineStr">
        <is>
          <t>Capture live promo to assess.</t>
        </is>
      </c>
    </row>
    <row r="12" ht="30" customHeight="1">
      <c r="A12" s="8" t="inlineStr">
        <is>
          <t>Bang</t>
        </is>
      </c>
      <c r="B12" s="8" t="inlineStr">
        <is>
          <t>Bang Energy</t>
        </is>
      </c>
      <c r="C12" s="8" t="inlineStr">
        <is>
          <t>4) Caffeine &amp; energy beverage</t>
        </is>
      </c>
      <c r="D12" s="9" t="inlineStr"/>
      <c r="E12" s="12" t="inlineStr"/>
      <c r="F12" s="9" t="inlineStr"/>
      <c r="G12" s="9" t="inlineStr"/>
      <c r="H12" s="9" t="inlineStr"/>
      <c r="I12" s="11" t="inlineStr">
        <is>
          <t>(capture)</t>
        </is>
      </c>
      <c r="J12" s="8" t="inlineStr">
        <is>
          <t>Capture live promo to assess.</t>
        </is>
      </c>
    </row>
    <row r="13" ht="30" customHeight="1">
      <c r="A13" s="8" t="inlineStr">
        <is>
          <t>Rockstar</t>
        </is>
      </c>
      <c r="B13" s="8" t="inlineStr">
        <is>
          <t>Rockstar Energy</t>
        </is>
      </c>
      <c r="C13" s="8" t="inlineStr">
        <is>
          <t>4) Caffeine &amp; energy beverage</t>
        </is>
      </c>
      <c r="D13" s="9" t="inlineStr"/>
      <c r="E13" s="12" t="inlineStr"/>
      <c r="F13" s="9" t="inlineStr"/>
      <c r="G13" s="9" t="inlineStr"/>
      <c r="H13" s="9" t="inlineStr"/>
      <c r="I13" s="11" t="inlineStr">
        <is>
          <t>(capture)</t>
        </is>
      </c>
      <c r="J13" s="8" t="inlineStr">
        <is>
          <t>Capture live promo to assess.</t>
        </is>
      </c>
    </row>
    <row r="14" ht="30" customHeight="1">
      <c r="A14" s="8" t="inlineStr">
        <is>
          <t>GURU</t>
        </is>
      </c>
      <c r="B14" s="8" t="inlineStr">
        <is>
          <t>GURU Organic Energy</t>
        </is>
      </c>
      <c r="C14" s="8" t="inlineStr">
        <is>
          <t>4) Caffeine &amp; energy beverage</t>
        </is>
      </c>
      <c r="D14" s="9" t="inlineStr"/>
      <c r="E14" s="12" t="inlineStr"/>
      <c r="F14" s="9" t="inlineStr"/>
      <c r="G14" s="9" t="inlineStr"/>
      <c r="H14" s="9" t="inlineStr"/>
      <c r="I14" s="11" t="inlineStr">
        <is>
          <t>(capture)</t>
        </is>
      </c>
      <c r="J14" s="8" t="inlineStr">
        <is>
          <t>Capture live promo to assess.</t>
        </is>
      </c>
    </row>
    <row r="15" ht="30" customHeight="1">
      <c r="A15" s="8" t="inlineStr">
        <is>
          <t>Guayakí</t>
        </is>
      </c>
      <c r="B15" s="8" t="inlineStr">
        <is>
          <t>Guayakí Yerba Mate</t>
        </is>
      </c>
      <c r="C15" s="8" t="inlineStr">
        <is>
          <t>4) Caffeine &amp; energy beverage</t>
        </is>
      </c>
      <c r="D15" s="9" t="inlineStr"/>
      <c r="E15" s="12" t="inlineStr"/>
      <c r="F15" s="9" t="inlineStr"/>
      <c r="G15" s="9" t="inlineStr"/>
      <c r="H15" s="9" t="inlineStr"/>
      <c r="I15" s="11" t="inlineStr">
        <is>
          <t>(capture)</t>
        </is>
      </c>
      <c r="J15" s="8" t="inlineStr">
        <is>
          <t>Capture live promo to assess.</t>
        </is>
      </c>
    </row>
    <row r="16" ht="30" customHeight="1">
      <c r="A16" s="8" t="inlineStr">
        <is>
          <t>NOS</t>
        </is>
      </c>
      <c r="B16" s="8" t="inlineStr">
        <is>
          <t>NOS Energy Drink</t>
        </is>
      </c>
      <c r="C16" s="8" t="inlineStr">
        <is>
          <t>4) Caffeine &amp; energy beverage</t>
        </is>
      </c>
      <c r="D16" s="9" t="inlineStr"/>
      <c r="E16" s="12" t="inlineStr"/>
      <c r="F16" s="9" t="inlineStr"/>
      <c r="G16" s="9" t="inlineStr"/>
      <c r="H16" s="9" t="inlineStr"/>
      <c r="I16" s="11" t="inlineStr">
        <is>
          <t>(capture)</t>
        </is>
      </c>
      <c r="J16" s="8" t="inlineStr">
        <is>
          <t>Capture live promo to assess.</t>
        </is>
      </c>
    </row>
    <row r="17" ht="30" customHeight="1">
      <c r="A17" s="8" t="inlineStr">
        <is>
          <t>Starbucks</t>
        </is>
      </c>
      <c r="B17" s="8" t="inlineStr">
        <is>
          <t>Starbucks Doubleshot Espresso</t>
        </is>
      </c>
      <c r="C17" s="8" t="inlineStr">
        <is>
          <t>4) Caffeine &amp; energy beverage</t>
        </is>
      </c>
      <c r="D17" s="9" t="inlineStr"/>
      <c r="E17" s="12" t="inlineStr"/>
      <c r="F17" s="9" t="inlineStr"/>
      <c r="G17" s="9" t="inlineStr"/>
      <c r="H17" s="9" t="inlineStr"/>
      <c r="I17" s="11" t="inlineStr">
        <is>
          <t>(capture)</t>
        </is>
      </c>
      <c r="J17" s="8" t="inlineStr">
        <is>
          <t>Capture live promo to assess.</t>
        </is>
      </c>
    </row>
    <row r="18" ht="30" customHeight="1">
      <c r="A18" s="8" t="inlineStr">
        <is>
          <t>Gatorade</t>
        </is>
      </c>
      <c r="B18" s="8" t="inlineStr">
        <is>
          <t>Gatorade Thirst Quencher</t>
        </is>
      </c>
      <c r="C18" s="8" t="inlineStr">
        <is>
          <t>2) Electrolyte beverage (RTD)</t>
        </is>
      </c>
      <c r="D18" s="9" t="inlineStr"/>
      <c r="E18" s="12" t="inlineStr"/>
      <c r="F18" s="9" t="inlineStr"/>
      <c r="G18" s="9" t="inlineStr"/>
      <c r="H18" s="9" t="inlineStr"/>
      <c r="I18" s="11" t="inlineStr">
        <is>
          <t>(capture)</t>
        </is>
      </c>
      <c r="J18" s="8" t="inlineStr">
        <is>
          <t>Volume + everyday-low-price; modest S&amp;S.</t>
        </is>
      </c>
    </row>
    <row r="19" ht="30" customHeight="1">
      <c r="A19" s="8" t="inlineStr">
        <is>
          <t>Gatorade</t>
        </is>
      </c>
      <c r="B19" s="8" t="inlineStr">
        <is>
          <t>Gatorade Zero Sugar</t>
        </is>
      </c>
      <c r="C19" s="8" t="inlineStr">
        <is>
          <t>2) Electrolyte beverage (RTD)</t>
        </is>
      </c>
      <c r="D19" s="9" t="inlineStr"/>
      <c r="E19" s="12" t="inlineStr"/>
      <c r="F19" s="9" t="inlineStr"/>
      <c r="G19" s="9" t="inlineStr"/>
      <c r="H19" s="9" t="inlineStr"/>
      <c r="I19" s="11" t="inlineStr">
        <is>
          <t>(capture)</t>
        </is>
      </c>
      <c r="J19" s="8" t="inlineStr">
        <is>
          <t>Volume + everyday-low-price; modest S&amp;S.</t>
        </is>
      </c>
    </row>
    <row r="20" ht="30" customHeight="1">
      <c r="A20" s="8" t="inlineStr">
        <is>
          <t>Powerade</t>
        </is>
      </c>
      <c r="B20" s="8" t="inlineStr">
        <is>
          <t>Powerade Mountain Berry Blast</t>
        </is>
      </c>
      <c r="C20" s="8" t="inlineStr">
        <is>
          <t>2) Electrolyte beverage (RTD)</t>
        </is>
      </c>
      <c r="D20" s="9" t="inlineStr"/>
      <c r="E20" s="12" t="inlineStr"/>
      <c r="F20" s="9" t="inlineStr"/>
      <c r="G20" s="9" t="inlineStr"/>
      <c r="H20" s="9" t="inlineStr"/>
      <c r="I20" s="11" t="inlineStr">
        <is>
          <t>(capture)</t>
        </is>
      </c>
      <c r="J20" s="8" t="inlineStr">
        <is>
          <t>Undercuts Gatorade on price as core lever.</t>
        </is>
      </c>
    </row>
    <row r="21" ht="30" customHeight="1">
      <c r="A21" s="8" t="inlineStr">
        <is>
          <t>Powerade</t>
        </is>
      </c>
      <c r="B21" s="8" t="inlineStr">
        <is>
          <t>Powerade Zero</t>
        </is>
      </c>
      <c r="C21" s="8" t="inlineStr">
        <is>
          <t>2) Electrolyte beverage (RTD)</t>
        </is>
      </c>
      <c r="D21" s="9" t="inlineStr"/>
      <c r="E21" s="12" t="inlineStr"/>
      <c r="F21" s="9" t="inlineStr"/>
      <c r="G21" s="9" t="inlineStr"/>
      <c r="H21" s="9" t="inlineStr"/>
      <c r="I21" s="11" t="inlineStr">
        <is>
          <t>(capture)</t>
        </is>
      </c>
      <c r="J21" s="8" t="inlineStr">
        <is>
          <t>Undercuts Gatorade on price as core lever.</t>
        </is>
      </c>
    </row>
    <row r="22" ht="30" customHeight="1">
      <c r="A22" s="8" t="inlineStr">
        <is>
          <t>BODYARMOR</t>
        </is>
      </c>
      <c r="B22" s="8" t="inlineStr">
        <is>
          <t>BODYARMOR Sports Drink</t>
        </is>
      </c>
      <c r="C22" s="8" t="inlineStr">
        <is>
          <t>2) Electrolyte beverage (RTD)</t>
        </is>
      </c>
      <c r="D22" s="9" t="inlineStr"/>
      <c r="E22" s="12" t="inlineStr"/>
      <c r="F22" s="9" t="inlineStr"/>
      <c r="G22" s="9" t="inlineStr"/>
      <c r="H22" s="9" t="inlineStr"/>
      <c r="I22" s="11" t="inlineStr">
        <is>
          <t>(capture)</t>
        </is>
      </c>
      <c r="J22" s="8" t="inlineStr">
        <is>
          <t>Premium price; promos to defend vs Gatorade.</t>
        </is>
      </c>
    </row>
    <row r="23" ht="30" customHeight="1">
      <c r="A23" s="8" t="inlineStr">
        <is>
          <t>BODYARMOR</t>
        </is>
      </c>
      <c r="B23" s="8" t="inlineStr">
        <is>
          <t>BODYARMOR LYTE</t>
        </is>
      </c>
      <c r="C23" s="8" t="inlineStr">
        <is>
          <t>2) Electrolyte beverage (RTD)</t>
        </is>
      </c>
      <c r="D23" s="9" t="inlineStr"/>
      <c r="E23" s="12" t="inlineStr"/>
      <c r="F23" s="9" t="inlineStr"/>
      <c r="G23" s="9" t="inlineStr"/>
      <c r="H23" s="9" t="inlineStr"/>
      <c r="I23" s="11" t="inlineStr">
        <is>
          <t>(capture)</t>
        </is>
      </c>
      <c r="J23" s="8" t="inlineStr">
        <is>
          <t>Premium price; promos to defend vs Gatorade.</t>
        </is>
      </c>
    </row>
    <row r="24" ht="30" customHeight="1">
      <c r="A24" s="8" t="inlineStr">
        <is>
          <t>Prime</t>
        </is>
      </c>
      <c r="B24" s="8" t="inlineStr">
        <is>
          <t>Prime Hydration</t>
        </is>
      </c>
      <c r="C24" s="8" t="inlineStr">
        <is>
          <t>2) Electrolyte beverage (RTD)</t>
        </is>
      </c>
      <c r="D24" s="9" t="inlineStr"/>
      <c r="E24" s="12" t="inlineStr"/>
      <c r="F24" s="9" t="inlineStr"/>
      <c r="G24" s="9" t="inlineStr"/>
      <c r="H24" s="9" t="inlineStr"/>
      <c r="I24" s="11" t="inlineStr">
        <is>
          <t>(capture)</t>
        </is>
      </c>
      <c r="J24" s="8" t="inlineStr">
        <is>
          <t>Hype-led; sporadic deals, scarcity over discount.</t>
        </is>
      </c>
    </row>
    <row r="25" ht="30" customHeight="1">
      <c r="A25" s="8" t="inlineStr">
        <is>
          <t>Roar Organic</t>
        </is>
      </c>
      <c r="B25" s="8" t="inlineStr">
        <is>
          <t>Roar Organic Electrolyte Infusions</t>
        </is>
      </c>
      <c r="C25" s="8" t="inlineStr">
        <is>
          <t>2) Electrolyte beverage (RTD)</t>
        </is>
      </c>
      <c r="D25" s="9" t="inlineStr"/>
      <c r="E25" s="12" t="inlineStr"/>
      <c r="F25" s="9" t="inlineStr"/>
      <c r="G25" s="9" t="inlineStr"/>
      <c r="H25" s="9" t="inlineStr"/>
      <c r="I25" s="11" t="inlineStr">
        <is>
          <t>(capture)</t>
        </is>
      </c>
      <c r="J25" s="8" t="inlineStr">
        <is>
          <t>Capture live promo to assess.</t>
        </is>
      </c>
    </row>
    <row r="26" ht="30" customHeight="1">
      <c r="A26" s="8" t="inlineStr">
        <is>
          <t>BioSteel</t>
        </is>
      </c>
      <c r="B26" s="8" t="inlineStr">
        <is>
          <t>BioSteel Sports Drink (RTD)</t>
        </is>
      </c>
      <c r="C26" s="8" t="inlineStr">
        <is>
          <t>2) Electrolyte beverage (RTD)</t>
        </is>
      </c>
      <c r="D26" s="9" t="inlineStr"/>
      <c r="E26" s="12" t="inlineStr"/>
      <c r="F26" s="9" t="inlineStr"/>
      <c r="G26" s="9" t="inlineStr"/>
      <c r="H26" s="9" t="inlineStr"/>
      <c r="I26" s="11" t="inlineStr">
        <is>
          <t>(capture)</t>
        </is>
      </c>
      <c r="J26" s="8" t="inlineStr">
        <is>
          <t>Capture live promo to assess.</t>
        </is>
      </c>
    </row>
    <row r="27" ht="30" customHeight="1">
      <c r="A27" s="8" t="inlineStr">
        <is>
          <t>CWENCH</t>
        </is>
      </c>
      <c r="B27" s="8" t="inlineStr">
        <is>
          <t>CWENCH Hydration</t>
        </is>
      </c>
      <c r="C27" s="8" t="inlineStr">
        <is>
          <t>2) Electrolyte beverage (RTD)</t>
        </is>
      </c>
      <c r="D27" s="9" t="inlineStr"/>
      <c r="E27" s="12" t="inlineStr"/>
      <c r="F27" s="9" t="inlineStr"/>
      <c r="G27" s="9" t="inlineStr"/>
      <c r="H27" s="9" t="inlineStr"/>
      <c r="I27" s="11" t="inlineStr">
        <is>
          <t>(capture)</t>
        </is>
      </c>
      <c r="J27" s="8" t="inlineStr">
        <is>
          <t>Capture live promo to assess.</t>
        </is>
      </c>
    </row>
    <row r="28" ht="30" customHeight="1">
      <c r="A28" s="8" t="inlineStr">
        <is>
          <t>Pedialyte</t>
        </is>
      </c>
      <c r="B28" s="8" t="inlineStr">
        <is>
          <t>Pedialyte Electrolyte Solution</t>
        </is>
      </c>
      <c r="C28" s="8" t="inlineStr">
        <is>
          <t>2) Electrolyte beverage (RTD)</t>
        </is>
      </c>
      <c r="D28" s="9" t="inlineStr"/>
      <c r="E28" s="12" t="inlineStr"/>
      <c r="F28" s="9" t="inlineStr"/>
      <c r="G28" s="9" t="inlineStr"/>
      <c r="H28" s="9" t="inlineStr"/>
      <c r="I28" s="11" t="inlineStr">
        <is>
          <t>(capture)</t>
        </is>
      </c>
      <c r="J28" s="8" t="inlineStr">
        <is>
          <t>Capture live promo to assess.</t>
        </is>
      </c>
    </row>
    <row r="29" ht="30" customHeight="1">
      <c r="A29" s="8" t="inlineStr">
        <is>
          <t>Gatorade</t>
        </is>
      </c>
      <c r="B29" s="8" t="inlineStr">
        <is>
          <t>Gatorlyte Rapid Rehydration</t>
        </is>
      </c>
      <c r="C29" s="8" t="inlineStr">
        <is>
          <t>2) Electrolyte beverage (RTD)</t>
        </is>
      </c>
      <c r="D29" s="9" t="inlineStr"/>
      <c r="E29" s="12" t="inlineStr"/>
      <c r="F29" s="9" t="inlineStr"/>
      <c r="G29" s="9" t="inlineStr"/>
      <c r="H29" s="9" t="inlineStr"/>
      <c r="I29" s="11" t="inlineStr">
        <is>
          <t>(capture)</t>
        </is>
      </c>
      <c r="J29" s="8" t="inlineStr">
        <is>
          <t>Volume + everyday-low-price; modest S&amp;S.</t>
        </is>
      </c>
    </row>
    <row r="30" ht="30" customHeight="1">
      <c r="A30" s="8" t="inlineStr">
        <is>
          <t>Vita Coco</t>
        </is>
      </c>
      <c r="B30" s="8" t="inlineStr">
        <is>
          <t>Vita Coco Pure Coconut Water</t>
        </is>
      </c>
      <c r="C30" s="8" t="inlineStr">
        <is>
          <t>2) Electrolyte beverage (RTD)</t>
        </is>
      </c>
      <c r="D30" s="9" t="inlineStr"/>
      <c r="E30" s="12" t="inlineStr"/>
      <c r="F30" s="9" t="inlineStr"/>
      <c r="G30" s="9" t="inlineStr"/>
      <c r="H30" s="9" t="inlineStr"/>
      <c r="I30" s="11" t="inlineStr">
        <is>
          <t>(capture)</t>
        </is>
      </c>
      <c r="J30" s="8" t="inlineStr">
        <is>
          <t>Capture live promo to assess.</t>
        </is>
      </c>
    </row>
    <row r="31" ht="30" customHeight="1">
      <c r="A31" s="8" t="inlineStr">
        <is>
          <t>OLIPOP</t>
        </is>
      </c>
      <c r="B31" s="8" t="inlineStr">
        <is>
          <t>OLIPOP Prebiotic Soda</t>
        </is>
      </c>
      <c r="C31" s="8" t="inlineStr">
        <is>
          <t>3) Functional beverage (still/sparkling)</t>
        </is>
      </c>
      <c r="D31" s="9" t="inlineStr"/>
      <c r="E31" s="12" t="inlineStr"/>
      <c r="F31" s="9" t="inlineStr"/>
      <c r="G31" s="9" t="inlineStr"/>
      <c r="H31" s="9" t="inlineStr"/>
      <c r="I31" s="11" t="inlineStr">
        <is>
          <t>(capture)</t>
        </is>
      </c>
      <c r="J31" s="8" t="inlineStr">
        <is>
          <t>S&amp;S to lock repeat; premium price held otherwise.</t>
        </is>
      </c>
    </row>
    <row r="32" ht="30" customHeight="1">
      <c r="A32" s="8" t="inlineStr">
        <is>
          <t>Poppi</t>
        </is>
      </c>
      <c r="B32" s="8" t="inlineStr">
        <is>
          <t>Poppi Prebiotic Soda</t>
        </is>
      </c>
      <c r="C32" s="8" t="inlineStr">
        <is>
          <t>3) Functional beverage (still/sparkling)</t>
        </is>
      </c>
      <c r="D32" s="9" t="inlineStr"/>
      <c r="E32" s="12" t="inlineStr"/>
      <c r="F32" s="9" t="inlineStr"/>
      <c r="G32" s="9" t="inlineStr"/>
      <c r="H32" s="9" t="inlineStr"/>
      <c r="I32" s="11" t="inlineStr">
        <is>
          <t>(capture)</t>
        </is>
      </c>
      <c r="J32" s="8" t="inlineStr">
        <is>
          <t>Trial-driving coupons + S&amp;S; aggressive on first purchase.</t>
        </is>
      </c>
    </row>
    <row r="33" ht="30" customHeight="1">
      <c r="A33" s="8" t="inlineStr">
        <is>
          <t>Culture Pop</t>
        </is>
      </c>
      <c r="B33" s="8" t="inlineStr">
        <is>
          <t>Culture Pop Probiotic Soda</t>
        </is>
      </c>
      <c r="C33" s="8" t="inlineStr">
        <is>
          <t>3) Functional beverage (still/sparkling)</t>
        </is>
      </c>
      <c r="D33" s="9" t="inlineStr"/>
      <c r="E33" s="12" t="inlineStr"/>
      <c r="F33" s="9" t="inlineStr"/>
      <c r="G33" s="9" t="inlineStr"/>
      <c r="H33" s="9" t="inlineStr"/>
      <c r="I33" s="11" t="inlineStr">
        <is>
          <t>(capture)</t>
        </is>
      </c>
      <c r="J33" s="8" t="inlineStr">
        <is>
          <t>Capture live promo to assess.</t>
        </is>
      </c>
    </row>
    <row r="34" ht="30" customHeight="1">
      <c r="A34" s="8" t="inlineStr">
        <is>
          <t>Mayawell</t>
        </is>
      </c>
      <c r="B34" s="8" t="inlineStr">
        <is>
          <t>Mayawell Prebiotic Soda</t>
        </is>
      </c>
      <c r="C34" s="8" t="inlineStr">
        <is>
          <t>3) Functional beverage (still/sparkling)</t>
        </is>
      </c>
      <c r="D34" s="9" t="inlineStr"/>
      <c r="E34" s="12" t="inlineStr"/>
      <c r="F34" s="9" t="inlineStr"/>
      <c r="G34" s="9" t="inlineStr"/>
      <c r="H34" s="9" t="inlineStr"/>
      <c r="I34" s="11" t="inlineStr">
        <is>
          <t>(capture)</t>
        </is>
      </c>
      <c r="J34" s="8" t="inlineStr">
        <is>
          <t>Capture live promo to assess.</t>
        </is>
      </c>
    </row>
    <row r="35" ht="30" customHeight="1">
      <c r="A35" s="8" t="inlineStr">
        <is>
          <t>De La Calle</t>
        </is>
      </c>
      <c r="B35" s="8" t="inlineStr">
        <is>
          <t>De La Calle Tepache</t>
        </is>
      </c>
      <c r="C35" s="8" t="inlineStr">
        <is>
          <t>3) Functional beverage (still/sparkling)</t>
        </is>
      </c>
      <c r="D35" s="9" t="inlineStr"/>
      <c r="E35" s="12" t="inlineStr"/>
      <c r="F35" s="9" t="inlineStr"/>
      <c r="G35" s="9" t="inlineStr"/>
      <c r="H35" s="9" t="inlineStr"/>
      <c r="I35" s="11" t="inlineStr">
        <is>
          <t>(capture)</t>
        </is>
      </c>
      <c r="J35" s="8" t="inlineStr">
        <is>
          <t>Capture live promo to assess.</t>
        </is>
      </c>
    </row>
    <row r="36" ht="30" customHeight="1">
      <c r="A36" s="8" t="inlineStr">
        <is>
          <t>GT's</t>
        </is>
      </c>
      <c r="B36" s="8" t="inlineStr">
        <is>
          <t>GT's Synergy Raw Kombucha</t>
        </is>
      </c>
      <c r="C36" s="8" t="inlineStr">
        <is>
          <t>3) Functional beverage (still/sparkling)</t>
        </is>
      </c>
      <c r="D36" s="9" t="inlineStr"/>
      <c r="E36" s="12" t="inlineStr"/>
      <c r="F36" s="9" t="inlineStr"/>
      <c r="G36" s="9" t="inlineStr"/>
      <c r="H36" s="9" t="inlineStr"/>
      <c r="I36" s="11" t="inlineStr">
        <is>
          <t>(capture)</t>
        </is>
      </c>
      <c r="J36" s="8" t="inlineStr">
        <is>
          <t>Capture live promo to assess.</t>
        </is>
      </c>
    </row>
    <row r="37" ht="30" customHeight="1">
      <c r="A37" s="8" t="inlineStr">
        <is>
          <t>Health-Ade</t>
        </is>
      </c>
      <c r="B37" s="8" t="inlineStr">
        <is>
          <t>Health-Ade Kombucha</t>
        </is>
      </c>
      <c r="C37" s="8" t="inlineStr">
        <is>
          <t>3) Functional beverage (still/sparkling)</t>
        </is>
      </c>
      <c r="D37" s="9" t="inlineStr"/>
      <c r="E37" s="12" t="inlineStr"/>
      <c r="F37" s="9" t="inlineStr"/>
      <c r="G37" s="9" t="inlineStr"/>
      <c r="H37" s="9" t="inlineStr"/>
      <c r="I37" s="11" t="inlineStr">
        <is>
          <t>(capture)</t>
        </is>
      </c>
      <c r="J37" s="8" t="inlineStr">
        <is>
          <t>Capture live promo to assess.</t>
        </is>
      </c>
    </row>
    <row r="38" ht="30" customHeight="1">
      <c r="A38" s="8" t="inlineStr">
        <is>
          <t>Remedy</t>
        </is>
      </c>
      <c r="B38" s="8" t="inlineStr">
        <is>
          <t>Remedy Kombucha</t>
        </is>
      </c>
      <c r="C38" s="8" t="inlineStr">
        <is>
          <t>3) Functional beverage (still/sparkling)</t>
        </is>
      </c>
      <c r="D38" s="9" t="inlineStr"/>
      <c r="E38" s="12" t="inlineStr"/>
      <c r="F38" s="9" t="inlineStr"/>
      <c r="G38" s="9" t="inlineStr"/>
      <c r="H38" s="9" t="inlineStr"/>
      <c r="I38" s="11" t="inlineStr">
        <is>
          <t>(capture)</t>
        </is>
      </c>
      <c r="J38" s="8" t="inlineStr">
        <is>
          <t>Capture live promo to assess.</t>
        </is>
      </c>
    </row>
    <row r="39" ht="30" customHeight="1">
      <c r="A39" s="8" t="inlineStr">
        <is>
          <t>Recess</t>
        </is>
      </c>
      <c r="B39" s="8" t="inlineStr">
        <is>
          <t>Recess Mood</t>
        </is>
      </c>
      <c r="C39" s="8" t="inlineStr">
        <is>
          <t>3) Functional beverage (still/sparkling)</t>
        </is>
      </c>
      <c r="D39" s="9" t="inlineStr"/>
      <c r="E39" s="12" t="inlineStr"/>
      <c r="F39" s="9" t="inlineStr"/>
      <c r="G39" s="9" t="inlineStr"/>
      <c r="H39" s="9" t="inlineStr"/>
      <c r="I39" s="11" t="inlineStr">
        <is>
          <t>(capture)</t>
        </is>
      </c>
      <c r="J39" s="8" t="inlineStr">
        <is>
          <t>Capture live promo to assess.</t>
        </is>
      </c>
    </row>
    <row r="40" ht="30" customHeight="1">
      <c r="A40" s="8" t="inlineStr">
        <is>
          <t>Protein2o</t>
        </is>
      </c>
      <c r="B40" s="8" t="inlineStr">
        <is>
          <t>Protein2o Protein Infused Water</t>
        </is>
      </c>
      <c r="C40" s="8" t="inlineStr">
        <is>
          <t>3) Functional beverage (still/sparkling)</t>
        </is>
      </c>
      <c r="D40" s="9" t="inlineStr"/>
      <c r="E40" s="12" t="inlineStr"/>
      <c r="F40" s="9" t="inlineStr"/>
      <c r="G40" s="9" t="inlineStr"/>
      <c r="H40" s="9" t="inlineStr"/>
      <c r="I40" s="11" t="inlineStr">
        <is>
          <t>(capture)</t>
        </is>
      </c>
      <c r="J40" s="8" t="inlineStr">
        <is>
          <t>Capture live promo to assess.</t>
        </is>
      </c>
    </row>
    <row r="41" ht="30" customHeight="1">
      <c r="A41" s="8" t="inlineStr">
        <is>
          <t>vitaminwater</t>
        </is>
      </c>
      <c r="B41" s="8" t="inlineStr">
        <is>
          <t>vitaminwater (glacéau)</t>
        </is>
      </c>
      <c r="C41" s="8" t="inlineStr">
        <is>
          <t>3) Functional beverage (still/sparkling)</t>
        </is>
      </c>
      <c r="D41" s="9" t="inlineStr"/>
      <c r="E41" s="12" t="inlineStr"/>
      <c r="F41" s="9" t="inlineStr"/>
      <c r="G41" s="9" t="inlineStr"/>
      <c r="H41" s="9" t="inlineStr"/>
      <c r="I41" s="11" t="inlineStr">
        <is>
          <t>(capture)</t>
        </is>
      </c>
      <c r="J41" s="8" t="inlineStr">
        <is>
          <t>Capture live promo to assess.</t>
        </is>
      </c>
    </row>
    <row r="42" ht="30" customHeight="1">
      <c r="A42" s="8" t="inlineStr">
        <is>
          <t>vitaminwater</t>
        </is>
      </c>
      <c r="B42" s="8" t="inlineStr">
        <is>
          <t>vitaminwater zero sugar</t>
        </is>
      </c>
      <c r="C42" s="8" t="inlineStr">
        <is>
          <t>3) Functional beverage (still/sparkling)</t>
        </is>
      </c>
      <c r="D42" s="9" t="inlineStr"/>
      <c r="E42" s="12" t="inlineStr"/>
      <c r="F42" s="9" t="inlineStr"/>
      <c r="G42" s="9" t="inlineStr"/>
      <c r="H42" s="9" t="inlineStr"/>
      <c r="I42" s="11" t="inlineStr">
        <is>
          <t>(capture)</t>
        </is>
      </c>
      <c r="J42" s="8" t="inlineStr">
        <is>
          <t>Capture live promo to assess.</t>
        </is>
      </c>
    </row>
    <row r="43" ht="30" customHeight="1">
      <c r="A43" s="8" t="inlineStr">
        <is>
          <t>Bai</t>
        </is>
      </c>
      <c r="B43" s="8" t="inlineStr">
        <is>
          <t>Bai Antioxidant Infusion</t>
        </is>
      </c>
      <c r="C43" s="8" t="inlineStr">
        <is>
          <t>3) Functional beverage (still/sparkling)</t>
        </is>
      </c>
      <c r="D43" s="9" t="inlineStr"/>
      <c r="E43" s="12" t="inlineStr"/>
      <c r="F43" s="9" t="inlineStr"/>
      <c r="G43" s="9" t="inlineStr"/>
      <c r="H43" s="9" t="inlineStr"/>
      <c r="I43" s="11" t="inlineStr">
        <is>
          <t>(capture)</t>
        </is>
      </c>
      <c r="J43" s="8" t="inlineStr">
        <is>
          <t>Capture live promo to assess.</t>
        </is>
      </c>
    </row>
    <row r="44" ht="30" customHeight="1">
      <c r="A44" s="8" t="inlineStr">
        <is>
          <t>Hint</t>
        </is>
      </c>
      <c r="B44" s="8" t="inlineStr">
        <is>
          <t>Hint Water (fruit-infused)</t>
        </is>
      </c>
      <c r="C44" s="8" t="inlineStr">
        <is>
          <t>3) Functional beverage (still/sparkling)</t>
        </is>
      </c>
      <c r="D44" s="9" t="inlineStr"/>
      <c r="E44" s="12" t="inlineStr"/>
      <c r="F44" s="9" t="inlineStr"/>
      <c r="G44" s="9" t="inlineStr"/>
      <c r="H44" s="9" t="inlineStr"/>
      <c r="I44" s="11" t="inlineStr">
        <is>
          <t>(capture)</t>
        </is>
      </c>
      <c r="J44" s="8" t="inlineStr">
        <is>
          <t>Capture live promo to assess.</t>
        </is>
      </c>
    </row>
    <row r="45" ht="30" customHeight="1">
      <c r="A45" s="8" t="inlineStr">
        <is>
          <t>Spindrift</t>
        </is>
      </c>
      <c r="B45" s="8" t="inlineStr">
        <is>
          <t>Spindrift Sparkling Water</t>
        </is>
      </c>
      <c r="C45" s="8" t="inlineStr">
        <is>
          <t>5) Sparkling water &amp; soda</t>
        </is>
      </c>
      <c r="D45" s="9" t="inlineStr"/>
      <c r="E45" s="12" t="inlineStr"/>
      <c r="F45" s="9" t="inlineStr"/>
      <c r="G45" s="9" t="inlineStr"/>
      <c r="H45" s="9" t="inlineStr"/>
      <c r="I45" s="11" t="inlineStr">
        <is>
          <t>(capture)</t>
        </is>
      </c>
      <c r="J45" s="8" t="inlineStr">
        <is>
          <t>Premium; selective S&amp;S to retain.</t>
        </is>
      </c>
    </row>
    <row r="46" ht="30" customHeight="1">
      <c r="A46" s="8" t="inlineStr">
        <is>
          <t>LaCroix</t>
        </is>
      </c>
      <c r="B46" s="8" t="inlineStr">
        <is>
          <t>LaCroix Sparkling Water</t>
        </is>
      </c>
      <c r="C46" s="8" t="inlineStr">
        <is>
          <t>5) Sparkling water &amp; soda</t>
        </is>
      </c>
      <c r="D46" s="9" t="inlineStr"/>
      <c r="E46" s="12" t="inlineStr"/>
      <c r="F46" s="9" t="inlineStr"/>
      <c r="G46" s="9" t="inlineStr"/>
      <c r="H46" s="9" t="inlineStr"/>
      <c r="I46" s="11" t="inlineStr">
        <is>
          <t>(capture)</t>
        </is>
      </c>
      <c r="J46" s="8" t="inlineStr">
        <is>
          <t>Everyday value; little need to promote.</t>
        </is>
      </c>
    </row>
    <row r="47" ht="30" customHeight="1">
      <c r="A47" s="8" t="inlineStr">
        <is>
          <t>bubly</t>
        </is>
      </c>
      <c r="B47" s="8" t="inlineStr">
        <is>
          <t>bubly Sparkling Water</t>
        </is>
      </c>
      <c r="C47" s="8" t="inlineStr">
        <is>
          <t>5) Sparkling water &amp; soda</t>
        </is>
      </c>
      <c r="D47" s="9" t="inlineStr"/>
      <c r="E47" s="12" t="inlineStr"/>
      <c r="F47" s="9" t="inlineStr"/>
      <c r="G47" s="9" t="inlineStr"/>
      <c r="H47" s="9" t="inlineStr"/>
      <c r="I47" s="11" t="inlineStr">
        <is>
          <t>(capture)</t>
        </is>
      </c>
      <c r="J47" s="8" t="inlineStr">
        <is>
          <t>PepsiCo price aggression is the lever.</t>
        </is>
      </c>
    </row>
    <row r="48" ht="30" customHeight="1">
      <c r="A48" s="8" t="inlineStr">
        <is>
          <t>Waterloo</t>
        </is>
      </c>
      <c r="B48" s="8" t="inlineStr">
        <is>
          <t>Waterloo Sparkling Water</t>
        </is>
      </c>
      <c r="C48" s="8" t="inlineStr">
        <is>
          <t>5) Sparkling water &amp; soda</t>
        </is>
      </c>
      <c r="D48" s="9" t="inlineStr"/>
      <c r="E48" s="12" t="inlineStr"/>
      <c r="F48" s="9" t="inlineStr"/>
      <c r="G48" s="9" t="inlineStr"/>
      <c r="H48" s="9" t="inlineStr"/>
      <c r="I48" s="11" t="inlineStr">
        <is>
          <t>(capture)</t>
        </is>
      </c>
      <c r="J48" s="8" t="inlineStr">
        <is>
          <t>Capture live promo to assess.</t>
        </is>
      </c>
    </row>
    <row r="49" ht="30" customHeight="1">
      <c r="A49" s="8" t="inlineStr">
        <is>
          <t>Perrier</t>
        </is>
      </c>
      <c r="B49" s="8" t="inlineStr">
        <is>
          <t>Perrier Carbonated Mineral Water</t>
        </is>
      </c>
      <c r="C49" s="8" t="inlineStr">
        <is>
          <t>5) Sparkling water &amp; soda</t>
        </is>
      </c>
      <c r="D49" s="9" t="inlineStr"/>
      <c r="E49" s="12" t="inlineStr"/>
      <c r="F49" s="9" t="inlineStr"/>
      <c r="G49" s="9" t="inlineStr"/>
      <c r="H49" s="9" t="inlineStr"/>
      <c r="I49" s="11" t="inlineStr">
        <is>
          <t>(capture)</t>
        </is>
      </c>
      <c r="J49" s="8" t="inlineStr">
        <is>
          <t>Capture live promo to assess.</t>
        </is>
      </c>
    </row>
    <row r="50" ht="30" customHeight="1">
      <c r="A50" s="8" t="inlineStr">
        <is>
          <t>San Pellegrino</t>
        </is>
      </c>
      <c r="B50" s="8" t="inlineStr">
        <is>
          <t>S.Pellegrino Sparkling Natural Mineral Water</t>
        </is>
      </c>
      <c r="C50" s="8" t="inlineStr">
        <is>
          <t>5) Sparkling water &amp; soda</t>
        </is>
      </c>
      <c r="D50" s="9" t="inlineStr"/>
      <c r="E50" s="12" t="inlineStr"/>
      <c r="F50" s="9" t="inlineStr"/>
      <c r="G50" s="9" t="inlineStr"/>
      <c r="H50" s="9" t="inlineStr"/>
      <c r="I50" s="11" t="inlineStr">
        <is>
          <t>(capture)</t>
        </is>
      </c>
      <c r="J50" s="8" t="inlineStr">
        <is>
          <t>Capture live promo to assess.</t>
        </is>
      </c>
    </row>
    <row r="51" ht="30" customHeight="1">
      <c r="A51" s="8" t="inlineStr">
        <is>
          <t>San Pellegrino</t>
        </is>
      </c>
      <c r="B51" s="8" t="inlineStr">
        <is>
          <t>Sanpellegrino Aranciata (Italian Sparkling Drink)</t>
        </is>
      </c>
      <c r="C51" s="8" t="inlineStr">
        <is>
          <t>5) Sparkling water &amp; soda</t>
        </is>
      </c>
      <c r="D51" s="9" t="inlineStr"/>
      <c r="E51" s="12" t="inlineStr"/>
      <c r="F51" s="9" t="inlineStr"/>
      <c r="G51" s="9" t="inlineStr"/>
      <c r="H51" s="9" t="inlineStr"/>
      <c r="I51" s="11" t="inlineStr">
        <is>
          <t>(capture)</t>
        </is>
      </c>
      <c r="J51" s="8" t="inlineStr">
        <is>
          <t>Capture live promo to assess.</t>
        </is>
      </c>
    </row>
    <row r="52" ht="30" customHeight="1">
      <c r="A52" s="8" t="inlineStr">
        <is>
          <t>Liquid Death</t>
        </is>
      </c>
      <c r="B52" s="8" t="inlineStr">
        <is>
          <t>Liquid Death Sparkling Water</t>
        </is>
      </c>
      <c r="C52" s="8" t="inlineStr">
        <is>
          <t>5) Sparkling water &amp; soda</t>
        </is>
      </c>
      <c r="D52" s="9" t="inlineStr"/>
      <c r="E52" s="12" t="inlineStr"/>
      <c r="F52" s="9" t="inlineStr"/>
      <c r="G52" s="9" t="inlineStr"/>
      <c r="H52" s="9" t="inlineStr"/>
      <c r="I52" s="11" t="inlineStr">
        <is>
          <t>(capture)</t>
        </is>
      </c>
      <c r="J52" s="8" t="inlineStr">
        <is>
          <t>Brand premium; bundles/merch over price cuts.</t>
        </is>
      </c>
    </row>
    <row r="53" ht="30" customHeight="1">
      <c r="A53" s="8" t="inlineStr">
        <is>
          <t>Liquid Death</t>
        </is>
      </c>
      <c r="B53" s="8" t="inlineStr">
        <is>
          <t>Liquid Death Mountain Water (Still)</t>
        </is>
      </c>
      <c r="C53" s="8" t="inlineStr">
        <is>
          <t>5) Sparkling water &amp; soda</t>
        </is>
      </c>
      <c r="D53" s="9" t="inlineStr"/>
      <c r="E53" s="12" t="inlineStr"/>
      <c r="F53" s="9" t="inlineStr"/>
      <c r="G53" s="9" t="inlineStr"/>
      <c r="H53" s="9" t="inlineStr"/>
      <c r="I53" s="11" t="inlineStr">
        <is>
          <t>(capture)</t>
        </is>
      </c>
      <c r="J53" s="8" t="inlineStr">
        <is>
          <t>Brand premium; bundles/merch over price cuts.</t>
        </is>
      </c>
    </row>
    <row r="54" ht="30" customHeight="1">
      <c r="A54" s="8" t="inlineStr">
        <is>
          <t>Topo Chico</t>
        </is>
      </c>
      <c r="B54" s="8" t="inlineStr">
        <is>
          <t>Topo Chico Mineral Water</t>
        </is>
      </c>
      <c r="C54" s="8" t="inlineStr">
        <is>
          <t>5) Sparkling water &amp; soda</t>
        </is>
      </c>
      <c r="D54" s="9" t="inlineStr"/>
      <c r="E54" s="12" t="inlineStr"/>
      <c r="F54" s="9" t="inlineStr"/>
      <c r="G54" s="9" t="inlineStr"/>
      <c r="H54" s="9" t="inlineStr"/>
      <c r="I54" s="11" t="inlineStr">
        <is>
          <t>(capture)</t>
        </is>
      </c>
      <c r="J54" s="8" t="inlineStr">
        <is>
          <t>Capture live promo to assess.</t>
        </is>
      </c>
    </row>
    <row r="55" ht="30" customHeight="1">
      <c r="A55" s="8" t="inlineStr">
        <is>
          <t>Polar</t>
        </is>
      </c>
      <c r="B55" s="8" t="inlineStr">
        <is>
          <t>Polar Seltzer</t>
        </is>
      </c>
      <c r="C55" s="8" t="inlineStr">
        <is>
          <t>5) Sparkling water &amp; soda</t>
        </is>
      </c>
      <c r="D55" s="9" t="inlineStr"/>
      <c r="E55" s="12" t="inlineStr"/>
      <c r="F55" s="9" t="inlineStr"/>
      <c r="G55" s="9" t="inlineStr"/>
      <c r="H55" s="9" t="inlineStr"/>
      <c r="I55" s="11" t="inlineStr">
        <is>
          <t>(capture)</t>
        </is>
      </c>
      <c r="J55" s="8" t="inlineStr">
        <is>
          <t>Capture live promo to assess.</t>
        </is>
      </c>
    </row>
    <row r="56" ht="30" customHeight="1">
      <c r="A56" s="8" t="inlineStr">
        <is>
          <t>AHA</t>
        </is>
      </c>
      <c r="B56" s="8" t="inlineStr">
        <is>
          <t>AHA Sparkling Water</t>
        </is>
      </c>
      <c r="C56" s="8" t="inlineStr">
        <is>
          <t>5) Sparkling water &amp; soda</t>
        </is>
      </c>
      <c r="D56" s="9" t="inlineStr"/>
      <c r="E56" s="12" t="inlineStr"/>
      <c r="F56" s="9" t="inlineStr"/>
      <c r="G56" s="9" t="inlineStr"/>
      <c r="H56" s="9" t="inlineStr"/>
      <c r="I56" s="11" t="inlineStr">
        <is>
          <t>(capture)</t>
        </is>
      </c>
      <c r="J56" s="8" t="inlineStr">
        <is>
          <t>Capture live promo to assess.</t>
        </is>
      </c>
    </row>
    <row r="57" ht="30" customHeight="1">
      <c r="A57" s="8" t="inlineStr">
        <is>
          <t>Montellier</t>
        </is>
      </c>
      <c r="B57" s="8" t="inlineStr">
        <is>
          <t>Montellier Carbonated Natural Spring Water</t>
        </is>
      </c>
      <c r="C57" s="8" t="inlineStr">
        <is>
          <t>5) Sparkling water &amp; soda</t>
        </is>
      </c>
      <c r="D57" s="9" t="inlineStr"/>
      <c r="E57" s="12" t="inlineStr"/>
      <c r="F57" s="9" t="inlineStr"/>
      <c r="G57" s="9" t="inlineStr"/>
      <c r="H57" s="9" t="inlineStr"/>
      <c r="I57" s="11" t="inlineStr">
        <is>
          <t>(capture)</t>
        </is>
      </c>
      <c r="J57" s="8" t="inlineStr">
        <is>
          <t>Capture live promo to assess.</t>
        </is>
      </c>
    </row>
    <row r="58" ht="30" customHeight="1">
      <c r="A58" s="8" t="inlineStr">
        <is>
          <t>Eska</t>
        </is>
      </c>
      <c r="B58" s="8" t="inlineStr">
        <is>
          <t>Eska Sparkling Spring Water</t>
        </is>
      </c>
      <c r="C58" s="8" t="inlineStr">
        <is>
          <t>5) Sparkling water &amp; soda</t>
        </is>
      </c>
      <c r="D58" s="9" t="inlineStr"/>
      <c r="E58" s="12" t="inlineStr"/>
      <c r="F58" s="9" t="inlineStr"/>
      <c r="G58" s="9" t="inlineStr"/>
      <c r="H58" s="9" t="inlineStr"/>
      <c r="I58" s="11" t="inlineStr">
        <is>
          <t>(capture)</t>
        </is>
      </c>
      <c r="J58" s="8" t="inlineStr">
        <is>
          <t>Capture live promo to assess.</t>
        </is>
      </c>
    </row>
    <row r="59" ht="30" customHeight="1">
      <c r="A59" s="8" t="inlineStr">
        <is>
          <t>Coca-Cola</t>
        </is>
      </c>
      <c r="B59" s="8" t="inlineStr">
        <is>
          <t>Coca-Cola Classic</t>
        </is>
      </c>
      <c r="C59" s="8" t="inlineStr">
        <is>
          <t>5) Sparkling water &amp; soda</t>
        </is>
      </c>
      <c r="D59" s="9" t="inlineStr"/>
      <c r="E59" s="12" t="inlineStr"/>
      <c r="F59" s="9" t="inlineStr"/>
      <c r="G59" s="9" t="inlineStr"/>
      <c r="H59" s="9" t="inlineStr"/>
      <c r="I59" s="11" t="inlineStr">
        <is>
          <t>(capture)</t>
        </is>
      </c>
      <c r="J59" s="8" t="inlineStr">
        <is>
          <t>Capture live promo to assess.</t>
        </is>
      </c>
    </row>
    <row r="60" ht="30" customHeight="1">
      <c r="A60" s="8" t="inlineStr">
        <is>
          <t>Sparkling Ice</t>
        </is>
      </c>
      <c r="B60" s="8" t="inlineStr">
        <is>
          <t>Sparkling Ice (+ Antioxidants &amp; Vitamins)</t>
        </is>
      </c>
      <c r="C60" s="8" t="inlineStr">
        <is>
          <t>1) Sparkling electrolyte / functional sparkling</t>
        </is>
      </c>
      <c r="D60" s="9" t="inlineStr"/>
      <c r="E60" s="12" t="inlineStr"/>
      <c r="F60" s="9" t="inlineStr"/>
      <c r="G60" s="9" t="inlineStr"/>
      <c r="H60" s="9" t="inlineStr"/>
      <c r="I60" s="11" t="inlineStr">
        <is>
          <t>(capture)</t>
        </is>
      </c>
      <c r="J60" s="8" t="inlineStr">
        <is>
          <t>Capture live promo to assess.</t>
        </is>
      </c>
    </row>
    <row r="61" ht="30" customHeight="1">
      <c r="A61" s="8" t="inlineStr">
        <is>
          <t>BUBBL'R</t>
        </is>
      </c>
      <c r="B61" s="8" t="inlineStr">
        <is>
          <t>BUBBL'R Antioxidant Sparkling Water</t>
        </is>
      </c>
      <c r="C61" s="8" t="inlineStr">
        <is>
          <t>1) Sparkling electrolyte / functional sparkling</t>
        </is>
      </c>
      <c r="D61" s="9" t="inlineStr"/>
      <c r="E61" s="12" t="inlineStr"/>
      <c r="F61" s="9" t="inlineStr"/>
      <c r="G61" s="9" t="inlineStr"/>
      <c r="H61" s="9" t="inlineStr"/>
      <c r="I61" s="11" t="inlineStr">
        <is>
          <t>(capture)</t>
        </is>
      </c>
      <c r="J61" s="8" t="inlineStr">
        <is>
          <t>Capture live promo to assess.</t>
        </is>
      </c>
    </row>
    <row r="62" ht="30" customHeight="1">
      <c r="A62" s="8" t="inlineStr">
        <is>
          <t>Phocus</t>
        </is>
      </c>
      <c r="B62" s="8" t="inlineStr">
        <is>
          <t>Phocus Caffeinated Sparkling Water</t>
        </is>
      </c>
      <c r="C62" s="8" t="inlineStr">
        <is>
          <t>1) Sparkling electrolyte / functional sparkling</t>
        </is>
      </c>
      <c r="D62" s="9" t="inlineStr"/>
      <c r="E62" s="12" t="inlineStr"/>
      <c r="F62" s="9" t="inlineStr"/>
      <c r="G62" s="9" t="inlineStr"/>
      <c r="H62" s="9" t="inlineStr"/>
      <c r="I62" s="11" t="inlineStr">
        <is>
          <t>(capture)</t>
        </is>
      </c>
      <c r="J62" s="8" t="inlineStr">
        <is>
          <t>Capture live promo to assess.</t>
        </is>
      </c>
    </row>
    <row r="63" ht="30" customHeight="1">
      <c r="A63" s="8" t="inlineStr">
        <is>
          <t>Aura Bora</t>
        </is>
      </c>
      <c r="B63" s="8" t="inlineStr">
        <is>
          <t>Aura Bora Herbal Sparkling Water</t>
        </is>
      </c>
      <c r="C63" s="8" t="inlineStr">
        <is>
          <t>1) Sparkling electrolyte / functional sparkling</t>
        </is>
      </c>
      <c r="D63" s="9" t="inlineStr"/>
      <c r="E63" s="12" t="inlineStr"/>
      <c r="F63" s="9" t="inlineStr"/>
      <c r="G63" s="9" t="inlineStr"/>
      <c r="H63" s="9" t="inlineStr"/>
      <c r="I63" s="11" t="inlineStr">
        <is>
          <t>(capture)</t>
        </is>
      </c>
      <c r="J63" s="8" t="inlineStr">
        <is>
          <t>Capture live promo to assess.</t>
        </is>
      </c>
    </row>
    <row r="64" ht="30" customHeight="1">
      <c r="A64" s="8" t="inlineStr">
        <is>
          <t>Sound</t>
        </is>
      </c>
      <c r="B64" s="8" t="inlineStr">
        <is>
          <t>Sound Sparkling Water (Tea/Botanical)</t>
        </is>
      </c>
      <c r="C64" s="8" t="inlineStr">
        <is>
          <t>1) Sparkling electrolyte / functional sparkling</t>
        </is>
      </c>
      <c r="D64" s="9" t="inlineStr"/>
      <c r="E64" s="12" t="inlineStr"/>
      <c r="F64" s="9" t="inlineStr"/>
      <c r="G64" s="9" t="inlineStr"/>
      <c r="H64" s="9" t="inlineStr"/>
      <c r="I64" s="11" t="inlineStr">
        <is>
          <t>(capture)</t>
        </is>
      </c>
      <c r="J64" s="8" t="inlineStr">
        <is>
          <t>Capture live promo to assess.</t>
        </is>
      </c>
    </row>
    <row r="65" ht="30" customHeight="1">
      <c r="A65" s="8" t="inlineStr">
        <is>
          <t>Halo Sport</t>
        </is>
      </c>
      <c r="B65" s="8" t="inlineStr">
        <is>
          <t>Halo Sport Sparkling Electrolyte Water</t>
        </is>
      </c>
      <c r="C65" s="8" t="inlineStr">
        <is>
          <t>1) Sparkling electrolyte / functional sparkling</t>
        </is>
      </c>
      <c r="D65" s="9" t="inlineStr"/>
      <c r="E65" s="12" t="inlineStr"/>
      <c r="F65" s="9" t="inlineStr"/>
      <c r="G65" s="9" t="inlineStr"/>
      <c r="H65" s="9" t="inlineStr"/>
      <c r="I65" s="11" t="inlineStr">
        <is>
          <t>(capture)</t>
        </is>
      </c>
      <c r="J65" s="8" t="inlineStr">
        <is>
          <t>Capture live promo to assess.</t>
        </is>
      </c>
    </row>
    <row r="66" ht="30" customHeight="1">
      <c r="A66" s="8" t="inlineStr">
        <is>
          <t>Gorgie</t>
        </is>
      </c>
      <c r="B66" s="8" t="inlineStr">
        <is>
          <t>Gorgie Energy Sparkling Water</t>
        </is>
      </c>
      <c r="C66" s="8" t="inlineStr">
        <is>
          <t>1) Sparkling electrolyte / functional sparkling</t>
        </is>
      </c>
      <c r="D66" s="9" t="inlineStr"/>
      <c r="E66" s="12" t="inlineStr"/>
      <c r="F66" s="9" t="inlineStr"/>
      <c r="G66" s="9" t="inlineStr"/>
      <c r="H66" s="9" t="inlineStr"/>
      <c r="I66" s="11" t="inlineStr">
        <is>
          <t>(capture)</t>
        </is>
      </c>
      <c r="J66" s="8" t="inlineStr">
        <is>
          <t>Capture live promo to assess.</t>
        </is>
      </c>
    </row>
    <row r="67" ht="30" customHeight="1">
      <c r="A67" s="8" t="inlineStr">
        <is>
          <t>United Sodas</t>
        </is>
      </c>
      <c r="B67" s="8" t="inlineStr">
        <is>
          <t>United Sodas of America</t>
        </is>
      </c>
      <c r="C67" s="8" t="inlineStr">
        <is>
          <t>1) Sparkling electrolyte / functional sparkling</t>
        </is>
      </c>
      <c r="D67" s="9" t="inlineStr"/>
      <c r="E67" s="12" t="inlineStr"/>
      <c r="F67" s="9" t="inlineStr"/>
      <c r="G67" s="9" t="inlineStr"/>
      <c r="H67" s="9" t="inlineStr"/>
      <c r="I67" s="11" t="inlineStr">
        <is>
          <t>(capture)</t>
        </is>
      </c>
      <c r="J67" s="8" t="inlineStr">
        <is>
          <t>Capture live promo to assess.</t>
        </is>
      </c>
    </row>
    <row r="69">
      <c r="A69" s="14" t="inlineStr">
        <is>
          <t>Sort by column H (True Floor) once live prices are entered. Price/S&amp;S/coupon cells are amber = capture live. Qualitative promo-reliance read is an analyst estimate pending live promo data.</t>
        </is>
      </c>
    </row>
  </sheetData>
  <autoFilter ref="A1:J67"/>
  <mergeCells count="1">
    <mergeCell ref="A69:J6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26" customWidth="1" min="3" max="3"/>
    <col width="18" customWidth="1" min="4" max="4"/>
    <col width="16" customWidth="1" min="5" max="5"/>
    <col width="16" customWidth="1" min="6" max="6"/>
    <col width="50" customWidth="1" min="7" max="7"/>
  </cols>
  <sheetData>
    <row r="1" ht="42" customHeight="1">
      <c r="A1" s="6" t="inlineStr">
        <is>
          <t>Brand</t>
        </is>
      </c>
      <c r="B1" s="6" t="inlineStr">
        <is>
          <t>SKU</t>
        </is>
      </c>
      <c r="C1" s="6" t="inlineStr">
        <is>
          <t>Category</t>
        </is>
      </c>
      <c r="D1" s="6" t="inlineStr">
        <is>
          <t>S&amp;S Offered (Y/N) — verify</t>
        </is>
      </c>
      <c r="E1" s="6" t="inlineStr">
        <is>
          <t>S&amp;S Discount % — verify</t>
        </is>
      </c>
      <c r="F1" s="6" t="inlineStr">
        <is>
          <t>S&amp;S Effective Price (CAD)</t>
        </is>
      </c>
      <c r="G1" s="6" t="inlineStr">
        <is>
          <t>Notes</t>
        </is>
      </c>
    </row>
    <row r="2" ht="26" customHeight="1">
      <c r="A2" s="8" t="inlineStr">
        <is>
          <t>Red Bull</t>
        </is>
      </c>
      <c r="B2" s="8" t="inlineStr">
        <is>
          <t>Red Bull Energy Drink</t>
        </is>
      </c>
      <c r="C2" s="8" t="inlineStr">
        <is>
          <t>4) Caffeine &amp; energy beverage</t>
        </is>
      </c>
      <c r="D2" s="11" t="inlineStr"/>
      <c r="E2" s="12" t="inlineStr"/>
      <c r="F2" s="9" t="inlineStr"/>
      <c r="G2" s="8" t="inlineStr">
        <is>
          <t>S&amp;S availability and depth vary by listing and over time — confirm on the live page.</t>
        </is>
      </c>
    </row>
    <row r="3" ht="26" customHeight="1">
      <c r="A3" s="8" t="inlineStr">
        <is>
          <t>Red Bull</t>
        </is>
      </c>
      <c r="B3" s="8" t="inlineStr">
        <is>
          <t>Red Bull Sugarfree</t>
        </is>
      </c>
      <c r="C3" s="8" t="inlineStr">
        <is>
          <t>4) Caffeine &amp; energy beverage</t>
        </is>
      </c>
      <c r="D3" s="11" t="inlineStr"/>
      <c r="E3" s="12" t="inlineStr"/>
      <c r="F3" s="9" t="inlineStr"/>
      <c r="G3" s="8" t="inlineStr">
        <is>
          <t>S&amp;S availability and depth vary by listing and over time — confirm on the live page.</t>
        </is>
      </c>
    </row>
    <row r="4" ht="26" customHeight="1">
      <c r="A4" s="8" t="inlineStr">
        <is>
          <t>Monster</t>
        </is>
      </c>
      <c r="B4" s="8" t="inlineStr">
        <is>
          <t>Monster Energy Original (Green)</t>
        </is>
      </c>
      <c r="C4" s="8" t="inlineStr">
        <is>
          <t>4) Caffeine &amp; energy beverage</t>
        </is>
      </c>
      <c r="D4" s="11" t="inlineStr"/>
      <c r="E4" s="12" t="inlineStr"/>
      <c r="F4" s="9" t="inlineStr"/>
      <c r="G4" s="8" t="inlineStr">
        <is>
          <t>S&amp;S availability and depth vary by listing and over time — confirm on the live page.</t>
        </is>
      </c>
    </row>
    <row r="5" ht="26" customHeight="1">
      <c r="A5" s="8" t="inlineStr">
        <is>
          <t>Monster</t>
        </is>
      </c>
      <c r="B5" s="8" t="inlineStr">
        <is>
          <t>Monster Energy Ultra Zero (White)</t>
        </is>
      </c>
      <c r="C5" s="8" t="inlineStr">
        <is>
          <t>4) Caffeine &amp; energy beverage</t>
        </is>
      </c>
      <c r="D5" s="11" t="inlineStr"/>
      <c r="E5" s="12" t="inlineStr"/>
      <c r="F5" s="9" t="inlineStr"/>
      <c r="G5" s="8" t="inlineStr">
        <is>
          <t>S&amp;S availability and depth vary by listing and over time — confirm on the live page.</t>
        </is>
      </c>
    </row>
    <row r="6" ht="26" customHeight="1">
      <c r="A6" s="8" t="inlineStr">
        <is>
          <t>Celsius</t>
        </is>
      </c>
      <c r="B6" s="8" t="inlineStr">
        <is>
          <t>Celsius Original Sparkling</t>
        </is>
      </c>
      <c r="C6" s="8" t="inlineStr">
        <is>
          <t>4) Caffeine &amp; energy beverage</t>
        </is>
      </c>
      <c r="D6" s="11" t="inlineStr"/>
      <c r="E6" s="12" t="inlineStr"/>
      <c r="F6" s="9" t="inlineStr"/>
      <c r="G6" s="8" t="inlineStr">
        <is>
          <t>S&amp;S availability and depth vary by listing and over time — confirm on the live page.</t>
        </is>
      </c>
    </row>
    <row r="7" ht="26" customHeight="1">
      <c r="A7" s="8" t="inlineStr">
        <is>
          <t>Celsius</t>
        </is>
      </c>
      <c r="B7" s="8" t="inlineStr">
        <is>
          <t>Celsius Essentials</t>
        </is>
      </c>
      <c r="C7" s="8" t="inlineStr">
        <is>
          <t>4) Caffeine &amp; energy beverage</t>
        </is>
      </c>
      <c r="D7" s="11" t="inlineStr"/>
      <c r="E7" s="12" t="inlineStr"/>
      <c r="F7" s="9" t="inlineStr"/>
      <c r="G7" s="8" t="inlineStr">
        <is>
          <t>S&amp;S availability and depth vary by listing and over time — confirm on the live page.</t>
        </is>
      </c>
    </row>
    <row r="8" ht="26" customHeight="1">
      <c r="A8" s="8" t="inlineStr">
        <is>
          <t>Prime</t>
        </is>
      </c>
      <c r="B8" s="8" t="inlineStr">
        <is>
          <t>Prime Energy</t>
        </is>
      </c>
      <c r="C8" s="8" t="inlineStr">
        <is>
          <t>4) Caffeine &amp; energy beverage</t>
        </is>
      </c>
      <c r="D8" s="11" t="inlineStr"/>
      <c r="E8" s="12" t="inlineStr"/>
      <c r="F8" s="9" t="inlineStr"/>
      <c r="G8" s="8" t="inlineStr">
        <is>
          <t>S&amp;S availability and depth vary by listing and over time — confirm on the live page.</t>
        </is>
      </c>
    </row>
    <row r="9" ht="26" customHeight="1">
      <c r="A9" s="8" t="inlineStr">
        <is>
          <t>C4</t>
        </is>
      </c>
      <c r="B9" s="8" t="inlineStr">
        <is>
          <t>C4 Energy (Performance)</t>
        </is>
      </c>
      <c r="C9" s="8" t="inlineStr">
        <is>
          <t>4) Caffeine &amp; energy beverage</t>
        </is>
      </c>
      <c r="D9" s="11" t="inlineStr"/>
      <c r="E9" s="12" t="inlineStr"/>
      <c r="F9" s="9" t="inlineStr"/>
      <c r="G9" s="8" t="inlineStr">
        <is>
          <t>S&amp;S availability and depth vary by listing and over time — confirm on the live page.</t>
        </is>
      </c>
    </row>
    <row r="10" ht="26" customHeight="1">
      <c r="A10" s="8" t="inlineStr">
        <is>
          <t>Reign</t>
        </is>
      </c>
      <c r="B10" s="8" t="inlineStr">
        <is>
          <t>Reign Total Body Fuel</t>
        </is>
      </c>
      <c r="C10" s="8" t="inlineStr">
        <is>
          <t>4) Caffeine &amp; energy beverage</t>
        </is>
      </c>
      <c r="D10" s="11" t="inlineStr"/>
      <c r="E10" s="12" t="inlineStr"/>
      <c r="F10" s="9" t="inlineStr"/>
      <c r="G10" s="8" t="inlineStr">
        <is>
          <t>S&amp;S availability and depth vary by listing and over time — confirm on the live page.</t>
        </is>
      </c>
    </row>
    <row r="11" ht="26" customHeight="1">
      <c r="A11" s="8" t="inlineStr">
        <is>
          <t>Alani Nu</t>
        </is>
      </c>
      <c r="B11" s="8" t="inlineStr">
        <is>
          <t>Alani Nu Energy</t>
        </is>
      </c>
      <c r="C11" s="8" t="inlineStr">
        <is>
          <t>4) Caffeine &amp; energy beverage</t>
        </is>
      </c>
      <c r="D11" s="11" t="inlineStr"/>
      <c r="E11" s="12" t="inlineStr"/>
      <c r="F11" s="9" t="inlineStr"/>
      <c r="G11" s="8" t="inlineStr">
        <is>
          <t>S&amp;S availability and depth vary by listing and over time — confirm on the live page.</t>
        </is>
      </c>
    </row>
    <row r="12" ht="26" customHeight="1">
      <c r="A12" s="8" t="inlineStr">
        <is>
          <t>Bang</t>
        </is>
      </c>
      <c r="B12" s="8" t="inlineStr">
        <is>
          <t>Bang Energy</t>
        </is>
      </c>
      <c r="C12" s="8" t="inlineStr">
        <is>
          <t>4) Caffeine &amp; energy beverage</t>
        </is>
      </c>
      <c r="D12" s="11" t="inlineStr"/>
      <c r="E12" s="12" t="inlineStr"/>
      <c r="F12" s="9" t="inlineStr"/>
      <c r="G12" s="8" t="inlineStr">
        <is>
          <t>S&amp;S availability and depth vary by listing and over time — confirm on the live page.</t>
        </is>
      </c>
    </row>
    <row r="13" ht="26" customHeight="1">
      <c r="A13" s="8" t="inlineStr">
        <is>
          <t>Rockstar</t>
        </is>
      </c>
      <c r="B13" s="8" t="inlineStr">
        <is>
          <t>Rockstar Energy</t>
        </is>
      </c>
      <c r="C13" s="8" t="inlineStr">
        <is>
          <t>4) Caffeine &amp; energy beverage</t>
        </is>
      </c>
      <c r="D13" s="11" t="inlineStr"/>
      <c r="E13" s="12" t="inlineStr"/>
      <c r="F13" s="9" t="inlineStr"/>
      <c r="G13" s="8" t="inlineStr">
        <is>
          <t>S&amp;S availability and depth vary by listing and over time — confirm on the live page.</t>
        </is>
      </c>
    </row>
    <row r="14" ht="26" customHeight="1">
      <c r="A14" s="8" t="inlineStr">
        <is>
          <t>GURU</t>
        </is>
      </c>
      <c r="B14" s="8" t="inlineStr">
        <is>
          <t>GURU Organic Energy</t>
        </is>
      </c>
      <c r="C14" s="8" t="inlineStr">
        <is>
          <t>4) Caffeine &amp; energy beverage</t>
        </is>
      </c>
      <c r="D14" s="11" t="inlineStr"/>
      <c r="E14" s="12" t="inlineStr"/>
      <c r="F14" s="9" t="inlineStr"/>
      <c r="G14" s="8" t="inlineStr">
        <is>
          <t>S&amp;S availability and depth vary by listing and over time — confirm on the live page.</t>
        </is>
      </c>
    </row>
    <row r="15" ht="26" customHeight="1">
      <c r="A15" s="8" t="inlineStr">
        <is>
          <t>Guayakí</t>
        </is>
      </c>
      <c r="B15" s="8" t="inlineStr">
        <is>
          <t>Guayakí Yerba Mate</t>
        </is>
      </c>
      <c r="C15" s="8" t="inlineStr">
        <is>
          <t>4) Caffeine &amp; energy beverage</t>
        </is>
      </c>
      <c r="D15" s="11" t="inlineStr"/>
      <c r="E15" s="12" t="inlineStr"/>
      <c r="F15" s="9" t="inlineStr"/>
      <c r="G15" s="8" t="inlineStr">
        <is>
          <t>S&amp;S availability and depth vary by listing and over time — confirm on the live page.</t>
        </is>
      </c>
    </row>
    <row r="16" ht="26" customHeight="1">
      <c r="A16" s="8" t="inlineStr">
        <is>
          <t>NOS</t>
        </is>
      </c>
      <c r="B16" s="8" t="inlineStr">
        <is>
          <t>NOS Energy Drink</t>
        </is>
      </c>
      <c r="C16" s="8" t="inlineStr">
        <is>
          <t>4) Caffeine &amp; energy beverage</t>
        </is>
      </c>
      <c r="D16" s="11" t="inlineStr"/>
      <c r="E16" s="12" t="inlineStr"/>
      <c r="F16" s="9" t="inlineStr"/>
      <c r="G16" s="8" t="inlineStr">
        <is>
          <t>S&amp;S availability and depth vary by listing and over time — confirm on the live page.</t>
        </is>
      </c>
    </row>
    <row r="17" ht="26" customHeight="1">
      <c r="A17" s="8" t="inlineStr">
        <is>
          <t>Starbucks</t>
        </is>
      </c>
      <c r="B17" s="8" t="inlineStr">
        <is>
          <t>Starbucks Doubleshot Espresso</t>
        </is>
      </c>
      <c r="C17" s="8" t="inlineStr">
        <is>
          <t>4) Caffeine &amp; energy beverage</t>
        </is>
      </c>
      <c r="D17" s="11" t="inlineStr"/>
      <c r="E17" s="12" t="inlineStr"/>
      <c r="F17" s="9" t="inlineStr"/>
      <c r="G17" s="8" t="inlineStr">
        <is>
          <t>S&amp;S availability and depth vary by listing and over time — confirm on the live page.</t>
        </is>
      </c>
    </row>
    <row r="18" ht="26" customHeight="1">
      <c r="A18" s="8" t="inlineStr">
        <is>
          <t>Gatorade</t>
        </is>
      </c>
      <c r="B18" s="8" t="inlineStr">
        <is>
          <t>Gatorade Thirst Quencher</t>
        </is>
      </c>
      <c r="C18" s="8" t="inlineStr">
        <is>
          <t>2) Electrolyte beverage (RTD)</t>
        </is>
      </c>
      <c r="D18" s="11" t="inlineStr"/>
      <c r="E18" s="12" t="inlineStr"/>
      <c r="F18" s="9" t="inlineStr"/>
      <c r="G18" s="8" t="inlineStr">
        <is>
          <t>S&amp;S availability and depth vary by listing and over time — confirm on the live page.</t>
        </is>
      </c>
    </row>
    <row r="19" ht="26" customHeight="1">
      <c r="A19" s="8" t="inlineStr">
        <is>
          <t>Gatorade</t>
        </is>
      </c>
      <c r="B19" s="8" t="inlineStr">
        <is>
          <t>Gatorade Zero Sugar</t>
        </is>
      </c>
      <c r="C19" s="8" t="inlineStr">
        <is>
          <t>2) Electrolyte beverage (RTD)</t>
        </is>
      </c>
      <c r="D19" s="11" t="inlineStr"/>
      <c r="E19" s="12" t="inlineStr"/>
      <c r="F19" s="9" t="inlineStr"/>
      <c r="G19" s="8" t="inlineStr">
        <is>
          <t>S&amp;S availability and depth vary by listing and over time — confirm on the live page.</t>
        </is>
      </c>
    </row>
    <row r="20" ht="26" customHeight="1">
      <c r="A20" s="8" t="inlineStr">
        <is>
          <t>Powerade</t>
        </is>
      </c>
      <c r="B20" s="8" t="inlineStr">
        <is>
          <t>Powerade Mountain Berry Blast</t>
        </is>
      </c>
      <c r="C20" s="8" t="inlineStr">
        <is>
          <t>2) Electrolyte beverage (RTD)</t>
        </is>
      </c>
      <c r="D20" s="11" t="inlineStr"/>
      <c r="E20" s="12" t="inlineStr"/>
      <c r="F20" s="9" t="inlineStr"/>
      <c r="G20" s="8" t="inlineStr">
        <is>
          <t>S&amp;S availability and depth vary by listing and over time — confirm on the live page.</t>
        </is>
      </c>
    </row>
    <row r="21" ht="26" customHeight="1">
      <c r="A21" s="8" t="inlineStr">
        <is>
          <t>Powerade</t>
        </is>
      </c>
      <c r="B21" s="8" t="inlineStr">
        <is>
          <t>Powerade Zero</t>
        </is>
      </c>
      <c r="C21" s="8" t="inlineStr">
        <is>
          <t>2) Electrolyte beverage (RTD)</t>
        </is>
      </c>
      <c r="D21" s="11" t="inlineStr"/>
      <c r="E21" s="12" t="inlineStr"/>
      <c r="F21" s="9" t="inlineStr"/>
      <c r="G21" s="8" t="inlineStr">
        <is>
          <t>S&amp;S availability and depth vary by listing and over time — confirm on the live page.</t>
        </is>
      </c>
    </row>
    <row r="22" ht="26" customHeight="1">
      <c r="A22" s="8" t="inlineStr">
        <is>
          <t>BODYARMOR</t>
        </is>
      </c>
      <c r="B22" s="8" t="inlineStr">
        <is>
          <t>BODYARMOR Sports Drink</t>
        </is>
      </c>
      <c r="C22" s="8" t="inlineStr">
        <is>
          <t>2) Electrolyte beverage (RTD)</t>
        </is>
      </c>
      <c r="D22" s="11" t="inlineStr"/>
      <c r="E22" s="12" t="inlineStr"/>
      <c r="F22" s="9" t="inlineStr"/>
      <c r="G22" s="8" t="inlineStr">
        <is>
          <t>S&amp;S availability and depth vary by listing and over time — confirm on the live page.</t>
        </is>
      </c>
    </row>
    <row r="23" ht="26" customHeight="1">
      <c r="A23" s="8" t="inlineStr">
        <is>
          <t>BODYARMOR</t>
        </is>
      </c>
      <c r="B23" s="8" t="inlineStr">
        <is>
          <t>BODYARMOR LYTE</t>
        </is>
      </c>
      <c r="C23" s="8" t="inlineStr">
        <is>
          <t>2) Electrolyte beverage (RTD)</t>
        </is>
      </c>
      <c r="D23" s="11" t="inlineStr"/>
      <c r="E23" s="12" t="inlineStr"/>
      <c r="F23" s="9" t="inlineStr"/>
      <c r="G23" s="8" t="inlineStr">
        <is>
          <t>S&amp;S availability and depth vary by listing and over time — confirm on the live page.</t>
        </is>
      </c>
    </row>
    <row r="24" ht="26" customHeight="1">
      <c r="A24" s="8" t="inlineStr">
        <is>
          <t>Prime</t>
        </is>
      </c>
      <c r="B24" s="8" t="inlineStr">
        <is>
          <t>Prime Hydration</t>
        </is>
      </c>
      <c r="C24" s="8" t="inlineStr">
        <is>
          <t>2) Electrolyte beverage (RTD)</t>
        </is>
      </c>
      <c r="D24" s="11" t="inlineStr"/>
      <c r="E24" s="12" t="inlineStr"/>
      <c r="F24" s="9" t="inlineStr"/>
      <c r="G24" s="8" t="inlineStr">
        <is>
          <t>S&amp;S availability and depth vary by listing and over time — confirm on the live page.</t>
        </is>
      </c>
    </row>
    <row r="25" ht="26" customHeight="1">
      <c r="A25" s="8" t="inlineStr">
        <is>
          <t>Roar Organic</t>
        </is>
      </c>
      <c r="B25" s="8" t="inlineStr">
        <is>
          <t>Roar Organic Electrolyte Infusions</t>
        </is>
      </c>
      <c r="C25" s="8" t="inlineStr">
        <is>
          <t>2) Electrolyte beverage (RTD)</t>
        </is>
      </c>
      <c r="D25" s="11" t="inlineStr"/>
      <c r="E25" s="12" t="inlineStr"/>
      <c r="F25" s="9" t="inlineStr"/>
      <c r="G25" s="8" t="inlineStr">
        <is>
          <t>S&amp;S availability and depth vary by listing and over time — confirm on the live page.</t>
        </is>
      </c>
    </row>
    <row r="26" ht="26" customHeight="1">
      <c r="A26" s="8" t="inlineStr">
        <is>
          <t>BioSteel</t>
        </is>
      </c>
      <c r="B26" s="8" t="inlineStr">
        <is>
          <t>BioSteel Sports Drink (RTD)</t>
        </is>
      </c>
      <c r="C26" s="8" t="inlineStr">
        <is>
          <t>2) Electrolyte beverage (RTD)</t>
        </is>
      </c>
      <c r="D26" s="11" t="inlineStr"/>
      <c r="E26" s="12" t="inlineStr"/>
      <c r="F26" s="9" t="inlineStr"/>
      <c r="G26" s="8" t="inlineStr">
        <is>
          <t>S&amp;S availability and depth vary by listing and over time — confirm on the live page.</t>
        </is>
      </c>
    </row>
    <row r="27" ht="26" customHeight="1">
      <c r="A27" s="8" t="inlineStr">
        <is>
          <t>CWENCH</t>
        </is>
      </c>
      <c r="B27" s="8" t="inlineStr">
        <is>
          <t>CWENCH Hydration</t>
        </is>
      </c>
      <c r="C27" s="8" t="inlineStr">
        <is>
          <t>2) Electrolyte beverage (RTD)</t>
        </is>
      </c>
      <c r="D27" s="11" t="inlineStr"/>
      <c r="E27" s="12" t="inlineStr"/>
      <c r="F27" s="9" t="inlineStr"/>
      <c r="G27" s="8" t="inlineStr">
        <is>
          <t>S&amp;S availability and depth vary by listing and over time — confirm on the live page.</t>
        </is>
      </c>
    </row>
    <row r="28" ht="26" customHeight="1">
      <c r="A28" s="8" t="inlineStr">
        <is>
          <t>Pedialyte</t>
        </is>
      </c>
      <c r="B28" s="8" t="inlineStr">
        <is>
          <t>Pedialyte Electrolyte Solution</t>
        </is>
      </c>
      <c r="C28" s="8" t="inlineStr">
        <is>
          <t>2) Electrolyte beverage (RTD)</t>
        </is>
      </c>
      <c r="D28" s="11" t="inlineStr"/>
      <c r="E28" s="12" t="inlineStr"/>
      <c r="F28" s="9" t="inlineStr"/>
      <c r="G28" s="8" t="inlineStr">
        <is>
          <t>S&amp;S availability and depth vary by listing and over time — confirm on the live page.</t>
        </is>
      </c>
    </row>
    <row r="29" ht="26" customHeight="1">
      <c r="A29" s="8" t="inlineStr">
        <is>
          <t>Gatorade</t>
        </is>
      </c>
      <c r="B29" s="8" t="inlineStr">
        <is>
          <t>Gatorlyte Rapid Rehydration</t>
        </is>
      </c>
      <c r="C29" s="8" t="inlineStr">
        <is>
          <t>2) Electrolyte beverage (RTD)</t>
        </is>
      </c>
      <c r="D29" s="11" t="inlineStr"/>
      <c r="E29" s="12" t="inlineStr"/>
      <c r="F29" s="9" t="inlineStr"/>
      <c r="G29" s="8" t="inlineStr">
        <is>
          <t>S&amp;S availability and depth vary by listing and over time — confirm on the live page.</t>
        </is>
      </c>
    </row>
    <row r="30" ht="26" customHeight="1">
      <c r="A30" s="8" t="inlineStr">
        <is>
          <t>Vita Coco</t>
        </is>
      </c>
      <c r="B30" s="8" t="inlineStr">
        <is>
          <t>Vita Coco Pure Coconut Water</t>
        </is>
      </c>
      <c r="C30" s="8" t="inlineStr">
        <is>
          <t>2) Electrolyte beverage (RTD)</t>
        </is>
      </c>
      <c r="D30" s="11" t="inlineStr"/>
      <c r="E30" s="12" t="inlineStr"/>
      <c r="F30" s="9" t="inlineStr"/>
      <c r="G30" s="8" t="inlineStr">
        <is>
          <t>S&amp;S availability and depth vary by listing and over time — confirm on the live page.</t>
        </is>
      </c>
    </row>
    <row r="31" ht="26" customHeight="1">
      <c r="A31" s="8" t="inlineStr">
        <is>
          <t>OLIPOP</t>
        </is>
      </c>
      <c r="B31" s="8" t="inlineStr">
        <is>
          <t>OLIPOP Prebiotic Soda</t>
        </is>
      </c>
      <c r="C31" s="8" t="inlineStr">
        <is>
          <t>3) Functional beverage (still/sparkling)</t>
        </is>
      </c>
      <c r="D31" s="11" t="inlineStr"/>
      <c r="E31" s="12" t="inlineStr"/>
      <c r="F31" s="9" t="inlineStr"/>
      <c r="G31" s="8" t="inlineStr">
        <is>
          <t>S&amp;S availability and depth vary by listing and over time — confirm on the live page.</t>
        </is>
      </c>
    </row>
    <row r="32" ht="26" customHeight="1">
      <c r="A32" s="8" t="inlineStr">
        <is>
          <t>Poppi</t>
        </is>
      </c>
      <c r="B32" s="8" t="inlineStr">
        <is>
          <t>Poppi Prebiotic Soda</t>
        </is>
      </c>
      <c r="C32" s="8" t="inlineStr">
        <is>
          <t>3) Functional beverage (still/sparkling)</t>
        </is>
      </c>
      <c r="D32" s="11" t="inlineStr"/>
      <c r="E32" s="12" t="inlineStr"/>
      <c r="F32" s="9" t="inlineStr"/>
      <c r="G32" s="8" t="inlineStr">
        <is>
          <t>S&amp;S availability and depth vary by listing and over time — confirm on the live page.</t>
        </is>
      </c>
    </row>
    <row r="33" ht="26" customHeight="1">
      <c r="A33" s="8" t="inlineStr">
        <is>
          <t>Culture Pop</t>
        </is>
      </c>
      <c r="B33" s="8" t="inlineStr">
        <is>
          <t>Culture Pop Probiotic Soda</t>
        </is>
      </c>
      <c r="C33" s="8" t="inlineStr">
        <is>
          <t>3) Functional beverage (still/sparkling)</t>
        </is>
      </c>
      <c r="D33" s="11" t="inlineStr"/>
      <c r="E33" s="12" t="inlineStr"/>
      <c r="F33" s="9" t="inlineStr"/>
      <c r="G33" s="8" t="inlineStr">
        <is>
          <t>S&amp;S availability and depth vary by listing and over time — confirm on the live page.</t>
        </is>
      </c>
    </row>
    <row r="34" ht="26" customHeight="1">
      <c r="A34" s="8" t="inlineStr">
        <is>
          <t>Mayawell</t>
        </is>
      </c>
      <c r="B34" s="8" t="inlineStr">
        <is>
          <t>Mayawell Prebiotic Soda</t>
        </is>
      </c>
      <c r="C34" s="8" t="inlineStr">
        <is>
          <t>3) Functional beverage (still/sparkling)</t>
        </is>
      </c>
      <c r="D34" s="11" t="inlineStr"/>
      <c r="E34" s="12" t="inlineStr"/>
      <c r="F34" s="9" t="inlineStr"/>
      <c r="G34" s="8" t="inlineStr">
        <is>
          <t>S&amp;S availability and depth vary by listing and over time — confirm on the live page.</t>
        </is>
      </c>
    </row>
    <row r="35" ht="26" customHeight="1">
      <c r="A35" s="8" t="inlineStr">
        <is>
          <t>De La Calle</t>
        </is>
      </c>
      <c r="B35" s="8" t="inlineStr">
        <is>
          <t>De La Calle Tepache</t>
        </is>
      </c>
      <c r="C35" s="8" t="inlineStr">
        <is>
          <t>3) Functional beverage (still/sparkling)</t>
        </is>
      </c>
      <c r="D35" s="11" t="inlineStr"/>
      <c r="E35" s="12" t="inlineStr"/>
      <c r="F35" s="9" t="inlineStr"/>
      <c r="G35" s="8" t="inlineStr">
        <is>
          <t>S&amp;S availability and depth vary by listing and over time — confirm on the live page.</t>
        </is>
      </c>
    </row>
    <row r="36" ht="26" customHeight="1">
      <c r="A36" s="8" t="inlineStr">
        <is>
          <t>GT's</t>
        </is>
      </c>
      <c r="B36" s="8" t="inlineStr">
        <is>
          <t>GT's Synergy Raw Kombucha</t>
        </is>
      </c>
      <c r="C36" s="8" t="inlineStr">
        <is>
          <t>3) Functional beverage (still/sparkling)</t>
        </is>
      </c>
      <c r="D36" s="11" t="inlineStr"/>
      <c r="E36" s="12" t="inlineStr"/>
      <c r="F36" s="9" t="inlineStr"/>
      <c r="G36" s="8" t="inlineStr">
        <is>
          <t>S&amp;S availability and depth vary by listing and over time — confirm on the live page.</t>
        </is>
      </c>
    </row>
    <row r="37" ht="26" customHeight="1">
      <c r="A37" s="8" t="inlineStr">
        <is>
          <t>Health-Ade</t>
        </is>
      </c>
      <c r="B37" s="8" t="inlineStr">
        <is>
          <t>Health-Ade Kombucha</t>
        </is>
      </c>
      <c r="C37" s="8" t="inlineStr">
        <is>
          <t>3) Functional beverage (still/sparkling)</t>
        </is>
      </c>
      <c r="D37" s="11" t="inlineStr"/>
      <c r="E37" s="12" t="inlineStr"/>
      <c r="F37" s="9" t="inlineStr"/>
      <c r="G37" s="8" t="inlineStr">
        <is>
          <t>S&amp;S availability and depth vary by listing and over time — confirm on the live page.</t>
        </is>
      </c>
    </row>
    <row r="38" ht="26" customHeight="1">
      <c r="A38" s="8" t="inlineStr">
        <is>
          <t>Remedy</t>
        </is>
      </c>
      <c r="B38" s="8" t="inlineStr">
        <is>
          <t>Remedy Kombucha</t>
        </is>
      </c>
      <c r="C38" s="8" t="inlineStr">
        <is>
          <t>3) Functional beverage (still/sparkling)</t>
        </is>
      </c>
      <c r="D38" s="11" t="inlineStr"/>
      <c r="E38" s="12" t="inlineStr"/>
      <c r="F38" s="9" t="inlineStr"/>
      <c r="G38" s="8" t="inlineStr">
        <is>
          <t>S&amp;S availability and depth vary by listing and over time — confirm on the live page.</t>
        </is>
      </c>
    </row>
    <row r="39" ht="26" customHeight="1">
      <c r="A39" s="8" t="inlineStr">
        <is>
          <t>Recess</t>
        </is>
      </c>
      <c r="B39" s="8" t="inlineStr">
        <is>
          <t>Recess Mood</t>
        </is>
      </c>
      <c r="C39" s="8" t="inlineStr">
        <is>
          <t>3) Functional beverage (still/sparkling)</t>
        </is>
      </c>
      <c r="D39" s="11" t="inlineStr"/>
      <c r="E39" s="12" t="inlineStr"/>
      <c r="F39" s="9" t="inlineStr"/>
      <c r="G39" s="8" t="inlineStr">
        <is>
          <t>S&amp;S availability and depth vary by listing and over time — confirm on the live page.</t>
        </is>
      </c>
    </row>
    <row r="40" ht="26" customHeight="1">
      <c r="A40" s="8" t="inlineStr">
        <is>
          <t>Protein2o</t>
        </is>
      </c>
      <c r="B40" s="8" t="inlineStr">
        <is>
          <t>Protein2o Protein Infused Water</t>
        </is>
      </c>
      <c r="C40" s="8" t="inlineStr">
        <is>
          <t>3) Functional beverage (still/sparkling)</t>
        </is>
      </c>
      <c r="D40" s="11" t="inlineStr"/>
      <c r="E40" s="12" t="inlineStr"/>
      <c r="F40" s="9" t="inlineStr"/>
      <c r="G40" s="8" t="inlineStr">
        <is>
          <t>S&amp;S availability and depth vary by listing and over time — confirm on the live page.</t>
        </is>
      </c>
    </row>
    <row r="41" ht="26" customHeight="1">
      <c r="A41" s="8" t="inlineStr">
        <is>
          <t>vitaminwater</t>
        </is>
      </c>
      <c r="B41" s="8" t="inlineStr">
        <is>
          <t>vitaminwater (glacéau)</t>
        </is>
      </c>
      <c r="C41" s="8" t="inlineStr">
        <is>
          <t>3) Functional beverage (still/sparkling)</t>
        </is>
      </c>
      <c r="D41" s="11" t="inlineStr"/>
      <c r="E41" s="12" t="inlineStr"/>
      <c r="F41" s="9" t="inlineStr"/>
      <c r="G41" s="8" t="inlineStr">
        <is>
          <t>S&amp;S availability and depth vary by listing and over time — confirm on the live page.</t>
        </is>
      </c>
    </row>
    <row r="42" ht="26" customHeight="1">
      <c r="A42" s="8" t="inlineStr">
        <is>
          <t>vitaminwater</t>
        </is>
      </c>
      <c r="B42" s="8" t="inlineStr">
        <is>
          <t>vitaminwater zero sugar</t>
        </is>
      </c>
      <c r="C42" s="8" t="inlineStr">
        <is>
          <t>3) Functional beverage (still/sparkling)</t>
        </is>
      </c>
      <c r="D42" s="11" t="inlineStr"/>
      <c r="E42" s="12" t="inlineStr"/>
      <c r="F42" s="9" t="inlineStr"/>
      <c r="G42" s="8" t="inlineStr">
        <is>
          <t>S&amp;S availability and depth vary by listing and over time — confirm on the live page.</t>
        </is>
      </c>
    </row>
    <row r="43" ht="26" customHeight="1">
      <c r="A43" s="8" t="inlineStr">
        <is>
          <t>Bai</t>
        </is>
      </c>
      <c r="B43" s="8" t="inlineStr">
        <is>
          <t>Bai Antioxidant Infusion</t>
        </is>
      </c>
      <c r="C43" s="8" t="inlineStr">
        <is>
          <t>3) Functional beverage (still/sparkling)</t>
        </is>
      </c>
      <c r="D43" s="11" t="inlineStr"/>
      <c r="E43" s="12" t="inlineStr"/>
      <c r="F43" s="9" t="inlineStr"/>
      <c r="G43" s="8" t="inlineStr">
        <is>
          <t>S&amp;S availability and depth vary by listing and over time — confirm on the live page.</t>
        </is>
      </c>
    </row>
    <row r="44" ht="26" customHeight="1">
      <c r="A44" s="8" t="inlineStr">
        <is>
          <t>Hint</t>
        </is>
      </c>
      <c r="B44" s="8" t="inlineStr">
        <is>
          <t>Hint Water (fruit-infused)</t>
        </is>
      </c>
      <c r="C44" s="8" t="inlineStr">
        <is>
          <t>3) Functional beverage (still/sparkling)</t>
        </is>
      </c>
      <c r="D44" s="11" t="inlineStr"/>
      <c r="E44" s="12" t="inlineStr"/>
      <c r="F44" s="9" t="inlineStr"/>
      <c r="G44" s="8" t="inlineStr">
        <is>
          <t>S&amp;S availability and depth vary by listing and over time — confirm on the live page.</t>
        </is>
      </c>
    </row>
    <row r="45" ht="26" customHeight="1">
      <c r="A45" s="8" t="inlineStr">
        <is>
          <t>Spindrift</t>
        </is>
      </c>
      <c r="B45" s="8" t="inlineStr">
        <is>
          <t>Spindrift Sparkling Water</t>
        </is>
      </c>
      <c r="C45" s="8" t="inlineStr">
        <is>
          <t>5) Sparkling water &amp; soda</t>
        </is>
      </c>
      <c r="D45" s="11" t="inlineStr"/>
      <c r="E45" s="12" t="inlineStr"/>
      <c r="F45" s="9" t="inlineStr"/>
      <c r="G45" s="8" t="inlineStr">
        <is>
          <t>S&amp;S availability and depth vary by listing and over time — confirm on the live page.</t>
        </is>
      </c>
    </row>
    <row r="46" ht="26" customHeight="1">
      <c r="A46" s="8" t="inlineStr">
        <is>
          <t>LaCroix</t>
        </is>
      </c>
      <c r="B46" s="8" t="inlineStr">
        <is>
          <t>LaCroix Sparkling Water</t>
        </is>
      </c>
      <c r="C46" s="8" t="inlineStr">
        <is>
          <t>5) Sparkling water &amp; soda</t>
        </is>
      </c>
      <c r="D46" s="11" t="inlineStr"/>
      <c r="E46" s="12" t="inlineStr"/>
      <c r="F46" s="9" t="inlineStr"/>
      <c r="G46" s="8" t="inlineStr">
        <is>
          <t>S&amp;S availability and depth vary by listing and over time — confirm on the live page.</t>
        </is>
      </c>
    </row>
    <row r="47" ht="26" customHeight="1">
      <c r="A47" s="8" t="inlineStr">
        <is>
          <t>bubly</t>
        </is>
      </c>
      <c r="B47" s="8" t="inlineStr">
        <is>
          <t>bubly Sparkling Water</t>
        </is>
      </c>
      <c r="C47" s="8" t="inlineStr">
        <is>
          <t>5) Sparkling water &amp; soda</t>
        </is>
      </c>
      <c r="D47" s="11" t="inlineStr"/>
      <c r="E47" s="12" t="inlineStr"/>
      <c r="F47" s="9" t="inlineStr"/>
      <c r="G47" s="8" t="inlineStr">
        <is>
          <t>S&amp;S availability and depth vary by listing and over time — confirm on the live page.</t>
        </is>
      </c>
    </row>
    <row r="48" ht="26" customHeight="1">
      <c r="A48" s="8" t="inlineStr">
        <is>
          <t>Waterloo</t>
        </is>
      </c>
      <c r="B48" s="8" t="inlineStr">
        <is>
          <t>Waterloo Sparkling Water</t>
        </is>
      </c>
      <c r="C48" s="8" t="inlineStr">
        <is>
          <t>5) Sparkling water &amp; soda</t>
        </is>
      </c>
      <c r="D48" s="11" t="inlineStr"/>
      <c r="E48" s="12" t="inlineStr"/>
      <c r="F48" s="9" t="inlineStr"/>
      <c r="G48" s="8" t="inlineStr">
        <is>
          <t>S&amp;S availability and depth vary by listing and over time — confirm on the live page.</t>
        </is>
      </c>
    </row>
    <row r="49" ht="26" customHeight="1">
      <c r="A49" s="8" t="inlineStr">
        <is>
          <t>Perrier</t>
        </is>
      </c>
      <c r="B49" s="8" t="inlineStr">
        <is>
          <t>Perrier Carbonated Mineral Water</t>
        </is>
      </c>
      <c r="C49" s="8" t="inlineStr">
        <is>
          <t>5) Sparkling water &amp; soda</t>
        </is>
      </c>
      <c r="D49" s="11" t="inlineStr"/>
      <c r="E49" s="12" t="inlineStr"/>
      <c r="F49" s="9" t="inlineStr"/>
      <c r="G49" s="8" t="inlineStr">
        <is>
          <t>S&amp;S availability and depth vary by listing and over time — confirm on the live page.</t>
        </is>
      </c>
    </row>
    <row r="50" ht="26" customHeight="1">
      <c r="A50" s="8" t="inlineStr">
        <is>
          <t>San Pellegrino</t>
        </is>
      </c>
      <c r="B50" s="8" t="inlineStr">
        <is>
          <t>S.Pellegrino Sparkling Natural Mineral Water</t>
        </is>
      </c>
      <c r="C50" s="8" t="inlineStr">
        <is>
          <t>5) Sparkling water &amp; soda</t>
        </is>
      </c>
      <c r="D50" s="11" t="inlineStr"/>
      <c r="E50" s="12" t="inlineStr"/>
      <c r="F50" s="9" t="inlineStr"/>
      <c r="G50" s="8" t="inlineStr">
        <is>
          <t>S&amp;S availability and depth vary by listing and over time — confirm on the live page.</t>
        </is>
      </c>
    </row>
    <row r="51" ht="26" customHeight="1">
      <c r="A51" s="8" t="inlineStr">
        <is>
          <t>San Pellegrino</t>
        </is>
      </c>
      <c r="B51" s="8" t="inlineStr">
        <is>
          <t>Sanpellegrino Aranciata (Italian Sparkling Drink)</t>
        </is>
      </c>
      <c r="C51" s="8" t="inlineStr">
        <is>
          <t>5) Sparkling water &amp; soda</t>
        </is>
      </c>
      <c r="D51" s="11" t="inlineStr"/>
      <c r="E51" s="12" t="inlineStr"/>
      <c r="F51" s="9" t="inlineStr"/>
      <c r="G51" s="8" t="inlineStr">
        <is>
          <t>S&amp;S availability and depth vary by listing and over time — confirm on the live page.</t>
        </is>
      </c>
    </row>
    <row r="52" ht="26" customHeight="1">
      <c r="A52" s="8" t="inlineStr">
        <is>
          <t>Liquid Death</t>
        </is>
      </c>
      <c r="B52" s="8" t="inlineStr">
        <is>
          <t>Liquid Death Sparkling Water</t>
        </is>
      </c>
      <c r="C52" s="8" t="inlineStr">
        <is>
          <t>5) Sparkling water &amp; soda</t>
        </is>
      </c>
      <c r="D52" s="11" t="inlineStr"/>
      <c r="E52" s="12" t="inlineStr"/>
      <c r="F52" s="9" t="inlineStr"/>
      <c r="G52" s="8" t="inlineStr">
        <is>
          <t>S&amp;S availability and depth vary by listing and over time — confirm on the live page.</t>
        </is>
      </c>
    </row>
    <row r="53" ht="26" customHeight="1">
      <c r="A53" s="8" t="inlineStr">
        <is>
          <t>Liquid Death</t>
        </is>
      </c>
      <c r="B53" s="8" t="inlineStr">
        <is>
          <t>Liquid Death Mountain Water (Still)</t>
        </is>
      </c>
      <c r="C53" s="8" t="inlineStr">
        <is>
          <t>5) Sparkling water &amp; soda</t>
        </is>
      </c>
      <c r="D53" s="11" t="inlineStr"/>
      <c r="E53" s="12" t="inlineStr"/>
      <c r="F53" s="9" t="inlineStr"/>
      <c r="G53" s="8" t="inlineStr">
        <is>
          <t>S&amp;S availability and depth vary by listing and over time — confirm on the live page.</t>
        </is>
      </c>
    </row>
    <row r="54" ht="26" customHeight="1">
      <c r="A54" s="8" t="inlineStr">
        <is>
          <t>Topo Chico</t>
        </is>
      </c>
      <c r="B54" s="8" t="inlineStr">
        <is>
          <t>Topo Chico Mineral Water</t>
        </is>
      </c>
      <c r="C54" s="8" t="inlineStr">
        <is>
          <t>5) Sparkling water &amp; soda</t>
        </is>
      </c>
      <c r="D54" s="11" t="inlineStr"/>
      <c r="E54" s="12" t="inlineStr"/>
      <c r="F54" s="9" t="inlineStr"/>
      <c r="G54" s="8" t="inlineStr">
        <is>
          <t>S&amp;S availability and depth vary by listing and over time — confirm on the live page.</t>
        </is>
      </c>
    </row>
    <row r="55" ht="26" customHeight="1">
      <c r="A55" s="8" t="inlineStr">
        <is>
          <t>Polar</t>
        </is>
      </c>
      <c r="B55" s="8" t="inlineStr">
        <is>
          <t>Polar Seltzer</t>
        </is>
      </c>
      <c r="C55" s="8" t="inlineStr">
        <is>
          <t>5) Sparkling water &amp; soda</t>
        </is>
      </c>
      <c r="D55" s="11" t="inlineStr"/>
      <c r="E55" s="12" t="inlineStr"/>
      <c r="F55" s="9" t="inlineStr"/>
      <c r="G55" s="8" t="inlineStr">
        <is>
          <t>S&amp;S availability and depth vary by listing and over time — confirm on the live page.</t>
        </is>
      </c>
    </row>
    <row r="56" ht="26" customHeight="1">
      <c r="A56" s="8" t="inlineStr">
        <is>
          <t>AHA</t>
        </is>
      </c>
      <c r="B56" s="8" t="inlineStr">
        <is>
          <t>AHA Sparkling Water</t>
        </is>
      </c>
      <c r="C56" s="8" t="inlineStr">
        <is>
          <t>5) Sparkling water &amp; soda</t>
        </is>
      </c>
      <c r="D56" s="11" t="inlineStr"/>
      <c r="E56" s="12" t="inlineStr"/>
      <c r="F56" s="9" t="inlineStr"/>
      <c r="G56" s="8" t="inlineStr">
        <is>
          <t>S&amp;S availability and depth vary by listing and over time — confirm on the live page.</t>
        </is>
      </c>
    </row>
    <row r="57" ht="26" customHeight="1">
      <c r="A57" s="8" t="inlineStr">
        <is>
          <t>Montellier</t>
        </is>
      </c>
      <c r="B57" s="8" t="inlineStr">
        <is>
          <t>Montellier Carbonated Natural Spring Water</t>
        </is>
      </c>
      <c r="C57" s="8" t="inlineStr">
        <is>
          <t>5) Sparkling water &amp; soda</t>
        </is>
      </c>
      <c r="D57" s="11" t="inlineStr"/>
      <c r="E57" s="12" t="inlineStr"/>
      <c r="F57" s="9" t="inlineStr"/>
      <c r="G57" s="8" t="inlineStr">
        <is>
          <t>S&amp;S availability and depth vary by listing and over time — confirm on the live page.</t>
        </is>
      </c>
    </row>
    <row r="58" ht="26" customHeight="1">
      <c r="A58" s="8" t="inlineStr">
        <is>
          <t>Eska</t>
        </is>
      </c>
      <c r="B58" s="8" t="inlineStr">
        <is>
          <t>Eska Sparkling Spring Water</t>
        </is>
      </c>
      <c r="C58" s="8" t="inlineStr">
        <is>
          <t>5) Sparkling water &amp; soda</t>
        </is>
      </c>
      <c r="D58" s="11" t="inlineStr"/>
      <c r="E58" s="12" t="inlineStr"/>
      <c r="F58" s="9" t="inlineStr"/>
      <c r="G58" s="8" t="inlineStr">
        <is>
          <t>S&amp;S availability and depth vary by listing and over time — confirm on the live page.</t>
        </is>
      </c>
    </row>
    <row r="59" ht="26" customHeight="1">
      <c r="A59" s="8" t="inlineStr">
        <is>
          <t>Coca-Cola</t>
        </is>
      </c>
      <c r="B59" s="8" t="inlineStr">
        <is>
          <t>Coca-Cola Classic</t>
        </is>
      </c>
      <c r="C59" s="8" t="inlineStr">
        <is>
          <t>5) Sparkling water &amp; soda</t>
        </is>
      </c>
      <c r="D59" s="11" t="inlineStr"/>
      <c r="E59" s="12" t="inlineStr"/>
      <c r="F59" s="9" t="inlineStr"/>
      <c r="G59" s="8" t="inlineStr">
        <is>
          <t>S&amp;S availability and depth vary by listing and over time — confirm on the live page.</t>
        </is>
      </c>
    </row>
    <row r="60" ht="26" customHeight="1">
      <c r="A60" s="8" t="inlineStr">
        <is>
          <t>Sparkling Ice</t>
        </is>
      </c>
      <c r="B60" s="8" t="inlineStr">
        <is>
          <t>Sparkling Ice (+ Antioxidants &amp; Vitamins)</t>
        </is>
      </c>
      <c r="C60" s="8" t="inlineStr">
        <is>
          <t>1) Sparkling electrolyte / functional sparkling</t>
        </is>
      </c>
      <c r="D60" s="11" t="inlineStr"/>
      <c r="E60" s="12" t="inlineStr"/>
      <c r="F60" s="9" t="inlineStr"/>
      <c r="G60" s="8" t="inlineStr">
        <is>
          <t>S&amp;S availability and depth vary by listing and over time — confirm on the live page.</t>
        </is>
      </c>
    </row>
    <row r="61" ht="26" customHeight="1">
      <c r="A61" s="8" t="inlineStr">
        <is>
          <t>BUBBL'R</t>
        </is>
      </c>
      <c r="B61" s="8" t="inlineStr">
        <is>
          <t>BUBBL'R Antioxidant Sparkling Water</t>
        </is>
      </c>
      <c r="C61" s="8" t="inlineStr">
        <is>
          <t>1) Sparkling electrolyte / functional sparkling</t>
        </is>
      </c>
      <c r="D61" s="11" t="inlineStr"/>
      <c r="E61" s="12" t="inlineStr"/>
      <c r="F61" s="9" t="inlineStr"/>
      <c r="G61" s="8" t="inlineStr">
        <is>
          <t>S&amp;S availability and depth vary by listing and over time — confirm on the live page.</t>
        </is>
      </c>
    </row>
    <row r="62" ht="26" customHeight="1">
      <c r="A62" s="8" t="inlineStr">
        <is>
          <t>Phocus</t>
        </is>
      </c>
      <c r="B62" s="8" t="inlineStr">
        <is>
          <t>Phocus Caffeinated Sparkling Water</t>
        </is>
      </c>
      <c r="C62" s="8" t="inlineStr">
        <is>
          <t>1) Sparkling electrolyte / functional sparkling</t>
        </is>
      </c>
      <c r="D62" s="11" t="inlineStr"/>
      <c r="E62" s="12" t="inlineStr"/>
      <c r="F62" s="9" t="inlineStr"/>
      <c r="G62" s="8" t="inlineStr">
        <is>
          <t>S&amp;S availability and depth vary by listing and over time — confirm on the live page.</t>
        </is>
      </c>
    </row>
    <row r="63" ht="26" customHeight="1">
      <c r="A63" s="8" t="inlineStr">
        <is>
          <t>Aura Bora</t>
        </is>
      </c>
      <c r="B63" s="8" t="inlineStr">
        <is>
          <t>Aura Bora Herbal Sparkling Water</t>
        </is>
      </c>
      <c r="C63" s="8" t="inlineStr">
        <is>
          <t>1) Sparkling electrolyte / functional sparkling</t>
        </is>
      </c>
      <c r="D63" s="11" t="inlineStr"/>
      <c r="E63" s="12" t="inlineStr"/>
      <c r="F63" s="9" t="inlineStr"/>
      <c r="G63" s="8" t="inlineStr">
        <is>
          <t>S&amp;S availability and depth vary by listing and over time — confirm on the live page.</t>
        </is>
      </c>
    </row>
    <row r="64" ht="26" customHeight="1">
      <c r="A64" s="8" t="inlineStr">
        <is>
          <t>Sound</t>
        </is>
      </c>
      <c r="B64" s="8" t="inlineStr">
        <is>
          <t>Sound Sparkling Water (Tea/Botanical)</t>
        </is>
      </c>
      <c r="C64" s="8" t="inlineStr">
        <is>
          <t>1) Sparkling electrolyte / functional sparkling</t>
        </is>
      </c>
      <c r="D64" s="11" t="inlineStr"/>
      <c r="E64" s="12" t="inlineStr"/>
      <c r="F64" s="9" t="inlineStr"/>
      <c r="G64" s="8" t="inlineStr">
        <is>
          <t>S&amp;S availability and depth vary by listing and over time — confirm on the live page.</t>
        </is>
      </c>
    </row>
    <row r="65" ht="26" customHeight="1">
      <c r="A65" s="8" t="inlineStr">
        <is>
          <t>Halo Sport</t>
        </is>
      </c>
      <c r="B65" s="8" t="inlineStr">
        <is>
          <t>Halo Sport Sparkling Electrolyte Water</t>
        </is>
      </c>
      <c r="C65" s="8" t="inlineStr">
        <is>
          <t>1) Sparkling electrolyte / functional sparkling</t>
        </is>
      </c>
      <c r="D65" s="11" t="inlineStr"/>
      <c r="E65" s="12" t="inlineStr"/>
      <c r="F65" s="9" t="inlineStr"/>
      <c r="G65" s="8" t="inlineStr">
        <is>
          <t>S&amp;S availability and depth vary by listing and over time — confirm on the live page.</t>
        </is>
      </c>
    </row>
    <row r="66" ht="26" customHeight="1">
      <c r="A66" s="8" t="inlineStr">
        <is>
          <t>Gorgie</t>
        </is>
      </c>
      <c r="B66" s="8" t="inlineStr">
        <is>
          <t>Gorgie Energy Sparkling Water</t>
        </is>
      </c>
      <c r="C66" s="8" t="inlineStr">
        <is>
          <t>1) Sparkling electrolyte / functional sparkling</t>
        </is>
      </c>
      <c r="D66" s="11" t="inlineStr"/>
      <c r="E66" s="12" t="inlineStr"/>
      <c r="F66" s="9" t="inlineStr"/>
      <c r="G66" s="8" t="inlineStr">
        <is>
          <t>S&amp;S availability and depth vary by listing and over time — confirm on the live page.</t>
        </is>
      </c>
    </row>
    <row r="67" ht="26" customHeight="1">
      <c r="A67" s="8" t="inlineStr">
        <is>
          <t>United Sodas</t>
        </is>
      </c>
      <c r="B67" s="8" t="inlineStr">
        <is>
          <t>United Sodas of America</t>
        </is>
      </c>
      <c r="C67" s="8" t="inlineStr">
        <is>
          <t>1) Sparkling electrolyte / functional sparkling</t>
        </is>
      </c>
      <c r="D67" s="11" t="inlineStr"/>
      <c r="E67" s="12" t="inlineStr"/>
      <c r="F67" s="9" t="inlineStr"/>
      <c r="G67" s="8" t="inlineStr">
        <is>
          <t>S&amp;S availability and depth vary by listing and over time — confirm on the live page.</t>
        </is>
      </c>
    </row>
    <row r="69">
      <c r="A69" s="14" t="inlineStr">
        <is>
          <t>Subscribe &amp; Save availability is an Amazon listing fact that could not be verified in this environment. All S&amp;S cells are amber = capture live. Once filled, filter column D = Yes to get the true S&amp;S roster.</t>
        </is>
      </c>
    </row>
  </sheetData>
  <autoFilter ref="A1:G67"/>
  <mergeCells count="1">
    <mergeCell ref="A69:G6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32" customWidth="1" min="3" max="3"/>
    <col width="60" customWidth="1" min="4" max="4"/>
    <col width="22" customWidth="1" min="5" max="5"/>
  </cols>
  <sheetData>
    <row r="1" ht="42" customHeight="1">
      <c r="A1" s="6" t="inlineStr">
        <is>
          <t>Category</t>
        </is>
      </c>
      <c r="B1" s="6" t="inlineStr">
        <is>
          <t>Brand</t>
        </is>
      </c>
      <c r="C1" s="6" t="inlineStr">
        <is>
          <t>SKU</t>
        </is>
      </c>
      <c r="D1" s="6" t="inlineStr">
        <is>
          <t>One-sentence buyer rationale</t>
        </is>
      </c>
      <c r="E1" s="6" t="inlineStr">
        <is>
          <t>Primary draw</t>
        </is>
      </c>
    </row>
    <row r="2" ht="30" customHeight="1">
      <c r="A2" s="8" t="inlineStr">
        <is>
          <t>1) Sparkling electrolyte / functional sparkling</t>
        </is>
      </c>
      <c r="B2" s="8" t="inlineStr">
        <is>
          <t>Sparkling Ice</t>
        </is>
      </c>
      <c r="C2" s="8" t="inlineStr">
        <is>
          <t>Sparkling Ice (+ Antioxidants &amp; Vitamins)</t>
        </is>
      </c>
      <c r="D2" s="8" t="inlineStr">
        <is>
          <t>Big flavour and added vitamins at zero sugar.</t>
        </is>
      </c>
      <c r="E2" s="8" t="inlineStr">
        <is>
          <t>Functional benefit</t>
        </is>
      </c>
    </row>
    <row r="3" ht="30" customHeight="1">
      <c r="A3" s="8" t="inlineStr">
        <is>
          <t>1) Sparkling electrolyte / functional sparkling</t>
        </is>
      </c>
      <c r="B3" s="8" t="inlineStr">
        <is>
          <t>BUBBL'R</t>
        </is>
      </c>
      <c r="C3" s="8" t="inlineStr">
        <is>
          <t>BUBBL'R Antioxidant Sparkling Water</t>
        </is>
      </c>
      <c r="D3" s="8" t="inlineStr">
        <is>
          <t>Light natural caffeine and antioxidants without an energy-drink dose.</t>
        </is>
      </c>
      <c r="E3" s="8" t="inlineStr">
        <is>
          <t>Functional benefit</t>
        </is>
      </c>
    </row>
    <row r="4" ht="30" customHeight="1">
      <c r="A4" s="8" t="inlineStr">
        <is>
          <t>1) Sparkling electrolyte / functional sparkling</t>
        </is>
      </c>
      <c r="B4" s="8" t="inlineStr">
        <is>
          <t>Phocus</t>
        </is>
      </c>
      <c r="C4" s="8" t="inlineStr">
        <is>
          <t>Phocus Caffeinated Sparkling Water</t>
        </is>
      </c>
      <c r="D4" s="8" t="inlineStr">
        <is>
          <t>Coffee-level caffeine plus L-theanine in a calorie-free seltzer.</t>
        </is>
      </c>
      <c r="E4" s="8" t="inlineStr">
        <is>
          <t>Caffeine level</t>
        </is>
      </c>
    </row>
    <row r="5" ht="30" customHeight="1">
      <c r="A5" s="8" t="inlineStr">
        <is>
          <t>1) Sparkling electrolyte / functional sparkling</t>
        </is>
      </c>
      <c r="B5" s="8" t="inlineStr">
        <is>
          <t>Aura Bora</t>
        </is>
      </c>
      <c r="C5" s="8" t="inlineStr">
        <is>
          <t>Aura Bora Herbal Sparkling Water</t>
        </is>
      </c>
      <c r="D5" s="8" t="inlineStr">
        <is>
          <t>Unusual herbal-botanical flavours you can't get elsewhere.</t>
        </is>
      </c>
      <c r="E5" s="8" t="inlineStr">
        <is>
          <t>Taste reputation</t>
        </is>
      </c>
    </row>
    <row r="6" ht="30" customHeight="1">
      <c r="A6" s="8" t="inlineStr">
        <is>
          <t>1) Sparkling electrolyte / functional sparkling</t>
        </is>
      </c>
      <c r="B6" s="8" t="inlineStr">
        <is>
          <t>Sound</t>
        </is>
      </c>
      <c r="C6" s="8" t="inlineStr">
        <is>
          <t>Sound Sparkling Water (Tea/Botanical)</t>
        </is>
      </c>
      <c r="D6" s="8" t="inlineStr">
        <is>
          <t>Genuinely unsweetened with real tea/botanical character.</t>
        </is>
      </c>
      <c r="E6" s="8" t="inlineStr">
        <is>
          <t>No / low sugar</t>
        </is>
      </c>
    </row>
    <row r="7" ht="30" customHeight="1">
      <c r="A7" s="8" t="inlineStr">
        <is>
          <t>1) Sparkling electrolyte / functional sparkling</t>
        </is>
      </c>
      <c r="B7" s="8" t="inlineStr">
        <is>
          <t>Halo Sport</t>
        </is>
      </c>
      <c r="C7" s="8" t="inlineStr">
        <is>
          <t>Halo Sport Sparkling Electrolyte Water</t>
        </is>
      </c>
      <c r="D7" s="8" t="inlineStr">
        <is>
          <t>Electrolytes in a fizzy, zero-sugar format.</t>
        </is>
      </c>
      <c r="E7" s="8" t="inlineStr">
        <is>
          <t>Sodium/electrolytes</t>
        </is>
      </c>
    </row>
    <row r="8" ht="30" customHeight="1">
      <c r="A8" s="8" t="inlineStr">
        <is>
          <t>1) Sparkling electrolyte / functional sparkling</t>
        </is>
      </c>
      <c r="B8" s="8" t="inlineStr">
        <is>
          <t>Gorgie</t>
        </is>
      </c>
      <c r="C8" s="8" t="inlineStr">
        <is>
          <t>Gorgie Energy Sparkling Water</t>
        </is>
      </c>
      <c r="D8" s="8" t="inlineStr">
        <is>
          <t>Mid-dose caffeine with a clean, lifestyle aesthetic.</t>
        </is>
      </c>
      <c r="E8" s="8" t="inlineStr">
        <is>
          <t>Caffeine level</t>
        </is>
      </c>
    </row>
    <row r="9" ht="30" customHeight="1">
      <c r="A9" s="8" t="inlineStr">
        <is>
          <t>1) Sparkling electrolyte / functional sparkling</t>
        </is>
      </c>
      <c r="B9" s="8" t="inlineStr">
        <is>
          <t>United Sodas</t>
        </is>
      </c>
      <c r="C9" s="8" t="inlineStr">
        <is>
          <t>United Sodas of America</t>
        </is>
      </c>
      <c r="D9" s="8" t="inlineStr">
        <is>
          <t>Low-calorie soda with a clean, design-forward identity.</t>
        </is>
      </c>
      <c r="E9" s="8" t="inlineStr">
        <is>
          <t>Clean label</t>
        </is>
      </c>
    </row>
    <row r="10" ht="30" customHeight="1">
      <c r="A10" s="8" t="inlineStr">
        <is>
          <t>2) Electrolyte beverage (RTD)</t>
        </is>
      </c>
      <c r="B10" s="8" t="inlineStr">
        <is>
          <t>Gatorade</t>
        </is>
      </c>
      <c r="C10" s="8" t="inlineStr">
        <is>
          <t>Gatorade Thirst Quencher</t>
        </is>
      </c>
      <c r="D10" s="8" t="inlineStr">
        <is>
          <t>Sodium-led rehydration with unmatched brand trust.</t>
        </is>
      </c>
      <c r="E10" s="8" t="inlineStr">
        <is>
          <t>Brand trust</t>
        </is>
      </c>
    </row>
    <row r="11" ht="30" customHeight="1">
      <c r="A11" s="8" t="inlineStr">
        <is>
          <t>2) Electrolyte beverage (RTD)</t>
        </is>
      </c>
      <c r="B11" s="8" t="inlineStr">
        <is>
          <t>Gatorade</t>
        </is>
      </c>
      <c r="C11" s="8" t="inlineStr">
        <is>
          <t>Gatorade Zero Sugar</t>
        </is>
      </c>
      <c r="D11" s="8" t="inlineStr">
        <is>
          <t>Full electrolytes minus the sugar load.</t>
        </is>
      </c>
      <c r="E11" s="8" t="inlineStr">
        <is>
          <t>Sodium/electrolytes</t>
        </is>
      </c>
    </row>
    <row r="12" ht="30" customHeight="1">
      <c r="A12" s="8" t="inlineStr">
        <is>
          <t>2) Electrolyte beverage (RTD)</t>
        </is>
      </c>
      <c r="B12" s="8" t="inlineStr">
        <is>
          <t>Powerade</t>
        </is>
      </c>
      <c r="C12" s="8" t="inlineStr">
        <is>
          <t>Powerade Mountain Berry Blast</t>
        </is>
      </c>
      <c r="D12" s="8" t="inlineStr">
        <is>
          <t>Cheaper electrolyte alternative to Gatorade.</t>
        </is>
      </c>
      <c r="E12" s="8" t="inlineStr">
        <is>
          <t>Sodium/electrolytes</t>
        </is>
      </c>
    </row>
    <row r="13" ht="30" customHeight="1">
      <c r="A13" s="8" t="inlineStr">
        <is>
          <t>2) Electrolyte beverage (RTD)</t>
        </is>
      </c>
      <c r="B13" s="8" t="inlineStr">
        <is>
          <t>Powerade</t>
        </is>
      </c>
      <c r="C13" s="8" t="inlineStr">
        <is>
          <t>Powerade Zero</t>
        </is>
      </c>
      <c r="D13" s="8" t="inlineStr">
        <is>
          <t>Cheapest zero-sugar electrolyte option.</t>
        </is>
      </c>
      <c r="E13" s="8" t="inlineStr">
        <is>
          <t>Sodium/electrolytes</t>
        </is>
      </c>
    </row>
    <row r="14" ht="30" customHeight="1">
      <c r="A14" s="8" t="inlineStr">
        <is>
          <t>2) Electrolyte beverage (RTD)</t>
        </is>
      </c>
      <c r="B14" s="8" t="inlineStr">
        <is>
          <t>BODYARMOR</t>
        </is>
      </c>
      <c r="C14" s="8" t="inlineStr">
        <is>
          <t>BODYARMOR Sports Drink</t>
        </is>
      </c>
      <c r="D14" s="8" t="inlineStr">
        <is>
          <t>Coconut-water electrolytes and a cleaner label than legacy brands.</t>
        </is>
      </c>
      <c r="E14" s="8" t="inlineStr">
        <is>
          <t>Brand trust</t>
        </is>
      </c>
    </row>
    <row r="15" ht="30" customHeight="1">
      <c r="A15" s="8" t="inlineStr">
        <is>
          <t>2) Electrolyte beverage (RTD)</t>
        </is>
      </c>
      <c r="B15" s="8" t="inlineStr">
        <is>
          <t>BODYARMOR</t>
        </is>
      </c>
      <c r="C15" s="8" t="inlineStr">
        <is>
          <t>BODYARMOR LYTE</t>
        </is>
      </c>
      <c r="D15" s="8" t="inlineStr">
        <is>
          <t>High potassium with very little sugar.</t>
        </is>
      </c>
      <c r="E15" s="8" t="inlineStr">
        <is>
          <t>Sodium/electrolytes</t>
        </is>
      </c>
    </row>
    <row r="16" ht="30" customHeight="1">
      <c r="A16" s="8" t="inlineStr">
        <is>
          <t>2) Electrolyte beverage (RTD)</t>
        </is>
      </c>
      <c r="B16" s="8" t="inlineStr">
        <is>
          <t>Prime</t>
        </is>
      </c>
      <c r="C16" s="8" t="inlineStr">
        <is>
          <t>Prime Hydration</t>
        </is>
      </c>
      <c r="D16" s="8" t="inlineStr">
        <is>
          <t>Brand cachet plus zero sugar and added BCAAs.</t>
        </is>
      </c>
      <c r="E16" s="8" t="inlineStr">
        <is>
          <t>Brand trust</t>
        </is>
      </c>
    </row>
    <row r="17" ht="30" customHeight="1">
      <c r="A17" s="8" t="inlineStr">
        <is>
          <t>2) Electrolyte beverage (RTD)</t>
        </is>
      </c>
      <c r="B17" s="8" t="inlineStr">
        <is>
          <t>Roar Organic</t>
        </is>
      </c>
      <c r="C17" s="8" t="inlineStr">
        <is>
          <t>Roar Organic Electrolyte Infusions</t>
        </is>
      </c>
      <c r="D17" s="8" t="inlineStr">
        <is>
          <t>Organic and barely-sweetened for clean-label hydration seekers.</t>
        </is>
      </c>
      <c r="E17" s="8" t="inlineStr">
        <is>
          <t>No / low sugar</t>
        </is>
      </c>
    </row>
    <row r="18" ht="30" customHeight="1">
      <c r="A18" s="8" t="inlineStr">
        <is>
          <t>2) Electrolyte beverage (RTD)</t>
        </is>
      </c>
      <c r="B18" s="8" t="inlineStr">
        <is>
          <t>BioSteel</t>
        </is>
      </c>
      <c r="C18" s="8" t="inlineStr">
        <is>
          <t>BioSteel Sports Drink (RTD)</t>
        </is>
      </c>
      <c r="D18" s="8" t="inlineStr">
        <is>
          <t>Zero sugar plus pro-sports credibility, made in Canada.</t>
        </is>
      </c>
      <c r="E18" s="8" t="inlineStr">
        <is>
          <t>No / low sugar</t>
        </is>
      </c>
    </row>
    <row r="19" ht="30" customHeight="1">
      <c r="A19" s="8" t="inlineStr">
        <is>
          <t>2) Electrolyte beverage (RTD)</t>
        </is>
      </c>
      <c r="B19" s="8" t="inlineStr">
        <is>
          <t>CWENCH</t>
        </is>
      </c>
      <c r="C19" s="8" t="inlineStr">
        <is>
          <t>CWENCH Hydration</t>
        </is>
      </c>
      <c r="D19" s="8" t="inlineStr">
        <is>
          <t>Local challenger price and zero sugar.</t>
        </is>
      </c>
      <c r="E19" s="8" t="inlineStr">
        <is>
          <t>No / low sugar</t>
        </is>
      </c>
    </row>
    <row r="20" ht="30" customHeight="1">
      <c r="A20" s="8" t="inlineStr">
        <is>
          <t>2) Electrolyte beverage (RTD)</t>
        </is>
      </c>
      <c r="B20" s="8" t="inlineStr">
        <is>
          <t>Pedialyte</t>
        </is>
      </c>
      <c r="C20" s="8" t="inlineStr">
        <is>
          <t>Pedialyte Electrolyte Solution</t>
        </is>
      </c>
      <c r="D20" s="8" t="inlineStr">
        <is>
          <t>Medical-grade electrolyte ratio trusted for genuine dehydration.</t>
        </is>
      </c>
      <c r="E20" s="8" t="inlineStr">
        <is>
          <t>Brand trust</t>
        </is>
      </c>
    </row>
    <row r="21" ht="30" customHeight="1">
      <c r="A21" s="8" t="inlineStr">
        <is>
          <t>2) Electrolyte beverage (RTD)</t>
        </is>
      </c>
      <c r="B21" s="8" t="inlineStr">
        <is>
          <t>Gatorade</t>
        </is>
      </c>
      <c r="C21" s="8" t="inlineStr">
        <is>
          <t>Gatorlyte Rapid Rehydration</t>
        </is>
      </c>
      <c r="D21" s="8" t="inlineStr">
        <is>
          <t>Highest sodium/potassium load for serious rehydration.</t>
        </is>
      </c>
      <c r="E21" s="8" t="inlineStr">
        <is>
          <t>Sodium/electrolytes</t>
        </is>
      </c>
    </row>
    <row r="22" ht="30" customHeight="1">
      <c r="A22" s="8" t="inlineStr">
        <is>
          <t>2) Electrolyte beverage (RTD)</t>
        </is>
      </c>
      <c r="B22" s="8" t="inlineStr">
        <is>
          <t>Vita Coco</t>
        </is>
      </c>
      <c r="C22" s="8" t="inlineStr">
        <is>
          <t>Vita Coco Pure Coconut Water</t>
        </is>
      </c>
      <c r="D22" s="8" t="inlineStr">
        <is>
          <t>Naturally high potassium with no added sugar.</t>
        </is>
      </c>
      <c r="E22" s="8" t="inlineStr">
        <is>
          <t>Sodium/electrolytes</t>
        </is>
      </c>
    </row>
    <row r="23" ht="30" customHeight="1">
      <c r="A23" s="8" t="inlineStr">
        <is>
          <t>3) Functional beverage (still/sparkling)</t>
        </is>
      </c>
      <c r="B23" s="8" t="inlineStr">
        <is>
          <t>OLIPOP</t>
        </is>
      </c>
      <c r="C23" s="8" t="inlineStr">
        <is>
          <t>OLIPOP Prebiotic Soda</t>
        </is>
      </c>
      <c r="D23" s="8" t="inlineStr">
        <is>
          <t>Classic soda taste with 9 g fiber and almost no sugar.</t>
        </is>
      </c>
      <c r="E23" s="8" t="inlineStr">
        <is>
          <t>Functional benefit</t>
        </is>
      </c>
    </row>
    <row r="24" ht="30" customHeight="1">
      <c r="A24" s="8" t="inlineStr">
        <is>
          <t>3) Functional beverage (still/sparkling)</t>
        </is>
      </c>
      <c r="B24" s="8" t="inlineStr">
        <is>
          <t>Poppi</t>
        </is>
      </c>
      <c r="C24" s="8" t="inlineStr">
        <is>
          <t>Poppi Prebiotic Soda</t>
        </is>
      </c>
      <c r="D24" s="8" t="inlineStr">
        <is>
          <t>Trendy aesthetic plus a gut-health ACV story at low sugar.</t>
        </is>
      </c>
      <c r="E24" s="8" t="inlineStr">
        <is>
          <t>Functional benefit</t>
        </is>
      </c>
    </row>
    <row r="25" ht="30" customHeight="1">
      <c r="A25" s="8" t="inlineStr">
        <is>
          <t>3) Functional beverage (still/sparkling)</t>
        </is>
      </c>
      <c r="B25" s="8" t="inlineStr">
        <is>
          <t>Culture Pop</t>
        </is>
      </c>
      <c r="C25" s="8" t="inlineStr">
        <is>
          <t>Culture Pop Probiotic Soda</t>
        </is>
      </c>
      <c r="D25" s="8" t="inlineStr">
        <is>
          <t>Real-juice taste and live probiotics without stevia.</t>
        </is>
      </c>
      <c r="E25" s="8" t="inlineStr">
        <is>
          <t>Functional benefit</t>
        </is>
      </c>
    </row>
    <row r="26" ht="30" customHeight="1">
      <c r="A26" s="8" t="inlineStr">
        <is>
          <t>3) Functional beverage (still/sparkling)</t>
        </is>
      </c>
      <c r="B26" s="8" t="inlineStr">
        <is>
          <t>Mayawell</t>
        </is>
      </c>
      <c r="C26" s="8" t="inlineStr">
        <is>
          <t>Mayawell Prebiotic Soda</t>
        </is>
      </c>
      <c r="D26" s="8" t="inlineStr">
        <is>
          <t>Distinctive agave-fiber prebiotic and adventurous flavours.</t>
        </is>
      </c>
      <c r="E26" s="8" t="inlineStr">
        <is>
          <t>Functional benefit</t>
        </is>
      </c>
    </row>
    <row r="27" ht="30" customHeight="1">
      <c r="A27" s="8" t="inlineStr">
        <is>
          <t>3) Functional beverage (still/sparkling)</t>
        </is>
      </c>
      <c r="B27" s="8" t="inlineStr">
        <is>
          <t>De La Calle</t>
        </is>
      </c>
      <c r="C27" s="8" t="inlineStr">
        <is>
          <t>De La Calle Tepache</t>
        </is>
      </c>
      <c r="D27" s="8" t="inlineStr">
        <is>
          <t>Authentic fermented tepache with a prebiotic angle.</t>
        </is>
      </c>
      <c r="E27" s="8" t="inlineStr">
        <is>
          <t>Mixed</t>
        </is>
      </c>
    </row>
    <row r="28" ht="30" customHeight="1">
      <c r="A28" s="8" t="inlineStr">
        <is>
          <t>3) Functional beverage (still/sparkling)</t>
        </is>
      </c>
      <c r="B28" s="8" t="inlineStr">
        <is>
          <t>GT's</t>
        </is>
      </c>
      <c r="C28" s="8" t="inlineStr">
        <is>
          <t>GT's Synergy Raw Kombucha</t>
        </is>
      </c>
      <c r="D28" s="8" t="inlineStr">
        <is>
          <t>Authentic raw kombucha from the category pioneer.</t>
        </is>
      </c>
      <c r="E28" s="8" t="inlineStr">
        <is>
          <t>Mixed</t>
        </is>
      </c>
    </row>
    <row r="29" ht="30" customHeight="1">
      <c r="A29" s="8" t="inlineStr">
        <is>
          <t>3) Functional beverage (still/sparkling)</t>
        </is>
      </c>
      <c r="B29" s="8" t="inlineStr">
        <is>
          <t>Health-Ade</t>
        </is>
      </c>
      <c r="C29" s="8" t="inlineStr">
        <is>
          <t>Health-Ade Kombucha</t>
        </is>
      </c>
      <c r="D29" s="8" t="inlineStr">
        <is>
          <t>Premium organic kombucha taste and quality cues.</t>
        </is>
      </c>
      <c r="E29" s="8" t="inlineStr">
        <is>
          <t>Clean label</t>
        </is>
      </c>
    </row>
    <row r="30" ht="30" customHeight="1">
      <c r="A30" s="8" t="inlineStr">
        <is>
          <t>3) Functional beverage (still/sparkling)</t>
        </is>
      </c>
      <c r="B30" s="8" t="inlineStr">
        <is>
          <t>Remedy</t>
        </is>
      </c>
      <c r="C30" s="8" t="inlineStr">
        <is>
          <t>Remedy Kombucha</t>
        </is>
      </c>
      <c r="D30" s="8" t="inlineStr">
        <is>
          <t>Live-culture kombucha at zero sugar.</t>
        </is>
      </c>
      <c r="E30" s="8" t="inlineStr">
        <is>
          <t>No / low sugar</t>
        </is>
      </c>
    </row>
    <row r="31" ht="30" customHeight="1">
      <c r="A31" s="8" t="inlineStr">
        <is>
          <t>3) Functional beverage (still/sparkling)</t>
        </is>
      </c>
      <c r="B31" s="8" t="inlineStr">
        <is>
          <t>Recess</t>
        </is>
      </c>
      <c r="C31" s="8" t="inlineStr">
        <is>
          <t>Recess Mood</t>
        </is>
      </c>
      <c r="D31" s="8" t="inlineStr">
        <is>
          <t>Adaptogens and L-theanine for relaxation, not energy.</t>
        </is>
      </c>
      <c r="E31" s="8" t="inlineStr">
        <is>
          <t>Functional benefit</t>
        </is>
      </c>
    </row>
    <row r="32" ht="30" customHeight="1">
      <c r="A32" s="8" t="inlineStr">
        <is>
          <t>3) Functional beverage (still/sparkling)</t>
        </is>
      </c>
      <c r="B32" s="8" t="inlineStr">
        <is>
          <t>Protein2o</t>
        </is>
      </c>
      <c r="C32" s="8" t="inlineStr">
        <is>
          <t>Protein2o Protein Infused Water</t>
        </is>
      </c>
      <c r="D32" s="8" t="inlineStr">
        <is>
          <t>Real protein dose without a heavy milkshake texture.</t>
        </is>
      </c>
      <c r="E32" s="8" t="inlineStr">
        <is>
          <t>Caffeine level</t>
        </is>
      </c>
    </row>
    <row r="33" ht="30" customHeight="1">
      <c r="A33" s="8" t="inlineStr">
        <is>
          <t>3) Functional beverage (still/sparkling)</t>
        </is>
      </c>
      <c r="B33" s="8" t="inlineStr">
        <is>
          <t>vitaminwater</t>
        </is>
      </c>
      <c r="C33" s="8" t="inlineStr">
        <is>
          <t>vitaminwater (glacéau)</t>
        </is>
      </c>
      <c r="D33" s="8" t="inlineStr">
        <is>
          <t>Familiar vitamin-enhanced water in many functional flavours.</t>
        </is>
      </c>
      <c r="E33" s="8" t="inlineStr">
        <is>
          <t>Functional benefit</t>
        </is>
      </c>
    </row>
    <row r="34" ht="30" customHeight="1">
      <c r="A34" s="8" t="inlineStr">
        <is>
          <t>3) Functional beverage (still/sparkling)</t>
        </is>
      </c>
      <c r="B34" s="8" t="inlineStr">
        <is>
          <t>vitaminwater</t>
        </is>
      </c>
      <c r="C34" s="8" t="inlineStr">
        <is>
          <t>vitaminwater zero sugar</t>
        </is>
      </c>
      <c r="D34" s="8" t="inlineStr">
        <is>
          <t>The vitamin story without the sugar.</t>
        </is>
      </c>
      <c r="E34" s="8" t="inlineStr">
        <is>
          <t>Functional benefit</t>
        </is>
      </c>
    </row>
    <row r="35" ht="30" customHeight="1">
      <c r="A35" s="8" t="inlineStr">
        <is>
          <t>3) Functional beverage (still/sparkling)</t>
        </is>
      </c>
      <c r="B35" s="8" t="inlineStr">
        <is>
          <t>Bai</t>
        </is>
      </c>
      <c r="C35" s="8" t="inlineStr">
        <is>
          <t>Bai Antioxidant Infusion</t>
        </is>
      </c>
      <c r="D35" s="8" t="inlineStr">
        <is>
          <t>Flavour with antioxidants and almost no sugar.</t>
        </is>
      </c>
      <c r="E35" s="8" t="inlineStr">
        <is>
          <t>Functional benefit</t>
        </is>
      </c>
    </row>
    <row r="36" ht="30" customHeight="1">
      <c r="A36" s="8" t="inlineStr">
        <is>
          <t>3) Functional beverage (still/sparkling)</t>
        </is>
      </c>
      <c r="B36" s="8" t="inlineStr">
        <is>
          <t>Hint</t>
        </is>
      </c>
      <c r="C36" s="8" t="inlineStr">
        <is>
          <t>Hint Water (fruit-infused)</t>
        </is>
      </c>
      <c r="D36" s="8" t="inlineStr">
        <is>
          <t>Real fruit essence with zero sweeteners of any kind.</t>
        </is>
      </c>
      <c r="E36" s="8" t="inlineStr">
        <is>
          <t>No / low sugar</t>
        </is>
      </c>
    </row>
    <row r="37" ht="30" customHeight="1">
      <c r="A37" s="8" t="inlineStr">
        <is>
          <t>4) Caffeine &amp; energy beverage</t>
        </is>
      </c>
      <c r="B37" s="8" t="inlineStr">
        <is>
          <t>Red Bull</t>
        </is>
      </c>
      <c r="C37" s="8" t="inlineStr">
        <is>
          <t>Red Bull Energy Drink</t>
        </is>
      </c>
      <c r="D37" s="8" t="inlineStr">
        <is>
          <t>Brand trust and ubiquity — the default energy can people already know.</t>
        </is>
      </c>
      <c r="E37" s="8" t="inlineStr">
        <is>
          <t>Brand trust</t>
        </is>
      </c>
    </row>
    <row r="38" ht="30" customHeight="1">
      <c r="A38" s="8" t="inlineStr">
        <is>
          <t>4) Caffeine &amp; energy beverage</t>
        </is>
      </c>
      <c r="B38" s="8" t="inlineStr">
        <is>
          <t>Red Bull</t>
        </is>
      </c>
      <c r="C38" s="8" t="inlineStr">
        <is>
          <t>Red Bull Sugarfree</t>
        </is>
      </c>
      <c r="D38" s="8" t="inlineStr">
        <is>
          <t>No sugar without leaving the brand they trust.</t>
        </is>
      </c>
      <c r="E38" s="8" t="inlineStr">
        <is>
          <t>Brand trust</t>
        </is>
      </c>
    </row>
    <row r="39" ht="30" customHeight="1">
      <c r="A39" s="8" t="inlineStr">
        <is>
          <t>4) Caffeine &amp; energy beverage</t>
        </is>
      </c>
      <c r="B39" s="8" t="inlineStr">
        <is>
          <t>Monster</t>
        </is>
      </c>
      <c r="C39" s="8" t="inlineStr">
        <is>
          <t>Monster Energy Original (Green)</t>
        </is>
      </c>
      <c r="D39" s="8" t="inlineStr">
        <is>
          <t>Pack economics and high dose — more caffeine and volume per dollar.</t>
        </is>
      </c>
      <c r="E39" s="8" t="inlineStr">
        <is>
          <t>Caffeine level</t>
        </is>
      </c>
    </row>
    <row r="40" ht="30" customHeight="1">
      <c r="A40" s="8" t="inlineStr">
        <is>
          <t>4) Caffeine &amp; energy beverage</t>
        </is>
      </c>
      <c r="B40" s="8" t="inlineStr">
        <is>
          <t>Monster</t>
        </is>
      </c>
      <c r="C40" s="8" t="inlineStr">
        <is>
          <t>Monster Energy Ultra Zero (White)</t>
        </is>
      </c>
      <c r="D40" s="8" t="inlineStr">
        <is>
          <t>No sugar plus a lighter flavour than the green can.</t>
        </is>
      </c>
      <c r="E40" s="8" t="inlineStr">
        <is>
          <t>No / low sugar</t>
        </is>
      </c>
    </row>
    <row r="41" ht="30" customHeight="1">
      <c r="A41" s="8" t="inlineStr">
        <is>
          <t>4) Caffeine &amp; energy beverage</t>
        </is>
      </c>
      <c r="B41" s="8" t="inlineStr">
        <is>
          <t>Celsius</t>
        </is>
      </c>
      <c r="C41" s="8" t="inlineStr">
        <is>
          <t>Celsius Original Sparkling</t>
        </is>
      </c>
      <c r="D41" s="8" t="inlineStr">
        <is>
          <t>No sugar plus a fitness/metabolism story, not just caffeine.</t>
        </is>
      </c>
      <c r="E41" s="8" t="inlineStr">
        <is>
          <t>Functional benefit</t>
        </is>
      </c>
    </row>
    <row r="42" ht="30" customHeight="1">
      <c r="A42" s="8" t="inlineStr">
        <is>
          <t>4) Caffeine &amp; energy beverage</t>
        </is>
      </c>
      <c r="B42" s="8" t="inlineStr">
        <is>
          <t>Celsius</t>
        </is>
      </c>
      <c r="C42" s="8" t="inlineStr">
        <is>
          <t>Celsius Essentials</t>
        </is>
      </c>
      <c r="D42" s="8" t="inlineStr">
        <is>
          <t>Highest caffeine dose in the Celsius family.</t>
        </is>
      </c>
      <c r="E42" s="8" t="inlineStr">
        <is>
          <t>Caffeine level</t>
        </is>
      </c>
    </row>
    <row r="43" ht="30" customHeight="1">
      <c r="A43" s="8" t="inlineStr">
        <is>
          <t>4) Caffeine &amp; energy beverage</t>
        </is>
      </c>
      <c r="B43" s="8" t="inlineStr">
        <is>
          <t>Prime</t>
        </is>
      </c>
      <c r="C43" s="8" t="inlineStr">
        <is>
          <t>Prime Energy</t>
        </is>
      </c>
      <c r="D43" s="8" t="inlineStr">
        <is>
          <t>Social-media brand cachet with a zero-sugar profile.</t>
        </is>
      </c>
      <c r="E43" s="8" t="inlineStr">
        <is>
          <t>Brand trust</t>
        </is>
      </c>
    </row>
    <row r="44" ht="30" customHeight="1">
      <c r="A44" s="8" t="inlineStr">
        <is>
          <t>4) Caffeine &amp; energy beverage</t>
        </is>
      </c>
      <c r="B44" s="8" t="inlineStr">
        <is>
          <t>C4</t>
        </is>
      </c>
      <c r="C44" s="8" t="inlineStr">
        <is>
          <t>C4 Energy (Performance)</t>
        </is>
      </c>
      <c r="D44" s="8" t="inlineStr">
        <is>
          <t>Performance/pre-workout positioning with beta-alanine.</t>
        </is>
      </c>
      <c r="E44" s="8" t="inlineStr">
        <is>
          <t>Mixed</t>
        </is>
      </c>
    </row>
    <row r="45" ht="30" customHeight="1">
      <c r="A45" s="8" t="inlineStr">
        <is>
          <t>4) Caffeine &amp; energy beverage</t>
        </is>
      </c>
      <c r="B45" s="8" t="inlineStr">
        <is>
          <t>Reign</t>
        </is>
      </c>
      <c r="C45" s="8" t="inlineStr">
        <is>
          <t>Reign Total Body Fuel</t>
        </is>
      </c>
      <c r="D45" s="8" t="inlineStr">
        <is>
          <t>Highest mainstream caffeine dose plus workout aminos.</t>
        </is>
      </c>
      <c r="E45" s="8" t="inlineStr">
        <is>
          <t>Caffeine level</t>
        </is>
      </c>
    </row>
    <row r="46" ht="30" customHeight="1">
      <c r="A46" s="8" t="inlineStr">
        <is>
          <t>4) Caffeine &amp; energy beverage</t>
        </is>
      </c>
      <c r="B46" s="8" t="inlineStr">
        <is>
          <t>Alani Nu</t>
        </is>
      </c>
      <c r="C46" s="8" t="inlineStr">
        <is>
          <t>Alani Nu Energy</t>
        </is>
      </c>
      <c r="D46" s="8" t="inlineStr">
        <is>
          <t>On-trend flavours and aesthetic plus zero sugar.</t>
        </is>
      </c>
      <c r="E46" s="8" t="inlineStr">
        <is>
          <t>No / low sugar</t>
        </is>
      </c>
    </row>
    <row r="47" ht="30" customHeight="1">
      <c r="A47" s="8" t="inlineStr">
        <is>
          <t>4) Caffeine &amp; energy beverage</t>
        </is>
      </c>
      <c r="B47" s="8" t="inlineStr">
        <is>
          <t>Bang</t>
        </is>
      </c>
      <c r="C47" s="8" t="inlineStr">
        <is>
          <t>Bang Energy</t>
        </is>
      </c>
      <c r="D47" s="8" t="inlineStr">
        <is>
          <t>High caffeine at zero calories with aminos.</t>
        </is>
      </c>
      <c r="E47" s="8" t="inlineStr">
        <is>
          <t>Caffeine level</t>
        </is>
      </c>
    </row>
    <row r="48" ht="30" customHeight="1">
      <c r="A48" s="8" t="inlineStr">
        <is>
          <t>4) Caffeine &amp; energy beverage</t>
        </is>
      </c>
      <c r="B48" s="8" t="inlineStr">
        <is>
          <t>Rockstar</t>
        </is>
      </c>
      <c r="C48" s="8" t="inlineStr">
        <is>
          <t>Rockstar Energy</t>
        </is>
      </c>
      <c r="D48" s="8" t="inlineStr">
        <is>
          <t>Familiar legacy brand, usually a lower price point.</t>
        </is>
      </c>
      <c r="E48" s="8" t="inlineStr">
        <is>
          <t>Brand trust</t>
        </is>
      </c>
    </row>
    <row r="49" ht="30" customHeight="1">
      <c r="A49" s="8" t="inlineStr">
        <is>
          <t>4) Caffeine &amp; energy beverage</t>
        </is>
      </c>
      <c r="B49" s="8" t="inlineStr">
        <is>
          <t>GURU</t>
        </is>
      </c>
      <c r="C49" s="8" t="inlineStr">
        <is>
          <t>GURU Organic Energy</t>
        </is>
      </c>
      <c r="D49" s="8" t="inlineStr">
        <is>
          <t>Organic, natural-caffeine alternative — a clean-label choice.</t>
        </is>
      </c>
      <c r="E49" s="8" t="inlineStr">
        <is>
          <t>Caffeine level</t>
        </is>
      </c>
    </row>
    <row r="50" ht="30" customHeight="1">
      <c r="A50" s="8" t="inlineStr">
        <is>
          <t>4) Caffeine &amp; energy beverage</t>
        </is>
      </c>
      <c r="B50" s="8" t="inlineStr">
        <is>
          <t>Guayakí</t>
        </is>
      </c>
      <c r="C50" s="8" t="inlineStr">
        <is>
          <t>Guayakí Yerba Mate</t>
        </is>
      </c>
      <c r="D50" s="8" t="inlineStr">
        <is>
          <t>Natural yerba-mate caffeine plus organic/Fair-Trade ethics.</t>
        </is>
      </c>
      <c r="E50" s="8" t="inlineStr">
        <is>
          <t>Caffeine level</t>
        </is>
      </c>
    </row>
    <row r="51" ht="30" customHeight="1">
      <c r="A51" s="8" t="inlineStr">
        <is>
          <t>4) Caffeine &amp; energy beverage</t>
        </is>
      </c>
      <c r="B51" s="8" t="inlineStr">
        <is>
          <t>NOS</t>
        </is>
      </c>
      <c r="C51" s="8" t="inlineStr">
        <is>
          <t>NOS Energy Drink</t>
        </is>
      </c>
      <c r="D51" s="8" t="inlineStr">
        <is>
          <t>Legacy enthusiast brand at a value price.</t>
        </is>
      </c>
      <c r="E51" s="8" t="inlineStr">
        <is>
          <t>Brand trust</t>
        </is>
      </c>
    </row>
    <row r="52" ht="30" customHeight="1">
      <c r="A52" s="8" t="inlineStr">
        <is>
          <t>4) Caffeine &amp; energy beverage</t>
        </is>
      </c>
      <c r="B52" s="8" t="inlineStr">
        <is>
          <t>Starbucks</t>
        </is>
      </c>
      <c r="C52" s="8" t="inlineStr">
        <is>
          <t>Starbucks Doubleshot Espresso</t>
        </is>
      </c>
      <c r="D52" s="8" t="inlineStr">
        <is>
          <t>Trusted coffee taste rather than a synthetic energy flavour.</t>
        </is>
      </c>
      <c r="E52" s="8" t="inlineStr">
        <is>
          <t>Brand trust</t>
        </is>
      </c>
    </row>
    <row r="53" ht="30" customHeight="1">
      <c r="A53" s="8" t="inlineStr">
        <is>
          <t>5) Sparkling water &amp; soda</t>
        </is>
      </c>
      <c r="B53" s="8" t="inlineStr">
        <is>
          <t>Spindrift</t>
        </is>
      </c>
      <c r="C53" s="8" t="inlineStr">
        <is>
          <t>Spindrift Sparkling Water</t>
        </is>
      </c>
      <c r="D53" s="8" t="inlineStr">
        <is>
          <t>Tastes like real fruit because it is — not flavour essence.</t>
        </is>
      </c>
      <c r="E53" s="8" t="inlineStr">
        <is>
          <t>Taste reputation</t>
        </is>
      </c>
    </row>
    <row r="54" ht="30" customHeight="1">
      <c r="A54" s="8" t="inlineStr">
        <is>
          <t>5) Sparkling water &amp; soda</t>
        </is>
      </c>
      <c r="B54" s="8" t="inlineStr">
        <is>
          <t>LaCroix</t>
        </is>
      </c>
      <c r="C54" s="8" t="inlineStr">
        <is>
          <t>LaCroix Sparkling Water</t>
        </is>
      </c>
      <c r="D54" s="8" t="inlineStr">
        <is>
          <t>Zero calories/sugar with cult brand status and price.</t>
        </is>
      </c>
      <c r="E54" s="8" t="inlineStr">
        <is>
          <t>Brand trust</t>
        </is>
      </c>
    </row>
    <row r="55" ht="30" customHeight="1">
      <c r="A55" s="8" t="inlineStr">
        <is>
          <t>5) Sparkling water &amp; soda</t>
        </is>
      </c>
      <c r="B55" s="8" t="inlineStr">
        <is>
          <t>bubly</t>
        </is>
      </c>
      <c r="C55" s="8" t="inlineStr">
        <is>
          <t>bubly Sparkling Water</t>
        </is>
      </c>
      <c r="D55" s="8" t="inlineStr">
        <is>
          <t>Mainstream zero-everything seltzer, usually well priced.</t>
        </is>
      </c>
      <c r="E55" s="8" t="inlineStr">
        <is>
          <t>Price / value</t>
        </is>
      </c>
    </row>
    <row r="56" ht="30" customHeight="1">
      <c r="A56" s="8" t="inlineStr">
        <is>
          <t>5) Sparkling water &amp; soda</t>
        </is>
      </c>
      <c r="B56" s="8" t="inlineStr">
        <is>
          <t>Waterloo</t>
        </is>
      </c>
      <c r="C56" s="8" t="inlineStr">
        <is>
          <t>Waterloo Sparkling Water</t>
        </is>
      </c>
      <c r="D56" s="8" t="inlineStr">
        <is>
          <t>Stronger, more realistic flavour than the big seltzers.</t>
        </is>
      </c>
      <c r="E56" s="8" t="inlineStr">
        <is>
          <t>Taste reputation</t>
        </is>
      </c>
    </row>
    <row r="57" ht="30" customHeight="1">
      <c r="A57" s="8" t="inlineStr">
        <is>
          <t>5) Sparkling water &amp; soda</t>
        </is>
      </c>
      <c r="B57" s="8" t="inlineStr">
        <is>
          <t>Perrier</t>
        </is>
      </c>
      <c r="C57" s="8" t="inlineStr">
        <is>
          <t>Perrier Carbonated Mineral Water</t>
        </is>
      </c>
      <c r="D57" s="8" t="inlineStr">
        <is>
          <t>Premium imported mineral-water cachet and crisp bubbles.</t>
        </is>
      </c>
      <c r="E57" s="8" t="inlineStr">
        <is>
          <t>Brand trust</t>
        </is>
      </c>
    </row>
    <row r="58" ht="30" customHeight="1">
      <c r="A58" s="8" t="inlineStr">
        <is>
          <t>5) Sparkling water &amp; soda</t>
        </is>
      </c>
      <c r="B58" s="8" t="inlineStr">
        <is>
          <t>San Pellegrino</t>
        </is>
      </c>
      <c r="C58" s="8" t="inlineStr">
        <is>
          <t>S.Pellegrino Sparkling Natural Mineral Water</t>
        </is>
      </c>
      <c r="D58" s="8" t="inlineStr">
        <is>
          <t>Premium mineral profile and table-water prestige.</t>
        </is>
      </c>
      <c r="E58" s="8" t="inlineStr">
        <is>
          <t>Mixed</t>
        </is>
      </c>
    </row>
    <row r="59" ht="30" customHeight="1">
      <c r="A59" s="8" t="inlineStr">
        <is>
          <t>5) Sparkling water &amp; soda</t>
        </is>
      </c>
      <c r="B59" s="8" t="inlineStr">
        <is>
          <t>San Pellegrino</t>
        </is>
      </c>
      <c r="C59" s="8" t="inlineStr">
        <is>
          <t>Sanpellegrino Aranciata (Italian Sparkling Drink)</t>
        </is>
      </c>
      <c r="D59" s="8" t="inlineStr">
        <is>
          <t>Premium imported fruit-soda taste with real juice.</t>
        </is>
      </c>
      <c r="E59" s="8" t="inlineStr">
        <is>
          <t>Taste reputation</t>
        </is>
      </c>
    </row>
    <row r="60" ht="30" customHeight="1">
      <c r="A60" s="8" t="inlineStr">
        <is>
          <t>5) Sparkling water &amp; soda</t>
        </is>
      </c>
      <c r="B60" s="8" t="inlineStr">
        <is>
          <t>Liquid Death</t>
        </is>
      </c>
      <c r="C60" s="8" t="inlineStr">
        <is>
          <t>Liquid Death Sparkling Water</t>
        </is>
      </c>
      <c r="D60" s="8" t="inlineStr">
        <is>
          <t>Brand attitude and packaging as much as the water itself.</t>
        </is>
      </c>
      <c r="E60" s="8" t="inlineStr">
        <is>
          <t>Brand trust</t>
        </is>
      </c>
    </row>
    <row r="61" ht="30" customHeight="1">
      <c r="A61" s="8" t="inlineStr">
        <is>
          <t>5) Sparkling water &amp; soda</t>
        </is>
      </c>
      <c r="B61" s="8" t="inlineStr">
        <is>
          <t>Liquid Death</t>
        </is>
      </c>
      <c r="C61" s="8" t="inlineStr">
        <is>
          <t>Liquid Death Mountain Water (Still)</t>
        </is>
      </c>
      <c r="D61" s="8" t="inlineStr">
        <is>
          <t>Buys the brand and the can, not just hydration.</t>
        </is>
      </c>
      <c r="E61" s="8" t="inlineStr">
        <is>
          <t>Brand trust</t>
        </is>
      </c>
    </row>
    <row r="62" ht="30" customHeight="1">
      <c r="A62" s="8" t="inlineStr">
        <is>
          <t>5) Sparkling water &amp; soda</t>
        </is>
      </c>
      <c r="B62" s="8" t="inlineStr">
        <is>
          <t>Topo Chico</t>
        </is>
      </c>
      <c r="C62" s="8" t="inlineStr">
        <is>
          <t>Topo Chico Mineral Water</t>
        </is>
      </c>
      <c r="D62" s="8" t="inlineStr">
        <is>
          <t>Hard carbonation and mixer credibility.</t>
        </is>
      </c>
      <c r="E62" s="8" t="inlineStr">
        <is>
          <t>Mixed</t>
        </is>
      </c>
    </row>
    <row r="63" ht="30" customHeight="1">
      <c r="A63" s="8" t="inlineStr">
        <is>
          <t>5) Sparkling water &amp; soda</t>
        </is>
      </c>
      <c r="B63" s="8" t="inlineStr">
        <is>
          <t>Polar</t>
        </is>
      </c>
      <c r="C63" s="8" t="inlineStr">
        <is>
          <t>Polar Seltzer</t>
        </is>
      </c>
      <c r="D63" s="8" t="inlineStr">
        <is>
          <t>Lots of flavours at a value price.</t>
        </is>
      </c>
      <c r="E63" s="8" t="inlineStr">
        <is>
          <t>Price / value</t>
        </is>
      </c>
    </row>
    <row r="64" ht="30" customHeight="1">
      <c r="A64" s="8" t="inlineStr">
        <is>
          <t>5) Sparkling water &amp; soda</t>
        </is>
      </c>
      <c r="B64" s="8" t="inlineStr">
        <is>
          <t>AHA</t>
        </is>
      </c>
      <c r="C64" s="8" t="inlineStr">
        <is>
          <t>AHA Sparkling Water</t>
        </is>
      </c>
      <c r="D64" s="8" t="inlineStr">
        <is>
          <t>Unusual flavour pairings (and optional caffeine) at value price.</t>
        </is>
      </c>
      <c r="E64" s="8" t="inlineStr">
        <is>
          <t>Caffeine level</t>
        </is>
      </c>
    </row>
    <row r="65" ht="30" customHeight="1">
      <c r="A65" s="8" t="inlineStr">
        <is>
          <t>5) Sparkling water &amp; soda</t>
        </is>
      </c>
      <c r="B65" s="8" t="inlineStr">
        <is>
          <t>Montellier</t>
        </is>
      </c>
      <c r="C65" s="8" t="inlineStr">
        <is>
          <t>Montellier Carbonated Natural Spring Water</t>
        </is>
      </c>
      <c r="D65" s="8" t="inlineStr">
        <is>
          <t>Local Canadian sparkling water, often value priced.</t>
        </is>
      </c>
      <c r="E65" s="8" t="inlineStr">
        <is>
          <t>Price / value</t>
        </is>
      </c>
    </row>
    <row r="66" ht="30" customHeight="1">
      <c r="A66" s="8" t="inlineStr">
        <is>
          <t>5) Sparkling water &amp; soda</t>
        </is>
      </c>
      <c r="B66" s="8" t="inlineStr">
        <is>
          <t>Eska</t>
        </is>
      </c>
      <c r="C66" s="8" t="inlineStr">
        <is>
          <t>Eska Sparkling Spring Water</t>
        </is>
      </c>
      <c r="D66" s="8" t="inlineStr">
        <is>
          <t>Canadian-sourced purity story.</t>
        </is>
      </c>
      <c r="E66" s="8" t="inlineStr">
        <is>
          <t>Mixed</t>
        </is>
      </c>
    </row>
    <row r="67" ht="30" customHeight="1">
      <c r="A67" s="8" t="inlineStr">
        <is>
          <t>5) Sparkling water &amp; soda</t>
        </is>
      </c>
      <c r="B67" s="8" t="inlineStr">
        <is>
          <t>Coca-Cola</t>
        </is>
      </c>
      <c r="C67" s="8" t="inlineStr">
        <is>
          <t>Coca-Cola Classic</t>
        </is>
      </c>
      <c r="D67" s="8" t="inlineStr">
        <is>
          <t>Universal taste and brand — the soda baseline.</t>
        </is>
      </c>
      <c r="E67" s="8" t="inlineStr">
        <is>
          <t>Brand trust</t>
        </is>
      </c>
    </row>
  </sheetData>
  <autoFilter ref="A1:E6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2" customWidth="1" min="3" max="3"/>
    <col width="26" customWidth="1" min="4" max="4"/>
    <col width="46" customWidth="1" min="5" max="5"/>
  </cols>
  <sheetData>
    <row r="1" ht="42" customHeight="1">
      <c r="A1" s="6" t="inlineStr">
        <is>
          <t>Est. Band</t>
        </is>
      </c>
      <c r="B1" s="6" t="inlineStr">
        <is>
          <t>Brand</t>
        </is>
      </c>
      <c r="C1" s="6" t="inlineStr">
        <is>
          <t>SKU</t>
        </is>
      </c>
      <c r="D1" s="6" t="inlineStr">
        <is>
          <t>Category</t>
        </is>
      </c>
      <c r="E1" s="6" t="inlineStr">
        <is>
          <t>Signal used (estimate basis)</t>
        </is>
      </c>
    </row>
    <row r="2" ht="28" customHeight="1">
      <c r="A2" s="15" t="inlineStr">
        <is>
          <t>Very High</t>
        </is>
      </c>
      <c r="B2" s="8" t="inlineStr">
        <is>
          <t>Red Bull</t>
        </is>
      </c>
      <c r="C2" s="8" t="inlineStr">
        <is>
          <t>Red Bull Energy Drink</t>
        </is>
      </c>
      <c r="D2" s="8" t="inlineStr">
        <is>
          <t>4) Caffeine &amp; energy beverage</t>
        </is>
      </c>
      <c r="E2" s="8" t="inlineStr">
        <is>
          <t>Global #1 energy brand; ubiquitous repeat purchase</t>
        </is>
      </c>
    </row>
    <row r="3" ht="28" customHeight="1">
      <c r="A3" s="15" t="inlineStr">
        <is>
          <t>Very High</t>
        </is>
      </c>
      <c r="B3" s="8" t="inlineStr">
        <is>
          <t>Monster</t>
        </is>
      </c>
      <c r="C3" s="8" t="inlineStr">
        <is>
          <t>Monster Energy Original (Green)</t>
        </is>
      </c>
      <c r="D3" s="8" t="inlineStr">
        <is>
          <t>4) Caffeine &amp; energy beverage</t>
        </is>
      </c>
      <c r="E3" s="8" t="inlineStr">
        <is>
          <t>#2 energy brand; huge can = value perception</t>
        </is>
      </c>
    </row>
    <row r="4" ht="28" customHeight="1">
      <c r="A4" s="15" t="inlineStr">
        <is>
          <t>Very High</t>
        </is>
      </c>
      <c r="B4" s="8" t="inlineStr">
        <is>
          <t>Monster</t>
        </is>
      </c>
      <c r="C4" s="8" t="inlineStr">
        <is>
          <t>Monster Energy Ultra Zero (White)</t>
        </is>
      </c>
      <c r="D4" s="8" t="inlineStr">
        <is>
          <t>4) Caffeine &amp; energy beverage</t>
        </is>
      </c>
      <c r="E4" s="8" t="inlineStr">
        <is>
          <t>Best-selling zero-sugar energy line</t>
        </is>
      </c>
    </row>
    <row r="5" ht="28" customHeight="1">
      <c r="A5" s="15" t="inlineStr">
        <is>
          <t>Very High</t>
        </is>
      </c>
      <c r="B5" s="8" t="inlineStr">
        <is>
          <t>Celsius</t>
        </is>
      </c>
      <c r="C5" s="8" t="inlineStr">
        <is>
          <t>Celsius Original Sparkling</t>
        </is>
      </c>
      <c r="D5" s="8" t="inlineStr">
        <is>
          <t>4) Caffeine &amp; energy beverage</t>
        </is>
      </c>
      <c r="E5" s="8" t="inlineStr">
        <is>
          <t>Fastest-growing energy brand; fitness crossover</t>
        </is>
      </c>
    </row>
    <row r="6" ht="28" customHeight="1">
      <c r="A6" s="15" t="inlineStr">
        <is>
          <t>Very High</t>
        </is>
      </c>
      <c r="B6" s="8" t="inlineStr">
        <is>
          <t>Gatorade</t>
        </is>
      </c>
      <c r="C6" s="8" t="inlineStr">
        <is>
          <t>Gatorade Thirst Quencher</t>
        </is>
      </c>
      <c r="D6" s="8" t="inlineStr">
        <is>
          <t>2) Electrolyte beverage (RTD)</t>
        </is>
      </c>
      <c r="E6" s="8" t="inlineStr">
        <is>
          <t>Category-defining sports drink; mass repeat purchase</t>
        </is>
      </c>
    </row>
    <row r="7" ht="28" customHeight="1">
      <c r="A7" s="15" t="inlineStr">
        <is>
          <t>Very High</t>
        </is>
      </c>
      <c r="B7" s="8" t="inlineStr">
        <is>
          <t>Gatorade</t>
        </is>
      </c>
      <c r="C7" s="8" t="inlineStr">
        <is>
          <t>Gatorade Zero Sugar</t>
        </is>
      </c>
      <c r="D7" s="8" t="inlineStr">
        <is>
          <t>2) Electrolyte beverage (RTD)</t>
        </is>
      </c>
      <c r="E7" s="8" t="inlineStr">
        <is>
          <t>Top zero-sugar sports drink</t>
        </is>
      </c>
    </row>
    <row r="8" ht="28" customHeight="1">
      <c r="A8" s="15" t="inlineStr">
        <is>
          <t>Very High</t>
        </is>
      </c>
      <c r="B8" s="8" t="inlineStr">
        <is>
          <t>OLIPOP</t>
        </is>
      </c>
      <c r="C8" s="8" t="inlineStr">
        <is>
          <t>OLIPOP Prebiotic Soda</t>
        </is>
      </c>
      <c r="D8" s="8" t="inlineStr">
        <is>
          <t>3) Functional beverage (still/sparkling)</t>
        </is>
      </c>
      <c r="E8" s="8" t="inlineStr">
        <is>
          <t>Category-leading prebiotic soda; viral DTC + retail</t>
        </is>
      </c>
    </row>
    <row r="9" ht="28" customHeight="1">
      <c r="A9" s="15" t="inlineStr">
        <is>
          <t>Very High</t>
        </is>
      </c>
      <c r="B9" s="8" t="inlineStr">
        <is>
          <t>Poppi</t>
        </is>
      </c>
      <c r="C9" s="8" t="inlineStr">
        <is>
          <t>Poppi Prebiotic Soda</t>
        </is>
      </c>
      <c r="D9" s="8" t="inlineStr">
        <is>
          <t>3) Functional beverage (still/sparkling)</t>
        </is>
      </c>
      <c r="E9" s="8" t="inlineStr">
        <is>
          <t>Viral brand; Super Bowl ad; strong Gen-Z pull</t>
        </is>
      </c>
    </row>
    <row r="10" ht="28" customHeight="1">
      <c r="A10" s="15" t="inlineStr">
        <is>
          <t>Very High</t>
        </is>
      </c>
      <c r="B10" s="8" t="inlineStr">
        <is>
          <t>LaCroix</t>
        </is>
      </c>
      <c r="C10" s="8" t="inlineStr">
        <is>
          <t>LaCroix Sparkling Water</t>
        </is>
      </c>
      <c r="D10" s="8" t="inlineStr">
        <is>
          <t>5) Sparkling water &amp; soda</t>
        </is>
      </c>
      <c r="E10" s="8" t="inlineStr">
        <is>
          <t>Iconic seltzer; huge mainstream base</t>
        </is>
      </c>
    </row>
    <row r="11" ht="28" customHeight="1">
      <c r="A11" s="15" t="inlineStr">
        <is>
          <t>Very High</t>
        </is>
      </c>
      <c r="B11" s="8" t="inlineStr">
        <is>
          <t>bubly</t>
        </is>
      </c>
      <c r="C11" s="8" t="inlineStr">
        <is>
          <t>bubly Sparkling Water</t>
        </is>
      </c>
      <c r="D11" s="8" t="inlineStr">
        <is>
          <t>5) Sparkling water &amp; soda</t>
        </is>
      </c>
      <c r="E11" s="8" t="inlineStr">
        <is>
          <t>PepsiCo muscle; aggressive pricing &amp; distribution</t>
        </is>
      </c>
    </row>
    <row r="12" ht="28" customHeight="1">
      <c r="A12" s="15" t="inlineStr">
        <is>
          <t>Very High</t>
        </is>
      </c>
      <c r="B12" s="8" t="inlineStr">
        <is>
          <t>Coca-Cola</t>
        </is>
      </c>
      <c r="C12" s="8" t="inlineStr">
        <is>
          <t>Coca-Cola Classic</t>
        </is>
      </c>
      <c r="D12" s="8" t="inlineStr">
        <is>
          <t>5) Sparkling water &amp; soda</t>
        </is>
      </c>
      <c r="E12" s="8" t="inlineStr">
        <is>
          <t>World's #1 soda; baseline mass volume</t>
        </is>
      </c>
    </row>
    <row r="13" ht="28" customHeight="1">
      <c r="A13" s="16" t="inlineStr">
        <is>
          <t>High</t>
        </is>
      </c>
      <c r="B13" s="8" t="inlineStr">
        <is>
          <t>Red Bull</t>
        </is>
      </c>
      <c r="C13" s="8" t="inlineStr">
        <is>
          <t>Red Bull Sugarfree</t>
        </is>
      </c>
      <c r="D13" s="8" t="inlineStr">
        <is>
          <t>4) Caffeine &amp; energy beverage</t>
        </is>
      </c>
      <c r="E13" s="8" t="inlineStr">
        <is>
          <t>Strong line extension of #1 brand</t>
        </is>
      </c>
    </row>
    <row r="14" ht="28" customHeight="1">
      <c r="A14" s="16" t="inlineStr">
        <is>
          <t>High</t>
        </is>
      </c>
      <c r="B14" s="8" t="inlineStr">
        <is>
          <t>Celsius</t>
        </is>
      </c>
      <c r="C14" s="8" t="inlineStr">
        <is>
          <t>Celsius Essentials</t>
        </is>
      </c>
      <c r="D14" s="8" t="inlineStr">
        <is>
          <t>4) Caffeine &amp; energy beverage</t>
        </is>
      </c>
      <c r="E14" s="8" t="inlineStr">
        <is>
          <t>Higher-dose line riding Celsius momentum</t>
        </is>
      </c>
    </row>
    <row r="15" ht="28" customHeight="1">
      <c r="A15" s="16" t="inlineStr">
        <is>
          <t>High</t>
        </is>
      </c>
      <c r="B15" s="8" t="inlineStr">
        <is>
          <t>Prime</t>
        </is>
      </c>
      <c r="C15" s="8" t="inlineStr">
        <is>
          <t>Prime Energy</t>
        </is>
      </c>
      <c r="D15" s="8" t="inlineStr">
        <is>
          <t>4) Caffeine &amp; energy beverage</t>
        </is>
      </c>
      <c r="E15" s="8" t="inlineStr">
        <is>
          <t>Influencer-driven (Logan Paul/KSI); youth pull</t>
        </is>
      </c>
    </row>
    <row r="16" ht="28" customHeight="1">
      <c r="A16" s="16" t="inlineStr">
        <is>
          <t>High</t>
        </is>
      </c>
      <c r="B16" s="8" t="inlineStr">
        <is>
          <t>Alani Nu</t>
        </is>
      </c>
      <c r="C16" s="8" t="inlineStr">
        <is>
          <t>Alani Nu Energy</t>
        </is>
      </c>
      <c r="D16" s="8" t="inlineStr">
        <is>
          <t>4) Caffeine &amp; energy beverage</t>
        </is>
      </c>
      <c r="E16" s="8" t="inlineStr">
        <is>
          <t>Fast-growing; strong female demographic &amp; flavours</t>
        </is>
      </c>
    </row>
    <row r="17" ht="28" customHeight="1">
      <c r="A17" s="16" t="inlineStr">
        <is>
          <t>High</t>
        </is>
      </c>
      <c r="B17" s="8" t="inlineStr">
        <is>
          <t>Starbucks</t>
        </is>
      </c>
      <c r="C17" s="8" t="inlineStr">
        <is>
          <t>Starbucks Doubleshot Espresso</t>
        </is>
      </c>
      <c r="D17" s="8" t="inlineStr">
        <is>
          <t>4) Caffeine &amp; energy beverage</t>
        </is>
      </c>
      <c r="E17" s="8" t="inlineStr">
        <is>
          <t>Coffee-energy crossover; broad mainstream appeal</t>
        </is>
      </c>
    </row>
    <row r="18" ht="28" customHeight="1">
      <c r="A18" s="16" t="inlineStr">
        <is>
          <t>High</t>
        </is>
      </c>
      <c r="B18" s="8" t="inlineStr">
        <is>
          <t>Powerade</t>
        </is>
      </c>
      <c r="C18" s="8" t="inlineStr">
        <is>
          <t>Powerade Mountain Berry Blast</t>
        </is>
      </c>
      <c r="D18" s="8" t="inlineStr">
        <is>
          <t>2) Electrolyte beverage (RTD)</t>
        </is>
      </c>
      <c r="E18" s="8" t="inlineStr">
        <is>
          <t>Strong #2; Coca-Cola distribution &amp; price</t>
        </is>
      </c>
    </row>
    <row r="19" ht="28" customHeight="1">
      <c r="A19" s="16" t="inlineStr">
        <is>
          <t>High</t>
        </is>
      </c>
      <c r="B19" s="8" t="inlineStr">
        <is>
          <t>Powerade</t>
        </is>
      </c>
      <c r="C19" s="8" t="inlineStr">
        <is>
          <t>Powerade Zero</t>
        </is>
      </c>
      <c r="D19" s="8" t="inlineStr">
        <is>
          <t>2) Electrolyte beverage (RTD)</t>
        </is>
      </c>
      <c r="E19" s="8" t="inlineStr">
        <is>
          <t>Popular zero-sugar value option</t>
        </is>
      </c>
    </row>
    <row r="20" ht="28" customHeight="1">
      <c r="A20" s="16" t="inlineStr">
        <is>
          <t>High</t>
        </is>
      </c>
      <c r="B20" s="8" t="inlineStr">
        <is>
          <t>BODYARMOR</t>
        </is>
      </c>
      <c r="C20" s="8" t="inlineStr">
        <is>
          <t>BODYARMOR Sports Drink</t>
        </is>
      </c>
      <c r="D20" s="8" t="inlineStr">
        <is>
          <t>2) Electrolyte beverage (RTD)</t>
        </is>
      </c>
      <c r="E20" s="8" t="inlineStr">
        <is>
          <t>Fast-growing premium sports drink (Coca-Cola owned)</t>
        </is>
      </c>
    </row>
    <row r="21" ht="28" customHeight="1">
      <c r="A21" s="16" t="inlineStr">
        <is>
          <t>High</t>
        </is>
      </c>
      <c r="B21" s="8" t="inlineStr">
        <is>
          <t>Prime</t>
        </is>
      </c>
      <c r="C21" s="8" t="inlineStr">
        <is>
          <t>Prime Hydration</t>
        </is>
      </c>
      <c r="D21" s="8" t="inlineStr">
        <is>
          <t>2) Electrolyte beverage (RTD)</t>
        </is>
      </c>
      <c r="E21" s="8" t="inlineStr">
        <is>
          <t>Influencer hype; strong youth pull</t>
        </is>
      </c>
    </row>
    <row r="22" ht="28" customHeight="1">
      <c r="A22" s="16" t="inlineStr">
        <is>
          <t>High</t>
        </is>
      </c>
      <c r="B22" s="8" t="inlineStr">
        <is>
          <t>Pedialyte</t>
        </is>
      </c>
      <c r="C22" s="8" t="inlineStr">
        <is>
          <t>Pedialyte Electrolyte Solution</t>
        </is>
      </c>
      <c r="D22" s="8" t="inlineStr">
        <is>
          <t>2) Electrolyte beverage (RTD)</t>
        </is>
      </c>
      <c r="E22" s="8" t="inlineStr">
        <is>
          <t>Trusted clinical rehydration; year-round + flu season spikes</t>
        </is>
      </c>
    </row>
    <row r="23" ht="28" customHeight="1">
      <c r="A23" s="16" t="inlineStr">
        <is>
          <t>High</t>
        </is>
      </c>
      <c r="B23" s="8" t="inlineStr">
        <is>
          <t>Vita Coco</t>
        </is>
      </c>
      <c r="C23" s="8" t="inlineStr">
        <is>
          <t>Vita Coco Pure Coconut Water</t>
        </is>
      </c>
      <c r="D23" s="8" t="inlineStr">
        <is>
          <t>2) Electrolyte beverage (RTD)</t>
        </is>
      </c>
      <c r="E23" s="8" t="inlineStr">
        <is>
          <t>Market-leading coconut water; mainstream</t>
        </is>
      </c>
    </row>
    <row r="24" ht="28" customHeight="1">
      <c r="A24" s="16" t="inlineStr">
        <is>
          <t>High</t>
        </is>
      </c>
      <c r="B24" s="8" t="inlineStr">
        <is>
          <t>GT's</t>
        </is>
      </c>
      <c r="C24" s="8" t="inlineStr">
        <is>
          <t>GT's Synergy Raw Kombucha</t>
        </is>
      </c>
      <c r="D24" s="8" t="inlineStr">
        <is>
          <t>3) Functional beverage (still/sparkling)</t>
        </is>
      </c>
      <c r="E24" s="8" t="inlineStr">
        <is>
          <t>Kombucha category leader</t>
        </is>
      </c>
    </row>
    <row r="25" ht="28" customHeight="1">
      <c r="A25" s="16" t="inlineStr">
        <is>
          <t>High</t>
        </is>
      </c>
      <c r="B25" s="8" t="inlineStr">
        <is>
          <t>vitaminwater</t>
        </is>
      </c>
      <c r="C25" s="8" t="inlineStr">
        <is>
          <t>vitaminwater (glacéau)</t>
        </is>
      </c>
      <c r="D25" s="8" t="inlineStr">
        <is>
          <t>3) Functional beverage (still/sparkling)</t>
        </is>
      </c>
      <c r="E25" s="8" t="inlineStr">
        <is>
          <t>Established functional water; mass distribution</t>
        </is>
      </c>
    </row>
    <row r="26" ht="28" customHeight="1">
      <c r="A26" s="16" t="inlineStr">
        <is>
          <t>High</t>
        </is>
      </c>
      <c r="B26" s="8" t="inlineStr">
        <is>
          <t>vitaminwater</t>
        </is>
      </c>
      <c r="C26" s="8" t="inlineStr">
        <is>
          <t>vitaminwater zero sugar</t>
        </is>
      </c>
      <c r="D26" s="8" t="inlineStr">
        <is>
          <t>3) Functional beverage (still/sparkling)</t>
        </is>
      </c>
      <c r="E26" s="8" t="inlineStr">
        <is>
          <t>Strong zero-sugar variant</t>
        </is>
      </c>
    </row>
    <row r="27" ht="28" customHeight="1">
      <c r="A27" s="16" t="inlineStr">
        <is>
          <t>High</t>
        </is>
      </c>
      <c r="B27" s="8" t="inlineStr">
        <is>
          <t>Spindrift</t>
        </is>
      </c>
      <c r="C27" s="8" t="inlineStr">
        <is>
          <t>Spindrift Sparkling Water</t>
        </is>
      </c>
      <c r="D27" s="8" t="inlineStr">
        <is>
          <t>5) Sparkling water &amp; soda</t>
        </is>
      </c>
      <c r="E27" s="8" t="inlineStr">
        <is>
          <t>Premium real-fruit seltzer; strong loyalty</t>
        </is>
      </c>
    </row>
    <row r="28" ht="28" customHeight="1">
      <c r="A28" s="16" t="inlineStr">
        <is>
          <t>High</t>
        </is>
      </c>
      <c r="B28" s="8" t="inlineStr">
        <is>
          <t>Perrier</t>
        </is>
      </c>
      <c r="C28" s="8" t="inlineStr">
        <is>
          <t>Perrier Carbonated Mineral Water</t>
        </is>
      </c>
      <c r="D28" s="8" t="inlineStr">
        <is>
          <t>5) Sparkling water &amp; soda</t>
        </is>
      </c>
      <c r="E28" s="8" t="inlineStr">
        <is>
          <t>Iconic premium mineral water; mainstream + horeca</t>
        </is>
      </c>
    </row>
    <row r="29" ht="28" customHeight="1">
      <c r="A29" s="16" t="inlineStr">
        <is>
          <t>High</t>
        </is>
      </c>
      <c r="B29" s="8" t="inlineStr">
        <is>
          <t>San Pellegrino</t>
        </is>
      </c>
      <c r="C29" s="8" t="inlineStr">
        <is>
          <t>S.Pellegrino Sparkling Natural Mineral Water</t>
        </is>
      </c>
      <c r="D29" s="8" t="inlineStr">
        <is>
          <t>5) Sparkling water &amp; soda</t>
        </is>
      </c>
      <c r="E29" s="8" t="inlineStr">
        <is>
          <t>Premium mineral water; dining staple</t>
        </is>
      </c>
    </row>
    <row r="30" ht="28" customHeight="1">
      <c r="A30" s="16" t="inlineStr">
        <is>
          <t>High</t>
        </is>
      </c>
      <c r="B30" s="8" t="inlineStr">
        <is>
          <t>Liquid Death</t>
        </is>
      </c>
      <c r="C30" s="8" t="inlineStr">
        <is>
          <t>Liquid Death Sparkling Water</t>
        </is>
      </c>
      <c r="D30" s="8" t="inlineStr">
        <is>
          <t>5) Sparkling water &amp; soda</t>
        </is>
      </c>
      <c r="E30" s="8" t="inlineStr">
        <is>
          <t>Viral brand; huge cultural pull beyond product</t>
        </is>
      </c>
    </row>
    <row r="31" ht="28" customHeight="1">
      <c r="A31" s="16" t="inlineStr">
        <is>
          <t>High</t>
        </is>
      </c>
      <c r="B31" s="8" t="inlineStr">
        <is>
          <t>Liquid Death</t>
        </is>
      </c>
      <c r="C31" s="8" t="inlineStr">
        <is>
          <t>Liquid Death Mountain Water (Still)</t>
        </is>
      </c>
      <c r="D31" s="8" t="inlineStr">
        <is>
          <t>5) Sparkling water &amp; soda</t>
        </is>
      </c>
      <c r="E31" s="8" t="inlineStr">
        <is>
          <t>Viral brand halo on plain water</t>
        </is>
      </c>
    </row>
    <row r="32" ht="28" customHeight="1">
      <c r="A32" s="16" t="inlineStr">
        <is>
          <t>High</t>
        </is>
      </c>
      <c r="B32" s="8" t="inlineStr">
        <is>
          <t>Sparkling Ice</t>
        </is>
      </c>
      <c r="C32" s="8" t="inlineStr">
        <is>
          <t>Sparkling Ice (+ Antioxidants &amp; Vitamins)</t>
        </is>
      </c>
      <c r="D32" s="8" t="inlineStr">
        <is>
          <t>1) Sparkling electrolyte / functional sparkling</t>
        </is>
      </c>
      <c r="E32" s="8" t="inlineStr">
        <is>
          <t>Mass-market functional sparkling; strong shelf share</t>
        </is>
      </c>
    </row>
    <row r="33" ht="28" customHeight="1">
      <c r="A33" s="11" t="inlineStr">
        <is>
          <t>Medium</t>
        </is>
      </c>
      <c r="B33" s="8" t="inlineStr">
        <is>
          <t>C4</t>
        </is>
      </c>
      <c r="C33" s="8" t="inlineStr">
        <is>
          <t>C4 Energy (Performance)</t>
        </is>
      </c>
      <c r="D33" s="8" t="inlineStr">
        <is>
          <t>4) Caffeine &amp; energy beverage</t>
        </is>
      </c>
      <c r="E33" s="8" t="inlineStr">
        <is>
          <t>Strong in fitness/pre-workout niche</t>
        </is>
      </c>
    </row>
    <row r="34" ht="28" customHeight="1">
      <c r="A34" s="11" t="inlineStr">
        <is>
          <t>Medium</t>
        </is>
      </c>
      <c r="B34" s="8" t="inlineStr">
        <is>
          <t>Reign</t>
        </is>
      </c>
      <c r="C34" s="8" t="inlineStr">
        <is>
          <t>Reign Total Body Fuel</t>
        </is>
      </c>
      <c r="D34" s="8" t="inlineStr">
        <is>
          <t>4) Caffeine &amp; energy beverage</t>
        </is>
      </c>
      <c r="E34" s="8" t="inlineStr">
        <is>
          <t>Performance line under Monster umbrella</t>
        </is>
      </c>
    </row>
    <row r="35" ht="28" customHeight="1">
      <c r="A35" s="11" t="inlineStr">
        <is>
          <t>Medium</t>
        </is>
      </c>
      <c r="B35" s="8" t="inlineStr">
        <is>
          <t>Bang</t>
        </is>
      </c>
      <c r="C35" s="8" t="inlineStr">
        <is>
          <t>Bang Energy</t>
        </is>
      </c>
      <c r="D35" s="8" t="inlineStr">
        <is>
          <t>4) Caffeine &amp; energy beverage</t>
        </is>
      </c>
      <c r="E35" s="8" t="inlineStr">
        <is>
          <t>Declining vs peak but still high volume</t>
        </is>
      </c>
    </row>
    <row r="36" ht="28" customHeight="1">
      <c r="A36" s="11" t="inlineStr">
        <is>
          <t>Medium</t>
        </is>
      </c>
      <c r="B36" s="8" t="inlineStr">
        <is>
          <t>Rockstar</t>
        </is>
      </c>
      <c r="C36" s="8" t="inlineStr">
        <is>
          <t>Rockstar Energy</t>
        </is>
      </c>
      <c r="D36" s="8" t="inlineStr">
        <is>
          <t>4) Caffeine &amp; energy beverage</t>
        </is>
      </c>
      <c r="E36" s="8" t="inlineStr">
        <is>
          <t>Legacy brand; PepsiCo distribution</t>
        </is>
      </c>
    </row>
    <row r="37" ht="28" customHeight="1">
      <c r="A37" s="11" t="inlineStr">
        <is>
          <t>Medium</t>
        </is>
      </c>
      <c r="B37" s="8" t="inlineStr">
        <is>
          <t>GURU</t>
        </is>
      </c>
      <c r="C37" s="8" t="inlineStr">
        <is>
          <t>GURU Organic Energy</t>
        </is>
      </c>
      <c r="D37" s="8" t="inlineStr">
        <is>
          <t>4) Caffeine &amp; energy beverage</t>
        </is>
      </c>
      <c r="E37" s="8" t="inlineStr">
        <is>
          <t>Canadian brand; natural/organic niche leader at home</t>
        </is>
      </c>
    </row>
    <row r="38" ht="28" customHeight="1">
      <c r="A38" s="11" t="inlineStr">
        <is>
          <t>Medium</t>
        </is>
      </c>
      <c r="B38" s="8" t="inlineStr">
        <is>
          <t>Guayakí</t>
        </is>
      </c>
      <c r="C38" s="8" t="inlineStr">
        <is>
          <t>Guayakí Yerba Mate</t>
        </is>
      </c>
      <c r="D38" s="8" t="inlineStr">
        <is>
          <t>4) Caffeine &amp; energy beverage</t>
        </is>
      </c>
      <c r="E38" s="8" t="inlineStr">
        <is>
          <t>Strong natural-channel following</t>
        </is>
      </c>
    </row>
    <row r="39" ht="28" customHeight="1">
      <c r="A39" s="11" t="inlineStr">
        <is>
          <t>Medium</t>
        </is>
      </c>
      <c r="B39" s="8" t="inlineStr">
        <is>
          <t>BODYARMOR</t>
        </is>
      </c>
      <c r="C39" s="8" t="inlineStr">
        <is>
          <t>BODYARMOR LYTE</t>
        </is>
      </c>
      <c r="D39" s="8" t="inlineStr">
        <is>
          <t>2) Electrolyte beverage (RTD)</t>
        </is>
      </c>
      <c r="E39" s="8" t="inlineStr">
        <is>
          <t>Low-sugar variant of fast-grower</t>
        </is>
      </c>
    </row>
    <row r="40" ht="28" customHeight="1">
      <c r="A40" s="11" t="inlineStr">
        <is>
          <t>Medium</t>
        </is>
      </c>
      <c r="B40" s="8" t="inlineStr">
        <is>
          <t>BioSteel</t>
        </is>
      </c>
      <c r="C40" s="8" t="inlineStr">
        <is>
          <t>BioSteel Sports Drink (RTD)</t>
        </is>
      </c>
      <c r="D40" s="8" t="inlineStr">
        <is>
          <t>2) Electrolyte beverage (RTD)</t>
        </is>
      </c>
      <c r="E40" s="8" t="inlineStr">
        <is>
          <t>Canadian brand; strong domestic hockey/sports tie-ins</t>
        </is>
      </c>
    </row>
    <row r="41" ht="28" customHeight="1">
      <c r="A41" s="11" t="inlineStr">
        <is>
          <t>Medium</t>
        </is>
      </c>
      <c r="B41" s="8" t="inlineStr">
        <is>
          <t>Gatorade</t>
        </is>
      </c>
      <c r="C41" s="8" t="inlineStr">
        <is>
          <t>Gatorlyte Rapid Rehydration</t>
        </is>
      </c>
      <c r="D41" s="8" t="inlineStr">
        <is>
          <t>2) Electrolyte beverage (RTD)</t>
        </is>
      </c>
      <c r="E41" s="8" t="inlineStr">
        <is>
          <t>Premium rapid-rehydration line</t>
        </is>
      </c>
    </row>
    <row r="42" ht="28" customHeight="1">
      <c r="A42" s="11" t="inlineStr">
        <is>
          <t>Medium</t>
        </is>
      </c>
      <c r="B42" s="8" t="inlineStr">
        <is>
          <t>Culture Pop</t>
        </is>
      </c>
      <c r="C42" s="8" t="inlineStr">
        <is>
          <t>Culture Pop Probiotic Soda</t>
        </is>
      </c>
      <c r="D42" s="8" t="inlineStr">
        <is>
          <t>3) Functional beverage (still/sparkling)</t>
        </is>
      </c>
      <c r="E42" s="8" t="inlineStr">
        <is>
          <t>Emerging; differentiates on real-juice/no-stevia</t>
        </is>
      </c>
    </row>
    <row r="43" ht="28" customHeight="1">
      <c r="A43" s="11" t="inlineStr">
        <is>
          <t>Medium</t>
        </is>
      </c>
      <c r="B43" s="8" t="inlineStr">
        <is>
          <t>Health-Ade</t>
        </is>
      </c>
      <c r="C43" s="8" t="inlineStr">
        <is>
          <t>Health-Ade Kombucha</t>
        </is>
      </c>
      <c r="D43" s="8" t="inlineStr">
        <is>
          <t>3) Functional beverage (still/sparkling)</t>
        </is>
      </c>
      <c r="E43" s="8" t="inlineStr">
        <is>
          <t>Premium kombucha; strong natural channel</t>
        </is>
      </c>
    </row>
    <row r="44" ht="28" customHeight="1">
      <c r="A44" s="11" t="inlineStr">
        <is>
          <t>Medium</t>
        </is>
      </c>
      <c r="B44" s="8" t="inlineStr">
        <is>
          <t>Remedy</t>
        </is>
      </c>
      <c r="C44" s="8" t="inlineStr">
        <is>
          <t>Remedy Kombucha</t>
        </is>
      </c>
      <c r="D44" s="8" t="inlineStr">
        <is>
          <t>3) Functional beverage (still/sparkling)</t>
        </is>
      </c>
      <c r="E44" s="8" t="inlineStr">
        <is>
          <t>Sugar-free kombucha differentiator</t>
        </is>
      </c>
    </row>
    <row r="45" ht="28" customHeight="1">
      <c r="A45" s="11" t="inlineStr">
        <is>
          <t>Medium</t>
        </is>
      </c>
      <c r="B45" s="8" t="inlineStr">
        <is>
          <t>Recess</t>
        </is>
      </c>
      <c r="C45" s="8" t="inlineStr">
        <is>
          <t>Recess Mood</t>
        </is>
      </c>
      <c r="D45" s="8" t="inlineStr">
        <is>
          <t>3) Functional beverage (still/sparkling)</t>
        </is>
      </c>
      <c r="E45" s="8" t="inlineStr">
        <is>
          <t>Leading calming/adaptogen sparkling brand</t>
        </is>
      </c>
    </row>
    <row r="46" ht="28" customHeight="1">
      <c r="A46" s="11" t="inlineStr">
        <is>
          <t>Medium</t>
        </is>
      </c>
      <c r="B46" s="8" t="inlineStr">
        <is>
          <t>Protein2o</t>
        </is>
      </c>
      <c r="C46" s="8" t="inlineStr">
        <is>
          <t>Protein2o Protein Infused Water</t>
        </is>
      </c>
      <c r="D46" s="8" t="inlineStr">
        <is>
          <t>3) Functional beverage (still/sparkling)</t>
        </is>
      </c>
      <c r="E46" s="8" t="inlineStr">
        <is>
          <t>Leading protein-water; fitness shoppers</t>
        </is>
      </c>
    </row>
    <row r="47" ht="28" customHeight="1">
      <c r="A47" s="11" t="inlineStr">
        <is>
          <t>Medium</t>
        </is>
      </c>
      <c r="B47" s="8" t="inlineStr">
        <is>
          <t>Bai</t>
        </is>
      </c>
      <c r="C47" s="8" t="inlineStr">
        <is>
          <t>Bai Antioxidant Infusion</t>
        </is>
      </c>
      <c r="D47" s="8" t="inlineStr">
        <is>
          <t>3) Functional beverage (still/sparkling)</t>
        </is>
      </c>
      <c r="E47" s="8" t="inlineStr">
        <is>
          <t>Established low-sugar functional flavoured water</t>
        </is>
      </c>
    </row>
    <row r="48" ht="28" customHeight="1">
      <c r="A48" s="11" t="inlineStr">
        <is>
          <t>Medium</t>
        </is>
      </c>
      <c r="B48" s="8" t="inlineStr">
        <is>
          <t>Hint</t>
        </is>
      </c>
      <c r="C48" s="8" t="inlineStr">
        <is>
          <t>Hint Water (fruit-infused)</t>
        </is>
      </c>
      <c r="D48" s="8" t="inlineStr">
        <is>
          <t>3) Functional beverage (still/sparkling)</t>
        </is>
      </c>
      <c r="E48" s="8" t="inlineStr">
        <is>
          <t>Leading unsweetened flavoured water</t>
        </is>
      </c>
    </row>
    <row r="49" ht="28" customHeight="1">
      <c r="A49" s="11" t="inlineStr">
        <is>
          <t>Medium</t>
        </is>
      </c>
      <c r="B49" s="8" t="inlineStr">
        <is>
          <t>Waterloo</t>
        </is>
      </c>
      <c r="C49" s="8" t="inlineStr">
        <is>
          <t>Waterloo Sparkling Water</t>
        </is>
      </c>
      <c r="D49" s="8" t="inlineStr">
        <is>
          <t>5) Sparkling water &amp; soda</t>
        </is>
      </c>
      <c r="E49" s="8" t="inlineStr">
        <is>
          <t>Flavour-forward challenger; growing</t>
        </is>
      </c>
    </row>
    <row r="50" ht="28" customHeight="1">
      <c r="A50" s="11" t="inlineStr">
        <is>
          <t>Medium</t>
        </is>
      </c>
      <c r="B50" s="8" t="inlineStr">
        <is>
          <t>San Pellegrino</t>
        </is>
      </c>
      <c r="C50" s="8" t="inlineStr">
        <is>
          <t>Sanpellegrino Aranciata (Italian Sparkling Drink)</t>
        </is>
      </c>
      <c r="D50" s="8" t="inlineStr">
        <is>
          <t>5) Sparkling water &amp; soda</t>
        </is>
      </c>
      <c r="E50" s="8" t="inlineStr">
        <is>
          <t>Premium imported fruit soda; recognizable</t>
        </is>
      </c>
    </row>
    <row r="51" ht="28" customHeight="1">
      <c r="A51" s="11" t="inlineStr">
        <is>
          <t>Medium</t>
        </is>
      </c>
      <c r="B51" s="8" t="inlineStr">
        <is>
          <t>Topo Chico</t>
        </is>
      </c>
      <c r="C51" s="8" t="inlineStr">
        <is>
          <t>Topo Chico Mineral Water</t>
        </is>
      </c>
      <c r="D51" s="8" t="inlineStr">
        <is>
          <t>5) Sparkling water &amp; soda</t>
        </is>
      </c>
      <c r="E51" s="8" t="inlineStr">
        <is>
          <t>Cult mineral water; cocktail mixer crossover</t>
        </is>
      </c>
    </row>
    <row r="52" ht="28" customHeight="1">
      <c r="A52" s="11" t="inlineStr">
        <is>
          <t>Medium</t>
        </is>
      </c>
      <c r="B52" s="8" t="inlineStr">
        <is>
          <t>Polar</t>
        </is>
      </c>
      <c r="C52" s="8" t="inlineStr">
        <is>
          <t>Polar Seltzer</t>
        </is>
      </c>
      <c r="D52" s="8" t="inlineStr">
        <is>
          <t>5) Sparkling water &amp; soda</t>
        </is>
      </c>
      <c r="E52" s="8" t="inlineStr">
        <is>
          <t>Value seltzer with broad flavour range</t>
        </is>
      </c>
    </row>
    <row r="53" ht="28" customHeight="1">
      <c r="A53" s="11" t="inlineStr">
        <is>
          <t>Medium</t>
        </is>
      </c>
      <c r="B53" s="8" t="inlineStr">
        <is>
          <t>AHA</t>
        </is>
      </c>
      <c r="C53" s="8" t="inlineStr">
        <is>
          <t>AHA Sparkling Water</t>
        </is>
      </c>
      <c r="D53" s="8" t="inlineStr">
        <is>
          <t>5) Sparkling water &amp; soda</t>
        </is>
      </c>
      <c r="E53" s="8" t="inlineStr">
        <is>
          <t>Coca-Cola seltzer entry; broad distribution</t>
        </is>
      </c>
    </row>
    <row r="54" ht="28" customHeight="1">
      <c r="A54" s="11" t="inlineStr">
        <is>
          <t>Medium</t>
        </is>
      </c>
      <c r="B54" s="8" t="inlineStr">
        <is>
          <t>Montellier</t>
        </is>
      </c>
      <c r="C54" s="8" t="inlineStr">
        <is>
          <t>Montellier Carbonated Natural Spring Water</t>
        </is>
      </c>
      <c r="D54" s="8" t="inlineStr">
        <is>
          <t>5) Sparkling water &amp; soda</t>
        </is>
      </c>
      <c r="E54" s="8" t="inlineStr">
        <is>
          <t>Established Canadian sparkling brand (domestic strength)</t>
        </is>
      </c>
    </row>
    <row r="55" ht="28" customHeight="1">
      <c r="A55" s="11" t="inlineStr">
        <is>
          <t>Medium</t>
        </is>
      </c>
      <c r="B55" s="8" t="inlineStr">
        <is>
          <t>BUBBL'R</t>
        </is>
      </c>
      <c r="C55" s="8" t="inlineStr">
        <is>
          <t>BUBBL'R Antioxidant Sparkling Water</t>
        </is>
      </c>
      <c r="D55" s="8" t="inlineStr">
        <is>
          <t>1) Sparkling electrolyte / functional sparkling</t>
        </is>
      </c>
      <c r="E55" s="8" t="inlineStr">
        <is>
          <t>Mid-caffeine functional sparkling; growing</t>
        </is>
      </c>
    </row>
    <row r="56" ht="28" customHeight="1">
      <c r="A56" s="11" t="inlineStr">
        <is>
          <t>Medium</t>
        </is>
      </c>
      <c r="B56" s="8" t="inlineStr">
        <is>
          <t>Phocus</t>
        </is>
      </c>
      <c r="C56" s="8" t="inlineStr">
        <is>
          <t>Phocus Caffeinated Sparkling Water</t>
        </is>
      </c>
      <c r="D56" s="8" t="inlineStr">
        <is>
          <t>1) Sparkling electrolyte / functional sparkling</t>
        </is>
      </c>
      <c r="E56" s="8" t="inlineStr">
        <is>
          <t>Niche caffeinated sparkling; focus positioning</t>
        </is>
      </c>
    </row>
    <row r="57" ht="28" customHeight="1">
      <c r="A57" s="17" t="inlineStr">
        <is>
          <t>Low</t>
        </is>
      </c>
      <c r="B57" s="8" t="inlineStr">
        <is>
          <t>NOS</t>
        </is>
      </c>
      <c r="C57" s="8" t="inlineStr">
        <is>
          <t>NOS Energy Drink</t>
        </is>
      </c>
      <c r="D57" s="8" t="inlineStr">
        <is>
          <t>4) Caffeine &amp; energy beverage</t>
        </is>
      </c>
      <c r="E57" s="8" t="inlineStr">
        <is>
          <t>Niche legacy brand, limited shelf share</t>
        </is>
      </c>
    </row>
    <row r="58" ht="28" customHeight="1">
      <c r="A58" s="17" t="inlineStr">
        <is>
          <t>Low</t>
        </is>
      </c>
      <c r="B58" s="8" t="inlineStr">
        <is>
          <t>Roar Organic</t>
        </is>
      </c>
      <c r="C58" s="8" t="inlineStr">
        <is>
          <t>Roar Organic Electrolyte Infusions</t>
        </is>
      </c>
      <c r="D58" s="8" t="inlineStr">
        <is>
          <t>2) Electrolyte beverage (RTD)</t>
        </is>
      </c>
      <c r="E58" s="8" t="inlineStr">
        <is>
          <t>Emerging organic niche; modest shelf share</t>
        </is>
      </c>
    </row>
    <row r="59" ht="28" customHeight="1">
      <c r="A59" s="17" t="inlineStr">
        <is>
          <t>Low</t>
        </is>
      </c>
      <c r="B59" s="8" t="inlineStr">
        <is>
          <t>CWENCH</t>
        </is>
      </c>
      <c r="C59" s="8" t="inlineStr">
        <is>
          <t>CWENCH Hydration</t>
        </is>
      </c>
      <c r="D59" s="8" t="inlineStr">
        <is>
          <t>2) Electrolyte beverage (RTD)</t>
        </is>
      </c>
      <c r="E59" s="8" t="inlineStr">
        <is>
          <t>New Canadian entrant; limited reviews/footprint</t>
        </is>
      </c>
    </row>
    <row r="60" ht="28" customHeight="1">
      <c r="A60" s="17" t="inlineStr">
        <is>
          <t>Low</t>
        </is>
      </c>
      <c r="B60" s="8" t="inlineStr">
        <is>
          <t>Mayawell</t>
        </is>
      </c>
      <c r="C60" s="8" t="inlineStr">
        <is>
          <t>Mayawell Prebiotic Soda</t>
        </is>
      </c>
      <c r="D60" s="8" t="inlineStr">
        <is>
          <t>3) Functional beverage (still/sparkling)</t>
        </is>
      </c>
      <c r="E60" s="8" t="inlineStr">
        <is>
          <t>Small emerging brand; limited footprint</t>
        </is>
      </c>
    </row>
    <row r="61" ht="28" customHeight="1">
      <c r="A61" s="17" t="inlineStr">
        <is>
          <t>Low</t>
        </is>
      </c>
      <c r="B61" s="8" t="inlineStr">
        <is>
          <t>De La Calle</t>
        </is>
      </c>
      <c r="C61" s="8" t="inlineStr">
        <is>
          <t>De La Calle Tepache</t>
        </is>
      </c>
      <c r="D61" s="8" t="inlineStr">
        <is>
          <t>3) Functional beverage (still/sparkling)</t>
        </is>
      </c>
      <c r="E61" s="8" t="inlineStr">
        <is>
          <t>Niche fermented-soda entrant</t>
        </is>
      </c>
    </row>
    <row r="62" ht="28" customHeight="1">
      <c r="A62" s="17" t="inlineStr">
        <is>
          <t>Low</t>
        </is>
      </c>
      <c r="B62" s="8" t="inlineStr">
        <is>
          <t>Eska</t>
        </is>
      </c>
      <c r="C62" s="8" t="inlineStr">
        <is>
          <t>Eska Sparkling Spring Water</t>
        </is>
      </c>
      <c r="D62" s="8" t="inlineStr">
        <is>
          <t>5) Sparkling water &amp; soda</t>
        </is>
      </c>
      <c r="E62" s="8" t="inlineStr">
        <is>
          <t>Canadian regional brand; modest reach</t>
        </is>
      </c>
    </row>
    <row r="63" ht="28" customHeight="1">
      <c r="A63" s="17" t="inlineStr">
        <is>
          <t>Low</t>
        </is>
      </c>
      <c r="B63" s="8" t="inlineStr">
        <is>
          <t>Aura Bora</t>
        </is>
      </c>
      <c r="C63" s="8" t="inlineStr">
        <is>
          <t>Aura Bora Herbal Sparkling Water</t>
        </is>
      </c>
      <c r="D63" s="8" t="inlineStr">
        <is>
          <t>1) Sparkling electrolyte / functional sparkling</t>
        </is>
      </c>
      <c r="E63" s="8" t="inlineStr">
        <is>
          <t>Emerging craft brand; small but loyal</t>
        </is>
      </c>
    </row>
    <row r="64" ht="28" customHeight="1">
      <c r="A64" s="17" t="inlineStr">
        <is>
          <t>Low</t>
        </is>
      </c>
      <c r="B64" s="8" t="inlineStr">
        <is>
          <t>Sound</t>
        </is>
      </c>
      <c r="C64" s="8" t="inlineStr">
        <is>
          <t>Sound Sparkling Water (Tea/Botanical)</t>
        </is>
      </c>
      <c r="D64" s="8" t="inlineStr">
        <is>
          <t>1) Sparkling electrolyte / functional sparkling</t>
        </is>
      </c>
      <c r="E64" s="8" t="inlineStr">
        <is>
          <t>Emerging unsweetened-botanical niche</t>
        </is>
      </c>
    </row>
    <row r="65" ht="28" customHeight="1">
      <c r="A65" s="17" t="inlineStr">
        <is>
          <t>Low</t>
        </is>
      </c>
      <c r="B65" s="8" t="inlineStr">
        <is>
          <t>Halo Sport</t>
        </is>
      </c>
      <c r="C65" s="8" t="inlineStr">
        <is>
          <t>Halo Sport Sparkling Electrolyte Water</t>
        </is>
      </c>
      <c r="D65" s="8" t="inlineStr">
        <is>
          <t>1) Sparkling electrolyte / functional sparkling</t>
        </is>
      </c>
      <c r="E65" s="8" t="inlineStr">
        <is>
          <t>Small emerging sparkling-electrolyte entrant</t>
        </is>
      </c>
    </row>
    <row r="66" ht="28" customHeight="1">
      <c r="A66" s="17" t="inlineStr">
        <is>
          <t>Low</t>
        </is>
      </c>
      <c r="B66" s="8" t="inlineStr">
        <is>
          <t>Gorgie</t>
        </is>
      </c>
      <c r="C66" s="8" t="inlineStr">
        <is>
          <t>Gorgie Energy Sparkling Water</t>
        </is>
      </c>
      <c r="D66" s="8" t="inlineStr">
        <is>
          <t>1) Sparkling electrolyte / functional sparkling</t>
        </is>
      </c>
      <c r="E66" s="8" t="inlineStr">
        <is>
          <t>New social-driven entrant; small footprint</t>
        </is>
      </c>
    </row>
    <row r="67" ht="28" customHeight="1">
      <c r="A67" s="17" t="inlineStr">
        <is>
          <t>Low</t>
        </is>
      </c>
      <c r="B67" s="8" t="inlineStr">
        <is>
          <t>United Sodas</t>
        </is>
      </c>
      <c r="C67" s="8" t="inlineStr">
        <is>
          <t>United Sodas of America</t>
        </is>
      </c>
      <c r="D67" s="8" t="inlineStr">
        <is>
          <t>1) Sparkling electrolyte / functional sparkling</t>
        </is>
      </c>
      <c r="E67" s="8" t="inlineStr">
        <is>
          <t>Niche premium soda; design-led</t>
        </is>
      </c>
    </row>
    <row r="69">
      <c r="A69" s="14" t="inlineStr">
        <is>
          <t>ESTIMATE ONLY. Bands inferred from brand prominence and category position because live review counts and bestseller ranks were not accessible. Re-derive from real # Ratings + BSR once captured. Not a unit count.</t>
        </is>
      </c>
    </row>
  </sheetData>
  <autoFilter ref="A1:E67"/>
  <mergeCells count="1">
    <mergeCell ref="A69:E6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42" customHeight="1">
      <c r="A1" s="6" t="inlineStr">
        <is>
          <t>Brand</t>
        </is>
      </c>
      <c r="B1" s="6" t="inlineStr">
        <is>
          <t>Cola/Root Beer</t>
        </is>
      </c>
      <c r="C1" s="6" t="inlineStr">
        <is>
          <t>Citrus (Lemon/Lime)</t>
        </is>
      </c>
      <c r="D1" s="6" t="inlineStr">
        <is>
          <t>Orange/Mango</t>
        </is>
      </c>
      <c r="E1" s="6" t="inlineStr">
        <is>
          <t>Berry/Raspberry</t>
        </is>
      </c>
      <c r="F1" s="6" t="inlineStr">
        <is>
          <t>Cherry</t>
        </is>
      </c>
      <c r="G1" s="6" t="inlineStr">
        <is>
          <t>Grape</t>
        </is>
      </c>
      <c r="H1" s="6" t="inlineStr">
        <is>
          <t>Watermelon</t>
        </is>
      </c>
      <c r="I1" s="6" t="inlineStr">
        <is>
          <t>Peach</t>
        </is>
      </c>
      <c r="J1" s="6" t="inlineStr">
        <is>
          <t>Tropical/Pineapple</t>
        </is>
      </c>
      <c r="K1" s="6" t="inlineStr">
        <is>
          <t>Grapefruit</t>
        </is>
      </c>
      <c r="L1" s="6" t="inlineStr">
        <is>
          <t>Coconut</t>
        </is>
      </c>
      <c r="M1" s="6" t="inlineStr">
        <is>
          <t>Ginger</t>
        </is>
      </c>
      <c r="N1" s="6" t="inlineStr">
        <is>
          <t>Herbal/Botanical</t>
        </is>
      </c>
      <c r="O1" s="6" t="inlineStr">
        <is>
          <t>Original/Unflavoured</t>
        </is>
      </c>
    </row>
    <row r="2" ht="20" customHeight="1">
      <c r="A2" s="18" t="inlineStr">
        <is>
          <t>AHA</t>
        </is>
      </c>
      <c r="B2" s="19" t="inlineStr"/>
      <c r="C2" s="20" t="inlineStr">
        <is>
          <t>X</t>
        </is>
      </c>
      <c r="D2" s="19" t="inlineStr"/>
      <c r="E2" s="19" t="inlineStr"/>
      <c r="F2" s="20" t="inlineStr">
        <is>
          <t>X</t>
        </is>
      </c>
      <c r="G2" s="19" t="inlineStr"/>
      <c r="H2" s="20" t="inlineStr">
        <is>
          <t>X</t>
        </is>
      </c>
      <c r="I2" s="20" t="inlineStr">
        <is>
          <t>X</t>
        </is>
      </c>
      <c r="J2" s="19" t="inlineStr"/>
      <c r="K2" s="19" t="inlineStr"/>
      <c r="L2" s="19" t="inlineStr"/>
      <c r="M2" s="19" t="inlineStr"/>
      <c r="N2" s="19" t="inlineStr"/>
      <c r="O2" s="19" t="inlineStr"/>
    </row>
    <row r="3" ht="20" customHeight="1">
      <c r="A3" s="18" t="inlineStr">
        <is>
          <t>Alani Nu</t>
        </is>
      </c>
      <c r="B3" s="19" t="inlineStr"/>
      <c r="C3" s="19" t="inlineStr"/>
      <c r="D3" s="19" t="inlineStr"/>
      <c r="E3" s="20" t="inlineStr">
        <is>
          <t>X</t>
        </is>
      </c>
      <c r="F3" s="19" t="inlineStr"/>
      <c r="G3" s="19" t="inlineStr"/>
      <c r="H3" s="20" t="inlineStr">
        <is>
          <t>X</t>
        </is>
      </c>
      <c r="I3" s="19" t="inlineStr"/>
      <c r="J3" s="19" t="inlineStr"/>
      <c r="K3" s="19" t="inlineStr"/>
      <c r="L3" s="19" t="inlineStr"/>
      <c r="M3" s="19" t="inlineStr"/>
      <c r="N3" s="19" t="inlineStr"/>
      <c r="O3" s="19" t="inlineStr"/>
    </row>
    <row r="4" ht="20" customHeight="1">
      <c r="A4" s="18" t="inlineStr">
        <is>
          <t>Aura Bora</t>
        </is>
      </c>
      <c r="B4" s="19" t="inlineStr"/>
      <c r="C4" s="20" t="inlineStr">
        <is>
          <t>X</t>
        </is>
      </c>
      <c r="D4" s="19" t="inlineStr"/>
      <c r="E4" s="20" t="inlineStr">
        <is>
          <t>X</t>
        </is>
      </c>
      <c r="F4" s="19" t="inlineStr"/>
      <c r="G4" s="19" t="inlineStr"/>
      <c r="H4" s="20" t="inlineStr">
        <is>
          <t>X</t>
        </is>
      </c>
      <c r="I4" s="19" t="inlineStr"/>
      <c r="J4" s="19" t="inlineStr"/>
      <c r="K4" s="19" t="inlineStr"/>
      <c r="L4" s="20" t="inlineStr">
        <is>
          <t>X</t>
        </is>
      </c>
      <c r="M4" s="19" t="inlineStr"/>
      <c r="N4" s="20" t="inlineStr">
        <is>
          <t>X</t>
        </is>
      </c>
      <c r="O4" s="19" t="inlineStr"/>
    </row>
    <row r="5" ht="20" customHeight="1">
      <c r="A5" s="18" t="inlineStr">
        <is>
          <t>BODYARMOR</t>
        </is>
      </c>
      <c r="B5" s="19" t="inlineStr"/>
      <c r="C5" s="19" t="inlineStr"/>
      <c r="D5" s="20" t="inlineStr">
        <is>
          <t>X</t>
        </is>
      </c>
      <c r="E5" s="20" t="inlineStr">
        <is>
          <t>X</t>
        </is>
      </c>
      <c r="F5" s="19" t="inlineStr"/>
      <c r="G5" s="19" t="inlineStr"/>
      <c r="H5" s="19" t="inlineStr"/>
      <c r="I5" s="20" t="inlineStr">
        <is>
          <t>X</t>
        </is>
      </c>
      <c r="J5" s="20" t="inlineStr">
        <is>
          <t>X</t>
        </is>
      </c>
      <c r="K5" s="19" t="inlineStr"/>
      <c r="L5" s="20" t="inlineStr">
        <is>
          <t>X</t>
        </is>
      </c>
      <c r="M5" s="19" t="inlineStr"/>
      <c r="N5" s="19" t="inlineStr"/>
      <c r="O5" s="19" t="inlineStr"/>
    </row>
    <row r="6" ht="20" customHeight="1">
      <c r="A6" s="18" t="inlineStr">
        <is>
          <t>BUBBL'R</t>
        </is>
      </c>
      <c r="B6" s="19" t="inlineStr"/>
      <c r="C6" s="20" t="inlineStr">
        <is>
          <t>X</t>
        </is>
      </c>
      <c r="D6" s="19" t="inlineStr"/>
      <c r="E6" s="20" t="inlineStr">
        <is>
          <t>X</t>
        </is>
      </c>
      <c r="F6" s="19" t="inlineStr"/>
      <c r="G6" s="19" t="inlineStr"/>
      <c r="H6" s="19" t="inlineStr"/>
      <c r="I6" s="19" t="inlineStr"/>
      <c r="J6" s="19" t="inlineStr"/>
      <c r="K6" s="19" t="inlineStr"/>
      <c r="L6" s="19" t="inlineStr"/>
      <c r="M6" s="19" t="inlineStr"/>
      <c r="N6" s="19" t="inlineStr"/>
      <c r="O6" s="19" t="inlineStr"/>
    </row>
    <row r="7" ht="20" customHeight="1">
      <c r="A7" s="18" t="inlineStr">
        <is>
          <t>Bai</t>
        </is>
      </c>
      <c r="B7" s="19" t="inlineStr"/>
      <c r="C7" s="19" t="inlineStr"/>
      <c r="D7" s="20" t="inlineStr">
        <is>
          <t>X</t>
        </is>
      </c>
      <c r="E7" s="20" t="inlineStr">
        <is>
          <t>X</t>
        </is>
      </c>
      <c r="F7" s="19" t="inlineStr"/>
      <c r="G7" s="19" t="inlineStr"/>
      <c r="H7" s="19" t="inlineStr"/>
      <c r="I7" s="19" t="inlineStr"/>
      <c r="J7" s="19" t="inlineStr"/>
      <c r="K7" s="19" t="inlineStr"/>
      <c r="L7" s="20" t="inlineStr">
        <is>
          <t>X</t>
        </is>
      </c>
      <c r="M7" s="19" t="inlineStr"/>
      <c r="N7" s="19" t="inlineStr"/>
      <c r="O7" s="19" t="inlineStr"/>
    </row>
    <row r="8" ht="20" customHeight="1">
      <c r="A8" s="18" t="inlineStr">
        <is>
          <t>Bang</t>
        </is>
      </c>
      <c r="B8" s="19" t="inlineStr"/>
      <c r="C8" s="19" t="inlineStr"/>
      <c r="D8" s="20" t="inlineStr">
        <is>
          <t>X</t>
        </is>
      </c>
      <c r="E8" s="20" t="inlineStr">
        <is>
          <t>X</t>
        </is>
      </c>
      <c r="F8" s="19" t="inlineStr"/>
      <c r="G8" s="19" t="inlineStr"/>
      <c r="H8" s="19" t="inlineStr"/>
      <c r="I8" s="20" t="inlineStr">
        <is>
          <t>X</t>
        </is>
      </c>
      <c r="J8" s="19" t="inlineStr"/>
      <c r="K8" s="19" t="inlineStr"/>
      <c r="L8" s="19" t="inlineStr"/>
      <c r="M8" s="19" t="inlineStr"/>
      <c r="N8" s="19" t="inlineStr"/>
      <c r="O8" s="19" t="inlineStr"/>
    </row>
    <row r="9" ht="20" customHeight="1">
      <c r="A9" s="18" t="inlineStr">
        <is>
          <t>BioSteel</t>
        </is>
      </c>
      <c r="B9" s="19" t="inlineStr"/>
      <c r="C9" s="19" t="inlineStr"/>
      <c r="D9" s="20" t="inlineStr">
        <is>
          <t>X</t>
        </is>
      </c>
      <c r="E9" s="20" t="inlineStr">
        <is>
          <t>X</t>
        </is>
      </c>
      <c r="F9" s="19" t="inlineStr"/>
      <c r="G9" s="19" t="inlineStr"/>
      <c r="H9" s="19" t="inlineStr"/>
      <c r="I9" s="20" t="inlineStr">
        <is>
          <t>X</t>
        </is>
      </c>
      <c r="J9" s="19" t="inlineStr"/>
      <c r="K9" s="19" t="inlineStr"/>
      <c r="L9" s="19" t="inlineStr"/>
      <c r="M9" s="19" t="inlineStr"/>
      <c r="N9" s="19" t="inlineStr"/>
      <c r="O9" s="19" t="inlineStr"/>
    </row>
    <row r="10" ht="20" customHeight="1">
      <c r="A10" s="18" t="inlineStr">
        <is>
          <t>C4</t>
        </is>
      </c>
      <c r="B10" s="19" t="inlineStr"/>
      <c r="C10" s="19" t="inlineStr"/>
      <c r="D10" s="20" t="inlineStr">
        <is>
          <t>X</t>
        </is>
      </c>
      <c r="E10" s="20" t="inlineStr">
        <is>
          <t>X</t>
        </is>
      </c>
      <c r="F10" s="19" t="inlineStr"/>
      <c r="G10" s="19" t="inlineStr"/>
      <c r="H10" s="20" t="inlineStr">
        <is>
          <t>X</t>
        </is>
      </c>
      <c r="I10" s="19" t="inlineStr"/>
      <c r="J10" s="20" t="inlineStr">
        <is>
          <t>X</t>
        </is>
      </c>
      <c r="K10" s="19" t="inlineStr"/>
      <c r="L10" s="19" t="inlineStr"/>
      <c r="M10" s="19" t="inlineStr"/>
      <c r="N10" s="19" t="inlineStr"/>
      <c r="O10" s="19" t="inlineStr"/>
    </row>
    <row r="11" ht="20" customHeight="1">
      <c r="A11" s="18" t="inlineStr">
        <is>
          <t>CWENCH</t>
        </is>
      </c>
      <c r="B11" s="19" t="inlineStr"/>
      <c r="C11" s="19" t="inlineStr"/>
      <c r="D11" s="19" t="inlineStr"/>
      <c r="E11" s="20" t="inlineStr">
        <is>
          <t>X</t>
        </is>
      </c>
      <c r="F11" s="19" t="inlineStr"/>
      <c r="G11" s="19" t="inlineStr"/>
      <c r="H11" s="20" t="inlineStr">
        <is>
          <t>X</t>
        </is>
      </c>
      <c r="I11" s="20" t="inlineStr">
        <is>
          <t>X</t>
        </is>
      </c>
      <c r="J11" s="19" t="inlineStr"/>
      <c r="K11" s="19" t="inlineStr"/>
      <c r="L11" s="19" t="inlineStr"/>
      <c r="M11" s="19" t="inlineStr"/>
      <c r="N11" s="19" t="inlineStr"/>
      <c r="O11" s="19" t="inlineStr"/>
    </row>
    <row r="12" ht="20" customHeight="1">
      <c r="A12" s="18" t="inlineStr">
        <is>
          <t>Celsius</t>
        </is>
      </c>
      <c r="B12" s="20" t="inlineStr">
        <is>
          <t>X</t>
        </is>
      </c>
      <c r="C12" s="19" t="inlineStr"/>
      <c r="D12" s="20" t="inlineStr">
        <is>
          <t>X</t>
        </is>
      </c>
      <c r="E12" s="20" t="inlineStr">
        <is>
          <t>X</t>
        </is>
      </c>
      <c r="F12" s="19" t="inlineStr"/>
      <c r="G12" s="19" t="inlineStr"/>
      <c r="H12" s="19" t="inlineStr"/>
      <c r="I12" s="19" t="inlineStr"/>
      <c r="J12" s="20" t="inlineStr">
        <is>
          <t>X</t>
        </is>
      </c>
      <c r="K12" s="19" t="inlineStr"/>
      <c r="L12" s="19" t="inlineStr"/>
      <c r="M12" s="19" t="inlineStr"/>
      <c r="N12" s="19" t="inlineStr"/>
      <c r="O12" s="19" t="inlineStr"/>
    </row>
    <row r="13" ht="20" customHeight="1">
      <c r="A13" s="18" t="inlineStr">
        <is>
          <t>Coca-Cola</t>
        </is>
      </c>
      <c r="B13" s="19" t="inlineStr"/>
      <c r="C13" s="19" t="inlineStr"/>
      <c r="D13" s="19" t="inlineStr"/>
      <c r="E13" s="19" t="inlineStr"/>
      <c r="F13" s="19" t="inlineStr"/>
      <c r="G13" s="19" t="inlineStr"/>
      <c r="H13" s="19" t="inlineStr"/>
      <c r="I13" s="19" t="inlineStr"/>
      <c r="J13" s="19" t="inlineStr"/>
      <c r="K13" s="19" t="inlineStr"/>
      <c r="L13" s="19" t="inlineStr"/>
      <c r="M13" s="19" t="inlineStr"/>
      <c r="N13" s="19" t="inlineStr"/>
      <c r="O13" s="20" t="inlineStr">
        <is>
          <t>X</t>
        </is>
      </c>
    </row>
    <row r="14" ht="20" customHeight="1">
      <c r="A14" s="18" t="inlineStr">
        <is>
          <t>Culture Pop</t>
        </is>
      </c>
      <c r="B14" s="19" t="inlineStr"/>
      <c r="C14" s="20" t="inlineStr">
        <is>
          <t>X</t>
        </is>
      </c>
      <c r="D14" s="20" t="inlineStr">
        <is>
          <t>X</t>
        </is>
      </c>
      <c r="E14" s="20" t="inlineStr">
        <is>
          <t>X</t>
        </is>
      </c>
      <c r="F14" s="20" t="inlineStr">
        <is>
          <t>X</t>
        </is>
      </c>
      <c r="G14" s="19" t="inlineStr"/>
      <c r="H14" s="20" t="inlineStr">
        <is>
          <t>X</t>
        </is>
      </c>
      <c r="I14" s="19" t="inlineStr"/>
      <c r="J14" s="19" t="inlineStr"/>
      <c r="K14" s="19" t="inlineStr"/>
      <c r="L14" s="19" t="inlineStr"/>
      <c r="M14" s="20" t="inlineStr">
        <is>
          <t>X</t>
        </is>
      </c>
      <c r="N14" s="19" t="inlineStr"/>
      <c r="O14" s="19" t="inlineStr"/>
    </row>
    <row r="15" ht="20" customHeight="1">
      <c r="A15" s="18" t="inlineStr">
        <is>
          <t>De La Calle</t>
        </is>
      </c>
      <c r="B15" s="19" t="inlineStr"/>
      <c r="C15" s="19" t="inlineStr"/>
      <c r="D15" s="20" t="inlineStr">
        <is>
          <t>X</t>
        </is>
      </c>
      <c r="E15" s="19" t="inlineStr"/>
      <c r="F15" s="19" t="inlineStr"/>
      <c r="G15" s="19" t="inlineStr"/>
      <c r="H15" s="19" t="inlineStr"/>
      <c r="I15" s="19" t="inlineStr"/>
      <c r="J15" s="20" t="inlineStr">
        <is>
          <t>X</t>
        </is>
      </c>
      <c r="K15" s="19" t="inlineStr"/>
      <c r="L15" s="19" t="inlineStr"/>
      <c r="M15" s="19" t="inlineStr"/>
      <c r="N15" s="19" t="inlineStr"/>
      <c r="O15" s="20" t="inlineStr">
        <is>
          <t>X</t>
        </is>
      </c>
    </row>
    <row r="16" ht="20" customHeight="1">
      <c r="A16" s="18" t="inlineStr">
        <is>
          <t>Eska</t>
        </is>
      </c>
      <c r="B16" s="19" t="inlineStr"/>
      <c r="C16" s="20" t="inlineStr">
        <is>
          <t>X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9" t="inlineStr"/>
      <c r="L16" s="19" t="inlineStr"/>
      <c r="M16" s="19" t="inlineStr"/>
      <c r="N16" s="19" t="inlineStr"/>
      <c r="O16" s="20" t="inlineStr">
        <is>
          <t>X</t>
        </is>
      </c>
    </row>
    <row r="17" ht="20" customHeight="1">
      <c r="A17" s="18" t="inlineStr">
        <is>
          <t>GT's</t>
        </is>
      </c>
      <c r="B17" s="19" t="inlineStr"/>
      <c r="C17" s="20" t="inlineStr">
        <is>
          <t>X</t>
        </is>
      </c>
      <c r="D17" s="19" t="inlineStr"/>
      <c r="E17" s="20" t="inlineStr">
        <is>
          <t>X</t>
        </is>
      </c>
      <c r="F17" s="19" t="inlineStr"/>
      <c r="G17" s="19" t="inlineStr"/>
      <c r="H17" s="19" t="inlineStr"/>
      <c r="I17" s="19" t="inlineStr"/>
      <c r="J17" s="19" t="inlineStr"/>
      <c r="K17" s="19" t="inlineStr"/>
      <c r="L17" s="19" t="inlineStr"/>
      <c r="M17" s="20" t="inlineStr">
        <is>
          <t>X</t>
        </is>
      </c>
      <c r="N17" s="19" t="inlineStr"/>
      <c r="O17" s="19" t="inlineStr"/>
    </row>
    <row r="18" ht="20" customHeight="1">
      <c r="A18" s="18" t="inlineStr">
        <is>
          <t>GURU</t>
        </is>
      </c>
      <c r="B18" s="19" t="inlineStr"/>
      <c r="C18" s="19" t="inlineStr"/>
      <c r="D18" s="19" t="inlineStr"/>
      <c r="E18" s="19" t="inlineStr"/>
      <c r="F18" s="19" t="inlineStr"/>
      <c r="G18" s="19" t="inlineStr"/>
      <c r="H18" s="19" t="inlineStr"/>
      <c r="I18" s="19" t="inlineStr"/>
      <c r="J18" s="20" t="inlineStr">
        <is>
          <t>X</t>
        </is>
      </c>
      <c r="K18" s="19" t="inlineStr"/>
      <c r="L18" s="19" t="inlineStr"/>
      <c r="M18" s="19" t="inlineStr"/>
      <c r="N18" s="19" t="inlineStr"/>
      <c r="O18" s="20" t="inlineStr">
        <is>
          <t>X</t>
        </is>
      </c>
    </row>
    <row r="19" ht="20" customHeight="1">
      <c r="A19" s="18" t="inlineStr">
        <is>
          <t>Gatorade</t>
        </is>
      </c>
      <c r="B19" s="19" t="inlineStr"/>
      <c r="C19" s="20" t="inlineStr">
        <is>
          <t>X</t>
        </is>
      </c>
      <c r="D19" s="20" t="inlineStr">
        <is>
          <t>X</t>
        </is>
      </c>
      <c r="E19" s="20" t="inlineStr">
        <is>
          <t>X</t>
        </is>
      </c>
      <c r="F19" s="20" t="inlineStr">
        <is>
          <t>X</t>
        </is>
      </c>
      <c r="G19" s="19" t="inlineStr"/>
      <c r="H19" s="19" t="inlineStr"/>
      <c r="I19" s="19" t="inlineStr"/>
      <c r="J19" s="19" t="inlineStr"/>
      <c r="K19" s="19" t="inlineStr"/>
      <c r="L19" s="19" t="inlineStr"/>
      <c r="M19" s="19" t="inlineStr"/>
      <c r="N19" s="19" t="inlineStr"/>
      <c r="O19" s="19" t="inlineStr"/>
    </row>
    <row r="20" ht="20" customHeight="1">
      <c r="A20" s="18" t="inlineStr">
        <is>
          <t>Gorgie</t>
        </is>
      </c>
      <c r="B20" s="19" t="inlineStr"/>
      <c r="C20" s="20" t="inlineStr">
        <is>
          <t>X</t>
        </is>
      </c>
      <c r="D20" s="19" t="inlineStr"/>
      <c r="E20" s="20" t="inlineStr">
        <is>
          <t>X</t>
        </is>
      </c>
      <c r="F20" s="20" t="inlineStr">
        <is>
          <t>X</t>
        </is>
      </c>
      <c r="G20" s="19" t="inlineStr"/>
      <c r="H20" s="20" t="inlineStr">
        <is>
          <t>X</t>
        </is>
      </c>
      <c r="I20" s="19" t="inlineStr"/>
      <c r="J20" s="20" t="inlineStr">
        <is>
          <t>X</t>
        </is>
      </c>
      <c r="K20" s="19" t="inlineStr"/>
      <c r="L20" s="19" t="inlineStr"/>
      <c r="M20" s="19" t="inlineStr"/>
      <c r="N20" s="19" t="inlineStr"/>
      <c r="O20" s="19" t="inlineStr"/>
    </row>
    <row r="21" ht="20" customHeight="1">
      <c r="A21" s="18" t="inlineStr">
        <is>
          <t>Guayakí</t>
        </is>
      </c>
      <c r="B21" s="19" t="inlineStr"/>
      <c r="C21" s="20" t="inlineStr">
        <is>
          <t>X</t>
        </is>
      </c>
      <c r="D21" s="20" t="inlineStr">
        <is>
          <t>X</t>
        </is>
      </c>
      <c r="E21" s="20" t="inlineStr">
        <is>
          <t>X</t>
        </is>
      </c>
      <c r="F21" s="19" t="inlineStr"/>
      <c r="G21" s="19" t="inlineStr"/>
      <c r="H21" s="19" t="inlineStr"/>
      <c r="I21" s="19" t="inlineStr"/>
      <c r="J21" s="19" t="inlineStr"/>
      <c r="K21" s="19" t="inlineStr"/>
      <c r="L21" s="19" t="inlineStr"/>
      <c r="M21" s="19" t="inlineStr"/>
      <c r="N21" s="20" t="inlineStr">
        <is>
          <t>X</t>
        </is>
      </c>
      <c r="O21" s="19" t="inlineStr"/>
    </row>
    <row r="22" ht="20" customHeight="1">
      <c r="A22" s="18" t="inlineStr">
        <is>
          <t>Halo Sport</t>
        </is>
      </c>
      <c r="B22" s="19" t="inlineStr"/>
      <c r="C22" s="20" t="inlineStr">
        <is>
          <t>X</t>
        </is>
      </c>
      <c r="D22" s="20" t="inlineStr">
        <is>
          <t>X</t>
        </is>
      </c>
      <c r="E22" s="20" t="inlineStr">
        <is>
          <t>X</t>
        </is>
      </c>
      <c r="F22" s="19" t="inlineStr"/>
      <c r="G22" s="20" t="inlineStr">
        <is>
          <t>X</t>
        </is>
      </c>
      <c r="H22" s="19" t="inlineStr"/>
      <c r="I22" s="19" t="inlineStr"/>
      <c r="J22" s="19" t="inlineStr"/>
      <c r="K22" s="20" t="inlineStr">
        <is>
          <t>X</t>
        </is>
      </c>
      <c r="L22" s="19" t="inlineStr"/>
      <c r="M22" s="19" t="inlineStr"/>
      <c r="N22" s="19" t="inlineStr"/>
      <c r="O22" s="19" t="inlineStr"/>
    </row>
    <row r="23" ht="20" customHeight="1">
      <c r="A23" s="18" t="inlineStr">
        <is>
          <t>Health-Ade</t>
        </is>
      </c>
      <c r="B23" s="19" t="inlineStr"/>
      <c r="C23" s="20" t="inlineStr">
        <is>
          <t>X</t>
        </is>
      </c>
      <c r="D23" s="19" t="inlineStr"/>
      <c r="E23" s="20" t="inlineStr">
        <is>
          <t>X</t>
        </is>
      </c>
      <c r="F23" s="19" t="inlineStr"/>
      <c r="G23" s="20" t="inlineStr">
        <is>
          <t>X</t>
        </is>
      </c>
      <c r="H23" s="19" t="inlineStr"/>
      <c r="I23" s="19" t="inlineStr"/>
      <c r="J23" s="19" t="inlineStr"/>
      <c r="K23" s="19" t="inlineStr"/>
      <c r="L23" s="19" t="inlineStr"/>
      <c r="M23" s="20" t="inlineStr">
        <is>
          <t>X</t>
        </is>
      </c>
      <c r="N23" s="20" t="inlineStr">
        <is>
          <t>X</t>
        </is>
      </c>
      <c r="O23" s="19" t="inlineStr"/>
    </row>
    <row r="24" ht="20" customHeight="1">
      <c r="A24" s="18" t="inlineStr">
        <is>
          <t>Hint</t>
        </is>
      </c>
      <c r="B24" s="19" t="inlineStr"/>
      <c r="C24" s="19" t="inlineStr"/>
      <c r="D24" s="19" t="inlineStr"/>
      <c r="E24" s="20" t="inlineStr">
        <is>
          <t>X</t>
        </is>
      </c>
      <c r="F24" s="20" t="inlineStr">
        <is>
          <t>X</t>
        </is>
      </c>
      <c r="G24" s="19" t="inlineStr"/>
      <c r="H24" s="20" t="inlineStr">
        <is>
          <t>X</t>
        </is>
      </c>
      <c r="I24" s="20" t="inlineStr">
        <is>
          <t>X</t>
        </is>
      </c>
      <c r="J24" s="20" t="inlineStr">
        <is>
          <t>X</t>
        </is>
      </c>
      <c r="K24" s="19" t="inlineStr"/>
      <c r="L24" s="19" t="inlineStr"/>
      <c r="M24" s="19" t="inlineStr"/>
      <c r="N24" s="19" t="inlineStr"/>
      <c r="O24" s="19" t="inlineStr"/>
    </row>
    <row r="25" ht="20" customHeight="1">
      <c r="A25" s="18" t="inlineStr">
        <is>
          <t>LaCroix</t>
        </is>
      </c>
      <c r="B25" s="19" t="inlineStr"/>
      <c r="C25" s="20" t="inlineStr">
        <is>
          <t>X</t>
        </is>
      </c>
      <c r="D25" s="19" t="inlineStr"/>
      <c r="E25" s="20" t="inlineStr">
        <is>
          <t>X</t>
        </is>
      </c>
      <c r="F25" s="19" t="inlineStr"/>
      <c r="G25" s="19" t="inlineStr"/>
      <c r="H25" s="19" t="inlineStr"/>
      <c r="I25" s="19" t="inlineStr"/>
      <c r="J25" s="20" t="inlineStr">
        <is>
          <t>X</t>
        </is>
      </c>
      <c r="K25" s="20" t="inlineStr">
        <is>
          <t>X</t>
        </is>
      </c>
      <c r="L25" s="20" t="inlineStr">
        <is>
          <t>X</t>
        </is>
      </c>
      <c r="M25" s="19" t="inlineStr"/>
      <c r="N25" s="19" t="inlineStr"/>
      <c r="O25" s="20" t="inlineStr">
        <is>
          <t>X</t>
        </is>
      </c>
    </row>
    <row r="26" ht="20" customHeight="1">
      <c r="A26" s="18" t="inlineStr">
        <is>
          <t>Liquid Death</t>
        </is>
      </c>
      <c r="B26" s="19" t="inlineStr"/>
      <c r="C26" s="20" t="inlineStr">
        <is>
          <t>X</t>
        </is>
      </c>
      <c r="D26" s="20" t="inlineStr">
        <is>
          <t>X</t>
        </is>
      </c>
      <c r="E26" s="20" t="inlineStr">
        <is>
          <t>X</t>
        </is>
      </c>
      <c r="F26" s="19" t="inlineStr"/>
      <c r="G26" s="20" t="inlineStr">
        <is>
          <t>X</t>
        </is>
      </c>
      <c r="H26" s="19" t="inlineStr"/>
      <c r="I26" s="19" t="inlineStr"/>
      <c r="J26" s="19" t="inlineStr"/>
      <c r="K26" s="19" t="inlineStr"/>
      <c r="L26" s="19" t="inlineStr"/>
      <c r="M26" s="19" t="inlineStr"/>
      <c r="N26" s="20" t="inlineStr">
        <is>
          <t>X</t>
        </is>
      </c>
      <c r="O26" s="20" t="inlineStr">
        <is>
          <t>X</t>
        </is>
      </c>
    </row>
    <row r="27" ht="20" customHeight="1">
      <c r="A27" s="18" t="inlineStr">
        <is>
          <t>Mayawell</t>
        </is>
      </c>
      <c r="B27" s="19" t="inlineStr"/>
      <c r="C27" s="19" t="inlineStr"/>
      <c r="D27" s="20" t="inlineStr">
        <is>
          <t>X</t>
        </is>
      </c>
      <c r="E27" s="20" t="inlineStr">
        <is>
          <t>X</t>
        </is>
      </c>
      <c r="F27" s="19" t="inlineStr"/>
      <c r="G27" s="20" t="inlineStr">
        <is>
          <t>X</t>
        </is>
      </c>
      <c r="H27" s="19" t="inlineStr"/>
      <c r="I27" s="19" t="inlineStr"/>
      <c r="J27" s="19" t="inlineStr"/>
      <c r="K27" s="20" t="inlineStr">
        <is>
          <t>X</t>
        </is>
      </c>
      <c r="L27" s="19" t="inlineStr"/>
      <c r="M27" s="19" t="inlineStr"/>
      <c r="N27" s="20" t="inlineStr">
        <is>
          <t>X</t>
        </is>
      </c>
      <c r="O27" s="19" t="inlineStr"/>
    </row>
    <row r="28" ht="20" customHeight="1">
      <c r="A28" s="18" t="inlineStr">
        <is>
          <t>Monster</t>
        </is>
      </c>
      <c r="B28" s="19" t="inlineStr"/>
      <c r="C28" s="19" t="inlineStr"/>
      <c r="D28" s="19" t="inlineStr"/>
      <c r="E28" s="19" t="inlineStr"/>
      <c r="F28" s="19" t="inlineStr"/>
      <c r="G28" s="19" t="inlineStr"/>
      <c r="H28" s="20" t="inlineStr">
        <is>
          <t>X</t>
        </is>
      </c>
      <c r="I28" s="19" t="inlineStr"/>
      <c r="J28" s="20" t="inlineStr">
        <is>
          <t>X</t>
        </is>
      </c>
      <c r="K28" s="19" t="inlineStr"/>
      <c r="L28" s="19" t="inlineStr"/>
      <c r="M28" s="19" t="inlineStr"/>
      <c r="N28" s="19" t="inlineStr"/>
      <c r="O28" s="20" t="inlineStr">
        <is>
          <t>X</t>
        </is>
      </c>
    </row>
    <row r="29" ht="20" customHeight="1">
      <c r="A29" s="18" t="inlineStr">
        <is>
          <t>Montellier</t>
        </is>
      </c>
      <c r="B29" s="19" t="inlineStr"/>
      <c r="C29" s="20" t="inlineStr">
        <is>
          <t>X</t>
        </is>
      </c>
      <c r="D29" s="20" t="inlineStr">
        <is>
          <t>X</t>
        </is>
      </c>
      <c r="E29" s="20" t="inlineStr">
        <is>
          <t>X</t>
        </is>
      </c>
      <c r="F29" s="19" t="inlineStr"/>
      <c r="G29" s="19" t="inlineStr"/>
      <c r="H29" s="19" t="inlineStr"/>
      <c r="I29" s="19" t="inlineStr"/>
      <c r="J29" s="19" t="inlineStr"/>
      <c r="K29" s="19" t="inlineStr"/>
      <c r="L29" s="19" t="inlineStr"/>
      <c r="M29" s="19" t="inlineStr"/>
      <c r="N29" s="19" t="inlineStr"/>
      <c r="O29" s="20" t="inlineStr">
        <is>
          <t>X</t>
        </is>
      </c>
    </row>
    <row r="30" ht="20" customHeight="1">
      <c r="A30" s="18" t="inlineStr">
        <is>
          <t>NOS</t>
        </is>
      </c>
      <c r="B30" s="19" t="inlineStr"/>
      <c r="C30" s="19" t="inlineStr"/>
      <c r="D30" s="19" t="inlineStr"/>
      <c r="E30" s="19" t="inlineStr"/>
      <c r="F30" s="19" t="inlineStr"/>
      <c r="G30" s="19" t="inlineStr"/>
      <c r="H30" s="19" t="inlineStr"/>
      <c r="I30" s="19" t="inlineStr"/>
      <c r="J30" s="19" t="inlineStr"/>
      <c r="K30" s="19" t="inlineStr"/>
      <c r="L30" s="19" t="inlineStr"/>
      <c r="M30" s="19" t="inlineStr"/>
      <c r="N30" s="19" t="inlineStr"/>
      <c r="O30" s="20" t="inlineStr">
        <is>
          <t>X</t>
        </is>
      </c>
    </row>
    <row r="31" ht="20" customHeight="1">
      <c r="A31" s="18" t="inlineStr">
        <is>
          <t>OLIPOP</t>
        </is>
      </c>
      <c r="B31" s="20" t="inlineStr">
        <is>
          <t>X</t>
        </is>
      </c>
      <c r="C31" s="20" t="inlineStr">
        <is>
          <t>X</t>
        </is>
      </c>
      <c r="D31" s="20" t="inlineStr">
        <is>
          <t>X</t>
        </is>
      </c>
      <c r="E31" s="20" t="inlineStr">
        <is>
          <t>X</t>
        </is>
      </c>
      <c r="F31" s="20" t="inlineStr">
        <is>
          <t>X</t>
        </is>
      </c>
      <c r="G31" s="19" t="inlineStr"/>
      <c r="H31" s="20" t="inlineStr">
        <is>
          <t>X</t>
        </is>
      </c>
      <c r="I31" s="19" t="inlineStr"/>
      <c r="J31" s="19" t="inlineStr"/>
      <c r="K31" s="19" t="inlineStr"/>
      <c r="L31" s="19" t="inlineStr"/>
      <c r="M31" s="20" t="inlineStr">
        <is>
          <t>X</t>
        </is>
      </c>
      <c r="N31" s="19" t="inlineStr"/>
      <c r="O31" s="20" t="inlineStr">
        <is>
          <t>X</t>
        </is>
      </c>
    </row>
    <row r="32" ht="20" customHeight="1">
      <c r="A32" s="18" t="inlineStr">
        <is>
          <t>Pedialyte</t>
        </is>
      </c>
      <c r="B32" s="19" t="inlineStr"/>
      <c r="C32" s="19" t="inlineStr"/>
      <c r="D32" s="19" t="inlineStr"/>
      <c r="E32" s="20" t="inlineStr">
        <is>
          <t>X</t>
        </is>
      </c>
      <c r="F32" s="19" t="inlineStr"/>
      <c r="G32" s="20" t="inlineStr">
        <is>
          <t>X</t>
        </is>
      </c>
      <c r="H32" s="19" t="inlineStr"/>
      <c r="I32" s="19" t="inlineStr"/>
      <c r="J32" s="19" t="inlineStr"/>
      <c r="K32" s="19" t="inlineStr"/>
      <c r="L32" s="19" t="inlineStr"/>
      <c r="M32" s="19" t="inlineStr"/>
      <c r="N32" s="19" t="inlineStr"/>
      <c r="O32" s="20" t="inlineStr">
        <is>
          <t>X</t>
        </is>
      </c>
    </row>
    <row r="33" ht="20" customHeight="1">
      <c r="A33" s="18" t="inlineStr">
        <is>
          <t>Perrier</t>
        </is>
      </c>
      <c r="B33" s="19" t="inlineStr"/>
      <c r="C33" s="20" t="inlineStr">
        <is>
          <t>X</t>
        </is>
      </c>
      <c r="D33" s="19" t="inlineStr"/>
      <c r="E33" s="20" t="inlineStr">
        <is>
          <t>X</t>
        </is>
      </c>
      <c r="F33" s="19" t="inlineStr"/>
      <c r="G33" s="20" t="inlineStr">
        <is>
          <t>X</t>
        </is>
      </c>
      <c r="H33" s="19" t="inlineStr"/>
      <c r="I33" s="20" t="inlineStr">
        <is>
          <t>X</t>
        </is>
      </c>
      <c r="J33" s="19" t="inlineStr"/>
      <c r="K33" s="20" t="inlineStr">
        <is>
          <t>X</t>
        </is>
      </c>
      <c r="L33" s="19" t="inlineStr"/>
      <c r="M33" s="19" t="inlineStr"/>
      <c r="N33" s="19" t="inlineStr"/>
      <c r="O33" s="20" t="inlineStr">
        <is>
          <t>X</t>
        </is>
      </c>
    </row>
    <row r="34" ht="20" customHeight="1">
      <c r="A34" s="18" t="inlineStr">
        <is>
          <t>Phocus</t>
        </is>
      </c>
      <c r="B34" s="19" t="inlineStr"/>
      <c r="C34" s="20" t="inlineStr">
        <is>
          <t>X</t>
        </is>
      </c>
      <c r="D34" s="19" t="inlineStr"/>
      <c r="E34" s="19" t="inlineStr"/>
      <c r="F34" s="20" t="inlineStr">
        <is>
          <t>X</t>
        </is>
      </c>
      <c r="G34" s="20" t="inlineStr">
        <is>
          <t>X</t>
        </is>
      </c>
      <c r="H34" s="19" t="inlineStr"/>
      <c r="I34" s="19" t="inlineStr"/>
      <c r="J34" s="19" t="inlineStr"/>
      <c r="K34" s="20" t="inlineStr">
        <is>
          <t>X</t>
        </is>
      </c>
      <c r="L34" s="19" t="inlineStr"/>
      <c r="M34" s="19" t="inlineStr"/>
      <c r="N34" s="19" t="inlineStr"/>
      <c r="O34" s="20" t="inlineStr">
        <is>
          <t>X</t>
        </is>
      </c>
    </row>
    <row r="35" ht="20" customHeight="1">
      <c r="A35" s="18" t="inlineStr">
        <is>
          <t>Polar</t>
        </is>
      </c>
      <c r="B35" s="19" t="inlineStr"/>
      <c r="C35" s="20" t="inlineStr">
        <is>
          <t>X</t>
        </is>
      </c>
      <c r="D35" s="20" t="inlineStr">
        <is>
          <t>X</t>
        </is>
      </c>
      <c r="E35" s="20" t="inlineStr">
        <is>
          <t>X</t>
        </is>
      </c>
      <c r="F35" s="20" t="inlineStr">
        <is>
          <t>X</t>
        </is>
      </c>
      <c r="G35" s="20" t="inlineStr">
        <is>
          <t>X</t>
        </is>
      </c>
      <c r="H35" s="19" t="inlineStr"/>
      <c r="I35" s="19" t="inlineStr"/>
      <c r="J35" s="19" t="inlineStr"/>
      <c r="K35" s="20" t="inlineStr">
        <is>
          <t>X</t>
        </is>
      </c>
      <c r="L35" s="19" t="inlineStr"/>
      <c r="M35" s="19" t="inlineStr"/>
      <c r="N35" s="19" t="inlineStr"/>
      <c r="O35" s="19" t="inlineStr"/>
    </row>
    <row r="36" ht="20" customHeight="1">
      <c r="A36" s="18" t="inlineStr">
        <is>
          <t>Poppi</t>
        </is>
      </c>
      <c r="B36" s="20" t="inlineStr">
        <is>
          <t>X</t>
        </is>
      </c>
      <c r="C36" s="20" t="inlineStr">
        <is>
          <t>X</t>
        </is>
      </c>
      <c r="D36" s="20" t="inlineStr">
        <is>
          <t>X</t>
        </is>
      </c>
      <c r="E36" s="20" t="inlineStr">
        <is>
          <t>X</t>
        </is>
      </c>
      <c r="F36" s="20" t="inlineStr">
        <is>
          <t>X</t>
        </is>
      </c>
      <c r="G36" s="20" t="inlineStr">
        <is>
          <t>X</t>
        </is>
      </c>
      <c r="H36" s="20" t="inlineStr">
        <is>
          <t>X</t>
        </is>
      </c>
      <c r="I36" s="19" t="inlineStr"/>
      <c r="J36" s="19" t="inlineStr"/>
      <c r="K36" s="19" t="inlineStr"/>
      <c r="L36" s="19" t="inlineStr"/>
      <c r="M36" s="20" t="inlineStr">
        <is>
          <t>X</t>
        </is>
      </c>
      <c r="N36" s="20" t="inlineStr">
        <is>
          <t>X</t>
        </is>
      </c>
      <c r="O36" s="20" t="inlineStr">
        <is>
          <t>X</t>
        </is>
      </c>
    </row>
    <row r="37" ht="20" customHeight="1">
      <c r="A37" s="18" t="inlineStr">
        <is>
          <t>Powerade</t>
        </is>
      </c>
      <c r="B37" s="19" t="inlineStr"/>
      <c r="C37" s="20" t="inlineStr">
        <is>
          <t>X</t>
        </is>
      </c>
      <c r="D37" s="19" t="inlineStr"/>
      <c r="E37" s="20" t="inlineStr">
        <is>
          <t>X</t>
        </is>
      </c>
      <c r="F37" s="20" t="inlineStr">
        <is>
          <t>X</t>
        </is>
      </c>
      <c r="G37" s="20" t="inlineStr">
        <is>
          <t>X</t>
        </is>
      </c>
      <c r="H37" s="19" t="inlineStr"/>
      <c r="I37" s="19" t="inlineStr"/>
      <c r="J37" s="19" t="inlineStr"/>
      <c r="K37" s="19" t="inlineStr"/>
      <c r="L37" s="19" t="inlineStr"/>
      <c r="M37" s="19" t="inlineStr"/>
      <c r="N37" s="19" t="inlineStr"/>
      <c r="O37" s="19" t="inlineStr"/>
    </row>
    <row r="38" ht="20" customHeight="1">
      <c r="A38" s="18" t="inlineStr">
        <is>
          <t>Prime</t>
        </is>
      </c>
      <c r="B38" s="19" t="inlineStr"/>
      <c r="C38" s="20" t="inlineStr">
        <is>
          <t>X</t>
        </is>
      </c>
      <c r="D38" s="19" t="inlineStr"/>
      <c r="E38" s="20" t="inlineStr">
        <is>
          <t>X</t>
        </is>
      </c>
      <c r="F38" s="19" t="inlineStr"/>
      <c r="G38" s="19" t="inlineStr"/>
      <c r="H38" s="20" t="inlineStr">
        <is>
          <t>X</t>
        </is>
      </c>
      <c r="I38" s="19" t="inlineStr"/>
      <c r="J38" s="20" t="inlineStr">
        <is>
          <t>X</t>
        </is>
      </c>
      <c r="K38" s="19" t="inlineStr"/>
      <c r="L38" s="19" t="inlineStr"/>
      <c r="M38" s="19" t="inlineStr"/>
      <c r="N38" s="19" t="inlineStr"/>
      <c r="O38" s="19" t="inlineStr"/>
    </row>
    <row r="39" ht="20" customHeight="1">
      <c r="A39" s="18" t="inlineStr">
        <is>
          <t>Protein2o</t>
        </is>
      </c>
      <c r="B39" s="19" t="inlineStr"/>
      <c r="C39" s="19" t="inlineStr"/>
      <c r="D39" s="20" t="inlineStr">
        <is>
          <t>X</t>
        </is>
      </c>
      <c r="E39" s="20" t="inlineStr">
        <is>
          <t>X</t>
        </is>
      </c>
      <c r="F39" s="20" t="inlineStr">
        <is>
          <t>X</t>
        </is>
      </c>
      <c r="G39" s="19" t="inlineStr"/>
      <c r="H39" s="19" t="inlineStr"/>
      <c r="I39" s="20" t="inlineStr">
        <is>
          <t>X</t>
        </is>
      </c>
      <c r="J39" s="20" t="inlineStr">
        <is>
          <t>X</t>
        </is>
      </c>
      <c r="K39" s="19" t="inlineStr"/>
      <c r="L39" s="20" t="inlineStr">
        <is>
          <t>X</t>
        </is>
      </c>
      <c r="M39" s="19" t="inlineStr"/>
      <c r="N39" s="19" t="inlineStr"/>
      <c r="O39" s="19" t="inlineStr"/>
    </row>
    <row r="40" ht="20" customHeight="1">
      <c r="A40" s="18" t="inlineStr">
        <is>
          <t>Recess</t>
        </is>
      </c>
      <c r="B40" s="19" t="inlineStr"/>
      <c r="C40" s="20" t="inlineStr">
        <is>
          <t>X</t>
        </is>
      </c>
      <c r="D40" s="20" t="inlineStr">
        <is>
          <t>X</t>
        </is>
      </c>
      <c r="E40" s="20" t="inlineStr">
        <is>
          <t>X</t>
        </is>
      </c>
      <c r="F40" s="20" t="inlineStr">
        <is>
          <t>X</t>
        </is>
      </c>
      <c r="G40" s="19" t="inlineStr"/>
      <c r="H40" s="19" t="inlineStr"/>
      <c r="I40" s="19" t="inlineStr"/>
      <c r="J40" s="19" t="inlineStr"/>
      <c r="K40" s="19" t="inlineStr"/>
      <c r="L40" s="20" t="inlineStr">
        <is>
          <t>X</t>
        </is>
      </c>
      <c r="M40" s="19" t="inlineStr"/>
      <c r="N40" s="20" t="inlineStr">
        <is>
          <t>X</t>
        </is>
      </c>
      <c r="O40" s="19" t="inlineStr"/>
    </row>
    <row r="41" ht="20" customHeight="1">
      <c r="A41" s="18" t="inlineStr">
        <is>
          <t>Red Bull</t>
        </is>
      </c>
      <c r="B41" s="19" t="inlineStr"/>
      <c r="C41" s="19" t="inlineStr"/>
      <c r="D41" s="19" t="inlineStr"/>
      <c r="E41" s="19" t="inlineStr"/>
      <c r="F41" s="19" t="inlineStr"/>
      <c r="G41" s="19" t="inlineStr"/>
      <c r="H41" s="19" t="inlineStr"/>
      <c r="I41" s="19" t="inlineStr"/>
      <c r="J41" s="19" t="inlineStr"/>
      <c r="K41" s="19" t="inlineStr"/>
      <c r="L41" s="19" t="inlineStr"/>
      <c r="M41" s="19" t="inlineStr"/>
      <c r="N41" s="19" t="inlineStr"/>
      <c r="O41" s="20" t="inlineStr">
        <is>
          <t>X</t>
        </is>
      </c>
    </row>
    <row r="42" ht="20" customHeight="1">
      <c r="A42" s="18" t="inlineStr">
        <is>
          <t>Reign</t>
        </is>
      </c>
      <c r="B42" s="19" t="inlineStr"/>
      <c r="C42" s="20" t="inlineStr">
        <is>
          <t>X</t>
        </is>
      </c>
      <c r="D42" s="20" t="inlineStr">
        <is>
          <t>X</t>
        </is>
      </c>
      <c r="E42" s="20" t="inlineStr">
        <is>
          <t>X</t>
        </is>
      </c>
      <c r="F42" s="19" t="inlineStr"/>
      <c r="G42" s="19" t="inlineStr"/>
      <c r="H42" s="19" t="inlineStr"/>
      <c r="I42" s="19" t="inlineStr"/>
      <c r="J42" s="19" t="inlineStr"/>
      <c r="K42" s="19" t="inlineStr"/>
      <c r="L42" s="19" t="inlineStr"/>
      <c r="M42" s="19" t="inlineStr"/>
      <c r="N42" s="19" t="inlineStr"/>
      <c r="O42" s="19" t="inlineStr"/>
    </row>
    <row r="43" ht="20" customHeight="1">
      <c r="A43" s="18" t="inlineStr">
        <is>
          <t>Remedy</t>
        </is>
      </c>
      <c r="B43" s="19" t="inlineStr"/>
      <c r="C43" s="20" t="inlineStr">
        <is>
          <t>X</t>
        </is>
      </c>
      <c r="D43" s="19" t="inlineStr"/>
      <c r="E43" s="20" t="inlineStr">
        <is>
          <t>X</t>
        </is>
      </c>
      <c r="F43" s="20" t="inlineStr">
        <is>
          <t>X</t>
        </is>
      </c>
      <c r="G43" s="19" t="inlineStr"/>
      <c r="H43" s="19" t="inlineStr"/>
      <c r="I43" s="20" t="inlineStr">
        <is>
          <t>X</t>
        </is>
      </c>
      <c r="J43" s="20" t="inlineStr">
        <is>
          <t>X</t>
        </is>
      </c>
      <c r="K43" s="19" t="inlineStr"/>
      <c r="L43" s="19" t="inlineStr"/>
      <c r="M43" s="20" t="inlineStr">
        <is>
          <t>X</t>
        </is>
      </c>
      <c r="N43" s="19" t="inlineStr"/>
      <c r="O43" s="19" t="inlineStr"/>
    </row>
    <row r="44" ht="20" customHeight="1">
      <c r="A44" s="18" t="inlineStr">
        <is>
          <t>Roar Organic</t>
        </is>
      </c>
      <c r="B44" s="19" t="inlineStr"/>
      <c r="C44" s="19" t="inlineStr"/>
      <c r="D44" s="20" t="inlineStr">
        <is>
          <t>X</t>
        </is>
      </c>
      <c r="E44" s="20" t="inlineStr">
        <is>
          <t>X</t>
        </is>
      </c>
      <c r="F44" s="19" t="inlineStr"/>
      <c r="G44" s="19" t="inlineStr"/>
      <c r="H44" s="20" t="inlineStr">
        <is>
          <t>X</t>
        </is>
      </c>
      <c r="I44" s="20" t="inlineStr">
        <is>
          <t>X</t>
        </is>
      </c>
      <c r="J44" s="19" t="inlineStr"/>
      <c r="K44" s="19" t="inlineStr"/>
      <c r="L44" s="19" t="inlineStr"/>
      <c r="M44" s="19" t="inlineStr"/>
      <c r="N44" s="19" t="inlineStr"/>
      <c r="O44" s="19" t="inlineStr"/>
    </row>
    <row r="45" ht="20" customHeight="1">
      <c r="A45" s="18" t="inlineStr">
        <is>
          <t>Rockstar</t>
        </is>
      </c>
      <c r="B45" s="19" t="inlineStr"/>
      <c r="C45" s="19" t="inlineStr"/>
      <c r="D45" s="19" t="inlineStr"/>
      <c r="E45" s="19" t="inlineStr"/>
      <c r="F45" s="19" t="inlineStr"/>
      <c r="G45" s="19" t="inlineStr"/>
      <c r="H45" s="19" t="inlineStr"/>
      <c r="I45" s="19" t="inlineStr"/>
      <c r="J45" s="19" t="inlineStr"/>
      <c r="K45" s="19" t="inlineStr"/>
      <c r="L45" s="19" t="inlineStr"/>
      <c r="M45" s="19" t="inlineStr"/>
      <c r="N45" s="19" t="inlineStr"/>
      <c r="O45" s="20" t="inlineStr">
        <is>
          <t>X</t>
        </is>
      </c>
    </row>
    <row r="46" ht="20" customHeight="1">
      <c r="A46" s="18" t="inlineStr">
        <is>
          <t>San Pellegrino</t>
        </is>
      </c>
      <c r="B46" s="19" t="inlineStr"/>
      <c r="C46" s="20" t="inlineStr">
        <is>
          <t>X</t>
        </is>
      </c>
      <c r="D46" s="20" t="inlineStr">
        <is>
          <t>X</t>
        </is>
      </c>
      <c r="E46" s="19" t="inlineStr"/>
      <c r="F46" s="19" t="inlineStr"/>
      <c r="G46" s="19" t="inlineStr"/>
      <c r="H46" s="19" t="inlineStr"/>
      <c r="I46" s="19" t="inlineStr"/>
      <c r="J46" s="19" t="inlineStr"/>
      <c r="K46" s="20" t="inlineStr">
        <is>
          <t>X</t>
        </is>
      </c>
      <c r="L46" s="19" t="inlineStr"/>
      <c r="M46" s="19" t="inlineStr"/>
      <c r="N46" s="19" t="inlineStr"/>
      <c r="O46" s="20" t="inlineStr">
        <is>
          <t>X</t>
        </is>
      </c>
    </row>
    <row r="47" ht="20" customHeight="1">
      <c r="A47" s="18" t="inlineStr">
        <is>
          <t>Sound</t>
        </is>
      </c>
      <c r="B47" s="19" t="inlineStr"/>
      <c r="C47" s="20" t="inlineStr">
        <is>
          <t>X</t>
        </is>
      </c>
      <c r="D47" s="19" t="inlineStr"/>
      <c r="E47" s="20" t="inlineStr">
        <is>
          <t>X</t>
        </is>
      </c>
      <c r="F47" s="19" t="inlineStr"/>
      <c r="G47" s="20" t="inlineStr">
        <is>
          <t>X</t>
        </is>
      </c>
      <c r="H47" s="19" t="inlineStr"/>
      <c r="I47" s="19" t="inlineStr"/>
      <c r="J47" s="19" t="inlineStr"/>
      <c r="K47" s="20" t="inlineStr">
        <is>
          <t>X</t>
        </is>
      </c>
      <c r="L47" s="19" t="inlineStr"/>
      <c r="M47" s="20" t="inlineStr">
        <is>
          <t>X</t>
        </is>
      </c>
      <c r="N47" s="20" t="inlineStr">
        <is>
          <t>X</t>
        </is>
      </c>
      <c r="O47" s="19" t="inlineStr"/>
    </row>
    <row r="48" ht="20" customHeight="1">
      <c r="A48" s="18" t="inlineStr">
        <is>
          <t>Sparkling Ice</t>
        </is>
      </c>
      <c r="B48" s="19" t="inlineStr"/>
      <c r="C48" s="20" t="inlineStr">
        <is>
          <t>X</t>
        </is>
      </c>
      <c r="D48" s="20" t="inlineStr">
        <is>
          <t>X</t>
        </is>
      </c>
      <c r="E48" s="20" t="inlineStr">
        <is>
          <t>X</t>
        </is>
      </c>
      <c r="F48" s="20" t="inlineStr">
        <is>
          <t>X</t>
        </is>
      </c>
      <c r="G48" s="19" t="inlineStr"/>
      <c r="H48" s="19" t="inlineStr"/>
      <c r="I48" s="19" t="inlineStr"/>
      <c r="J48" s="20" t="inlineStr">
        <is>
          <t>X</t>
        </is>
      </c>
      <c r="K48" s="19" t="inlineStr"/>
      <c r="L48" s="20" t="inlineStr">
        <is>
          <t>X</t>
        </is>
      </c>
      <c r="M48" s="19" t="inlineStr"/>
      <c r="N48" s="19" t="inlineStr"/>
      <c r="O48" s="20" t="inlineStr">
        <is>
          <t>X</t>
        </is>
      </c>
    </row>
    <row r="49" ht="20" customHeight="1">
      <c r="A49" s="18" t="inlineStr">
        <is>
          <t>Spindrift</t>
        </is>
      </c>
      <c r="B49" s="19" t="inlineStr"/>
      <c r="C49" s="20" t="inlineStr">
        <is>
          <t>X</t>
        </is>
      </c>
      <c r="D49" s="20" t="inlineStr">
        <is>
          <t>X</t>
        </is>
      </c>
      <c r="E49" s="20" t="inlineStr">
        <is>
          <t>X</t>
        </is>
      </c>
      <c r="F49" s="19" t="inlineStr"/>
      <c r="G49" s="20" t="inlineStr">
        <is>
          <t>X</t>
        </is>
      </c>
      <c r="H49" s="19" t="inlineStr"/>
      <c r="I49" s="19" t="inlineStr"/>
      <c r="J49" s="20" t="inlineStr">
        <is>
          <t>X</t>
        </is>
      </c>
      <c r="K49" s="20" t="inlineStr">
        <is>
          <t>X</t>
        </is>
      </c>
      <c r="L49" s="19" t="inlineStr"/>
      <c r="M49" s="19" t="inlineStr"/>
      <c r="N49" s="19" t="inlineStr"/>
      <c r="O49" s="19" t="inlineStr"/>
    </row>
    <row r="50" ht="20" customHeight="1">
      <c r="A50" s="18" t="inlineStr">
        <is>
          <t>Starbucks</t>
        </is>
      </c>
      <c r="B50" s="20" t="inlineStr">
        <is>
          <t>X</t>
        </is>
      </c>
      <c r="C50" s="19" t="inlineStr"/>
      <c r="D50" s="19" t="inlineStr"/>
      <c r="E50" s="19" t="inlineStr"/>
      <c r="F50" s="19" t="inlineStr"/>
      <c r="G50" s="19" t="inlineStr"/>
      <c r="H50" s="19" t="inlineStr"/>
      <c r="I50" s="19" t="inlineStr"/>
      <c r="J50" s="19" t="inlineStr"/>
      <c r="K50" s="19" t="inlineStr"/>
      <c r="L50" s="19" t="inlineStr"/>
      <c r="M50" s="19" t="inlineStr"/>
      <c r="N50" s="19" t="inlineStr"/>
      <c r="O50" s="19" t="inlineStr"/>
    </row>
    <row r="51" ht="20" customHeight="1">
      <c r="A51" s="18" t="inlineStr">
        <is>
          <t>Topo Chico</t>
        </is>
      </c>
      <c r="B51" s="19" t="inlineStr"/>
      <c r="C51" s="20" t="inlineStr">
        <is>
          <t>X</t>
        </is>
      </c>
      <c r="D51" s="20" t="inlineStr">
        <is>
          <t>X</t>
        </is>
      </c>
      <c r="E51" s="19" t="inlineStr"/>
      <c r="F51" s="19" t="inlineStr"/>
      <c r="G51" s="20" t="inlineStr">
        <is>
          <t>X</t>
        </is>
      </c>
      <c r="H51" s="19" t="inlineStr"/>
      <c r="I51" s="19" t="inlineStr"/>
      <c r="J51" s="19" t="inlineStr"/>
      <c r="K51" s="20" t="inlineStr">
        <is>
          <t>X</t>
        </is>
      </c>
      <c r="L51" s="19" t="inlineStr"/>
      <c r="M51" s="19" t="inlineStr"/>
      <c r="N51" s="19" t="inlineStr"/>
      <c r="O51" s="20" t="inlineStr">
        <is>
          <t>X</t>
        </is>
      </c>
    </row>
    <row r="52" ht="20" customHeight="1">
      <c r="A52" s="18" t="inlineStr">
        <is>
          <t>United Sodas</t>
        </is>
      </c>
      <c r="B52" s="19" t="inlineStr"/>
      <c r="C52" s="20" t="inlineStr">
        <is>
          <t>X</t>
        </is>
      </c>
      <c r="D52" s="20" t="inlineStr">
        <is>
          <t>X</t>
        </is>
      </c>
      <c r="E52" s="20" t="inlineStr">
        <is>
          <t>X</t>
        </is>
      </c>
      <c r="F52" s="20" t="inlineStr">
        <is>
          <t>X</t>
        </is>
      </c>
      <c r="G52" s="19" t="inlineStr"/>
      <c r="H52" s="19" t="inlineStr"/>
      <c r="I52" s="20" t="inlineStr">
        <is>
          <t>X</t>
        </is>
      </c>
      <c r="J52" s="19" t="inlineStr"/>
      <c r="K52" s="19" t="inlineStr"/>
      <c r="L52" s="19" t="inlineStr"/>
      <c r="M52" s="19" t="inlineStr"/>
      <c r="N52" s="19" t="inlineStr"/>
      <c r="O52" s="19" t="inlineStr"/>
    </row>
    <row r="53" ht="20" customHeight="1">
      <c r="A53" s="18" t="inlineStr">
        <is>
          <t>Vita Coco</t>
        </is>
      </c>
      <c r="B53" s="19" t="inlineStr"/>
      <c r="C53" s="19" t="inlineStr"/>
      <c r="D53" s="20" t="inlineStr">
        <is>
          <t>X</t>
        </is>
      </c>
      <c r="E53" s="19" t="inlineStr"/>
      <c r="F53" s="19" t="inlineStr"/>
      <c r="G53" s="19" t="inlineStr"/>
      <c r="H53" s="19" t="inlineStr"/>
      <c r="I53" s="20" t="inlineStr">
        <is>
          <t>X</t>
        </is>
      </c>
      <c r="J53" s="20" t="inlineStr">
        <is>
          <t>X</t>
        </is>
      </c>
      <c r="K53" s="19" t="inlineStr"/>
      <c r="L53" s="19" t="inlineStr"/>
      <c r="M53" s="19" t="inlineStr"/>
      <c r="N53" s="19" t="inlineStr"/>
      <c r="O53" s="20" t="inlineStr">
        <is>
          <t>X</t>
        </is>
      </c>
    </row>
    <row r="54" ht="20" customHeight="1">
      <c r="A54" s="18" t="inlineStr">
        <is>
          <t>Waterloo</t>
        </is>
      </c>
      <c r="B54" s="19" t="inlineStr"/>
      <c r="C54" s="20" t="inlineStr">
        <is>
          <t>X</t>
        </is>
      </c>
      <c r="D54" s="20" t="inlineStr">
        <is>
          <t>X</t>
        </is>
      </c>
      <c r="E54" s="20" t="inlineStr">
        <is>
          <t>X</t>
        </is>
      </c>
      <c r="F54" s="20" t="inlineStr">
        <is>
          <t>X</t>
        </is>
      </c>
      <c r="G54" s="20" t="inlineStr">
        <is>
          <t>X</t>
        </is>
      </c>
      <c r="H54" s="20" t="inlineStr">
        <is>
          <t>X</t>
        </is>
      </c>
      <c r="I54" s="20" t="inlineStr">
        <is>
          <t>X</t>
        </is>
      </c>
      <c r="J54" s="19" t="inlineStr"/>
      <c r="K54" s="19" t="inlineStr"/>
      <c r="L54" s="19" t="inlineStr"/>
      <c r="M54" s="19" t="inlineStr"/>
      <c r="N54" s="19" t="inlineStr"/>
      <c r="O54" s="19" t="inlineStr"/>
    </row>
    <row r="55" ht="20" customHeight="1">
      <c r="A55" s="18" t="inlineStr">
        <is>
          <t>bubly</t>
        </is>
      </c>
      <c r="B55" s="19" t="inlineStr"/>
      <c r="C55" s="20" t="inlineStr">
        <is>
          <t>X</t>
        </is>
      </c>
      <c r="D55" s="20" t="inlineStr">
        <is>
          <t>X</t>
        </is>
      </c>
      <c r="E55" s="20" t="inlineStr">
        <is>
          <t>X</t>
        </is>
      </c>
      <c r="F55" s="20" t="inlineStr">
        <is>
          <t>X</t>
        </is>
      </c>
      <c r="G55" s="20" t="inlineStr">
        <is>
          <t>X</t>
        </is>
      </c>
      <c r="H55" s="20" t="inlineStr">
        <is>
          <t>X</t>
        </is>
      </c>
      <c r="I55" s="19" t="inlineStr"/>
      <c r="J55" s="19" t="inlineStr"/>
      <c r="K55" s="20" t="inlineStr">
        <is>
          <t>X</t>
        </is>
      </c>
      <c r="L55" s="19" t="inlineStr"/>
      <c r="M55" s="19" t="inlineStr"/>
      <c r="N55" s="19" t="inlineStr"/>
      <c r="O55" s="19" t="inlineStr"/>
    </row>
    <row r="56" ht="20" customHeight="1">
      <c r="A56" s="18" t="inlineStr">
        <is>
          <t>vitaminwater</t>
        </is>
      </c>
      <c r="B56" s="19" t="inlineStr"/>
      <c r="C56" s="20" t="inlineStr">
        <is>
          <t>X</t>
        </is>
      </c>
      <c r="D56" s="20" t="inlineStr">
        <is>
          <t>X</t>
        </is>
      </c>
      <c r="E56" s="20" t="inlineStr">
        <is>
          <t>X</t>
        </is>
      </c>
      <c r="F56" s="19" t="inlineStr"/>
      <c r="G56" s="19" t="inlineStr"/>
      <c r="H56" s="19" t="inlineStr"/>
      <c r="I56" s="19" t="inlineStr"/>
      <c r="J56" s="20" t="inlineStr">
        <is>
          <t>X</t>
        </is>
      </c>
      <c r="K56" s="19" t="inlineStr"/>
      <c r="L56" s="19" t="inlineStr"/>
      <c r="M56" s="19" t="inlineStr"/>
      <c r="N56" s="19" t="inlineStr"/>
      <c r="O56" s="19" t="inlineStr"/>
    </row>
  </sheetData>
  <autoFilter ref="A1:O5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0" customWidth="1" min="2" max="2"/>
    <col width="70" customWidth="1" min="3" max="3"/>
  </cols>
  <sheetData>
    <row r="1" ht="42" customHeight="1">
      <c r="A1" s="6" t="inlineStr">
        <is>
          <t>Product / Brand</t>
        </is>
      </c>
      <c r="B1" s="6" t="inlineStr">
        <is>
          <t>Direct Amazon.ca Product URL</t>
        </is>
      </c>
      <c r="C1" s="6" t="inlineStr">
        <is>
          <t>Reference source(s) used for stable attributes</t>
        </is>
      </c>
    </row>
    <row r="2" ht="26" customHeight="1">
      <c r="A2" s="8" t="inlineStr">
        <is>
          <t>— METHODOLOGY NOTE —</t>
        </is>
      </c>
      <c r="B2" s="8" t="inlineStr">
        <is>
          <t>No Amazon.ca URLs could be captured (HTTP 403).</t>
        </is>
      </c>
      <c r="C2" s="8" t="inlineStr">
        <is>
          <t>Amazon.ca and brand storefronts returned 403; only WebSearch secondary data was reachable.</t>
        </is>
      </c>
    </row>
    <row r="3" ht="26" customHeight="1">
      <c r="A3" s="8" t="inlineStr">
        <is>
          <t>OLIPOP (nutrition/ingredients)</t>
        </is>
      </c>
      <c r="B3" s="8" t="inlineStr">
        <is>
          <t>(capture Amazon.ca URL)</t>
        </is>
      </c>
      <c r="C3" s="8" t="inlineStr">
        <is>
          <t>drinkolipop.com/blogs/digest/understanding-the-olipop-nutrition-label; drinkolipop.com/pages/ingredients</t>
        </is>
      </c>
    </row>
    <row r="4" ht="26" customHeight="1">
      <c r="A4" s="8" t="inlineStr">
        <is>
          <t>Red Bull — Red Bull Energy Drink</t>
        </is>
      </c>
      <c r="B4" s="11" t="inlineStr"/>
      <c r="C4" s="8" t="inlineStr">
        <is>
          <t>Manufacturer site + general market knowledge (verify on label)</t>
        </is>
      </c>
    </row>
    <row r="5" ht="26" customHeight="1">
      <c r="A5" s="8" t="inlineStr">
        <is>
          <t>Red Bull — Red Bull Sugarfree</t>
        </is>
      </c>
      <c r="B5" s="11" t="inlineStr"/>
      <c r="C5" s="8" t="inlineStr">
        <is>
          <t>Manufacturer site + general market knowledge (verify on label)</t>
        </is>
      </c>
    </row>
    <row r="6" ht="26" customHeight="1">
      <c r="A6" s="8" t="inlineStr">
        <is>
          <t>Monster — Monster Energy Original (Green)</t>
        </is>
      </c>
      <c r="B6" s="11" t="inlineStr"/>
      <c r="C6" s="8" t="inlineStr">
        <is>
          <t>Manufacturer site + general market knowledge (verify on label)</t>
        </is>
      </c>
    </row>
    <row r="7" ht="26" customHeight="1">
      <c r="A7" s="8" t="inlineStr">
        <is>
          <t>Monster — Monster Energy Ultra Zero (White)</t>
        </is>
      </c>
      <c r="B7" s="11" t="inlineStr"/>
      <c r="C7" s="8" t="inlineStr">
        <is>
          <t>Manufacturer site + general market knowledge (verify on label)</t>
        </is>
      </c>
    </row>
    <row r="8" ht="26" customHeight="1">
      <c r="A8" s="8" t="inlineStr">
        <is>
          <t>Celsius — Celsius Original Sparkling</t>
        </is>
      </c>
      <c r="B8" s="11" t="inlineStr"/>
      <c r="C8" s="8" t="inlineStr">
        <is>
          <t>Manufacturer site + general market knowledge (verify on label)</t>
        </is>
      </c>
    </row>
    <row r="9" ht="26" customHeight="1">
      <c r="A9" s="8" t="inlineStr">
        <is>
          <t>Celsius — Celsius Essentials</t>
        </is>
      </c>
      <c r="B9" s="11" t="inlineStr"/>
      <c r="C9" s="8" t="inlineStr">
        <is>
          <t>Manufacturer site + general market knowledge (verify on label)</t>
        </is>
      </c>
    </row>
    <row r="10" ht="26" customHeight="1">
      <c r="A10" s="8" t="inlineStr">
        <is>
          <t>Prime — Prime Energy</t>
        </is>
      </c>
      <c r="B10" s="11" t="inlineStr"/>
      <c r="C10" s="8" t="inlineStr">
        <is>
          <t>Manufacturer site + general market knowledge (verify on label)</t>
        </is>
      </c>
    </row>
    <row r="11" ht="26" customHeight="1">
      <c r="A11" s="8" t="inlineStr">
        <is>
          <t>C4 — C4 Energy (Performance)</t>
        </is>
      </c>
      <c r="B11" s="11" t="inlineStr"/>
      <c r="C11" s="8" t="inlineStr">
        <is>
          <t>Manufacturer site + general market knowledge (verify on label)</t>
        </is>
      </c>
    </row>
    <row r="12" ht="26" customHeight="1">
      <c r="A12" s="8" t="inlineStr">
        <is>
          <t>Reign — Reign Total Body Fuel</t>
        </is>
      </c>
      <c r="B12" s="11" t="inlineStr"/>
      <c r="C12" s="8" t="inlineStr">
        <is>
          <t>Manufacturer site + general market knowledge (verify on label)</t>
        </is>
      </c>
    </row>
    <row r="13" ht="26" customHeight="1">
      <c r="A13" s="8" t="inlineStr">
        <is>
          <t>Alani Nu — Alani Nu Energy</t>
        </is>
      </c>
      <c r="B13" s="11" t="inlineStr"/>
      <c r="C13" s="8" t="inlineStr">
        <is>
          <t>Manufacturer site + general market knowledge (verify on label)</t>
        </is>
      </c>
    </row>
    <row r="14" ht="26" customHeight="1">
      <c r="A14" s="8" t="inlineStr">
        <is>
          <t>Bang — Bang Energy</t>
        </is>
      </c>
      <c r="B14" s="11" t="inlineStr"/>
      <c r="C14" s="8" t="inlineStr">
        <is>
          <t>Manufacturer site + general market knowledge (verify on label)</t>
        </is>
      </c>
    </row>
    <row r="15" ht="26" customHeight="1">
      <c r="A15" s="8" t="inlineStr">
        <is>
          <t>Rockstar — Rockstar Energy</t>
        </is>
      </c>
      <c r="B15" s="11" t="inlineStr"/>
      <c r="C15" s="8" t="inlineStr">
        <is>
          <t>Manufacturer site + general market knowledge (verify on label)</t>
        </is>
      </c>
    </row>
    <row r="16" ht="26" customHeight="1">
      <c r="A16" s="8" t="inlineStr">
        <is>
          <t>GURU — GURU Organic Energy</t>
        </is>
      </c>
      <c r="B16" s="11" t="inlineStr"/>
      <c r="C16" s="8" t="inlineStr">
        <is>
          <t>Manufacturer site + general market knowledge (verify on label)</t>
        </is>
      </c>
    </row>
    <row r="17" ht="26" customHeight="1">
      <c r="A17" s="8" t="inlineStr">
        <is>
          <t>Guayakí — Guayakí Yerba Mate</t>
        </is>
      </c>
      <c r="B17" s="11" t="inlineStr"/>
      <c r="C17" s="8" t="inlineStr">
        <is>
          <t>Manufacturer site + general market knowledge (verify on label)</t>
        </is>
      </c>
    </row>
    <row r="18" ht="26" customHeight="1">
      <c r="A18" s="8" t="inlineStr">
        <is>
          <t>NOS — NOS Energy Drink</t>
        </is>
      </c>
      <c r="B18" s="11" t="inlineStr"/>
      <c r="C18" s="8" t="inlineStr">
        <is>
          <t>Manufacturer site + general market knowledge (verify on label)</t>
        </is>
      </c>
    </row>
    <row r="19" ht="26" customHeight="1">
      <c r="A19" s="8" t="inlineStr">
        <is>
          <t>Starbucks — Starbucks Doubleshot Espresso</t>
        </is>
      </c>
      <c r="B19" s="11" t="inlineStr"/>
      <c r="C19" s="8" t="inlineStr">
        <is>
          <t>Manufacturer site + general market knowledge (verify on label)</t>
        </is>
      </c>
    </row>
    <row r="20" ht="26" customHeight="1">
      <c r="A20" s="8" t="inlineStr">
        <is>
          <t>Gatorade — Gatorade Thirst Quencher</t>
        </is>
      </c>
      <c r="B20" s="11" t="inlineStr"/>
      <c r="C20" s="8" t="inlineStr">
        <is>
          <t>Manufacturer site + general market knowledge (verify on label)</t>
        </is>
      </c>
    </row>
    <row r="21" ht="26" customHeight="1">
      <c r="A21" s="8" t="inlineStr">
        <is>
          <t>Gatorade — Gatorade Zero Sugar</t>
        </is>
      </c>
      <c r="B21" s="11" t="inlineStr"/>
      <c r="C21" s="8" t="inlineStr">
        <is>
          <t>Manufacturer site + general market knowledge (verify on label)</t>
        </is>
      </c>
    </row>
    <row r="22" ht="26" customHeight="1">
      <c r="A22" s="8" t="inlineStr">
        <is>
          <t>Powerade — Powerade Mountain Berry Blast</t>
        </is>
      </c>
      <c r="B22" s="11" t="inlineStr"/>
      <c r="C22" s="8" t="inlineStr">
        <is>
          <t>Manufacturer site + general market knowledge (verify on label)</t>
        </is>
      </c>
    </row>
    <row r="23" ht="26" customHeight="1">
      <c r="A23" s="8" t="inlineStr">
        <is>
          <t>Powerade — Powerade Zero</t>
        </is>
      </c>
      <c r="B23" s="11" t="inlineStr"/>
      <c r="C23" s="8" t="inlineStr">
        <is>
          <t>Manufacturer site + general market knowledge (verify on label)</t>
        </is>
      </c>
    </row>
    <row r="24" ht="26" customHeight="1">
      <c r="A24" s="8" t="inlineStr">
        <is>
          <t>BODYARMOR — BODYARMOR Sports Drink</t>
        </is>
      </c>
      <c r="B24" s="11" t="inlineStr"/>
      <c r="C24" s="8" t="inlineStr">
        <is>
          <t>Manufacturer site + general market knowledge (verify on label)</t>
        </is>
      </c>
    </row>
    <row r="25" ht="26" customHeight="1">
      <c r="A25" s="8" t="inlineStr">
        <is>
          <t>BODYARMOR — BODYARMOR LYTE</t>
        </is>
      </c>
      <c r="B25" s="11" t="inlineStr"/>
      <c r="C25" s="8" t="inlineStr">
        <is>
          <t>Manufacturer site + general market knowledge (verify on label)</t>
        </is>
      </c>
    </row>
    <row r="26" ht="26" customHeight="1">
      <c r="A26" s="8" t="inlineStr">
        <is>
          <t>Prime — Prime Hydration</t>
        </is>
      </c>
      <c r="B26" s="11" t="inlineStr"/>
      <c r="C26" s="8" t="inlineStr">
        <is>
          <t>Manufacturer site + general market knowledge (verify on label)</t>
        </is>
      </c>
    </row>
    <row r="27" ht="26" customHeight="1">
      <c r="A27" s="8" t="inlineStr">
        <is>
          <t>Roar Organic — Roar Organic Electrolyte Infusions</t>
        </is>
      </c>
      <c r="B27" s="11" t="inlineStr"/>
      <c r="C27" s="8" t="inlineStr">
        <is>
          <t>Manufacturer site + general market knowledge (verify on label)</t>
        </is>
      </c>
    </row>
    <row r="28" ht="26" customHeight="1">
      <c r="A28" s="8" t="inlineStr">
        <is>
          <t>BioSteel — BioSteel Sports Drink (RTD)</t>
        </is>
      </c>
      <c r="B28" s="11" t="inlineStr"/>
      <c r="C28" s="8" t="inlineStr">
        <is>
          <t>Manufacturer site + general market knowledge (verify on label)</t>
        </is>
      </c>
    </row>
    <row r="29" ht="26" customHeight="1">
      <c r="A29" s="8" t="inlineStr">
        <is>
          <t>CWENCH — CWENCH Hydration</t>
        </is>
      </c>
      <c r="B29" s="11" t="inlineStr"/>
      <c r="C29" s="8" t="inlineStr">
        <is>
          <t>Manufacturer site + general market knowledge (verify on label)</t>
        </is>
      </c>
    </row>
    <row r="30" ht="26" customHeight="1">
      <c r="A30" s="8" t="inlineStr">
        <is>
          <t>Pedialyte — Pedialyte Electrolyte Solution</t>
        </is>
      </c>
      <c r="B30" s="11" t="inlineStr"/>
      <c r="C30" s="8" t="inlineStr">
        <is>
          <t>Manufacturer site + general market knowledge (verify on label)</t>
        </is>
      </c>
    </row>
    <row r="31" ht="26" customHeight="1">
      <c r="A31" s="8" t="inlineStr">
        <is>
          <t>Gatorade — Gatorlyte Rapid Rehydration</t>
        </is>
      </c>
      <c r="B31" s="11" t="inlineStr"/>
      <c r="C31" s="8" t="inlineStr">
        <is>
          <t>Manufacturer site + general market knowledge (verify on label)</t>
        </is>
      </c>
    </row>
    <row r="32" ht="26" customHeight="1">
      <c r="A32" s="8" t="inlineStr">
        <is>
          <t>Vita Coco — Vita Coco Pure Coconut Water</t>
        </is>
      </c>
      <c r="B32" s="11" t="inlineStr"/>
      <c r="C32" s="8" t="inlineStr">
        <is>
          <t>Manufacturer site + general market knowledge (verify on label)</t>
        </is>
      </c>
    </row>
    <row r="33" ht="26" customHeight="1">
      <c r="A33" s="8" t="inlineStr">
        <is>
          <t>OLIPOP — OLIPOP Prebiotic Soda</t>
        </is>
      </c>
      <c r="B33" s="11" t="inlineStr"/>
      <c r="C33" s="8" t="inlineStr">
        <is>
          <t>Manufacturer site + general market knowledge (verify on label)</t>
        </is>
      </c>
    </row>
    <row r="34" ht="26" customHeight="1">
      <c r="A34" s="8" t="inlineStr">
        <is>
          <t>Poppi — Poppi Prebiotic Soda</t>
        </is>
      </c>
      <c r="B34" s="11" t="inlineStr"/>
      <c r="C34" s="8" t="inlineStr">
        <is>
          <t>Manufacturer site + general market knowledge (verify on label)</t>
        </is>
      </c>
    </row>
    <row r="35" ht="26" customHeight="1">
      <c r="A35" s="8" t="inlineStr">
        <is>
          <t>Culture Pop — Culture Pop Probiotic Soda</t>
        </is>
      </c>
      <c r="B35" s="11" t="inlineStr"/>
      <c r="C35" s="8" t="inlineStr">
        <is>
          <t>Manufacturer site + general market knowledge (verify on label)</t>
        </is>
      </c>
    </row>
    <row r="36" ht="26" customHeight="1">
      <c r="A36" s="8" t="inlineStr">
        <is>
          <t>Mayawell — Mayawell Prebiotic Soda</t>
        </is>
      </c>
      <c r="B36" s="11" t="inlineStr"/>
      <c r="C36" s="8" t="inlineStr">
        <is>
          <t>Manufacturer site + general market knowledge (verify on label)</t>
        </is>
      </c>
    </row>
    <row r="37" ht="26" customHeight="1">
      <c r="A37" s="8" t="inlineStr">
        <is>
          <t>De La Calle — De La Calle Tepache</t>
        </is>
      </c>
      <c r="B37" s="11" t="inlineStr"/>
      <c r="C37" s="8" t="inlineStr">
        <is>
          <t>Manufacturer site + general market knowledge (verify on label)</t>
        </is>
      </c>
    </row>
    <row r="38" ht="26" customHeight="1">
      <c r="A38" s="8" t="inlineStr">
        <is>
          <t>GT's — GT's Synergy Raw Kombucha</t>
        </is>
      </c>
      <c r="B38" s="11" t="inlineStr"/>
      <c r="C38" s="8" t="inlineStr">
        <is>
          <t>Manufacturer site + general market knowledge (verify on label)</t>
        </is>
      </c>
    </row>
    <row r="39" ht="26" customHeight="1">
      <c r="A39" s="8" t="inlineStr">
        <is>
          <t>Health-Ade — Health-Ade Kombucha</t>
        </is>
      </c>
      <c r="B39" s="11" t="inlineStr"/>
      <c r="C39" s="8" t="inlineStr">
        <is>
          <t>Manufacturer site + general market knowledge (verify on label)</t>
        </is>
      </c>
    </row>
    <row r="40" ht="26" customHeight="1">
      <c r="A40" s="8" t="inlineStr">
        <is>
          <t>Remedy — Remedy Kombucha</t>
        </is>
      </c>
      <c r="B40" s="11" t="inlineStr"/>
      <c r="C40" s="8" t="inlineStr">
        <is>
          <t>Manufacturer site + general market knowledge (verify on label)</t>
        </is>
      </c>
    </row>
    <row r="41" ht="26" customHeight="1">
      <c r="A41" s="8" t="inlineStr">
        <is>
          <t>Recess — Recess Mood</t>
        </is>
      </c>
      <c r="B41" s="11" t="inlineStr"/>
      <c r="C41" s="8" t="inlineStr">
        <is>
          <t>Manufacturer site + general market knowledge (verify on label)</t>
        </is>
      </c>
    </row>
    <row r="42" ht="26" customHeight="1">
      <c r="A42" s="8" t="inlineStr">
        <is>
          <t>Protein2o — Protein2o Protein Infused Water</t>
        </is>
      </c>
      <c r="B42" s="11" t="inlineStr"/>
      <c r="C42" s="8" t="inlineStr">
        <is>
          <t>Manufacturer site + general market knowledge (verify on label)</t>
        </is>
      </c>
    </row>
    <row r="43" ht="26" customHeight="1">
      <c r="A43" s="8" t="inlineStr">
        <is>
          <t>vitaminwater — vitaminwater (glacéau)</t>
        </is>
      </c>
      <c r="B43" s="11" t="inlineStr"/>
      <c r="C43" s="8" t="inlineStr">
        <is>
          <t>Manufacturer site + general market knowledge (verify on label)</t>
        </is>
      </c>
    </row>
    <row r="44" ht="26" customHeight="1">
      <c r="A44" s="8" t="inlineStr">
        <is>
          <t>vitaminwater — vitaminwater zero sugar</t>
        </is>
      </c>
      <c r="B44" s="11" t="inlineStr"/>
      <c r="C44" s="8" t="inlineStr">
        <is>
          <t>Manufacturer site + general market knowledge (verify on label)</t>
        </is>
      </c>
    </row>
    <row r="45" ht="26" customHeight="1">
      <c r="A45" s="8" t="inlineStr">
        <is>
          <t>Bai — Bai Antioxidant Infusion</t>
        </is>
      </c>
      <c r="B45" s="11" t="inlineStr"/>
      <c r="C45" s="8" t="inlineStr">
        <is>
          <t>Manufacturer site + general market knowledge (verify on label)</t>
        </is>
      </c>
    </row>
    <row r="46" ht="26" customHeight="1">
      <c r="A46" s="8" t="inlineStr">
        <is>
          <t>Hint — Hint Water (fruit-infused)</t>
        </is>
      </c>
      <c r="B46" s="11" t="inlineStr"/>
      <c r="C46" s="8" t="inlineStr">
        <is>
          <t>Manufacturer site + general market knowledge (verify on label)</t>
        </is>
      </c>
    </row>
    <row r="47" ht="26" customHeight="1">
      <c r="A47" s="8" t="inlineStr">
        <is>
          <t>Spindrift — Spindrift Sparkling Water</t>
        </is>
      </c>
      <c r="B47" s="11" t="inlineStr"/>
      <c r="C47" s="8" t="inlineStr">
        <is>
          <t>Manufacturer site + general market knowledge (verify on label)</t>
        </is>
      </c>
    </row>
    <row r="48" ht="26" customHeight="1">
      <c r="A48" s="8" t="inlineStr">
        <is>
          <t>LaCroix — LaCroix Sparkling Water</t>
        </is>
      </c>
      <c r="B48" s="11" t="inlineStr"/>
      <c r="C48" s="8" t="inlineStr">
        <is>
          <t>Manufacturer site + general market knowledge (verify on label)</t>
        </is>
      </c>
    </row>
    <row r="49" ht="26" customHeight="1">
      <c r="A49" s="8" t="inlineStr">
        <is>
          <t>bubly — bubly Sparkling Water</t>
        </is>
      </c>
      <c r="B49" s="11" t="inlineStr"/>
      <c r="C49" s="8" t="inlineStr">
        <is>
          <t>Manufacturer site + general market knowledge (verify on label)</t>
        </is>
      </c>
    </row>
    <row r="50" ht="26" customHeight="1">
      <c r="A50" s="8" t="inlineStr">
        <is>
          <t>Waterloo — Waterloo Sparkling Water</t>
        </is>
      </c>
      <c r="B50" s="11" t="inlineStr"/>
      <c r="C50" s="8" t="inlineStr">
        <is>
          <t>Manufacturer site + general market knowledge (verify on label)</t>
        </is>
      </c>
    </row>
    <row r="51" ht="26" customHeight="1">
      <c r="A51" s="8" t="inlineStr">
        <is>
          <t>Perrier — Perrier Carbonated Mineral Water</t>
        </is>
      </c>
      <c r="B51" s="11" t="inlineStr"/>
      <c r="C51" s="8" t="inlineStr">
        <is>
          <t>Manufacturer site + general market knowledge (verify on label)</t>
        </is>
      </c>
    </row>
    <row r="52" ht="26" customHeight="1">
      <c r="A52" s="8" t="inlineStr">
        <is>
          <t>San Pellegrino — S.Pellegrino Sparkling Natural Mineral Water</t>
        </is>
      </c>
      <c r="B52" s="11" t="inlineStr"/>
      <c r="C52" s="8" t="inlineStr">
        <is>
          <t>Manufacturer site + general market knowledge (verify on label)</t>
        </is>
      </c>
    </row>
    <row r="53" ht="26" customHeight="1">
      <c r="A53" s="8" t="inlineStr">
        <is>
          <t>San Pellegrino — Sanpellegrino Aranciata (Italian Sparkling Drink)</t>
        </is>
      </c>
      <c r="B53" s="11" t="inlineStr"/>
      <c r="C53" s="8" t="inlineStr">
        <is>
          <t>Manufacturer site + general market knowledge (verify on label)</t>
        </is>
      </c>
    </row>
    <row r="54" ht="26" customHeight="1">
      <c r="A54" s="8" t="inlineStr">
        <is>
          <t>Liquid Death — Liquid Death Sparkling Water</t>
        </is>
      </c>
      <c r="B54" s="11" t="inlineStr"/>
      <c r="C54" s="8" t="inlineStr">
        <is>
          <t>Manufacturer site + general market knowledge (verify on label)</t>
        </is>
      </c>
    </row>
    <row r="55" ht="26" customHeight="1">
      <c r="A55" s="8" t="inlineStr">
        <is>
          <t>Liquid Death — Liquid Death Mountain Water (Still)</t>
        </is>
      </c>
      <c r="B55" s="11" t="inlineStr"/>
      <c r="C55" s="8" t="inlineStr">
        <is>
          <t>Manufacturer site + general market knowledge (verify on label)</t>
        </is>
      </c>
    </row>
    <row r="56" ht="26" customHeight="1">
      <c r="A56" s="8" t="inlineStr">
        <is>
          <t>Topo Chico — Topo Chico Mineral Water</t>
        </is>
      </c>
      <c r="B56" s="11" t="inlineStr"/>
      <c r="C56" s="8" t="inlineStr">
        <is>
          <t>Manufacturer site + general market knowledge (verify on label)</t>
        </is>
      </c>
    </row>
    <row r="57" ht="26" customHeight="1">
      <c r="A57" s="8" t="inlineStr">
        <is>
          <t>Polar — Polar Seltzer</t>
        </is>
      </c>
      <c r="B57" s="11" t="inlineStr"/>
      <c r="C57" s="8" t="inlineStr">
        <is>
          <t>Manufacturer site + general market knowledge (verify on label)</t>
        </is>
      </c>
    </row>
    <row r="58" ht="26" customHeight="1">
      <c r="A58" s="8" t="inlineStr">
        <is>
          <t>AHA — AHA Sparkling Water</t>
        </is>
      </c>
      <c r="B58" s="11" t="inlineStr"/>
      <c r="C58" s="8" t="inlineStr">
        <is>
          <t>Manufacturer site + general market knowledge (verify on label)</t>
        </is>
      </c>
    </row>
    <row r="59" ht="26" customHeight="1">
      <c r="A59" s="8" t="inlineStr">
        <is>
          <t>Montellier — Montellier Carbonated Natural Spring Water</t>
        </is>
      </c>
      <c r="B59" s="11" t="inlineStr"/>
      <c r="C59" s="8" t="inlineStr">
        <is>
          <t>Manufacturer site + general market knowledge (verify on label)</t>
        </is>
      </c>
    </row>
    <row r="60" ht="26" customHeight="1">
      <c r="A60" s="8" t="inlineStr">
        <is>
          <t>Eska — Eska Sparkling Spring Water</t>
        </is>
      </c>
      <c r="B60" s="11" t="inlineStr"/>
      <c r="C60" s="8" t="inlineStr">
        <is>
          <t>Manufacturer site + general market knowledge (verify on label)</t>
        </is>
      </c>
    </row>
    <row r="61" ht="26" customHeight="1">
      <c r="A61" s="8" t="inlineStr">
        <is>
          <t>Coca-Cola — Coca-Cola Classic</t>
        </is>
      </c>
      <c r="B61" s="11" t="inlineStr"/>
      <c r="C61" s="8" t="inlineStr">
        <is>
          <t>Manufacturer site + general market knowledge (verify on label)</t>
        </is>
      </c>
    </row>
    <row r="62" ht="26" customHeight="1">
      <c r="A62" s="8" t="inlineStr">
        <is>
          <t>Sparkling Ice — Sparkling Ice (+ Antioxidants &amp; Vitamins)</t>
        </is>
      </c>
      <c r="B62" s="11" t="inlineStr"/>
      <c r="C62" s="8" t="inlineStr">
        <is>
          <t>Manufacturer site + general market knowledge (verify on label)</t>
        </is>
      </c>
    </row>
    <row r="63" ht="26" customHeight="1">
      <c r="A63" s="8" t="inlineStr">
        <is>
          <t>BUBBL'R — BUBBL'R Antioxidant Sparkling Water</t>
        </is>
      </c>
      <c r="B63" s="11" t="inlineStr"/>
      <c r="C63" s="8" t="inlineStr">
        <is>
          <t>Manufacturer site + general market knowledge (verify on label)</t>
        </is>
      </c>
    </row>
    <row r="64" ht="26" customHeight="1">
      <c r="A64" s="8" t="inlineStr">
        <is>
          <t>Phocus — Phocus Caffeinated Sparkling Water</t>
        </is>
      </c>
      <c r="B64" s="11" t="inlineStr"/>
      <c r="C64" s="8" t="inlineStr">
        <is>
          <t>Manufacturer site + general market knowledge (verify on label)</t>
        </is>
      </c>
    </row>
    <row r="65" ht="26" customHeight="1">
      <c r="A65" s="8" t="inlineStr">
        <is>
          <t>Aura Bora — Aura Bora Herbal Sparkling Water</t>
        </is>
      </c>
      <c r="B65" s="11" t="inlineStr"/>
      <c r="C65" s="8" t="inlineStr">
        <is>
          <t>Manufacturer site + general market knowledge (verify on label)</t>
        </is>
      </c>
    </row>
    <row r="66" ht="26" customHeight="1">
      <c r="A66" s="8" t="inlineStr">
        <is>
          <t>Sound — Sound Sparkling Water (Tea/Botanical)</t>
        </is>
      </c>
      <c r="B66" s="11" t="inlineStr"/>
      <c r="C66" s="8" t="inlineStr">
        <is>
          <t>Manufacturer site + general market knowledge (verify on label)</t>
        </is>
      </c>
    </row>
    <row r="67" ht="26" customHeight="1">
      <c r="A67" s="8" t="inlineStr">
        <is>
          <t>Halo Sport — Halo Sport Sparkling Electrolyte Water</t>
        </is>
      </c>
      <c r="B67" s="11" t="inlineStr"/>
      <c r="C67" s="8" t="inlineStr">
        <is>
          <t>Manufacturer site + general market knowledge (verify on label)</t>
        </is>
      </c>
    </row>
    <row r="68" ht="26" customHeight="1">
      <c r="A68" s="8" t="inlineStr">
        <is>
          <t>Gorgie — Gorgie Energy Sparkling Water</t>
        </is>
      </c>
      <c r="B68" s="11" t="inlineStr"/>
      <c r="C68" s="8" t="inlineStr">
        <is>
          <t>Manufacturer site + general market knowledge (verify on label)</t>
        </is>
      </c>
    </row>
    <row r="69" ht="26" customHeight="1">
      <c r="A69" s="8" t="inlineStr">
        <is>
          <t>United Sodas — United Sodas of America</t>
        </is>
      </c>
      <c r="B69" s="11" t="inlineStr"/>
      <c r="C69" s="8" t="inlineStr">
        <is>
          <t>Manufacturer site + general market knowledge (verify on label)</t>
        </is>
      </c>
    </row>
  </sheetData>
  <autoFilter ref="A1:C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2026-06-05T14:26:48Z</dcterms:created>
  <dcterms:modified xsi:type="dcterms:W3CDTF">2026-06-05T14:26:48Z</dcterms:modified>
</cp:coreProperties>
</file>