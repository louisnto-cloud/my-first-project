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corecard" sheetId="2" state="visible" r:id="rId4"/>
    <sheet name="Criteria" sheetId="3" state="visible" r:id="rId5"/>
    <sheet name="Evidence" sheetId="4" state="visible" r:id="rId6"/>
    <sheet name="Ques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<sst xmlns="http://schemas.openxmlformats.org/spreadsheetml/2006/main" count="152" uniqueCount="117">
  <si>
    <t xml:space="preserve">Vietnam partner scorecard</t>
  </si>
  <si>
    <t xml:space="preserve">Score the existing partner's renewal plan and any new distributor side by side, on evidence. Internal only.</t>
  </si>
  <si>
    <t xml:space="preserve">HOW TO USE</t>
  </si>
  <si>
    <t xml:space="preserve">1</t>
  </si>
  <si>
    <t xml:space="preserve">After each meeting, enter a 1 to 5 score per criterion on the Scorecard tab (yellow cells). Leave blank what you have not verified.</t>
  </si>
  <si>
    <t xml:space="preserve">2</t>
  </si>
  <si>
    <t xml:space="preserve">Write the evidence behind each score on the Evidence tab. A score without evidence is an opinion; keep opinions out of this file.</t>
  </si>
  <si>
    <t xml:space="preserve">3</t>
  </si>
  <si>
    <t xml:space="preserve">Two criteria are must-pass gates (Registration terms, Financial strength). Any score below 3 on either fails the gate, whatever the total.</t>
  </si>
  <si>
    <t xml:space="preserve">4</t>
  </si>
  <si>
    <t xml:space="preserve">Weights are editable on the Criteria tab and must total 100%. The weighted score averages only the criteria you have scored.</t>
  </si>
  <si>
    <t xml:space="preserve">5</t>
  </si>
  <si>
    <t xml:space="preserve">Use the Questions tab in the meeting: each criterion lists the evidence to request.</t>
  </si>
  <si>
    <t xml:space="preserve">SCORING SCALE</t>
  </si>
  <si>
    <t xml:space="preserve">Proven with documents or references</t>
  </si>
  <si>
    <t xml:space="preserve">Strong, partly evidenced</t>
  </si>
  <si>
    <t xml:space="preserve">Adequate, or promised in writing</t>
  </si>
  <si>
    <t xml:space="preserve">Weak, or promised verbally only</t>
  </si>
  <si>
    <t xml:space="preserve">Absent or a red flag</t>
  </si>
  <si>
    <t xml:space="preserve">CELL LEGEND</t>
  </si>
  <si>
    <t xml:space="preserve">Yellow fill</t>
  </si>
  <si>
    <t xml:space="preserve">Input: a score or a weight</t>
  </si>
  <si>
    <t xml:space="preserve">Blue text</t>
  </si>
  <si>
    <t xml:space="preserve">Hardcoded input</t>
  </si>
  <si>
    <t xml:space="preserve">Black text</t>
  </si>
  <si>
    <t xml:space="preserve">Formula; do not overwrite</t>
  </si>
  <si>
    <t xml:space="preserve">CONFIDENTIALITY</t>
  </si>
  <si>
    <t xml:space="preserve">Internal</t>
  </si>
  <si>
    <t xml:space="preserve">Do not share outside Organika. Never show a candidate its own or another candidate's scores.</t>
  </si>
  <si>
    <t xml:space="preserve">Example column</t>
  </si>
  <si>
    <t xml:space="preserve">The Example column on the Scorecard is illustrative only, to show the format. It is not a real candidate.</t>
  </si>
  <si>
    <t xml:space="preserve">Scorecard</t>
  </si>
  <si>
    <t xml:space="preserve">Scores 1 to 5. Blank = not yet verified. Gate rows decide first; totals rank only gate passers.</t>
  </si>
  <si>
    <t xml:space="preserve">#</t>
  </si>
  <si>
    <t xml:space="preserve">Criterion</t>
  </si>
  <si>
    <t xml:space="preserve">Weight</t>
  </si>
  <si>
    <t xml:space="preserve">Must pass</t>
  </si>
  <si>
    <t xml:space="preserve">Existing partner (renewal plan)</t>
  </si>
  <si>
    <t xml:space="preserve">Candidate A</t>
  </si>
  <si>
    <t xml:space="preserve">Candidate B</t>
  </si>
  <si>
    <t xml:space="preserve">Candidate C</t>
  </si>
  <si>
    <t xml:space="preserve">Candidate D</t>
  </si>
  <si>
    <t xml:space="preserve">Example (illustrative)</t>
  </si>
  <si>
    <t xml:space="preserve">Pharmacy chain access</t>
  </si>
  <si>
    <t xml:space="preserve">Independent pharmacy reach</t>
  </si>
  <si>
    <t xml:space="preserve">Official ecommerce capability</t>
  </si>
  <si>
    <t xml:space="preserve">Registration terms</t>
  </si>
  <si>
    <t xml:space="preserve">Marketing investment and execution</t>
  </si>
  <si>
    <t xml:space="preserve">Portfolio fit and conflicts</t>
  </si>
  <si>
    <t xml:space="preserve">Financial strength and payment record</t>
  </si>
  <si>
    <t xml:space="preserve">Authenticity and price discipline</t>
  </si>
  <si>
    <t xml:space="preserve">Commitment and focus</t>
  </si>
  <si>
    <t xml:space="preserve">Criteria scored</t>
  </si>
  <si>
    <t xml:space="preserve">Weighted score (out of 5)</t>
  </si>
  <si>
    <t xml:space="preserve">Gate</t>
  </si>
  <si>
    <t xml:space="preserve">Rank (gate passers)</t>
  </si>
  <si>
    <t xml:space="preserve">n/a</t>
  </si>
  <si>
    <t xml:space="preserve">Helper: score if gate passed</t>
  </si>
  <si>
    <t xml:space="preserve">Criteria and weights</t>
  </si>
  <si>
    <t xml:space="preserve">What a 5 looks like</t>
  </si>
  <si>
    <t xml:space="preserve">What a 1 looks like</t>
  </si>
  <si>
    <t xml:space="preserve">Primer anchor</t>
  </si>
  <si>
    <t xml:space="preserve">Lists supplements at Long Chau and Pharmacity today, with named buyer contacts</t>
  </si>
  <si>
    <t xml:space="preserve">No chain listings; independents only</t>
  </si>
  <si>
    <t xml:space="preserve">Ch2.1, Ch8.1</t>
  </si>
  <si>
    <t xml:space="preserve">National rep force covering Hapulico and Tô Hiến Thành hubs and tier 2 cities</t>
  </si>
  <si>
    <t xml:space="preserve">One city, no reps</t>
  </si>
  <si>
    <t xml:space="preserve">Ch2.6</t>
  </si>
  <si>
    <t xml:space="preserve">Runs official Shopee Mall and TikTok Shop stores for other brands, with livestream experience</t>
  </si>
  <si>
    <t xml:space="preserve">No official stores</t>
  </si>
  <si>
    <t xml:space="preserve">Ch2.7–2.9</t>
  </si>
  <si>
    <t xml:space="preserve">YES</t>
  </si>
  <si>
    <t xml:space="preserve">Agrees in writing that Organika (or an independent agent) holds registrations, with a handover clause</t>
  </si>
  <si>
    <t xml:space="preserve">Insists on holding registrations with no handover</t>
  </si>
  <si>
    <t xml:space="preserve">Ch5.3, Ch8.2</t>
  </si>
  <si>
    <t xml:space="preserve">Funds and runs pharmacist education and compliant KOC programs; shows dossier matched ad approvals</t>
  </si>
  <si>
    <t xml:space="preserve">No marketing capability</t>
  </si>
  <si>
    <t xml:space="preserve">Ch4 W4, Ch5.4</t>
  </si>
  <si>
    <t xml:space="preserve">No competing collagen or magnesium brand; complementary categories</t>
  </si>
  <si>
    <t xml:space="preserve">Carries a direct competitor in lead SKUs</t>
  </si>
  <si>
    <t xml:space="preserve">Ch3</t>
  </si>
  <si>
    <t xml:space="preserve">Pays to terms on deposit or L/C; trade references check out</t>
  </si>
  <si>
    <t xml:space="preserve">Late payments, no references</t>
  </si>
  <si>
    <t xml:space="preserve">Ch8.1</t>
  </si>
  <si>
    <t xml:space="preserve">QR or GS1 authenticity program; enforces a price ladder; acts on grey market</t>
  </si>
  <si>
    <t xml:space="preserve">No authenticity controls</t>
  </si>
  <si>
    <t xml:space="preserve">Ch4 W2, F9</t>
  </si>
  <si>
    <t xml:space="preserve">Names one accountable brand owner; agrees quarterly reviews and volume milestones</t>
  </si>
  <si>
    <t xml:space="preserve">Organika would be a filler line</t>
  </si>
  <si>
    <t xml:space="preserve">Ch8.2, Ch4 W4</t>
  </si>
  <si>
    <t xml:space="preserve">Total (must be 100%)</t>
  </si>
  <si>
    <t xml:space="preserve">Evidence log</t>
  </si>
  <si>
    <t xml:space="preserve">One line per fact. Source and date for each. Facts only: no opinions about people.</t>
  </si>
  <si>
    <t xml:space="preserve">Date</t>
  </si>
  <si>
    <t xml:space="preserve">Candidate</t>
  </si>
  <si>
    <t xml:space="preserve">Evidence (fact, not opinion)</t>
  </si>
  <si>
    <t xml:space="preserve">Source / document</t>
  </si>
  <si>
    <t xml:space="preserve">Verified?</t>
  </si>
  <si>
    <t xml:space="preserve">Meeting questions, by criterion</t>
  </si>
  <si>
    <t xml:space="preserve">Ask for the evidence, not the claim. Rehearse the objection drill in the primer (Ch8.6) alongside these.</t>
  </si>
  <si>
    <t xml:space="preserve">Question</t>
  </si>
  <si>
    <t xml:space="preserve">Answer heard</t>
  </si>
  <si>
    <t xml:space="preserve">Evidence requested</t>
  </si>
  <si>
    <t xml:space="preserve">Which supplement brands do you list at Long Chau and Pharmacity today, and since when?</t>
  </si>
  <si>
    <t xml:space="preserve">Who are your buyer contacts there, and what did the last listing take?</t>
  </si>
  <si>
    <t xml:space="preserve">How many reps, in which regions? Which wholesale hubs do you supply?</t>
  </si>
  <si>
    <t xml:space="preserve">Which brands do you run official Shopee and TikTok stores for? Can we see the stores?</t>
  </si>
  <si>
    <t xml:space="preserve">Have you cleared TikTok Shop restricted category approval for supplements?</t>
  </si>
  <si>
    <t xml:space="preserve">Will you agree in writing that Organika or an independent agent holds the registrations, with a handover clause?</t>
  </si>
  <si>
    <t xml:space="preserve">Which consultant do you use, and what turnaround are you seeing on new TPBVSK dossiers right now?</t>
  </si>
  <si>
    <t xml:space="preserve">How will dossiers in progress transition when the new food safety law takes effect?</t>
  </si>
  <si>
    <t xml:space="preserve">What pharmacist education or KOC programs have you run, and how did you get the ad content approved?</t>
  </si>
  <si>
    <t xml:space="preserve">What would you co invest at launch?</t>
  </si>
  <si>
    <t xml:space="preserve">Which collagen and magnesium brands do you carry or plan to carry?</t>
  </si>
  <si>
    <t xml:space="preserve">What payment terms do you run with other principals? Can you share two trade references?</t>
  </si>
  <si>
    <t xml:space="preserve">How do you handle grey market and counterfeit stock for the brands you carry today?</t>
  </si>
  <si>
    <t xml:space="preserve">Who would own Organika day to day? What volume milestones would you commit to for exclusivity?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</si>
</sst>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General"/>
    <numFmt numFmtId="167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D3A"/>
      <name val="Arial"/>
      <family val="0"/>
      <charset val="1"/>
    </font>
    <font>
      <i val="true"/>
      <sz val="9"/>
      <color rgb="FF5C635C"/>
      <name val="Arial"/>
      <family val="0"/>
      <charset val="1"/>
    </font>
    <font>
      <b val="true"/>
      <sz val="11"/>
      <color rgb="FFC56A4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B3402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5C635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D3A"/>
        <bgColor rgb="FF333300"/>
      </patternFill>
    </fill>
    <fill>
      <patternFill patternType="solid">
        <fgColor rgb="FFFFF2CC"/>
        <bgColor rgb="FFFBEDE7"/>
      </patternFill>
    </fill>
    <fill>
      <patternFill patternType="solid">
        <fgColor rgb="FFEEF0EC"/>
        <bgColor rgb="FFE8F0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B3402F"/>
        <sz val="10"/>
      </font>
      <fill>
        <patternFill>
          <bgColor rgb="FFFBEDE7"/>
        </patternFill>
      </fill>
    </dxf>
    <dxf>
      <font>
        <name val="Arial"/>
        <charset val="1"/>
        <family val="0"/>
        <b val="1"/>
        <color rgb="FF1F4D3A"/>
        <sz val="10"/>
      </font>
      <fill>
        <patternFill>
          <bgColor rgb="FFE8F0E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F0E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0EC"/>
      <rgbColor rgb="FFCCFFCC"/>
      <rgbColor rgb="FFFBED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6A45"/>
      <rgbColor rgb="FF5C635C"/>
      <rgbColor rgb="FF969696"/>
      <rgbColor rgb="FF003366"/>
      <rgbColor rgb="FF339966"/>
      <rgbColor rgb="FF003300"/>
      <rgbColor rgb="FF333300"/>
      <rgbColor rgb="FFB3402F"/>
      <rgbColor rgb="FF993366"/>
      <rgbColor rgb="FF333399"/>
      <rgbColor rgb="FF1F4D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4" t="s">
        <v>11</v>
      </c>
      <c r="B9" s="5" t="s">
        <v>12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3" t="s">
        <v>13</v>
      </c>
    </row>
    <row r="12" customFormat="false" ht="15" hidden="false" customHeight="false" outlineLevel="0" collapsed="false">
      <c r="A12" s="4" t="s">
        <v>11</v>
      </c>
      <c r="B12" s="5" t="s">
        <v>14</v>
      </c>
    </row>
    <row r="13" customFormat="false" ht="15" hidden="false" customHeight="false" outlineLevel="0" collapsed="false">
      <c r="A13" s="4" t="s">
        <v>9</v>
      </c>
      <c r="B13" s="5" t="s">
        <v>15</v>
      </c>
    </row>
    <row r="14" customFormat="false" ht="15" hidden="false" customHeight="false" outlineLevel="0" collapsed="false">
      <c r="A14" s="4" t="s">
        <v>7</v>
      </c>
      <c r="B14" s="5" t="s">
        <v>16</v>
      </c>
    </row>
    <row r="15" customFormat="false" ht="15" hidden="false" customHeight="false" outlineLevel="0" collapsed="false">
      <c r="A15" s="4" t="s">
        <v>5</v>
      </c>
      <c r="B15" s="5" t="s">
        <v>17</v>
      </c>
    </row>
    <row r="16" customFormat="false" ht="15" hidden="false" customHeight="false" outlineLevel="0" collapsed="false">
      <c r="A16" s="4" t="s">
        <v>3</v>
      </c>
      <c r="B16" s="5" t="s">
        <v>18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3" t="s">
        <v>19</v>
      </c>
    </row>
    <row r="19" customFormat="false" ht="15" hidden="false" customHeight="false" outlineLevel="0" collapsed="false">
      <c r="A19" s="4" t="s">
        <v>20</v>
      </c>
      <c r="B19" s="5" t="s">
        <v>21</v>
      </c>
    </row>
    <row r="20" customFormat="false" ht="15" hidden="false" customHeight="false" outlineLevel="0" collapsed="false">
      <c r="A20" s="4" t="s">
        <v>22</v>
      </c>
      <c r="B20" s="5" t="s">
        <v>23</v>
      </c>
    </row>
    <row r="21" customFormat="false" ht="15" hidden="false" customHeight="false" outlineLevel="0" collapsed="false">
      <c r="A21" s="4" t="s">
        <v>24</v>
      </c>
      <c r="B21" s="5" t="s">
        <v>25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3" t="s">
        <v>26</v>
      </c>
    </row>
    <row r="24" customFormat="false" ht="15" hidden="false" customHeight="false" outlineLevel="0" collapsed="false">
      <c r="A24" s="4" t="s">
        <v>27</v>
      </c>
      <c r="B24" s="5" t="s">
        <v>28</v>
      </c>
    </row>
    <row r="25" customFormat="false" ht="15" hidden="false" customHeight="false" outlineLevel="0" collapsed="false">
      <c r="A25" s="4" t="s">
        <v>29</v>
      </c>
      <c r="B25" s="5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4" min="3" style="0" width="9"/>
    <col collapsed="false" customWidth="true" hidden="false" outlineLevel="0" max="10" min="5" style="0" width="17"/>
  </cols>
  <sheetData>
    <row r="1" customFormat="false" ht="17.3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31.5" hidden="false" customHeight="true" outlineLevel="0" collapsed="false">
      <c r="A4" s="6" t="s">
        <v>33</v>
      </c>
      <c r="B4" s="6" t="s">
        <v>34</v>
      </c>
      <c r="C4" s="6" t="s">
        <v>35</v>
      </c>
      <c r="D4" s="6" t="s">
        <v>36</v>
      </c>
      <c r="E4" s="6" t="s">
        <v>37</v>
      </c>
      <c r="F4" s="6" t="s">
        <v>38</v>
      </c>
      <c r="G4" s="6" t="s">
        <v>39</v>
      </c>
      <c r="H4" s="6" t="s">
        <v>40</v>
      </c>
      <c r="I4" s="6" t="s">
        <v>41</v>
      </c>
      <c r="J4" s="6" t="s">
        <v>42</v>
      </c>
    </row>
    <row r="5" customFormat="false" ht="15" hidden="false" customHeight="false" outlineLevel="0" collapsed="false">
      <c r="A5" s="7" t="n">
        <v>1</v>
      </c>
      <c r="B5" s="8" t="s">
        <v>43</v>
      </c>
      <c r="C5" s="9" t="n">
        <f aca="false">Criteria!C4</f>
        <v>0.15</v>
      </c>
      <c r="D5" s="10" t="n">
        <f aca="false">Criteria!D4</f>
        <v>0</v>
      </c>
      <c r="E5" s="11"/>
      <c r="F5" s="11"/>
      <c r="G5" s="11"/>
      <c r="H5" s="11"/>
      <c r="I5" s="11"/>
      <c r="J5" s="12" t="n">
        <v>4</v>
      </c>
    </row>
    <row r="6" customFormat="false" ht="15" hidden="false" customHeight="false" outlineLevel="0" collapsed="false">
      <c r="A6" s="7" t="n">
        <v>2</v>
      </c>
      <c r="B6" s="8" t="s">
        <v>44</v>
      </c>
      <c r="C6" s="9" t="n">
        <f aca="false">Criteria!C5</f>
        <v>0.1</v>
      </c>
      <c r="D6" s="10" t="n">
        <f aca="false">Criteria!D5</f>
        <v>0</v>
      </c>
      <c r="E6" s="11"/>
      <c r="F6" s="11"/>
      <c r="G6" s="11"/>
      <c r="H6" s="11"/>
      <c r="I6" s="11"/>
      <c r="J6" s="12" t="n">
        <v>3</v>
      </c>
    </row>
    <row r="7" customFormat="false" ht="15" hidden="false" customHeight="false" outlineLevel="0" collapsed="false">
      <c r="A7" s="7" t="n">
        <v>3</v>
      </c>
      <c r="B7" s="8" t="s">
        <v>45</v>
      </c>
      <c r="C7" s="9" t="n">
        <f aca="false">Criteria!C6</f>
        <v>0.12</v>
      </c>
      <c r="D7" s="10" t="n">
        <f aca="false">Criteria!D6</f>
        <v>0</v>
      </c>
      <c r="E7" s="11"/>
      <c r="F7" s="11"/>
      <c r="G7" s="11"/>
      <c r="H7" s="11"/>
      <c r="I7" s="11"/>
      <c r="J7" s="12" t="n">
        <v>2</v>
      </c>
    </row>
    <row r="8" customFormat="false" ht="15" hidden="false" customHeight="false" outlineLevel="0" collapsed="false">
      <c r="A8" s="7" t="n">
        <v>4</v>
      </c>
      <c r="B8" s="8" t="s">
        <v>46</v>
      </c>
      <c r="C8" s="9" t="n">
        <f aca="false">Criteria!C7</f>
        <v>0.15</v>
      </c>
      <c r="D8" s="10" t="str">
        <f aca="false">Criteria!D7</f>
        <v>YES</v>
      </c>
      <c r="E8" s="11"/>
      <c r="F8" s="11"/>
      <c r="G8" s="11"/>
      <c r="H8" s="11"/>
      <c r="I8" s="11"/>
      <c r="J8" s="12" t="n">
        <v>4</v>
      </c>
    </row>
    <row r="9" customFormat="false" ht="15" hidden="false" customHeight="false" outlineLevel="0" collapsed="false">
      <c r="A9" s="7" t="n">
        <v>5</v>
      </c>
      <c r="B9" s="8" t="s">
        <v>47</v>
      </c>
      <c r="C9" s="9" t="n">
        <f aca="false">Criteria!C8</f>
        <v>0.1</v>
      </c>
      <c r="D9" s="10" t="n">
        <f aca="false">Criteria!D8</f>
        <v>0</v>
      </c>
      <c r="E9" s="11"/>
      <c r="F9" s="11"/>
      <c r="G9" s="11"/>
      <c r="H9" s="11"/>
      <c r="I9" s="11"/>
      <c r="J9" s="12" t="n">
        <v>3</v>
      </c>
    </row>
    <row r="10" customFormat="false" ht="15" hidden="false" customHeight="false" outlineLevel="0" collapsed="false">
      <c r="A10" s="7" t="n">
        <v>6</v>
      </c>
      <c r="B10" s="8" t="s">
        <v>48</v>
      </c>
      <c r="C10" s="9" t="n">
        <f aca="false">Criteria!C9</f>
        <v>0.1</v>
      </c>
      <c r="D10" s="10" t="n">
        <f aca="false">Criteria!D9</f>
        <v>0</v>
      </c>
      <c r="E10" s="11"/>
      <c r="F10" s="11"/>
      <c r="G10" s="11"/>
      <c r="H10" s="11"/>
      <c r="I10" s="11"/>
      <c r="J10" s="12" t="n">
        <v>5</v>
      </c>
    </row>
    <row r="11" customFormat="false" ht="15" hidden="false" customHeight="false" outlineLevel="0" collapsed="false">
      <c r="A11" s="7" t="n">
        <v>7</v>
      </c>
      <c r="B11" s="8" t="s">
        <v>49</v>
      </c>
      <c r="C11" s="9" t="n">
        <f aca="false">Criteria!C10</f>
        <v>0.1</v>
      </c>
      <c r="D11" s="10" t="str">
        <f aca="false">Criteria!D10</f>
        <v>YES</v>
      </c>
      <c r="E11" s="11"/>
      <c r="F11" s="11"/>
      <c r="G11" s="11"/>
      <c r="H11" s="11"/>
      <c r="I11" s="11"/>
      <c r="J11" s="12" t="n">
        <v>4</v>
      </c>
    </row>
    <row r="12" customFormat="false" ht="15" hidden="false" customHeight="false" outlineLevel="0" collapsed="false">
      <c r="A12" s="7" t="n">
        <v>8</v>
      </c>
      <c r="B12" s="8" t="s">
        <v>50</v>
      </c>
      <c r="C12" s="9" t="n">
        <f aca="false">Criteria!C11</f>
        <v>0.08</v>
      </c>
      <c r="D12" s="10" t="n">
        <f aca="false">Criteria!D11</f>
        <v>0</v>
      </c>
      <c r="E12" s="11"/>
      <c r="F12" s="11"/>
      <c r="G12" s="11"/>
      <c r="H12" s="11"/>
      <c r="I12" s="11"/>
      <c r="J12" s="12" t="n">
        <v>2</v>
      </c>
    </row>
    <row r="13" customFormat="false" ht="15" hidden="false" customHeight="false" outlineLevel="0" collapsed="false">
      <c r="A13" s="7" t="n">
        <v>9</v>
      </c>
      <c r="B13" s="8" t="s">
        <v>51</v>
      </c>
      <c r="C13" s="9" t="n">
        <f aca="false">Criteria!C12</f>
        <v>0.1</v>
      </c>
      <c r="D13" s="10" t="n">
        <f aca="false">Criteria!D12</f>
        <v>0</v>
      </c>
      <c r="E13" s="11"/>
      <c r="F13" s="11"/>
      <c r="G13" s="11"/>
      <c r="H13" s="11"/>
      <c r="I13" s="11"/>
      <c r="J13" s="12" t="n">
        <v>4</v>
      </c>
    </row>
    <row r="15" customFormat="false" ht="15" hidden="false" customHeight="false" outlineLevel="0" collapsed="false">
      <c r="B15" s="4" t="s">
        <v>52</v>
      </c>
      <c r="E15" s="13" t="str">
        <f aca="false">COUNT(E5:E13)&amp;" of 9"</f>
        <v>0 of 9</v>
      </c>
      <c r="F15" s="13" t="str">
        <f aca="false">COUNT(F5:F13)&amp;" of 9"</f>
        <v>0 of 9</v>
      </c>
      <c r="G15" s="13" t="str">
        <f aca="false">COUNT(G5:G13)&amp;" of 9"</f>
        <v>0 of 9</v>
      </c>
      <c r="H15" s="13" t="str">
        <f aca="false">COUNT(H5:H13)&amp;" of 9"</f>
        <v>0 of 9</v>
      </c>
      <c r="I15" s="13" t="str">
        <f aca="false">COUNT(I5:I13)&amp;" of 9"</f>
        <v>0 of 9</v>
      </c>
      <c r="J15" s="13" t="str">
        <f aca="false">COUNT(J5:J13)&amp;" of 9"</f>
        <v>9 of 9</v>
      </c>
    </row>
    <row r="16" customFormat="false" ht="15" hidden="false" customHeight="false" outlineLevel="0" collapsed="false">
      <c r="B16" s="4" t="s">
        <v>53</v>
      </c>
      <c r="E16" s="14" t="str">
        <f aca="false">IF(COUNT(E5:E13)=0,"",SUMPRODUCT(E5:E13,$C$5:$C$13)/SUMPRODUCT(--(E5:E13&lt;&gt;""),$C$5:$C$13))</f>
        <v/>
      </c>
      <c r="F16" s="14" t="str">
        <f aca="false">IF(COUNT(F5:F13)=0,"",SUMPRODUCT(F5:F13,$C$5:$C$13)/SUMPRODUCT(--(F5:F13&lt;&gt;""),$C$5:$C$13))</f>
        <v/>
      </c>
      <c r="G16" s="14" t="str">
        <f aca="false">IF(COUNT(G5:G13)=0,"",SUMPRODUCT(G5:G13,$C$5:$C$13)/SUMPRODUCT(--(G5:G13&lt;&gt;""),$C$5:$C$13))</f>
        <v/>
      </c>
      <c r="H16" s="14" t="str">
        <f aca="false">IF(COUNT(H5:H13)=0,"",SUMPRODUCT(H5:H13,$C$5:$C$13)/SUMPRODUCT(--(H5:H13&lt;&gt;""),$C$5:$C$13))</f>
        <v/>
      </c>
      <c r="I16" s="14" t="str">
        <f aca="false">IF(COUNT(I5:I13)=0,"",SUMPRODUCT(I5:I13,$C$5:$C$13)/SUMPRODUCT(--(I5:I13&lt;&gt;""),$C$5:$C$13))</f>
        <v/>
      </c>
      <c r="J16" s="14" t="n">
        <f aca="false">IF(COUNT(J5:J13)=0,"",SUMPRODUCT(J5:J13,$C$5:$C$13)/SUMPRODUCT(--(J5:J13&lt;&gt;""),$C$5:$C$13))</f>
        <v>3.5</v>
      </c>
    </row>
    <row r="17" customFormat="false" ht="15" hidden="false" customHeight="false" outlineLevel="0" collapsed="false">
      <c r="B17" s="4" t="s">
        <v>54</v>
      </c>
      <c r="E17" s="13" t="str">
        <f aca="false">IF(COUNT(E5:E13)=0,"",IF(OR(AND(ISNUMBER(E8),E8&lt;3),AND(ISNUMBER(E11),E11&lt;3)),"FAILS GATE",IF(OR(ISBLANK(E8),ISBLANK(E11)),"Gate not yet scored","Passes gate")))</f>
        <v/>
      </c>
      <c r="F17" s="13" t="str">
        <f aca="false">IF(COUNT(F5:F13)=0,"",IF(OR(AND(ISNUMBER(F8),F8&lt;3),AND(ISNUMBER(F11),F11&lt;3)),"FAILS GATE",IF(OR(ISBLANK(F8),ISBLANK(F11)),"Gate not yet scored","Passes gate")))</f>
        <v/>
      </c>
      <c r="G17" s="13" t="str">
        <f aca="false">IF(COUNT(G5:G13)=0,"",IF(OR(AND(ISNUMBER(G8),G8&lt;3),AND(ISNUMBER(G11),G11&lt;3)),"FAILS GATE",IF(OR(ISBLANK(G8),ISBLANK(G11)),"Gate not yet scored","Passes gate")))</f>
        <v/>
      </c>
      <c r="H17" s="13" t="str">
        <f aca="false">IF(COUNT(H5:H13)=0,"",IF(OR(AND(ISNUMBER(H8),H8&lt;3),AND(ISNUMBER(H11),H11&lt;3)),"FAILS GATE",IF(OR(ISBLANK(H8),ISBLANK(H11)),"Gate not yet scored","Passes gate")))</f>
        <v/>
      </c>
      <c r="I17" s="13" t="str">
        <f aca="false">IF(COUNT(I5:I13)=0,"",IF(OR(AND(ISNUMBER(I8),I8&lt;3),AND(ISNUMBER(I11),I11&lt;3)),"FAILS GATE",IF(OR(ISBLANK(I8),ISBLANK(I11)),"Gate not yet scored","Passes gate")))</f>
        <v/>
      </c>
      <c r="J17" s="13" t="str">
        <f aca="false">IF(COUNT(J5:J13)=0,"",IF(OR(AND(ISNUMBER(J8),J8&lt;3),AND(ISNUMBER(J11),J11&lt;3)),"FAILS GATE",IF(OR(ISBLANK(J8),ISBLANK(J11)),"Gate not yet scored","Passes gate")))</f>
        <v>Passes gate</v>
      </c>
    </row>
    <row r="18" customFormat="false" ht="15" hidden="false" customHeight="false" outlineLevel="0" collapsed="false">
      <c r="B18" s="4" t="s">
        <v>55</v>
      </c>
      <c r="E18" s="15" t="str">
        <f aca="false">IF(ISNUMBER(E20),RANK(E20,$E$20:$I$20),"")</f>
        <v/>
      </c>
      <c r="F18" s="15" t="str">
        <f aca="false">IF(ISNUMBER(F20),RANK(F20,$E$20:$I$20),"")</f>
        <v/>
      </c>
      <c r="G18" s="15" t="str">
        <f aca="false">IF(ISNUMBER(G20),RANK(G20,$E$20:$I$20),"")</f>
        <v/>
      </c>
      <c r="H18" s="15" t="str">
        <f aca="false">IF(ISNUMBER(H20),RANK(H20,$E$20:$I$20),"")</f>
        <v/>
      </c>
      <c r="I18" s="15" t="str">
        <f aca="false">IF(ISNUMBER(I20),RANK(I20,$E$20:$I$20),"")</f>
        <v/>
      </c>
      <c r="J18" s="16" t="s">
        <v>56</v>
      </c>
    </row>
    <row r="20" customFormat="false" ht="15" hidden="false" customHeight="false" outlineLevel="0" collapsed="false">
      <c r="B20" s="2" t="s">
        <v>57</v>
      </c>
      <c r="E20" s="17" t="str">
        <f aca="false">IF(E17="Passes gate",E16,"")</f>
        <v/>
      </c>
      <c r="F20" s="17" t="str">
        <f aca="false">IF(F17="Passes gate",F16,"")</f>
        <v/>
      </c>
      <c r="G20" s="17" t="str">
        <f aca="false">IF(G17="Passes gate",G16,"")</f>
        <v/>
      </c>
      <c r="H20" s="17" t="str">
        <f aca="false">IF(H17="Passes gate",H16,"")</f>
        <v/>
      </c>
      <c r="I20" s="17" t="str">
        <f aca="false">IF(I17="Passes gate",I16,"")</f>
        <v/>
      </c>
    </row>
  </sheetData>
  <conditionalFormatting sqref="E17:J17">
    <cfRule type="cellIs" priority="2" operator="equal" aboveAverage="0" equalAverage="0" bottom="0" percent="0" rank="0" text="" dxfId="0">
      <formula>"FAILS GATE"</formula>
    </cfRule>
    <cfRule type="cellIs" priority="3" operator="equal" aboveAverage="0" equalAverage="0" bottom="0" percent="0" rank="0" text="" dxfId="1">
      <formula>"Passes gate"</formula>
    </cfRule>
  </conditionalFormatting>
  <dataValidations count="1">
    <dataValidation allowBlank="true" error="Enter a whole number from 1 to 5, or leave blank." errorStyle="stop" errorTitle="Score 1 to 5" operator="between" showDropDown="false" showErrorMessage="true" showInputMessage="false" sqref="E5:I13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4" min="3" style="0" width="9"/>
    <col collapsed="false" customWidth="true" hidden="false" outlineLevel="0" max="5" min="5" style="0" width="46"/>
    <col collapsed="false" customWidth="true" hidden="false" outlineLevel="0" max="6" min="6" style="0" width="34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58</v>
      </c>
    </row>
    <row r="3" customFormat="false" ht="23.85" hidden="false" customHeight="false" outlineLevel="0" collapsed="false">
      <c r="A3" s="18" t="s">
        <v>33</v>
      </c>
      <c r="B3" s="18" t="s">
        <v>34</v>
      </c>
      <c r="C3" s="18" t="s">
        <v>35</v>
      </c>
      <c r="D3" s="18" t="s">
        <v>36</v>
      </c>
      <c r="E3" s="18" t="s">
        <v>59</v>
      </c>
      <c r="F3" s="18" t="s">
        <v>60</v>
      </c>
      <c r="G3" s="18" t="s">
        <v>61</v>
      </c>
    </row>
    <row r="4" customFormat="false" ht="23.85" hidden="false" customHeight="false" outlineLevel="0" collapsed="false">
      <c r="A4" s="19" t="n">
        <v>1</v>
      </c>
      <c r="B4" s="20" t="s">
        <v>43</v>
      </c>
      <c r="C4" s="21" t="n">
        <v>0.15</v>
      </c>
      <c r="D4" s="19"/>
      <c r="E4" s="19" t="s">
        <v>62</v>
      </c>
      <c r="F4" s="19" t="s">
        <v>63</v>
      </c>
      <c r="G4" s="22" t="s">
        <v>64</v>
      </c>
    </row>
    <row r="5" customFormat="false" ht="23.85" hidden="false" customHeight="false" outlineLevel="0" collapsed="false">
      <c r="A5" s="19" t="n">
        <v>2</v>
      </c>
      <c r="B5" s="20" t="s">
        <v>44</v>
      </c>
      <c r="C5" s="21" t="n">
        <v>0.1</v>
      </c>
      <c r="D5" s="19"/>
      <c r="E5" s="19" t="s">
        <v>65</v>
      </c>
      <c r="F5" s="19" t="s">
        <v>66</v>
      </c>
      <c r="G5" s="22" t="s">
        <v>67</v>
      </c>
    </row>
    <row r="6" customFormat="false" ht="23.85" hidden="false" customHeight="false" outlineLevel="0" collapsed="false">
      <c r="A6" s="19" t="n">
        <v>3</v>
      </c>
      <c r="B6" s="20" t="s">
        <v>45</v>
      </c>
      <c r="C6" s="21" t="n">
        <v>0.12</v>
      </c>
      <c r="D6" s="19"/>
      <c r="E6" s="19" t="s">
        <v>68</v>
      </c>
      <c r="F6" s="19" t="s">
        <v>69</v>
      </c>
      <c r="G6" s="22" t="s">
        <v>70</v>
      </c>
    </row>
    <row r="7" customFormat="false" ht="23.85" hidden="false" customHeight="false" outlineLevel="0" collapsed="false">
      <c r="A7" s="19" t="n">
        <v>4</v>
      </c>
      <c r="B7" s="20" t="s">
        <v>46</v>
      </c>
      <c r="C7" s="21" t="n">
        <v>0.15</v>
      </c>
      <c r="D7" s="23" t="s">
        <v>71</v>
      </c>
      <c r="E7" s="19" t="s">
        <v>72</v>
      </c>
      <c r="F7" s="19" t="s">
        <v>73</v>
      </c>
      <c r="G7" s="22" t="s">
        <v>74</v>
      </c>
    </row>
    <row r="8" customFormat="false" ht="23.85" hidden="false" customHeight="false" outlineLevel="0" collapsed="false">
      <c r="A8" s="19" t="n">
        <v>5</v>
      </c>
      <c r="B8" s="20" t="s">
        <v>47</v>
      </c>
      <c r="C8" s="21" t="n">
        <v>0.1</v>
      </c>
      <c r="D8" s="19"/>
      <c r="E8" s="19" t="s">
        <v>75</v>
      </c>
      <c r="F8" s="19" t="s">
        <v>76</v>
      </c>
      <c r="G8" s="22" t="s">
        <v>77</v>
      </c>
    </row>
    <row r="9" customFormat="false" ht="23.85" hidden="false" customHeight="false" outlineLevel="0" collapsed="false">
      <c r="A9" s="19" t="n">
        <v>6</v>
      </c>
      <c r="B9" s="20" t="s">
        <v>48</v>
      </c>
      <c r="C9" s="21" t="n">
        <v>0.1</v>
      </c>
      <c r="D9" s="19"/>
      <c r="E9" s="19" t="s">
        <v>78</v>
      </c>
      <c r="F9" s="19" t="s">
        <v>79</v>
      </c>
      <c r="G9" s="22" t="s">
        <v>80</v>
      </c>
    </row>
    <row r="10" customFormat="false" ht="23.85" hidden="false" customHeight="false" outlineLevel="0" collapsed="false">
      <c r="A10" s="19" t="n">
        <v>7</v>
      </c>
      <c r="B10" s="20" t="s">
        <v>49</v>
      </c>
      <c r="C10" s="21" t="n">
        <v>0.1</v>
      </c>
      <c r="D10" s="23" t="s">
        <v>71</v>
      </c>
      <c r="E10" s="19" t="s">
        <v>81</v>
      </c>
      <c r="F10" s="19" t="s">
        <v>82</v>
      </c>
      <c r="G10" s="22" t="s">
        <v>83</v>
      </c>
    </row>
    <row r="11" customFormat="false" ht="23.85" hidden="false" customHeight="false" outlineLevel="0" collapsed="false">
      <c r="A11" s="19" t="n">
        <v>8</v>
      </c>
      <c r="B11" s="20" t="s">
        <v>50</v>
      </c>
      <c r="C11" s="21" t="n">
        <v>0.08</v>
      </c>
      <c r="D11" s="19"/>
      <c r="E11" s="19" t="s">
        <v>84</v>
      </c>
      <c r="F11" s="19" t="s">
        <v>85</v>
      </c>
      <c r="G11" s="22" t="s">
        <v>86</v>
      </c>
    </row>
    <row r="12" customFormat="false" ht="23.85" hidden="false" customHeight="false" outlineLevel="0" collapsed="false">
      <c r="A12" s="19" t="n">
        <v>9</v>
      </c>
      <c r="B12" s="20" t="s">
        <v>51</v>
      </c>
      <c r="C12" s="21" t="n">
        <v>0.1</v>
      </c>
      <c r="D12" s="19"/>
      <c r="E12" s="19" t="s">
        <v>87</v>
      </c>
      <c r="F12" s="19" t="s">
        <v>88</v>
      </c>
      <c r="G12" s="22" t="s">
        <v>89</v>
      </c>
    </row>
    <row r="13" customFormat="false" ht="15" hidden="false" customHeight="false" outlineLevel="0" collapsed="false">
      <c r="B13" s="4" t="s">
        <v>90</v>
      </c>
      <c r="C13" s="24" t="n">
        <f aca="false">SUM(C4:C12)</f>
        <v>1</v>
      </c>
      <c r="D13" s="25" t="str">
        <f aca="false">IF(ROUND(C13,4)=1,"OK","Weights must total 100%")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60"/>
    <col collapsed="false" customWidth="true" hidden="false" outlineLevel="0" max="5" min="5" style="0" width="30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91</v>
      </c>
    </row>
    <row r="2" customFormat="false" ht="15" hidden="false" customHeight="false" outlineLevel="0" collapsed="false">
      <c r="A2" s="2" t="s">
        <v>92</v>
      </c>
    </row>
    <row r="4" customFormat="false" ht="15" hidden="false" customHeight="false" outlineLevel="0" collapsed="false">
      <c r="A4" s="26" t="s">
        <v>93</v>
      </c>
      <c r="B4" s="26" t="s">
        <v>94</v>
      </c>
      <c r="C4" s="26" t="s">
        <v>34</v>
      </c>
      <c r="D4" s="26" t="s">
        <v>95</v>
      </c>
      <c r="E4" s="26" t="s">
        <v>96</v>
      </c>
      <c r="F4" s="26" t="s">
        <v>97</v>
      </c>
    </row>
    <row r="5" customFormat="false" ht="15" hidden="false" customHeight="false" outlineLevel="0" collapsed="false">
      <c r="A5" s="27"/>
      <c r="B5" s="27"/>
      <c r="C5" s="27"/>
      <c r="D5" s="27"/>
      <c r="E5" s="27"/>
      <c r="F5" s="27"/>
    </row>
    <row r="6" customFormat="false" ht="15" hidden="false" customHeight="false" outlineLevel="0" collapsed="false">
      <c r="A6" s="27"/>
      <c r="B6" s="27"/>
      <c r="C6" s="27"/>
      <c r="D6" s="27"/>
      <c r="E6" s="27"/>
      <c r="F6" s="27"/>
    </row>
    <row r="7" customFormat="false" ht="15" hidden="false" customHeight="false" outlineLevel="0" collapsed="false">
      <c r="A7" s="27"/>
      <c r="B7" s="27"/>
      <c r="C7" s="27"/>
      <c r="D7" s="27"/>
      <c r="E7" s="27"/>
      <c r="F7" s="27"/>
    </row>
    <row r="8" customFormat="false" ht="15" hidden="false" customHeight="false" outlineLevel="0" collapsed="false">
      <c r="A8" s="27"/>
      <c r="B8" s="27"/>
      <c r="C8" s="27"/>
      <c r="D8" s="27"/>
      <c r="E8" s="27"/>
      <c r="F8" s="27"/>
    </row>
    <row r="9" customFormat="false" ht="15" hidden="false" customHeight="false" outlineLevel="0" collapsed="false">
      <c r="A9" s="27"/>
      <c r="B9" s="27"/>
      <c r="C9" s="27"/>
      <c r="D9" s="27"/>
      <c r="E9" s="27"/>
      <c r="F9" s="27"/>
    </row>
    <row r="10" customFormat="false" ht="15" hidden="false" customHeight="false" outlineLevel="0" collapsed="false">
      <c r="A10" s="27"/>
      <c r="B10" s="27"/>
      <c r="C10" s="27"/>
      <c r="D10" s="27"/>
      <c r="E10" s="27"/>
      <c r="F10" s="27"/>
    </row>
    <row r="11" customFormat="false" ht="15" hidden="false" customHeight="false" outlineLevel="0" collapsed="false">
      <c r="A11" s="27"/>
      <c r="B11" s="27"/>
      <c r="C11" s="27"/>
      <c r="D11" s="27"/>
      <c r="E11" s="27"/>
      <c r="F11" s="27"/>
    </row>
    <row r="12" customFormat="false" ht="15" hidden="false" customHeight="false" outlineLevel="0" collapsed="false">
      <c r="A12" s="27"/>
      <c r="B12" s="27"/>
      <c r="C12" s="27"/>
      <c r="D12" s="27"/>
      <c r="E12" s="27"/>
      <c r="F12" s="27"/>
    </row>
    <row r="13" customFormat="false" ht="15" hidden="false" customHeight="false" outlineLevel="0" collapsed="false">
      <c r="A13" s="27"/>
      <c r="B13" s="27"/>
      <c r="C13" s="27"/>
      <c r="D13" s="27"/>
      <c r="E13" s="27"/>
      <c r="F13" s="27"/>
    </row>
    <row r="14" customFormat="false" ht="15" hidden="false" customHeight="false" outlineLevel="0" collapsed="false">
      <c r="A14" s="27"/>
      <c r="B14" s="27"/>
      <c r="C14" s="27"/>
      <c r="D14" s="27"/>
      <c r="E14" s="27"/>
      <c r="F14" s="27"/>
    </row>
    <row r="15" customFormat="false" ht="15" hidden="false" customHeight="false" outlineLevel="0" collapsed="false">
      <c r="A15" s="27"/>
      <c r="B15" s="27"/>
      <c r="C15" s="27"/>
      <c r="D15" s="27"/>
      <c r="E15" s="27"/>
      <c r="F15" s="27"/>
    </row>
    <row r="16" customFormat="false" ht="15" hidden="false" customHeight="false" outlineLevel="0" collapsed="false">
      <c r="A16" s="27"/>
      <c r="B16" s="27"/>
      <c r="C16" s="27"/>
      <c r="D16" s="27"/>
      <c r="E16" s="27"/>
      <c r="F16" s="27"/>
    </row>
    <row r="17" customFormat="false" ht="15" hidden="false" customHeight="false" outlineLevel="0" collapsed="false">
      <c r="A17" s="27"/>
      <c r="B17" s="27"/>
      <c r="C17" s="27"/>
      <c r="D17" s="27"/>
      <c r="E17" s="27"/>
      <c r="F17" s="27"/>
    </row>
    <row r="18" customFormat="false" ht="15" hidden="false" customHeight="false" outlineLevel="0" collapsed="false">
      <c r="A18" s="27"/>
      <c r="B18" s="27"/>
      <c r="C18" s="27"/>
      <c r="D18" s="27"/>
      <c r="E18" s="27"/>
      <c r="F18" s="27"/>
    </row>
    <row r="19" customFormat="false" ht="15" hidden="false" customHeight="false" outlineLevel="0" collapsed="false">
      <c r="A19" s="27"/>
      <c r="B19" s="27"/>
      <c r="C19" s="27"/>
      <c r="D19" s="27"/>
      <c r="E19" s="27"/>
      <c r="F19" s="27"/>
    </row>
    <row r="20" customFormat="false" ht="15" hidden="false" customHeight="false" outlineLevel="0" collapsed="false">
      <c r="A20" s="27"/>
      <c r="B20" s="27"/>
      <c r="C20" s="27"/>
      <c r="D20" s="27"/>
      <c r="E20" s="27"/>
      <c r="F20" s="27"/>
    </row>
    <row r="21" customFormat="false" ht="15" hidden="false" customHeight="false" outlineLevel="0" collapsed="false">
      <c r="A21" s="27"/>
      <c r="B21" s="27"/>
      <c r="C21" s="27"/>
      <c r="D21" s="27"/>
      <c r="E21" s="27"/>
      <c r="F21" s="27"/>
    </row>
    <row r="22" customFormat="false" ht="15" hidden="false" customHeight="false" outlineLevel="0" collapsed="false">
      <c r="A22" s="27"/>
      <c r="B22" s="27"/>
      <c r="C22" s="27"/>
      <c r="D22" s="27"/>
      <c r="E22" s="27"/>
      <c r="F22" s="27"/>
    </row>
    <row r="23" customFormat="false" ht="15" hidden="false" customHeight="false" outlineLevel="0" collapsed="false">
      <c r="A23" s="27"/>
      <c r="B23" s="27"/>
      <c r="C23" s="27"/>
      <c r="D23" s="27"/>
      <c r="E23" s="27"/>
      <c r="F23" s="27"/>
    </row>
    <row r="24" customFormat="false" ht="15" hidden="false" customHeight="false" outlineLevel="0" collapsed="false">
      <c r="A24" s="27"/>
      <c r="B24" s="27"/>
      <c r="C24" s="27"/>
      <c r="D24" s="27"/>
      <c r="E24" s="27"/>
      <c r="F24" s="27"/>
    </row>
    <row r="25" customFormat="false" ht="15" hidden="false" customHeight="false" outlineLevel="0" collapsed="false">
      <c r="A25" s="27"/>
      <c r="B25" s="27"/>
      <c r="C25" s="27"/>
      <c r="D25" s="27"/>
      <c r="E25" s="27"/>
      <c r="F25" s="27"/>
    </row>
    <row r="26" customFormat="false" ht="15" hidden="false" customHeight="false" outlineLevel="0" collapsed="false">
      <c r="A26" s="27"/>
      <c r="B26" s="27"/>
      <c r="C26" s="27"/>
      <c r="D26" s="27"/>
      <c r="E26" s="27"/>
      <c r="F26" s="27"/>
    </row>
    <row r="27" customFormat="false" ht="15" hidden="false" customHeight="false" outlineLevel="0" collapsed="false">
      <c r="A27" s="27"/>
      <c r="B27" s="27"/>
      <c r="C27" s="27"/>
      <c r="D27" s="27"/>
      <c r="E27" s="27"/>
      <c r="F27" s="27"/>
    </row>
    <row r="28" customFormat="false" ht="15" hidden="false" customHeight="false" outlineLevel="0" collapsed="false">
      <c r="A28" s="27"/>
      <c r="B28" s="27"/>
      <c r="C28" s="27"/>
      <c r="D28" s="27"/>
      <c r="E28" s="27"/>
      <c r="F28" s="27"/>
    </row>
    <row r="29" customFormat="false" ht="15" hidden="false" customHeight="false" outlineLevel="0" collapsed="false">
      <c r="A29" s="27"/>
      <c r="B29" s="27"/>
      <c r="C29" s="27"/>
      <c r="D29" s="27"/>
      <c r="E29" s="27"/>
      <c r="F29" s="27"/>
    </row>
    <row r="30" customFormat="false" ht="15" hidden="false" customHeight="false" outlineLevel="0" collapsed="false">
      <c r="A30" s="27"/>
      <c r="B30" s="27"/>
      <c r="C30" s="27"/>
      <c r="D30" s="27"/>
      <c r="E30" s="27"/>
      <c r="F30" s="27"/>
    </row>
    <row r="31" customFormat="false" ht="15" hidden="false" customHeight="false" outlineLevel="0" collapsed="false">
      <c r="A31" s="27"/>
      <c r="B31" s="27"/>
      <c r="C31" s="27"/>
      <c r="D31" s="27"/>
      <c r="E31" s="27"/>
      <c r="F31" s="27"/>
    </row>
    <row r="32" customFormat="false" ht="15" hidden="false" customHeight="false" outlineLevel="0" collapsed="false">
      <c r="A32" s="27"/>
      <c r="B32" s="27"/>
      <c r="C32" s="27"/>
      <c r="D32" s="27"/>
      <c r="E32" s="27"/>
      <c r="F32" s="27"/>
    </row>
    <row r="33" customFormat="false" ht="15" hidden="false" customHeight="false" outlineLevel="0" collapsed="false">
      <c r="A33" s="27"/>
      <c r="B33" s="27"/>
      <c r="C33" s="27"/>
      <c r="D33" s="27"/>
      <c r="E33" s="27"/>
      <c r="F33" s="27"/>
    </row>
    <row r="34" customFormat="false" ht="15" hidden="false" customHeight="false" outlineLevel="0" collapsed="false">
      <c r="A34" s="27"/>
      <c r="B34" s="27"/>
      <c r="C34" s="27"/>
      <c r="D34" s="27"/>
      <c r="E34" s="27"/>
      <c r="F34" s="27"/>
    </row>
    <row r="35" customFormat="false" ht="15" hidden="false" customHeight="false" outlineLevel="0" collapsed="false">
      <c r="A35" s="27"/>
      <c r="B35" s="27"/>
      <c r="C35" s="27"/>
      <c r="D35" s="27"/>
      <c r="E35" s="27"/>
      <c r="F35" s="27"/>
    </row>
    <row r="36" customFormat="false" ht="15" hidden="false" customHeight="false" outlineLevel="0" collapsed="false">
      <c r="A36" s="27"/>
      <c r="B36" s="27"/>
      <c r="C36" s="27"/>
      <c r="D36" s="27"/>
      <c r="E36" s="27"/>
      <c r="F36" s="27"/>
    </row>
    <row r="37" customFormat="false" ht="15" hidden="false" customHeight="false" outlineLevel="0" collapsed="false">
      <c r="A37" s="27"/>
      <c r="B37" s="27"/>
      <c r="C37" s="27"/>
      <c r="D37" s="27"/>
      <c r="E37" s="27"/>
      <c r="F37" s="27"/>
    </row>
    <row r="38" customFormat="false" ht="15" hidden="false" customHeight="false" outlineLevel="0" collapsed="false">
      <c r="A38" s="27"/>
      <c r="B38" s="27"/>
      <c r="C38" s="27"/>
      <c r="D38" s="27"/>
      <c r="E38" s="27"/>
      <c r="F38" s="27"/>
    </row>
    <row r="39" customFormat="false" ht="15" hidden="false" customHeight="false" outlineLevel="0" collapsed="false">
      <c r="A39" s="27"/>
      <c r="B39" s="27"/>
      <c r="C39" s="27"/>
      <c r="D39" s="27"/>
      <c r="E39" s="27"/>
      <c r="F39" s="27"/>
    </row>
    <row r="40" customFormat="false" ht="15" hidden="false" customHeight="false" outlineLevel="0" collapsed="false">
      <c r="A40" s="27"/>
      <c r="B40" s="27"/>
      <c r="C40" s="27"/>
      <c r="D40" s="27"/>
      <c r="E40" s="27"/>
      <c r="F40" s="27"/>
    </row>
    <row r="41" customFormat="false" ht="15" hidden="false" customHeight="false" outlineLevel="0" collapsed="false">
      <c r="A41" s="27"/>
      <c r="B41" s="27"/>
      <c r="C41" s="27"/>
      <c r="D41" s="27"/>
      <c r="E41" s="27"/>
      <c r="F41" s="27"/>
    </row>
    <row r="42" customFormat="false" ht="15" hidden="false" customHeight="false" outlineLevel="0" collapsed="false">
      <c r="A42" s="27"/>
      <c r="B42" s="27"/>
      <c r="C42" s="27"/>
      <c r="D42" s="27"/>
      <c r="E42" s="27"/>
      <c r="F42" s="27"/>
    </row>
    <row r="43" customFormat="false" ht="15" hidden="false" customHeight="false" outlineLevel="0" collapsed="false">
      <c r="A43" s="27"/>
      <c r="B43" s="27"/>
      <c r="C43" s="27"/>
      <c r="D43" s="27"/>
      <c r="E43" s="27"/>
      <c r="F43" s="27"/>
    </row>
    <row r="44" customFormat="false" ht="15" hidden="false" customHeight="false" outlineLevel="0" collapsed="false">
      <c r="A44" s="27"/>
      <c r="B44" s="27"/>
      <c r="C44" s="27"/>
      <c r="D44" s="27"/>
      <c r="E44" s="27"/>
      <c r="F44" s="27"/>
    </row>
  </sheetData>
  <dataValidations count="3">
    <dataValidation allowBlank="true" errorStyle="stop" operator="between" showDropDown="false" showErrorMessage="false" showInputMessage="false" sqref="B5:B44" type="list">
      <formula1>"Existing partner (renewal plan),Candidate A,Candidate B,Candidate C,Candidate D"</formula1>
      <formula2>0</formula2>
    </dataValidation>
    <dataValidation allowBlank="true" errorStyle="stop" operator="between" showDropDown="false" showErrorMessage="false" showInputMessage="false" sqref="C5:C44" type="list">
      <formula1>Criteria!$B$4:$B$12</formula1>
      <formula2>0</formula2>
    </dataValidation>
    <dataValidation allowBlank="true" errorStyle="stop" operator="between" showDropDown="false" showErrorMessage="false" showInputMessage="false" sqref="F5:F44" type="list">
      <formula1>"Yes,No,Partly"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40"/>
    <col collapsed="false" customWidth="true" hidden="false" outlineLevel="0" max="4" min="4" style="0" width="28"/>
  </cols>
  <sheetData>
    <row r="1" customFormat="false" ht="17.35" hidden="false" customHeight="false" outlineLevel="0" collapsed="false">
      <c r="A1" s="1" t="s">
        <v>98</v>
      </c>
    </row>
    <row r="2" customFormat="false" ht="15" hidden="false" customHeight="false" outlineLevel="0" collapsed="false">
      <c r="A2" s="2" t="s">
        <v>99</v>
      </c>
    </row>
    <row r="4" customFormat="false" ht="15" hidden="false" customHeight="false" outlineLevel="0" collapsed="false">
      <c r="A4" s="26" t="s">
        <v>34</v>
      </c>
      <c r="B4" s="26" t="s">
        <v>100</v>
      </c>
      <c r="C4" s="26" t="s">
        <v>101</v>
      </c>
      <c r="D4" s="26" t="s">
        <v>102</v>
      </c>
    </row>
    <row r="5" customFormat="false" ht="23.85" hidden="false" customHeight="false" outlineLevel="0" collapsed="false">
      <c r="A5" s="20" t="s">
        <v>43</v>
      </c>
      <c r="B5" s="19" t="s">
        <v>103</v>
      </c>
      <c r="C5" s="28"/>
      <c r="D5" s="28"/>
    </row>
    <row r="6" customFormat="false" ht="15" hidden="false" customHeight="false" outlineLevel="0" collapsed="false">
      <c r="A6" s="20" t="s">
        <v>43</v>
      </c>
      <c r="B6" s="19" t="s">
        <v>104</v>
      </c>
      <c r="C6" s="28"/>
      <c r="D6" s="28"/>
    </row>
    <row r="7" customFormat="false" ht="15" hidden="false" customHeight="false" outlineLevel="0" collapsed="false">
      <c r="A7" s="20" t="s">
        <v>44</v>
      </c>
      <c r="B7" s="19" t="s">
        <v>105</v>
      </c>
      <c r="C7" s="28"/>
      <c r="D7" s="28"/>
    </row>
    <row r="8" customFormat="false" ht="23.85" hidden="false" customHeight="false" outlineLevel="0" collapsed="false">
      <c r="A8" s="20" t="s">
        <v>45</v>
      </c>
      <c r="B8" s="19" t="s">
        <v>106</v>
      </c>
      <c r="C8" s="28"/>
      <c r="D8" s="28"/>
    </row>
    <row r="9" customFormat="false" ht="15" hidden="false" customHeight="false" outlineLevel="0" collapsed="false">
      <c r="A9" s="20" t="s">
        <v>45</v>
      </c>
      <c r="B9" s="19" t="s">
        <v>107</v>
      </c>
      <c r="C9" s="28"/>
      <c r="D9" s="28"/>
    </row>
    <row r="10" customFormat="false" ht="23.85" hidden="false" customHeight="false" outlineLevel="0" collapsed="false">
      <c r="A10" s="20" t="s">
        <v>46</v>
      </c>
      <c r="B10" s="19" t="s">
        <v>108</v>
      </c>
      <c r="C10" s="28"/>
      <c r="D10" s="28"/>
    </row>
    <row r="11" customFormat="false" ht="23.85" hidden="false" customHeight="false" outlineLevel="0" collapsed="false">
      <c r="A11" s="20" t="s">
        <v>46</v>
      </c>
      <c r="B11" s="19" t="s">
        <v>109</v>
      </c>
      <c r="C11" s="28"/>
      <c r="D11" s="28"/>
    </row>
    <row r="12" customFormat="false" ht="15" hidden="false" customHeight="false" outlineLevel="0" collapsed="false">
      <c r="A12" s="20" t="s">
        <v>46</v>
      </c>
      <c r="B12" s="19" t="s">
        <v>110</v>
      </c>
      <c r="C12" s="28"/>
      <c r="D12" s="28"/>
    </row>
    <row r="13" customFormat="false" ht="23.85" hidden="false" customHeight="false" outlineLevel="0" collapsed="false">
      <c r="A13" s="20" t="s">
        <v>47</v>
      </c>
      <c r="B13" s="19" t="s">
        <v>111</v>
      </c>
      <c r="C13" s="28"/>
      <c r="D13" s="28"/>
    </row>
    <row r="14" customFormat="false" ht="23.85" hidden="false" customHeight="false" outlineLevel="0" collapsed="false">
      <c r="A14" s="20" t="s">
        <v>47</v>
      </c>
      <c r="B14" s="19" t="s">
        <v>112</v>
      </c>
      <c r="C14" s="28"/>
      <c r="D14" s="28"/>
    </row>
    <row r="15" customFormat="false" ht="15" hidden="false" customHeight="false" outlineLevel="0" collapsed="false">
      <c r="A15" s="20" t="s">
        <v>48</v>
      </c>
      <c r="B15" s="19" t="s">
        <v>113</v>
      </c>
      <c r="C15" s="28"/>
      <c r="D15" s="28"/>
    </row>
    <row r="16" customFormat="false" ht="23.85" hidden="false" customHeight="false" outlineLevel="0" collapsed="false">
      <c r="A16" s="20" t="s">
        <v>49</v>
      </c>
      <c r="B16" s="19" t="s">
        <v>114</v>
      </c>
      <c r="C16" s="28"/>
      <c r="D16" s="28"/>
    </row>
    <row r="17" customFormat="false" ht="15" hidden="false" customHeight="false" outlineLevel="0" collapsed="false">
      <c r="A17" s="20" t="s">
        <v>50</v>
      </c>
      <c r="B17" s="19" t="s">
        <v>115</v>
      </c>
      <c r="C17" s="28"/>
      <c r="D17" s="28"/>
    </row>
    <row r="18" customFormat="false" ht="23.85" hidden="false" customHeight="false" outlineLevel="0" collapsed="false">
      <c r="A18" s="20" t="s">
        <v>51</v>
      </c>
      <c r="B18" s="19" t="s">
        <v>116</v>
      </c>
      <c r="C18" s="28"/>
      <c r="D18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2026-10-24T02:58:21Z</dcterms:created>
  <dc:creator>openpyxl</dc:creator>
  <dc:description/>
  <dc:language>en-US</dc:language>
  <cp:lastModifiedBy/>
  <dcterms:modified xsi:type="dcterms:W3CDTF">2026-10-24T02:58:21Z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