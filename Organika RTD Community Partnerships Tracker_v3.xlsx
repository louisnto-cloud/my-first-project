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vation Calendar" sheetId="2" state="visible" r:id="rId2"/>
    <sheet name="Master List" sheetId="3" state="visible" r:id="rId3"/>
    <sheet name="Type Summary" sheetId="4" state="visible" r:id="rId4"/>
    <sheet name="Budget" sheetId="5" state="visible" r:id="rId5"/>
    <sheet name="Run Clubs" sheetId="6" state="visible" r:id="rId6"/>
    <sheet name="Gyms &amp; Studios" sheetId="7" state="visible" r:id="rId7"/>
    <sheet name="Events &amp; Festivals" sheetId="8" state="visible" r:id="rId8"/>
    <sheet name="Sports Teams &amp; Leagues" sheetId="9" state="visible" r:id="rId9"/>
    <sheet name="Campus &amp; Student Groups" sheetId="10" state="visible" r:id="rId10"/>
    <sheet name="Wellness &amp; Recovery" sheetId="11" state="visible" r:id="rId11"/>
    <sheet name="Ambassadors &amp; Creators" sheetId="12" state="visible" r:id="rId12"/>
    <sheet name="Charity &amp; Causes" sheetId="13" state="visible" r:id="rId13"/>
    <sheet name="Suggested Events" sheetId="14" state="visible" r:id="rId14"/>
    <sheet name="Lookups" sheetId="15" state="visible" r:id="rId15"/>
    <sheet name="Sales Team" sheetId="16" state="visible" r:id="rId16"/>
    <sheet name="Guide" sheetId="17" state="visible" r:id="rId17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LU_EventStatus">OFFSET(Lookups!$O$3,0,0,MAX(1,COUNTA(Lookups!$O$3:$O$1000)),1)</definedName>
    <definedName name="_xlnm._FilterDatabase" localSheetId="1" hidden="1">'Activation Calendar'!$A$2:$G$122</definedName>
    <definedName name="_xlnm.Print_Titles" localSheetId="1">'Activation Calendar'!$1:$2</definedName>
    <definedName name="_xlnm._FilterDatabase" localSheetId="2" hidden="1">'Master List'!$A$2:$AK$242</definedName>
    <definedName name="_xlnm.Print_Titles" localSheetId="2">'Master List'!$1:$2</definedName>
    <definedName name="_xlnm.Print_Titles" localSheetId="3">'Type Summary'!$1:$2</definedName>
    <definedName name="_xlnm.Print_Titles" localSheetId="4">'Budget'!$1:$2</definedName>
    <definedName name="_xlnm._FilterDatabase" localSheetId="5" hidden="1">'Run Clubs'!$A$2:$AL$32</definedName>
    <definedName name="_xlnm.Print_Titles" localSheetId="5">'Run Clubs'!$1:$2</definedName>
    <definedName name="_xlnm._FilterDatabase" localSheetId="6" hidden="1">'Gyms &amp; Studios'!$A$2:$AL$32</definedName>
    <definedName name="_xlnm.Print_Titles" localSheetId="6">'Gyms &amp; Studios'!$1:$2</definedName>
    <definedName name="_xlnm._FilterDatabase" localSheetId="7" hidden="1">'Events &amp; Festivals'!$A$2:$AL$32</definedName>
    <definedName name="_xlnm.Print_Titles" localSheetId="7">'Events &amp; Festivals'!$1:$2</definedName>
    <definedName name="_xlnm._FilterDatabase" localSheetId="8" hidden="1">'Sports Teams &amp; Leagues'!$A$2:$AL$32</definedName>
    <definedName name="_xlnm.Print_Titles" localSheetId="8">'Sports Teams &amp; Leagues'!$1:$2</definedName>
    <definedName name="_xlnm._FilterDatabase" localSheetId="9" hidden="1">'Campus &amp; Student Groups'!$A$2:$AL$32</definedName>
    <definedName name="_xlnm.Print_Titles" localSheetId="9">'Campus &amp; Student Groups'!$1:$2</definedName>
    <definedName name="_xlnm._FilterDatabase" localSheetId="10" hidden="1">'Wellness &amp; Recovery'!$A$2:$AL$32</definedName>
    <definedName name="_xlnm.Print_Titles" localSheetId="10">'Wellness &amp; Recovery'!$1:$2</definedName>
    <definedName name="_xlnm._FilterDatabase" localSheetId="11" hidden="1">'Ambassadors &amp; Creators'!$A$2:$AL$32</definedName>
    <definedName name="_xlnm.Print_Titles" localSheetId="11">'Ambassadors &amp; Creators'!$1:$2</definedName>
    <definedName name="_xlnm._FilterDatabase" localSheetId="12" hidden="1">'Charity &amp; Causes'!$A$2:$AL$32</definedName>
    <definedName name="_xlnm.Print_Titles" localSheetId="12">'Charity &amp; Causes'!$1:$2</definedName>
    <definedName name="_xlnm._FilterDatabase" localSheetId="13" hidden="1">'Suggested Events'!$A$2:$N$32</definedName>
    <definedName name="_xlnm.Print_Titles" localSheetId="13">'Suggested Events'!$1:$2</definedName>
    <definedName name="_xlnm.Print_Titles" localSheetId="14">'Lookups'!$1:$2</definedName>
    <definedName name="_xlnm.Print_Titles" localSheetId="15">'Sales Team'!$1:$2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$#,##0"/>
    <numFmt numFmtId="166" formatCode="$#,##0.00"/>
    <numFmt numFmtId="167" formatCode="0.0%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b val="1"/>
      <color rgb="FFFFFFFF"/>
      <sz val="12"/>
    </font>
    <font>
      <name val="Arial"/>
      <color rgb="FF2B3A33"/>
      <sz val="11"/>
    </font>
    <font>
      <name val="Arial"/>
      <color rgb="FF2B3A33"/>
      <sz val="12"/>
    </font>
    <font>
      <name val="Arial"/>
      <color rgb="FF4F8A78"/>
      <sz val="12"/>
      <u val="single"/>
    </font>
    <font>
      <name val="Arial"/>
      <color rgb="FFB7C9C1"/>
      <sz val="9"/>
    </font>
    <font>
      <name val="Arial"/>
      <color rgb="FF5A6B62"/>
      <sz val="11"/>
    </font>
    <font>
      <name val="Arial"/>
      <b val="1"/>
      <color rgb="FFFFFFFF"/>
      <sz val="11"/>
    </font>
    <font>
      <name val="Arial"/>
      <b val="1"/>
      <color rgb="FFFFFFFF"/>
      <sz val="18"/>
    </font>
    <font>
      <name val="Arial"/>
      <b val="1"/>
      <color rgb="FF2B3A33"/>
      <sz val="12"/>
    </font>
    <font>
      <name val="Arial"/>
      <b val="1"/>
      <color rgb="FFFFFFFF"/>
      <sz val="13"/>
    </font>
    <font>
      <name val="Arial"/>
      <b val="1"/>
      <color rgb="FF2B3A33"/>
      <sz val="11"/>
    </font>
  </fonts>
  <fills count="6">
    <fill>
      <patternFill/>
    </fill>
    <fill>
      <patternFill patternType="gray125"/>
    </fill>
    <fill>
      <patternFill patternType="solid">
        <fgColor rgb="FF2E5A4E"/>
      </patternFill>
    </fill>
    <fill>
      <patternFill patternType="solid">
        <fgColor rgb="FF4F8A78"/>
      </patternFill>
    </fill>
    <fill>
      <patternFill patternType="solid">
        <fgColor rgb="FFF4F8F6"/>
      </patternFill>
    </fill>
    <fill>
      <patternFill patternType="solid">
        <fgColor rgb="FFEAF2ED"/>
      </patternFill>
    </fill>
  </fills>
  <borders count="2">
    <border>
      <left/>
      <right/>
      <top/>
      <bottom/>
      <diagonal/>
    </border>
    <border>
      <left style="thin">
        <color rgb="FFCFD8D4"/>
      </left>
      <right style="thin">
        <color rgb="FFCFD8D4"/>
      </right>
      <top style="thin">
        <color rgb="FFCFD8D4"/>
      </top>
      <bottom style="thin">
        <color rgb="FFCFD8D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3" fontId="9" fillId="2" borderId="1" applyAlignment="1" pivotButton="0" quotePrefix="0" xfId="0">
      <alignment horizontal="center" vertical="center" wrapText="1"/>
    </xf>
    <xf numFmtId="166" fontId="9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7" fillId="0" borderId="0" pivotButton="0" quotePrefix="0" xfId="0"/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10" fillId="5" borderId="1" pivotButton="0" quotePrefix="0" xfId="0"/>
    <xf numFmtId="0" fontId="10" fillId="5" borderId="1" applyAlignment="1" pivotButton="0" quotePrefix="0" xfId="0">
      <alignment horizontal="center" vertical="center"/>
    </xf>
    <xf numFmtId="167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E0F2FE"/>
        </patternFill>
      </fill>
    </dxf>
    <dxf>
      <fill>
        <patternFill patternType="solid">
          <fgColor rgb="FFF4F6F8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2E8F0"/>
        </patternFill>
      </fill>
    </dxf>
    <dxf>
      <fill>
        <patternFill patternType="solid">
          <fgColor rgb="FFFFEDD5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by Stage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4F8A78"/>
            </a:solidFill>
            <a:ln>
              <a:prstDash val="solid"/>
            </a:ln>
          </spPr>
          <cat>
            <numRef>
              <f>'Dashboard'!$A$8:$A$16</f>
            </numRef>
          </cat>
          <val>
            <numRef>
              <f>'Dashboard'!$B$8:$B$16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Partners by Type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FA392"/>
            </a:solidFill>
            <a:ln>
              <a:prstDash val="solid"/>
            </a:ln>
          </spPr>
          <cat>
            <numRef>
              <f>'Dashboard'!$D$8:$D$15</f>
            </numRef>
          </cat>
          <val>
            <numRef>
              <f>'Dashboard'!$E$8:$E$15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Priority Split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5A4E"/>
              </a:solidFill>
              <a:ln>
                <a:prstDash val="solid"/>
              </a:ln>
            </spPr>
          </dPt>
          <dPt>
            <idx val="1"/>
            <spPr>
              <a:solidFill>
                <a:srgbClr val="4F8A78"/>
              </a:solidFill>
              <a:ln>
                <a:prstDash val="solid"/>
              </a:ln>
            </spPr>
          </dPt>
          <dPt>
            <idx val="2"/>
            <spPr>
              <a:solidFill>
                <a:srgbClr val="8FB3A6"/>
              </a:solidFill>
              <a:ln>
                <a:prstDash val="solid"/>
              </a:ln>
            </spPr>
          </dPt>
          <cat>
            <numRef>
              <f>'Dashboard'!$G$8:$G$10</f>
            </numRef>
          </cat>
          <val>
            <numRef>
              <f>'Dashboard'!$H$8:$H$10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32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26</row>
      <rowOff>0</rowOff>
    </from>
    <ext cx="32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26</row>
      <rowOff>0</rowOff>
    </from>
    <ext cx="32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instagram.com/eastvanruncrew" TargetMode="External" Id="rId1" /><Relationship Type="http://schemas.openxmlformats.org/officeDocument/2006/relationships/hyperlink" Target="https://instagram.com/socialrunclub.yvr" TargetMode="External" Id="rId2" /><Relationship Type="http://schemas.openxmlformats.org/officeDocument/2006/relationships/hyperlink" Target="https://instagram.com/slowgirlsrunclub" TargetMode="External" Id="rId3" /><Relationship Type="http://schemas.openxmlformats.org/officeDocument/2006/relationships/hyperlink" Target="https://instagram.com/onerunclubvan" TargetMode="External" Id="rId4" /><Relationship Type="http://schemas.openxmlformats.org/officeDocument/2006/relationships/hyperlink" Target="https://instagram.com/striderzrunclub" TargetMode="External" Id="rId5" /><Relationship Type="http://schemas.openxmlformats.org/officeDocument/2006/relationships/hyperlink" Target="https://instagram.com/northshore__runclub" TargetMode="External" Id="rId6" /><Relationship Type="http://schemas.openxmlformats.org/officeDocument/2006/relationships/hyperlink" Target="https://instagram.com/northburnabyrunners" TargetMode="External" Id="rId7" /><Relationship Type="http://schemas.openxmlformats.org/officeDocument/2006/relationships/hyperlink" Target="https://instagram.com/flightcrewrunclub" TargetMode="External" Id="rId8" /><Relationship Type="http://schemas.openxmlformats.org/officeDocument/2006/relationships/hyperlink" Target="https://instagram.com/capitalcityruncrew" TargetMode="External" Id="rId9" /><Relationship Type="http://schemas.openxmlformats.org/officeDocument/2006/relationships/hyperlink" Target="https://instagram.com/kelownarunningclub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s://instagram.com/ridecycleclub" TargetMode="External" Id="rId1" /><Relationship Type="http://schemas.openxmlformats.org/officeDocument/2006/relationships/hyperlink" Target="https://instagram.com/hiveclimbing" TargetMode="External" Id="rId2" /><Relationship Type="http://schemas.openxmlformats.org/officeDocument/2006/relationships/hyperlink" Target="https://instagram.com/progressionbouldering" TargetMode="External" Id="rId3" /><Relationship Type="http://schemas.openxmlformats.org/officeDocument/2006/relationships/hyperlink" Target="https://instagram.com/tantrafitness" TargetMode="External" Id="rId4" /><Relationship Type="http://schemas.openxmlformats.org/officeDocument/2006/relationships/hyperlink" Target="https://instagram.com/604_athletics" TargetMode="External" Id="rId5" /><Relationship Type="http://schemas.openxmlformats.org/officeDocument/2006/relationships/hyperlink" Target="https://instagram.com/farstudiogym" TargetMode="External" Id="rId6" /><Relationship Type="http://schemas.openxmlformats.org/officeDocument/2006/relationships/hyperlink" Target="https://instagram.com/thelabvictoria" TargetMode="External" Id="rId7" /><Relationship Type="http://schemas.openxmlformats.org/officeDocument/2006/relationships/hyperlink" Target="https://instagram.com/crossfitbc" TargetMode="External" Id="rId8" /><Relationship Type="http://schemas.openxmlformats.org/officeDocument/2006/relationships/hyperlink" Target="https://instagram.com/crossfit_zone_" TargetMode="External" Id="rId9" /><Relationship Type="http://schemas.openxmlformats.org/officeDocument/2006/relationships/hyperlink" Target="https://instagram.com/crossfitokanagan" TargetMode="External" Id="rId10" /></Relationships>
</file>

<file path=xl/worksheets/_rels/sheet8.xml.rels><Relationships xmlns="http://schemas.openxmlformats.org/package/2006/relationships"><Relationship Type="http://schemas.openxmlformats.org/officeDocument/2006/relationships/hyperlink" Target="https://richmondnightmarket.com" TargetMode="External" Id="rId1" /><Relationship Type="http://schemas.openxmlformats.org/officeDocument/2006/relationships/hyperlink" Target="https://instagram.com/vancouverpride" TargetMode="External" Id="rId2" /><Relationship Type="http://schemas.openxmlformats.org/officeDocument/2006/relationships/hyperlink" Target="https://dragonboatbc.ca" TargetMode="External" Id="rId3" /><Relationship Type="http://schemas.openxmlformats.org/officeDocument/2006/relationships/hyperlink" Target="https://instagram.com/italiandayonthedrive" TargetMode="External" Id="rId4" /><Relationship Type="http://schemas.openxmlformats.org/officeDocument/2006/relationships/hyperlink" Target="https://instagram.com/khatsahlano" TargetMode="External" Id="rId5" /><Relationship Type="http://schemas.openxmlformats.org/officeDocument/2006/relationships/hyperlink" Target="https://vancouver.ca" TargetMode="External" Id="rId6" /><Relationship Type="http://schemas.openxmlformats.org/officeDocument/2006/relationships/hyperlink" Target="https://victoriadragonboatfestival.com" TargetMode="External" Id="rId7" /><Relationship Type="http://schemas.openxmlformats.org/officeDocument/2006/relationships/hyperlink" Target="https://kelownamarathon.ca" TargetMode="External" Id="rId8" /></Relationships>
</file>

<file path=xl/worksheets/_rels/sheet9.xml.rels><Relationships xmlns="http://schemas.openxmlformats.org/package/2006/relationships"><Relationship Type="http://schemas.openxmlformats.org/officeDocument/2006/relationships/hyperlink" Target="https://instagram.com/urbanrec" TargetMode="External" Id="rId1" /><Relationship Type="http://schemas.openxmlformats.org/officeDocument/2006/relationships/hyperlink" Target="https://instagram.com/vdldodgeball" TargetMode="External" Id="rId2" /><Relationship Type="http://schemas.openxmlformats.org/officeDocument/2006/relationships/hyperlink" Target="https://instagram.com/vancouverpickleballassociation" TargetMode="External" Id="rId3" /><Relationship Type="http://schemas.openxmlformats.org/officeDocument/2006/relationships/hyperlink" Target="https://instagram.com/falsecreekcanoeclub" TargetMode="External" Id="rId4" /><Relationship Type="http://schemas.openxmlformats.org/officeDocument/2006/relationships/hyperlink" Target="https://instagram.com/vicsportnsocial" TargetMode="External" Id="rId5" /><Relationship Type="http://schemas.openxmlformats.org/officeDocument/2006/relationships/hyperlink" Target="https://instagram.com/pickleballkelownaclub" TargetMode="Externa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instagram.com/ubctbirds" TargetMode="External" Id="rId1" /><Relationship Type="http://schemas.openxmlformats.org/officeDocument/2006/relationships/hyperlink" Target="https://ams.ubc.ca" TargetMode="External" Id="rId2" /><Relationship Type="http://schemas.openxmlformats.org/officeDocument/2006/relationships/hyperlink" Target="https://instagram.com/sfurecreation" TargetMode="External" Id="rId3" /><Relationship Type="http://schemas.openxmlformats.org/officeDocument/2006/relationships/hyperlink" Target="https://vikesrec.ca" TargetMode="External" Id="rId4" /><Relationship Type="http://schemas.openxmlformats.org/officeDocument/2006/relationships/hyperlink" Target="https://instagram.com/suo_ubc" TargetMode="External" Id="rId5" /><Relationship Type="http://schemas.openxmlformats.org/officeDocument/2006/relationships/hyperlink" Target="https://camosunstudent.org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hyperlink" Target="https://instagram.com/havn.saunas" TargetMode="External" Id="rId1" /><Relationship Type="http://schemas.openxmlformats.org/officeDocument/2006/relationships/hyperlink" Target="https://instagram.com/kolmkontrast" TargetMode="External" Id="rId2" /><Relationship Type="http://schemas.openxmlformats.org/officeDocument/2006/relationships/hyperlink" Target="https://instagram.com/ritualnordicspa" TargetMode="External" Id="rId3" /><Relationship Type="http://schemas.openxmlformats.org/officeDocument/2006/relationships/hyperlink" Target="https://instagram.com/float_house" TargetMode="External" Id="rId4" /><Relationship Type="http://schemas.openxmlformats.org/officeDocument/2006/relationships/hyperlink" Target="https://instagram.com/regenrecovery" TargetMode="External" Id="rId5" /><Relationship Type="http://schemas.openxmlformats.org/officeDocument/2006/relationships/hyperlink" Target="https://instagram.com/bioshack" TargetMode="External" Id="rId6" /></Relationships>
</file>

<file path=xl/worksheets/_rels/sheet12.xml.rels><Relationships xmlns="http://schemas.openxmlformats.org/package/2006/relationships"><Relationship Type="http://schemas.openxmlformats.org/officeDocument/2006/relationships/hyperlink" Target="https://instagram.com/angelaliggs" TargetMode="External" Id="rId1" /><Relationship Type="http://schemas.openxmlformats.org/officeDocument/2006/relationships/hyperlink" Target="https://instagram.com/basicswithbails" TargetMode="External" Id="rId2" /><Relationship Type="http://schemas.openxmlformats.org/officeDocument/2006/relationships/hyperlink" Target="https://instagram.com/twincoast" TargetMode="External" Id="rId3" /><Relationship Type="http://schemas.openxmlformats.org/officeDocument/2006/relationships/hyperlink" Target="https://instagram.com/vancouverdietitians" TargetMode="External" Id="rId4" /><Relationship Type="http://schemas.openxmlformats.org/officeDocument/2006/relationships/hyperlink" Target="https://instagram.com/camleeyoga" TargetMode="External" Id="rId5" /><Relationship Type="http://schemas.openxmlformats.org/officeDocument/2006/relationships/hyperlink" Target="https://instagram.com/nourishedbycaroline" TargetMode="External" Id="rId6" /><Relationship Type="http://schemas.openxmlformats.org/officeDocument/2006/relationships/hyperlink" Target="https://instagram.com/missvancityfoodie" TargetMode="External" Id="rId7" /><Relationship Type="http://schemas.openxmlformats.org/officeDocument/2006/relationships/hyperlink" Target="https://instagram.com/thehilaryann" TargetMode="External" Id="rId8" /></Relationships>
</file>

<file path=xl/worksheets/_rels/sheet13.xml.rels><Relationships xmlns="http://schemas.openxmlformats.org/package/2006/relationships"><Relationship Type="http://schemas.openxmlformats.org/officeDocument/2006/relationships/hyperlink" Target="https://fundraise.bcchf.ca" TargetMode="External" Id="rId1" /><Relationship Type="http://schemas.openxmlformats.org/officeDocument/2006/relationships/hyperlink" Target="https://foodbank.bc.ca" TargetMode="External" Id="rId2" /><Relationship Type="http://schemas.openxmlformats.org/officeDocument/2006/relationships/hyperlink" Target="https://instagram.com/backpackbuddiesbc" TargetMode="External" Id="rId3" /><Relationship Type="http://schemas.openxmlformats.org/officeDocument/2006/relationships/hyperlink" Target="https://victoriahospice.org" TargetMode="External" Id="rId4" /><Relationship Type="http://schemas.openxmlformats.org/officeDocument/2006/relationships/hyperlink" Target="https://wildonerun.ca" TargetMode="External" Id="rId5" /></Relationships>
</file>

<file path=xl/worksheets/sheet1.xml><?xml version="1.0" encoding="utf-8"?>
<worksheet xmlns="http://schemas.openxmlformats.org/spreadsheetml/2006/main">
  <sheetPr>
    <tabColor rgb="002E5A4E"/>
    <outlinePr summaryBelow="1" summaryRight="1"/>
    <pageSetUpPr fitToPage="1"/>
  </sheetPr>
  <dimension ref="A1:N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4" customHeight="1">
      <c r="A1" s="1" t="inlineStr">
        <is>
          <t>Organika RTD  ·  Community Partnerships Command Centre</t>
        </is>
      </c>
    </row>
    <row r="2">
      <c r="A2" s="2" t="inlineStr">
        <is>
          <t>Live overview. Every number updates on its own as the team works the type tabs.</t>
        </is>
      </c>
      <c r="L2" s="3">
        <f>"As of  "&amp;TEXT(TODAY(),"yyyy/mm/dd")</f>
        <v/>
      </c>
    </row>
    <row r="4" ht="26" customHeight="1">
      <c r="A4" s="4" t="inlineStr">
        <is>
          <t>Total Partners</t>
        </is>
      </c>
      <c r="C4" s="4" t="inlineStr">
        <is>
          <t>P1 Partners</t>
        </is>
      </c>
      <c r="E4" s="4" t="inlineStr">
        <is>
          <t>Active Conversations</t>
        </is>
      </c>
      <c r="G4" s="4" t="inlineStr">
        <is>
          <t>Activations Booked</t>
        </is>
      </c>
      <c r="I4" s="4" t="inlineStr">
        <is>
          <t>Cans Sampled to Date</t>
        </is>
      </c>
      <c r="K4" s="4" t="inlineStr">
        <is>
          <t>Cost Per Can Sampled</t>
        </is>
      </c>
      <c r="M4" s="4" t="inlineStr">
        <is>
          <t>Days Until Costco Road Show</t>
        </is>
      </c>
    </row>
    <row r="5" ht="40" customHeight="1">
      <c r="A5" s="5">
        <f>SUM(E8:E15)</f>
        <v/>
      </c>
      <c r="C5" s="5">
        <f>COUNTIF('Master List'!$E$3:$E$500,"P1")</f>
        <v/>
      </c>
      <c r="E5" s="5">
        <f>COUNTIF('Master List'!$F$3:$F$500,"Outreach Sent")+COUNTIF('Master List'!$F$3:$F$500,"In Conversation")+COUNTIF('Master List'!$F$3:$F$500,"Proposal Sent")+COUNTIF('Master List'!$F$3:$F$500,"Agreed")</f>
        <v/>
      </c>
      <c r="G5" s="5">
        <f>COUNT('Master List'!$V$3:$V$500)</f>
        <v/>
      </c>
      <c r="I5" s="6">
        <f>24*SUM('Master List'!$X$3:$X$500)</f>
        <v/>
      </c>
      <c r="K5" s="7">
        <f>IFERROR(SUM('Master List'!$Y$3:$Y$500)/(24*SUM('Master List'!$X$3:$X$500)),0)</f>
        <v/>
      </c>
      <c r="M5" s="6">
        <f>MAX(0,DATE(2026,8,1)-TODAY())</f>
        <v/>
      </c>
    </row>
    <row r="7">
      <c r="A7" s="8" t="inlineStr">
        <is>
          <t>Pipeline by Stage</t>
        </is>
      </c>
      <c r="B7" s="8" t="inlineStr">
        <is>
          <t>Count</t>
        </is>
      </c>
      <c r="D7" s="8" t="inlineStr">
        <is>
          <t>Partners by Type</t>
        </is>
      </c>
      <c r="E7" s="8" t="inlineStr">
        <is>
          <t>Count</t>
        </is>
      </c>
      <c r="G7" s="8" t="inlineStr">
        <is>
          <t>Priority</t>
        </is>
      </c>
      <c r="H7" s="8" t="inlineStr">
        <is>
          <t>Count</t>
        </is>
      </c>
      <c r="J7" s="8" t="inlineStr">
        <is>
          <t>Budget</t>
        </is>
      </c>
      <c r="K7" s="8" t="inlineStr">
        <is>
          <t>$</t>
        </is>
      </c>
    </row>
    <row r="8">
      <c r="A8" s="9" t="inlineStr">
        <is>
          <t>Open</t>
        </is>
      </c>
      <c r="B8" s="10">
        <f>COUNTIF('Master List'!$F$3:$F$500,"Open")</f>
        <v/>
      </c>
      <c r="D8" s="9" t="inlineStr">
        <is>
          <t>Run Clubs</t>
        </is>
      </c>
      <c r="E8" s="10">
        <f>COUNTA('Run Clubs'!$B$3:$B$32)</f>
        <v/>
      </c>
      <c r="G8" s="9" t="inlineStr">
        <is>
          <t>P1</t>
        </is>
      </c>
      <c r="H8" s="10">
        <f>COUNTIF('Master List'!$E$3:$E$500,"P1")</f>
        <v/>
      </c>
      <c r="J8" s="9" t="inlineStr">
        <is>
          <t>Total Budget</t>
        </is>
      </c>
      <c r="K8" s="11">
        <f>Budget!B14</f>
        <v/>
      </c>
    </row>
    <row r="9">
      <c r="A9" s="9" t="inlineStr">
        <is>
          <t>Outreach Sent</t>
        </is>
      </c>
      <c r="B9" s="10">
        <f>COUNTIF('Master List'!$F$3:$F$500,"Outreach Sent")</f>
        <v/>
      </c>
      <c r="D9" s="9" t="inlineStr">
        <is>
          <t>Gyms &amp; Studios</t>
        </is>
      </c>
      <c r="E9" s="10">
        <f>COUNTA('Gyms &amp; Studios'!$B$3:$B$32)</f>
        <v/>
      </c>
      <c r="G9" s="9" t="inlineStr">
        <is>
          <t>P2</t>
        </is>
      </c>
      <c r="H9" s="10">
        <f>COUNTIF('Master List'!$E$3:$E$500,"P2")</f>
        <v/>
      </c>
      <c r="J9" s="9" t="inlineStr">
        <is>
          <t>Committed</t>
        </is>
      </c>
      <c r="K9" s="11">
        <f>Budget!C14</f>
        <v/>
      </c>
    </row>
    <row r="10">
      <c r="A10" s="9" t="inlineStr">
        <is>
          <t>In Conversation</t>
        </is>
      </c>
      <c r="B10" s="10">
        <f>COUNTIF('Master List'!$F$3:$F$500,"In Conversation")</f>
        <v/>
      </c>
      <c r="D10" s="9" t="inlineStr">
        <is>
          <t>Events &amp; Festivals</t>
        </is>
      </c>
      <c r="E10" s="10">
        <f>COUNTA('Events &amp; Festivals'!$B$3:$B$32)</f>
        <v/>
      </c>
      <c r="G10" s="9" t="inlineStr">
        <is>
          <t>P3</t>
        </is>
      </c>
      <c r="H10" s="10">
        <f>COUNTIF('Master List'!$E$3:$E$500,"P3")</f>
        <v/>
      </c>
      <c r="J10" s="9" t="inlineStr">
        <is>
          <t>Spent</t>
        </is>
      </c>
      <c r="K10" s="11">
        <f>Budget!D14</f>
        <v/>
      </c>
    </row>
    <row r="11">
      <c r="A11" s="9" t="inlineStr">
        <is>
          <t>Proposal Sent</t>
        </is>
      </c>
      <c r="B11" s="10">
        <f>COUNTIF('Master List'!$F$3:$F$500,"Proposal Sent")</f>
        <v/>
      </c>
      <c r="D11" s="9" t="inlineStr">
        <is>
          <t>Sports Teams &amp; Leagues</t>
        </is>
      </c>
      <c r="E11" s="10">
        <f>COUNTA('Sports Teams &amp; Leagues'!$B$3:$B$32)</f>
        <v/>
      </c>
      <c r="J11" s="9" t="inlineStr">
        <is>
          <t>Remaining</t>
        </is>
      </c>
      <c r="K11" s="11">
        <f>Budget!E14</f>
        <v/>
      </c>
    </row>
    <row r="12">
      <c r="A12" s="9" t="inlineStr">
        <is>
          <t>Agreed</t>
        </is>
      </c>
      <c r="B12" s="10">
        <f>COUNTIF('Master List'!$F$3:$F$500,"Agreed")</f>
        <v/>
      </c>
      <c r="D12" s="9" t="inlineStr">
        <is>
          <t>Campus &amp; Student Groups</t>
        </is>
      </c>
      <c r="E12" s="10">
        <f>COUNTA('Campus &amp; Student Groups'!$B$3:$B$32)</f>
        <v/>
      </c>
      <c r="G12" s="8" t="inlineStr">
        <is>
          <t>Activations</t>
        </is>
      </c>
      <c r="H12" s="8" t="inlineStr">
        <is>
          <t>Count</t>
        </is>
      </c>
      <c r="J12" s="9" t="inlineStr">
        <is>
          <t>% Spent</t>
        </is>
      </c>
      <c r="K12" s="12">
        <f>Budget!F14</f>
        <v/>
      </c>
    </row>
    <row r="13">
      <c r="A13" s="9" t="inlineStr">
        <is>
          <t>Activated</t>
        </is>
      </c>
      <c r="B13" s="10">
        <f>COUNTIF('Master List'!$F$3:$F$500,"Activated")</f>
        <v/>
      </c>
      <c r="D13" s="9" t="inlineStr">
        <is>
          <t>Wellness &amp; Recovery</t>
        </is>
      </c>
      <c r="E13" s="10">
        <f>COUNTA('Wellness &amp; Recovery'!$B$3:$B$32)</f>
        <v/>
      </c>
      <c r="G13" s="9" t="inlineStr">
        <is>
          <t>Next 30 Days</t>
        </is>
      </c>
      <c r="H13" s="10">
        <f>COUNTIFS('Master List'!$V$3:$V$500,"&gt;="&amp;TODAY(),'Master List'!$V$3:$V$500,"&lt;="&amp;TODAY()+30)</f>
        <v/>
      </c>
    </row>
    <row r="14">
      <c r="A14" s="9" t="inlineStr">
        <is>
          <t>Repeat Partner</t>
        </is>
      </c>
      <c r="B14" s="10">
        <f>COUNTIF('Master List'!$F$3:$F$500,"Repeat Partner")</f>
        <v/>
      </c>
      <c r="D14" s="9" t="inlineStr">
        <is>
          <t>Ambassadors &amp; Creators</t>
        </is>
      </c>
      <c r="E14" s="10">
        <f>COUNTA('Ambassadors &amp; Creators'!$B$3:$B$32)</f>
        <v/>
      </c>
      <c r="G14" s="9" t="inlineStr">
        <is>
          <t>Next 60 Days</t>
        </is>
      </c>
      <c r="H14" s="10">
        <f>COUNTIFS('Master List'!$V$3:$V$500,"&gt;="&amp;TODAY(),'Master List'!$V$3:$V$500,"&lt;="&amp;TODAY()+60)</f>
        <v/>
      </c>
      <c r="J14" s="8" t="inlineStr">
        <is>
          <t>SKU Status</t>
        </is>
      </c>
      <c r="K14" s="8" t="inlineStr">
        <is>
          <t>Requested</t>
        </is>
      </c>
      <c r="L14" s="8" t="inlineStr">
        <is>
          <t>Sampled</t>
        </is>
      </c>
      <c r="M14" s="8" t="inlineStr">
        <is>
          <t>Stocked</t>
        </is>
      </c>
    </row>
    <row r="15">
      <c r="A15" s="9" t="inlineStr">
        <is>
          <t>Lost</t>
        </is>
      </c>
      <c r="B15" s="10">
        <f>COUNTIF('Master List'!$F$3:$F$500,"Lost")</f>
        <v/>
      </c>
      <c r="D15" s="9" t="inlineStr">
        <is>
          <t>Charity &amp; Causes</t>
        </is>
      </c>
      <c r="E15" s="10">
        <f>COUNTA('Charity &amp; Causes'!$B$3:$B$32)</f>
        <v/>
      </c>
      <c r="G15" s="9" t="inlineStr">
        <is>
          <t>Next 90 Days</t>
        </is>
      </c>
      <c r="H15" s="10">
        <f>COUNTIFS('Master List'!$V$3:$V$500,"&gt;="&amp;TODAY(),'Master List'!$V$3:$V$500,"&lt;="&amp;TODAY()+90)</f>
        <v/>
      </c>
      <c r="J15" s="13" t="inlineStr">
        <is>
          <t>Raspberry 4338</t>
        </is>
      </c>
      <c r="K15" s="10">
        <f>COUNTIF('Master List'!$AH$3:$AH$500,"Requested")</f>
        <v/>
      </c>
      <c r="L15" s="10">
        <f>COUNTIF('Master List'!$AH$3:$AH$500,"Sampled")</f>
        <v/>
      </c>
      <c r="M15" s="10">
        <f>COUNTIF('Master List'!$AH$3:$AH$500,"Stocked")</f>
        <v/>
      </c>
    </row>
    <row r="16">
      <c r="A16" s="9" t="inlineStr">
        <is>
          <t>On Hold</t>
        </is>
      </c>
      <c r="B16" s="10">
        <f>COUNTIF('Master List'!$F$3:$F$500,"On Hold")</f>
        <v/>
      </c>
      <c r="J16" s="13" t="inlineStr">
        <is>
          <t>Lemon Lime 4336</t>
        </is>
      </c>
      <c r="K16" s="10">
        <f>COUNTIF('Master List'!$AI$3:$AI$500,"Requested")</f>
        <v/>
      </c>
      <c r="L16" s="10">
        <f>COUNTIF('Master List'!$AI$3:$AI$500,"Sampled")</f>
        <v/>
      </c>
      <c r="M16" s="10">
        <f>COUNTIF('Master List'!$AI$3:$AI$500,"Stocked")</f>
        <v/>
      </c>
    </row>
    <row r="17">
      <c r="G17" s="8" t="inlineStr">
        <is>
          <t>Region</t>
        </is>
      </c>
      <c r="H17" s="8" t="inlineStr">
        <is>
          <t>Count</t>
        </is>
      </c>
      <c r="J17" s="13" t="inlineStr">
        <is>
          <t>Pineapple Passion Fruit 4340</t>
        </is>
      </c>
      <c r="K17" s="10">
        <f>COUNTIF('Master List'!$AJ$3:$AJ$500,"Requested")</f>
        <v/>
      </c>
      <c r="L17" s="10">
        <f>COUNTIF('Master List'!$AJ$3:$AJ$500,"Sampled")</f>
        <v/>
      </c>
      <c r="M17" s="10">
        <f>COUNTIF('Master List'!$AJ$3:$AJ$500,"Stocked")</f>
        <v/>
      </c>
    </row>
    <row r="18">
      <c r="A18" s="8" t="inlineStr">
        <is>
          <t>List Health</t>
        </is>
      </c>
      <c r="B18" s="8" t="inlineStr">
        <is>
          <t>Count</t>
        </is>
      </c>
      <c r="G18" s="9" t="inlineStr">
        <is>
          <t>Metro Vancouver</t>
        </is>
      </c>
      <c r="H18" s="10">
        <f>COUNTIF('Master List'!$C$3:$C$500,"Vancouver")+COUNTIF('Master List'!$C$3:$C$500,"Burnaby")+COUNTIF('Master List'!$C$3:$C$500,"North Vancouver")+COUNTIF('Master List'!$C$3:$C$500,"West Vancouver")+COUNTIF('Master List'!$C$3:$C$500,"Richmond")+COUNTIF('Master List'!$C$3:$C$500,"Surrey")+COUNTIF('Master List'!$C$3:$C$500,"Langley")+COUNTIF('Master List'!$C$3:$C$500,"Coquitlam")+COUNTIF('Master List'!$C$3:$C$500,"New Westminster")</f>
        <v/>
      </c>
    </row>
    <row r="19">
      <c r="A19" s="9" t="inlineStr">
        <is>
          <t>Overdue Next Actions</t>
        </is>
      </c>
      <c r="B19" s="10">
        <f>COUNTIF('Master List'!$T$3:$T$500,"&lt;"&amp;TODAY())</f>
        <v/>
      </c>
      <c r="G19" s="9" t="inlineStr">
        <is>
          <t>Victoria</t>
        </is>
      </c>
      <c r="H19" s="10">
        <f>COUNTIF('Master List'!$C$3:$C$500,"Victoria")</f>
        <v/>
      </c>
    </row>
    <row r="20">
      <c r="A20" s="9" t="inlineStr">
        <is>
          <t>Stale P1 Over 7 Days</t>
        </is>
      </c>
      <c r="B20" s="10">
        <f>COUNTIFS('Master List'!$E$3:$E$500,"P1",'Master List'!$R$3:$R$500,"&gt;7")</f>
        <v/>
      </c>
      <c r="G20" s="9" t="inlineStr">
        <is>
          <t>Kelowna</t>
        </is>
      </c>
      <c r="H20" s="10">
        <f>COUNTIF('Master List'!$C$3:$C$500,"Kelowna")</f>
        <v/>
      </c>
    </row>
    <row r="21">
      <c r="A21" s="9" t="inlineStr">
        <is>
          <t>Verified Rows</t>
        </is>
      </c>
      <c r="B21" s="10">
        <f>COUNTIF('Master List'!$O$3:$O$500,"Verified Web")+COUNTIF('Master List'!$O$3:$O$500,"Verified Phone")+COUNTIF('Master List'!$O$3:$O$500,"Verified In Person")</f>
        <v/>
      </c>
    </row>
    <row r="22">
      <c r="A22" s="9" t="inlineStr">
        <is>
          <t>Pending Rows</t>
        </is>
      </c>
      <c r="B22" s="10">
        <f>COUNTIF('Master List'!$O$3:$O$500,"Pending")</f>
        <v/>
      </c>
    </row>
    <row r="23">
      <c r="A23" s="9" t="inlineStr">
        <is>
          <t>Unverified Rows</t>
        </is>
      </c>
      <c r="B23" s="10">
        <f>COUNTIF('Master List'!$O$3:$O$500,"Unverified")</f>
        <v/>
      </c>
    </row>
    <row r="25">
      <c r="A25" s="14" t="inlineStr">
        <is>
          <t>Every figure and chart refreshes on its own. To change a record, edit its type tab. The Master List, Calendar, tiles and charts all update automatically.</t>
        </is>
      </c>
    </row>
  </sheetData>
  <mergeCells count="16">
    <mergeCell ref="A4:B4"/>
    <mergeCell ref="A1:N1"/>
    <mergeCell ref="E4:F4"/>
    <mergeCell ref="G4:H4"/>
    <mergeCell ref="I4:J4"/>
    <mergeCell ref="C5:D5"/>
    <mergeCell ref="A5:B5"/>
    <mergeCell ref="G5:H5"/>
    <mergeCell ref="E5:F5"/>
    <mergeCell ref="K5:L5"/>
    <mergeCell ref="I5:J5"/>
    <mergeCell ref="M5:N5"/>
    <mergeCell ref="K4:L4"/>
    <mergeCell ref="L2:N2"/>
    <mergeCell ref="M4:N4"/>
    <mergeCell ref="C4:D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46B5A"/>
    <outlinePr summaryBelow="1" summaryRight="1"/>
    <pageSetUpPr fitToPage="1"/>
  </sheetPr>
  <dimension ref="A1:I1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8" customWidth="1" min="4" max="4"/>
    <col width="14" customWidth="1" min="5" max="5"/>
    <col width="18" customWidth="1" min="6" max="6"/>
    <col width="34" customWidth="1" min="7" max="7"/>
    <col hidden="1" width="13" customWidth="1" min="9" max="9"/>
  </cols>
  <sheetData>
    <row r="1" ht="34" customHeight="1">
      <c r="A1" s="1" t="inlineStr">
        <is>
          <t>Activation Calendar   (every booked activation, soonest first)</t>
        </is>
      </c>
    </row>
    <row r="2" ht="50" customHeight="1">
      <c r="A2" s="8" t="inlineStr">
        <is>
          <t>Activation Date</t>
        </is>
      </c>
      <c r="B2" s="8" t="inlineStr">
        <is>
          <t>Partner</t>
        </is>
      </c>
      <c r="C2" s="8" t="inlineStr">
        <is>
          <t>Type</t>
        </is>
      </c>
      <c r="D2" s="8" t="inlineStr">
        <is>
          <t>Owner</t>
        </is>
      </c>
      <c r="E2" s="8" t="inlineStr">
        <is>
          <t>Cases Committed</t>
        </is>
      </c>
      <c r="F2" s="8" t="inlineStr">
        <is>
          <t>Status</t>
        </is>
      </c>
      <c r="G2" s="8" t="inlineStr">
        <is>
          <t>Nearby Retail Doors</t>
        </is>
      </c>
    </row>
    <row r="3" ht="18" customHeight="1">
      <c r="A3" s="15">
        <f>IFERROR(INDEX('Master List'!$V$3:$V$500,$I3),"")</f>
        <v/>
      </c>
      <c r="B3" s="16">
        <f>IFERROR(INDEX('Master List'!$B$3:$B$500,$I3),"")</f>
        <v/>
      </c>
      <c r="C3" s="17">
        <f>IFERROR(INDEX('Master List'!$A$3:$A$500,$I3),"")</f>
        <v/>
      </c>
      <c r="D3" s="17">
        <f>IFERROR(INDEX('Master List'!$G$3:$G$500,$I3),"")</f>
        <v/>
      </c>
      <c r="E3" s="17">
        <f>IFERROR(INDEX('Master List'!$W$3:$W$500,$I3),"")</f>
        <v/>
      </c>
      <c r="F3" s="17">
        <f>IFERROR(INDEX('Master List'!$F$3:$F$500,$I3),"")</f>
        <v/>
      </c>
      <c r="G3" s="16">
        <f>IFERROR(INDEX('Master List'!$AF$3:$AF$500,$I3),"")</f>
        <v/>
      </c>
      <c r="I3" s="18">
        <f>IFERROR(MATCH(SMALL('Master List'!$AL$3:$AL$500,ROW()-2),'Master List'!$AL$3:$AL$500,0),"")</f>
        <v/>
      </c>
    </row>
    <row r="4" ht="18" customHeight="1">
      <c r="A4" s="15">
        <f>IFERROR(INDEX('Master List'!$V$3:$V$500,$I4),"")</f>
        <v/>
      </c>
      <c r="B4" s="16">
        <f>IFERROR(INDEX('Master List'!$B$3:$B$500,$I4),"")</f>
        <v/>
      </c>
      <c r="C4" s="17">
        <f>IFERROR(INDEX('Master List'!$A$3:$A$500,$I4),"")</f>
        <v/>
      </c>
      <c r="D4" s="17">
        <f>IFERROR(INDEX('Master List'!$G$3:$G$500,$I4),"")</f>
        <v/>
      </c>
      <c r="E4" s="17">
        <f>IFERROR(INDEX('Master List'!$W$3:$W$500,$I4),"")</f>
        <v/>
      </c>
      <c r="F4" s="17">
        <f>IFERROR(INDEX('Master List'!$F$3:$F$500,$I4),"")</f>
        <v/>
      </c>
      <c r="G4" s="16">
        <f>IFERROR(INDEX('Master List'!$AF$3:$AF$500,$I4),"")</f>
        <v/>
      </c>
      <c r="I4" s="18">
        <f>IFERROR(MATCH(SMALL('Master List'!$AL$3:$AL$500,ROW()-2),'Master List'!$AL$3:$AL$500,0),"")</f>
        <v/>
      </c>
    </row>
    <row r="5" ht="18" customHeight="1">
      <c r="A5" s="15">
        <f>IFERROR(INDEX('Master List'!$V$3:$V$500,$I5),"")</f>
        <v/>
      </c>
      <c r="B5" s="16">
        <f>IFERROR(INDEX('Master List'!$B$3:$B$500,$I5),"")</f>
        <v/>
      </c>
      <c r="C5" s="17">
        <f>IFERROR(INDEX('Master List'!$A$3:$A$500,$I5),"")</f>
        <v/>
      </c>
      <c r="D5" s="17">
        <f>IFERROR(INDEX('Master List'!$G$3:$G$500,$I5),"")</f>
        <v/>
      </c>
      <c r="E5" s="17">
        <f>IFERROR(INDEX('Master List'!$W$3:$W$500,$I5),"")</f>
        <v/>
      </c>
      <c r="F5" s="17">
        <f>IFERROR(INDEX('Master List'!$F$3:$F$500,$I5),"")</f>
        <v/>
      </c>
      <c r="G5" s="16">
        <f>IFERROR(INDEX('Master List'!$AF$3:$AF$500,$I5),"")</f>
        <v/>
      </c>
      <c r="I5" s="18">
        <f>IFERROR(MATCH(SMALL('Master List'!$AL$3:$AL$500,ROW()-2),'Master List'!$AL$3:$AL$500,0),"")</f>
        <v/>
      </c>
    </row>
    <row r="6" ht="18" customHeight="1">
      <c r="A6" s="15">
        <f>IFERROR(INDEX('Master List'!$V$3:$V$500,$I6),"")</f>
        <v/>
      </c>
      <c r="B6" s="16">
        <f>IFERROR(INDEX('Master List'!$B$3:$B$500,$I6),"")</f>
        <v/>
      </c>
      <c r="C6" s="17">
        <f>IFERROR(INDEX('Master List'!$A$3:$A$500,$I6),"")</f>
        <v/>
      </c>
      <c r="D6" s="17">
        <f>IFERROR(INDEX('Master List'!$G$3:$G$500,$I6),"")</f>
        <v/>
      </c>
      <c r="E6" s="17">
        <f>IFERROR(INDEX('Master List'!$W$3:$W$500,$I6),"")</f>
        <v/>
      </c>
      <c r="F6" s="17">
        <f>IFERROR(INDEX('Master List'!$F$3:$F$500,$I6),"")</f>
        <v/>
      </c>
      <c r="G6" s="16">
        <f>IFERROR(INDEX('Master List'!$AF$3:$AF$500,$I6),"")</f>
        <v/>
      </c>
      <c r="I6" s="18">
        <f>IFERROR(MATCH(SMALL('Master List'!$AL$3:$AL$500,ROW()-2),'Master List'!$AL$3:$AL$500,0),"")</f>
        <v/>
      </c>
    </row>
    <row r="7" ht="18" customHeight="1">
      <c r="A7" s="15">
        <f>IFERROR(INDEX('Master List'!$V$3:$V$500,$I7),"")</f>
        <v/>
      </c>
      <c r="B7" s="16">
        <f>IFERROR(INDEX('Master List'!$B$3:$B$500,$I7),"")</f>
        <v/>
      </c>
      <c r="C7" s="17">
        <f>IFERROR(INDEX('Master List'!$A$3:$A$500,$I7),"")</f>
        <v/>
      </c>
      <c r="D7" s="17">
        <f>IFERROR(INDEX('Master List'!$G$3:$G$500,$I7),"")</f>
        <v/>
      </c>
      <c r="E7" s="17">
        <f>IFERROR(INDEX('Master List'!$W$3:$W$500,$I7),"")</f>
        <v/>
      </c>
      <c r="F7" s="17">
        <f>IFERROR(INDEX('Master List'!$F$3:$F$500,$I7),"")</f>
        <v/>
      </c>
      <c r="G7" s="16">
        <f>IFERROR(INDEX('Master List'!$AF$3:$AF$500,$I7),"")</f>
        <v/>
      </c>
      <c r="I7" s="18">
        <f>IFERROR(MATCH(SMALL('Master List'!$AL$3:$AL$500,ROW()-2),'Master List'!$AL$3:$AL$500,0),"")</f>
        <v/>
      </c>
    </row>
    <row r="8" ht="18" customHeight="1">
      <c r="A8" s="15">
        <f>IFERROR(INDEX('Master List'!$V$3:$V$500,$I8),"")</f>
        <v/>
      </c>
      <c r="B8" s="16">
        <f>IFERROR(INDEX('Master List'!$B$3:$B$500,$I8),"")</f>
        <v/>
      </c>
      <c r="C8" s="17">
        <f>IFERROR(INDEX('Master List'!$A$3:$A$500,$I8),"")</f>
        <v/>
      </c>
      <c r="D8" s="17">
        <f>IFERROR(INDEX('Master List'!$G$3:$G$500,$I8),"")</f>
        <v/>
      </c>
      <c r="E8" s="17">
        <f>IFERROR(INDEX('Master List'!$W$3:$W$500,$I8),"")</f>
        <v/>
      </c>
      <c r="F8" s="17">
        <f>IFERROR(INDEX('Master List'!$F$3:$F$500,$I8),"")</f>
        <v/>
      </c>
      <c r="G8" s="16">
        <f>IFERROR(INDEX('Master List'!$AF$3:$AF$500,$I8),"")</f>
        <v/>
      </c>
      <c r="I8" s="18">
        <f>IFERROR(MATCH(SMALL('Master List'!$AL$3:$AL$500,ROW()-2),'Master List'!$AL$3:$AL$500,0),"")</f>
        <v/>
      </c>
    </row>
    <row r="9" ht="18" customHeight="1">
      <c r="A9" s="15">
        <f>IFERROR(INDEX('Master List'!$V$3:$V$500,$I9),"")</f>
        <v/>
      </c>
      <c r="B9" s="16">
        <f>IFERROR(INDEX('Master List'!$B$3:$B$500,$I9),"")</f>
        <v/>
      </c>
      <c r="C9" s="17">
        <f>IFERROR(INDEX('Master List'!$A$3:$A$500,$I9),"")</f>
        <v/>
      </c>
      <c r="D9" s="17">
        <f>IFERROR(INDEX('Master List'!$G$3:$G$500,$I9),"")</f>
        <v/>
      </c>
      <c r="E9" s="17">
        <f>IFERROR(INDEX('Master List'!$W$3:$W$500,$I9),"")</f>
        <v/>
      </c>
      <c r="F9" s="17">
        <f>IFERROR(INDEX('Master List'!$F$3:$F$500,$I9),"")</f>
        <v/>
      </c>
      <c r="G9" s="16">
        <f>IFERROR(INDEX('Master List'!$AF$3:$AF$500,$I9),"")</f>
        <v/>
      </c>
      <c r="I9" s="18">
        <f>IFERROR(MATCH(SMALL('Master List'!$AL$3:$AL$500,ROW()-2),'Master List'!$AL$3:$AL$500,0),"")</f>
        <v/>
      </c>
    </row>
    <row r="10" ht="18" customHeight="1">
      <c r="A10" s="15">
        <f>IFERROR(INDEX('Master List'!$V$3:$V$500,$I10),"")</f>
        <v/>
      </c>
      <c r="B10" s="16">
        <f>IFERROR(INDEX('Master List'!$B$3:$B$500,$I10),"")</f>
        <v/>
      </c>
      <c r="C10" s="17">
        <f>IFERROR(INDEX('Master List'!$A$3:$A$500,$I10),"")</f>
        <v/>
      </c>
      <c r="D10" s="17">
        <f>IFERROR(INDEX('Master List'!$G$3:$G$500,$I10),"")</f>
        <v/>
      </c>
      <c r="E10" s="17">
        <f>IFERROR(INDEX('Master List'!$W$3:$W$500,$I10),"")</f>
        <v/>
      </c>
      <c r="F10" s="17">
        <f>IFERROR(INDEX('Master List'!$F$3:$F$500,$I10),"")</f>
        <v/>
      </c>
      <c r="G10" s="16">
        <f>IFERROR(INDEX('Master List'!$AF$3:$AF$500,$I10),"")</f>
        <v/>
      </c>
      <c r="I10" s="18">
        <f>IFERROR(MATCH(SMALL('Master List'!$AL$3:$AL$500,ROW()-2),'Master List'!$AL$3:$AL$500,0),"")</f>
        <v/>
      </c>
    </row>
    <row r="11" ht="18" customHeight="1">
      <c r="A11" s="15">
        <f>IFERROR(INDEX('Master List'!$V$3:$V$500,$I11),"")</f>
        <v/>
      </c>
      <c r="B11" s="16">
        <f>IFERROR(INDEX('Master List'!$B$3:$B$500,$I11),"")</f>
        <v/>
      </c>
      <c r="C11" s="17">
        <f>IFERROR(INDEX('Master List'!$A$3:$A$500,$I11),"")</f>
        <v/>
      </c>
      <c r="D11" s="17">
        <f>IFERROR(INDEX('Master List'!$G$3:$G$500,$I11),"")</f>
        <v/>
      </c>
      <c r="E11" s="17">
        <f>IFERROR(INDEX('Master List'!$W$3:$W$500,$I11),"")</f>
        <v/>
      </c>
      <c r="F11" s="17">
        <f>IFERROR(INDEX('Master List'!$F$3:$F$500,$I11),"")</f>
        <v/>
      </c>
      <c r="G11" s="16">
        <f>IFERROR(INDEX('Master List'!$AF$3:$AF$500,$I11),"")</f>
        <v/>
      </c>
      <c r="I11" s="18">
        <f>IFERROR(MATCH(SMALL('Master List'!$AL$3:$AL$500,ROW()-2),'Master List'!$AL$3:$AL$500,0),"")</f>
        <v/>
      </c>
    </row>
    <row r="12" ht="18" customHeight="1">
      <c r="A12" s="15">
        <f>IFERROR(INDEX('Master List'!$V$3:$V$500,$I12),"")</f>
        <v/>
      </c>
      <c r="B12" s="16">
        <f>IFERROR(INDEX('Master List'!$B$3:$B$500,$I12),"")</f>
        <v/>
      </c>
      <c r="C12" s="17">
        <f>IFERROR(INDEX('Master List'!$A$3:$A$500,$I12),"")</f>
        <v/>
      </c>
      <c r="D12" s="17">
        <f>IFERROR(INDEX('Master List'!$G$3:$G$500,$I12),"")</f>
        <v/>
      </c>
      <c r="E12" s="17">
        <f>IFERROR(INDEX('Master List'!$W$3:$W$500,$I12),"")</f>
        <v/>
      </c>
      <c r="F12" s="17">
        <f>IFERROR(INDEX('Master List'!$F$3:$F$500,$I12),"")</f>
        <v/>
      </c>
      <c r="G12" s="16">
        <f>IFERROR(INDEX('Master List'!$AF$3:$AF$500,$I12),"")</f>
        <v/>
      </c>
      <c r="I12" s="18">
        <f>IFERROR(MATCH(SMALL('Master List'!$AL$3:$AL$500,ROW()-2),'Master List'!$AL$3:$AL$500,0),"")</f>
        <v/>
      </c>
    </row>
    <row r="13" ht="18" customHeight="1">
      <c r="A13" s="15">
        <f>IFERROR(INDEX('Master List'!$V$3:$V$500,$I13),"")</f>
        <v/>
      </c>
      <c r="B13" s="16">
        <f>IFERROR(INDEX('Master List'!$B$3:$B$500,$I13),"")</f>
        <v/>
      </c>
      <c r="C13" s="17">
        <f>IFERROR(INDEX('Master List'!$A$3:$A$500,$I13),"")</f>
        <v/>
      </c>
      <c r="D13" s="17">
        <f>IFERROR(INDEX('Master List'!$G$3:$G$500,$I13),"")</f>
        <v/>
      </c>
      <c r="E13" s="17">
        <f>IFERROR(INDEX('Master List'!$W$3:$W$500,$I13),"")</f>
        <v/>
      </c>
      <c r="F13" s="17">
        <f>IFERROR(INDEX('Master List'!$F$3:$F$500,$I13),"")</f>
        <v/>
      </c>
      <c r="G13" s="16">
        <f>IFERROR(INDEX('Master List'!$AF$3:$AF$500,$I13),"")</f>
        <v/>
      </c>
      <c r="I13" s="18">
        <f>IFERROR(MATCH(SMALL('Master List'!$AL$3:$AL$500,ROW()-2),'Master List'!$AL$3:$AL$500,0),"")</f>
        <v/>
      </c>
    </row>
    <row r="14" ht="18" customHeight="1">
      <c r="A14" s="15">
        <f>IFERROR(INDEX('Master List'!$V$3:$V$500,$I14),"")</f>
        <v/>
      </c>
      <c r="B14" s="16">
        <f>IFERROR(INDEX('Master List'!$B$3:$B$500,$I14),"")</f>
        <v/>
      </c>
      <c r="C14" s="17">
        <f>IFERROR(INDEX('Master List'!$A$3:$A$500,$I14),"")</f>
        <v/>
      </c>
      <c r="D14" s="17">
        <f>IFERROR(INDEX('Master List'!$G$3:$G$500,$I14),"")</f>
        <v/>
      </c>
      <c r="E14" s="17">
        <f>IFERROR(INDEX('Master List'!$W$3:$W$500,$I14),"")</f>
        <v/>
      </c>
      <c r="F14" s="17">
        <f>IFERROR(INDEX('Master List'!$F$3:$F$500,$I14),"")</f>
        <v/>
      </c>
      <c r="G14" s="16">
        <f>IFERROR(INDEX('Master List'!$AF$3:$AF$500,$I14),"")</f>
        <v/>
      </c>
      <c r="I14" s="18">
        <f>IFERROR(MATCH(SMALL('Master List'!$AL$3:$AL$500,ROW()-2),'Master List'!$AL$3:$AL$500,0),"")</f>
        <v/>
      </c>
    </row>
    <row r="15" ht="18" customHeight="1">
      <c r="A15" s="15">
        <f>IFERROR(INDEX('Master List'!$V$3:$V$500,$I15),"")</f>
        <v/>
      </c>
      <c r="B15" s="16">
        <f>IFERROR(INDEX('Master List'!$B$3:$B$500,$I15),"")</f>
        <v/>
      </c>
      <c r="C15" s="17">
        <f>IFERROR(INDEX('Master List'!$A$3:$A$500,$I15),"")</f>
        <v/>
      </c>
      <c r="D15" s="17">
        <f>IFERROR(INDEX('Master List'!$G$3:$G$500,$I15),"")</f>
        <v/>
      </c>
      <c r="E15" s="17">
        <f>IFERROR(INDEX('Master List'!$W$3:$W$500,$I15),"")</f>
        <v/>
      </c>
      <c r="F15" s="17">
        <f>IFERROR(INDEX('Master List'!$F$3:$F$500,$I15),"")</f>
        <v/>
      </c>
      <c r="G15" s="16">
        <f>IFERROR(INDEX('Master List'!$AF$3:$AF$500,$I15),"")</f>
        <v/>
      </c>
      <c r="I15" s="18">
        <f>IFERROR(MATCH(SMALL('Master List'!$AL$3:$AL$500,ROW()-2),'Master List'!$AL$3:$AL$500,0),"")</f>
        <v/>
      </c>
    </row>
    <row r="16" ht="18" customHeight="1">
      <c r="A16" s="15">
        <f>IFERROR(INDEX('Master List'!$V$3:$V$500,$I16),"")</f>
        <v/>
      </c>
      <c r="B16" s="16">
        <f>IFERROR(INDEX('Master List'!$B$3:$B$500,$I16),"")</f>
        <v/>
      </c>
      <c r="C16" s="17">
        <f>IFERROR(INDEX('Master List'!$A$3:$A$500,$I16),"")</f>
        <v/>
      </c>
      <c r="D16" s="17">
        <f>IFERROR(INDEX('Master List'!$G$3:$G$500,$I16),"")</f>
        <v/>
      </c>
      <c r="E16" s="17">
        <f>IFERROR(INDEX('Master List'!$W$3:$W$500,$I16),"")</f>
        <v/>
      </c>
      <c r="F16" s="17">
        <f>IFERROR(INDEX('Master List'!$F$3:$F$500,$I16),"")</f>
        <v/>
      </c>
      <c r="G16" s="16">
        <f>IFERROR(INDEX('Master List'!$AF$3:$AF$500,$I16),"")</f>
        <v/>
      </c>
      <c r="I16" s="18">
        <f>IFERROR(MATCH(SMALL('Master List'!$AL$3:$AL$500,ROW()-2),'Master List'!$AL$3:$AL$500,0),"")</f>
        <v/>
      </c>
    </row>
    <row r="17" ht="18" customHeight="1">
      <c r="A17" s="15">
        <f>IFERROR(INDEX('Master List'!$V$3:$V$500,$I17),"")</f>
        <v/>
      </c>
      <c r="B17" s="16">
        <f>IFERROR(INDEX('Master List'!$B$3:$B$500,$I17),"")</f>
        <v/>
      </c>
      <c r="C17" s="17">
        <f>IFERROR(INDEX('Master List'!$A$3:$A$500,$I17),"")</f>
        <v/>
      </c>
      <c r="D17" s="17">
        <f>IFERROR(INDEX('Master List'!$G$3:$G$500,$I17),"")</f>
        <v/>
      </c>
      <c r="E17" s="17">
        <f>IFERROR(INDEX('Master List'!$W$3:$W$500,$I17),"")</f>
        <v/>
      </c>
      <c r="F17" s="17">
        <f>IFERROR(INDEX('Master List'!$F$3:$F$500,$I17),"")</f>
        <v/>
      </c>
      <c r="G17" s="16">
        <f>IFERROR(INDEX('Master List'!$AF$3:$AF$500,$I17),"")</f>
        <v/>
      </c>
      <c r="I17" s="18">
        <f>IFERROR(MATCH(SMALL('Master List'!$AL$3:$AL$500,ROW()-2),'Master List'!$AL$3:$AL$500,0),"")</f>
        <v/>
      </c>
    </row>
    <row r="18" ht="18" customHeight="1">
      <c r="A18" s="15">
        <f>IFERROR(INDEX('Master List'!$V$3:$V$500,$I18),"")</f>
        <v/>
      </c>
      <c r="B18" s="16">
        <f>IFERROR(INDEX('Master List'!$B$3:$B$500,$I18),"")</f>
        <v/>
      </c>
      <c r="C18" s="17">
        <f>IFERROR(INDEX('Master List'!$A$3:$A$500,$I18),"")</f>
        <v/>
      </c>
      <c r="D18" s="17">
        <f>IFERROR(INDEX('Master List'!$G$3:$G$500,$I18),"")</f>
        <v/>
      </c>
      <c r="E18" s="17">
        <f>IFERROR(INDEX('Master List'!$W$3:$W$500,$I18),"")</f>
        <v/>
      </c>
      <c r="F18" s="17">
        <f>IFERROR(INDEX('Master List'!$F$3:$F$500,$I18),"")</f>
        <v/>
      </c>
      <c r="G18" s="16">
        <f>IFERROR(INDEX('Master List'!$AF$3:$AF$500,$I18),"")</f>
        <v/>
      </c>
      <c r="I18" s="18">
        <f>IFERROR(MATCH(SMALL('Master List'!$AL$3:$AL$500,ROW()-2),'Master List'!$AL$3:$AL$500,0),"")</f>
        <v/>
      </c>
    </row>
    <row r="19" ht="18" customHeight="1">
      <c r="A19" s="15">
        <f>IFERROR(INDEX('Master List'!$V$3:$V$500,$I19),"")</f>
        <v/>
      </c>
      <c r="B19" s="16">
        <f>IFERROR(INDEX('Master List'!$B$3:$B$500,$I19),"")</f>
        <v/>
      </c>
      <c r="C19" s="17">
        <f>IFERROR(INDEX('Master List'!$A$3:$A$500,$I19),"")</f>
        <v/>
      </c>
      <c r="D19" s="17">
        <f>IFERROR(INDEX('Master List'!$G$3:$G$500,$I19),"")</f>
        <v/>
      </c>
      <c r="E19" s="17">
        <f>IFERROR(INDEX('Master List'!$W$3:$W$500,$I19),"")</f>
        <v/>
      </c>
      <c r="F19" s="17">
        <f>IFERROR(INDEX('Master List'!$F$3:$F$500,$I19),"")</f>
        <v/>
      </c>
      <c r="G19" s="16">
        <f>IFERROR(INDEX('Master List'!$AF$3:$AF$500,$I19),"")</f>
        <v/>
      </c>
      <c r="I19" s="18">
        <f>IFERROR(MATCH(SMALL('Master List'!$AL$3:$AL$500,ROW()-2),'Master List'!$AL$3:$AL$500,0),"")</f>
        <v/>
      </c>
    </row>
    <row r="20" ht="18" customHeight="1">
      <c r="A20" s="15">
        <f>IFERROR(INDEX('Master List'!$V$3:$V$500,$I20),"")</f>
        <v/>
      </c>
      <c r="B20" s="16">
        <f>IFERROR(INDEX('Master List'!$B$3:$B$500,$I20),"")</f>
        <v/>
      </c>
      <c r="C20" s="17">
        <f>IFERROR(INDEX('Master List'!$A$3:$A$500,$I20),"")</f>
        <v/>
      </c>
      <c r="D20" s="17">
        <f>IFERROR(INDEX('Master List'!$G$3:$G$500,$I20),"")</f>
        <v/>
      </c>
      <c r="E20" s="17">
        <f>IFERROR(INDEX('Master List'!$W$3:$W$500,$I20),"")</f>
        <v/>
      </c>
      <c r="F20" s="17">
        <f>IFERROR(INDEX('Master List'!$F$3:$F$500,$I20),"")</f>
        <v/>
      </c>
      <c r="G20" s="16">
        <f>IFERROR(INDEX('Master List'!$AF$3:$AF$500,$I20),"")</f>
        <v/>
      </c>
      <c r="I20" s="18">
        <f>IFERROR(MATCH(SMALL('Master List'!$AL$3:$AL$500,ROW()-2),'Master List'!$AL$3:$AL$500,0),"")</f>
        <v/>
      </c>
    </row>
    <row r="21" ht="18" customHeight="1">
      <c r="A21" s="15">
        <f>IFERROR(INDEX('Master List'!$V$3:$V$500,$I21),"")</f>
        <v/>
      </c>
      <c r="B21" s="16">
        <f>IFERROR(INDEX('Master List'!$B$3:$B$500,$I21),"")</f>
        <v/>
      </c>
      <c r="C21" s="17">
        <f>IFERROR(INDEX('Master List'!$A$3:$A$500,$I21),"")</f>
        <v/>
      </c>
      <c r="D21" s="17">
        <f>IFERROR(INDEX('Master List'!$G$3:$G$500,$I21),"")</f>
        <v/>
      </c>
      <c r="E21" s="17">
        <f>IFERROR(INDEX('Master List'!$W$3:$W$500,$I21),"")</f>
        <v/>
      </c>
      <c r="F21" s="17">
        <f>IFERROR(INDEX('Master List'!$F$3:$F$500,$I21),"")</f>
        <v/>
      </c>
      <c r="G21" s="16">
        <f>IFERROR(INDEX('Master List'!$AF$3:$AF$500,$I21),"")</f>
        <v/>
      </c>
      <c r="I21" s="18">
        <f>IFERROR(MATCH(SMALL('Master List'!$AL$3:$AL$500,ROW()-2),'Master List'!$AL$3:$AL$500,0),"")</f>
        <v/>
      </c>
    </row>
    <row r="22" ht="18" customHeight="1">
      <c r="A22" s="15">
        <f>IFERROR(INDEX('Master List'!$V$3:$V$500,$I22),"")</f>
        <v/>
      </c>
      <c r="B22" s="16">
        <f>IFERROR(INDEX('Master List'!$B$3:$B$500,$I22),"")</f>
        <v/>
      </c>
      <c r="C22" s="17">
        <f>IFERROR(INDEX('Master List'!$A$3:$A$500,$I22),"")</f>
        <v/>
      </c>
      <c r="D22" s="17">
        <f>IFERROR(INDEX('Master List'!$G$3:$G$500,$I22),"")</f>
        <v/>
      </c>
      <c r="E22" s="17">
        <f>IFERROR(INDEX('Master List'!$W$3:$W$500,$I22),"")</f>
        <v/>
      </c>
      <c r="F22" s="17">
        <f>IFERROR(INDEX('Master List'!$F$3:$F$500,$I22),"")</f>
        <v/>
      </c>
      <c r="G22" s="16">
        <f>IFERROR(INDEX('Master List'!$AF$3:$AF$500,$I22),"")</f>
        <v/>
      </c>
      <c r="I22" s="18">
        <f>IFERROR(MATCH(SMALL('Master List'!$AL$3:$AL$500,ROW()-2),'Master List'!$AL$3:$AL$500,0),"")</f>
        <v/>
      </c>
    </row>
    <row r="23" ht="18" customHeight="1">
      <c r="A23" s="15">
        <f>IFERROR(INDEX('Master List'!$V$3:$V$500,$I23),"")</f>
        <v/>
      </c>
      <c r="B23" s="16">
        <f>IFERROR(INDEX('Master List'!$B$3:$B$500,$I23),"")</f>
        <v/>
      </c>
      <c r="C23" s="17">
        <f>IFERROR(INDEX('Master List'!$A$3:$A$500,$I23),"")</f>
        <v/>
      </c>
      <c r="D23" s="17">
        <f>IFERROR(INDEX('Master List'!$G$3:$G$500,$I23),"")</f>
        <v/>
      </c>
      <c r="E23" s="17">
        <f>IFERROR(INDEX('Master List'!$W$3:$W$500,$I23),"")</f>
        <v/>
      </c>
      <c r="F23" s="17">
        <f>IFERROR(INDEX('Master List'!$F$3:$F$500,$I23),"")</f>
        <v/>
      </c>
      <c r="G23" s="16">
        <f>IFERROR(INDEX('Master List'!$AF$3:$AF$500,$I23),"")</f>
        <v/>
      </c>
      <c r="I23" s="18">
        <f>IFERROR(MATCH(SMALL('Master List'!$AL$3:$AL$500,ROW()-2),'Master List'!$AL$3:$AL$500,0),"")</f>
        <v/>
      </c>
    </row>
    <row r="24" ht="18" customHeight="1">
      <c r="A24" s="15">
        <f>IFERROR(INDEX('Master List'!$V$3:$V$500,$I24),"")</f>
        <v/>
      </c>
      <c r="B24" s="16">
        <f>IFERROR(INDEX('Master List'!$B$3:$B$500,$I24),"")</f>
        <v/>
      </c>
      <c r="C24" s="17">
        <f>IFERROR(INDEX('Master List'!$A$3:$A$500,$I24),"")</f>
        <v/>
      </c>
      <c r="D24" s="17">
        <f>IFERROR(INDEX('Master List'!$G$3:$G$500,$I24),"")</f>
        <v/>
      </c>
      <c r="E24" s="17">
        <f>IFERROR(INDEX('Master List'!$W$3:$W$500,$I24),"")</f>
        <v/>
      </c>
      <c r="F24" s="17">
        <f>IFERROR(INDEX('Master List'!$F$3:$F$500,$I24),"")</f>
        <v/>
      </c>
      <c r="G24" s="16">
        <f>IFERROR(INDEX('Master List'!$AF$3:$AF$500,$I24),"")</f>
        <v/>
      </c>
      <c r="I24" s="18">
        <f>IFERROR(MATCH(SMALL('Master List'!$AL$3:$AL$500,ROW()-2),'Master List'!$AL$3:$AL$500,0),"")</f>
        <v/>
      </c>
    </row>
    <row r="25" ht="18" customHeight="1">
      <c r="A25" s="15">
        <f>IFERROR(INDEX('Master List'!$V$3:$V$500,$I25),"")</f>
        <v/>
      </c>
      <c r="B25" s="16">
        <f>IFERROR(INDEX('Master List'!$B$3:$B$500,$I25),"")</f>
        <v/>
      </c>
      <c r="C25" s="17">
        <f>IFERROR(INDEX('Master List'!$A$3:$A$500,$I25),"")</f>
        <v/>
      </c>
      <c r="D25" s="17">
        <f>IFERROR(INDEX('Master List'!$G$3:$G$500,$I25),"")</f>
        <v/>
      </c>
      <c r="E25" s="17">
        <f>IFERROR(INDEX('Master List'!$W$3:$W$500,$I25),"")</f>
        <v/>
      </c>
      <c r="F25" s="17">
        <f>IFERROR(INDEX('Master List'!$F$3:$F$500,$I25),"")</f>
        <v/>
      </c>
      <c r="G25" s="16">
        <f>IFERROR(INDEX('Master List'!$AF$3:$AF$500,$I25),"")</f>
        <v/>
      </c>
      <c r="I25" s="18">
        <f>IFERROR(MATCH(SMALL('Master List'!$AL$3:$AL$500,ROW()-2),'Master List'!$AL$3:$AL$500,0),"")</f>
        <v/>
      </c>
    </row>
    <row r="26" ht="18" customHeight="1">
      <c r="A26" s="15">
        <f>IFERROR(INDEX('Master List'!$V$3:$V$500,$I26),"")</f>
        <v/>
      </c>
      <c r="B26" s="16">
        <f>IFERROR(INDEX('Master List'!$B$3:$B$500,$I26),"")</f>
        <v/>
      </c>
      <c r="C26" s="17">
        <f>IFERROR(INDEX('Master List'!$A$3:$A$500,$I26),"")</f>
        <v/>
      </c>
      <c r="D26" s="17">
        <f>IFERROR(INDEX('Master List'!$G$3:$G$500,$I26),"")</f>
        <v/>
      </c>
      <c r="E26" s="17">
        <f>IFERROR(INDEX('Master List'!$W$3:$W$500,$I26),"")</f>
        <v/>
      </c>
      <c r="F26" s="17">
        <f>IFERROR(INDEX('Master List'!$F$3:$F$500,$I26),"")</f>
        <v/>
      </c>
      <c r="G26" s="16">
        <f>IFERROR(INDEX('Master List'!$AF$3:$AF$500,$I26),"")</f>
        <v/>
      </c>
      <c r="I26" s="18">
        <f>IFERROR(MATCH(SMALL('Master List'!$AL$3:$AL$500,ROW()-2),'Master List'!$AL$3:$AL$500,0),"")</f>
        <v/>
      </c>
    </row>
    <row r="27" ht="18" customHeight="1">
      <c r="A27" s="15">
        <f>IFERROR(INDEX('Master List'!$V$3:$V$500,$I27),"")</f>
        <v/>
      </c>
      <c r="B27" s="16">
        <f>IFERROR(INDEX('Master List'!$B$3:$B$500,$I27),"")</f>
        <v/>
      </c>
      <c r="C27" s="17">
        <f>IFERROR(INDEX('Master List'!$A$3:$A$500,$I27),"")</f>
        <v/>
      </c>
      <c r="D27" s="17">
        <f>IFERROR(INDEX('Master List'!$G$3:$G$500,$I27),"")</f>
        <v/>
      </c>
      <c r="E27" s="17">
        <f>IFERROR(INDEX('Master List'!$W$3:$W$500,$I27),"")</f>
        <v/>
      </c>
      <c r="F27" s="17">
        <f>IFERROR(INDEX('Master List'!$F$3:$F$500,$I27),"")</f>
        <v/>
      </c>
      <c r="G27" s="16">
        <f>IFERROR(INDEX('Master List'!$AF$3:$AF$500,$I27),"")</f>
        <v/>
      </c>
      <c r="I27" s="18">
        <f>IFERROR(MATCH(SMALL('Master List'!$AL$3:$AL$500,ROW()-2),'Master List'!$AL$3:$AL$500,0),"")</f>
        <v/>
      </c>
    </row>
    <row r="28" ht="18" customHeight="1">
      <c r="A28" s="15">
        <f>IFERROR(INDEX('Master List'!$V$3:$V$500,$I28),"")</f>
        <v/>
      </c>
      <c r="B28" s="16">
        <f>IFERROR(INDEX('Master List'!$B$3:$B$500,$I28),"")</f>
        <v/>
      </c>
      <c r="C28" s="17">
        <f>IFERROR(INDEX('Master List'!$A$3:$A$500,$I28),"")</f>
        <v/>
      </c>
      <c r="D28" s="17">
        <f>IFERROR(INDEX('Master List'!$G$3:$G$500,$I28),"")</f>
        <v/>
      </c>
      <c r="E28" s="17">
        <f>IFERROR(INDEX('Master List'!$W$3:$W$500,$I28),"")</f>
        <v/>
      </c>
      <c r="F28" s="17">
        <f>IFERROR(INDEX('Master List'!$F$3:$F$500,$I28),"")</f>
        <v/>
      </c>
      <c r="G28" s="16">
        <f>IFERROR(INDEX('Master List'!$AF$3:$AF$500,$I28),"")</f>
        <v/>
      </c>
      <c r="I28" s="18">
        <f>IFERROR(MATCH(SMALL('Master List'!$AL$3:$AL$500,ROW()-2),'Master List'!$AL$3:$AL$500,0),"")</f>
        <v/>
      </c>
    </row>
    <row r="29" ht="18" customHeight="1">
      <c r="A29" s="15">
        <f>IFERROR(INDEX('Master List'!$V$3:$V$500,$I29),"")</f>
        <v/>
      </c>
      <c r="B29" s="16">
        <f>IFERROR(INDEX('Master List'!$B$3:$B$500,$I29),"")</f>
        <v/>
      </c>
      <c r="C29" s="17">
        <f>IFERROR(INDEX('Master List'!$A$3:$A$500,$I29),"")</f>
        <v/>
      </c>
      <c r="D29" s="17">
        <f>IFERROR(INDEX('Master List'!$G$3:$G$500,$I29),"")</f>
        <v/>
      </c>
      <c r="E29" s="17">
        <f>IFERROR(INDEX('Master List'!$W$3:$W$500,$I29),"")</f>
        <v/>
      </c>
      <c r="F29" s="17">
        <f>IFERROR(INDEX('Master List'!$F$3:$F$500,$I29),"")</f>
        <v/>
      </c>
      <c r="G29" s="16">
        <f>IFERROR(INDEX('Master List'!$AF$3:$AF$500,$I29),"")</f>
        <v/>
      </c>
      <c r="I29" s="18">
        <f>IFERROR(MATCH(SMALL('Master List'!$AL$3:$AL$500,ROW()-2),'Master List'!$AL$3:$AL$500,0),"")</f>
        <v/>
      </c>
    </row>
    <row r="30" ht="18" customHeight="1">
      <c r="A30" s="15">
        <f>IFERROR(INDEX('Master List'!$V$3:$V$500,$I30),"")</f>
        <v/>
      </c>
      <c r="B30" s="16">
        <f>IFERROR(INDEX('Master List'!$B$3:$B$500,$I30),"")</f>
        <v/>
      </c>
      <c r="C30" s="17">
        <f>IFERROR(INDEX('Master List'!$A$3:$A$500,$I30),"")</f>
        <v/>
      </c>
      <c r="D30" s="17">
        <f>IFERROR(INDEX('Master List'!$G$3:$G$500,$I30),"")</f>
        <v/>
      </c>
      <c r="E30" s="17">
        <f>IFERROR(INDEX('Master List'!$W$3:$W$500,$I30),"")</f>
        <v/>
      </c>
      <c r="F30" s="17">
        <f>IFERROR(INDEX('Master List'!$F$3:$F$500,$I30),"")</f>
        <v/>
      </c>
      <c r="G30" s="16">
        <f>IFERROR(INDEX('Master List'!$AF$3:$AF$500,$I30),"")</f>
        <v/>
      </c>
      <c r="I30" s="18">
        <f>IFERROR(MATCH(SMALL('Master List'!$AL$3:$AL$500,ROW()-2),'Master List'!$AL$3:$AL$500,0),"")</f>
        <v/>
      </c>
    </row>
    <row r="31" ht="18" customHeight="1">
      <c r="A31" s="15">
        <f>IFERROR(INDEX('Master List'!$V$3:$V$500,$I31),"")</f>
        <v/>
      </c>
      <c r="B31" s="16">
        <f>IFERROR(INDEX('Master List'!$B$3:$B$500,$I31),"")</f>
        <v/>
      </c>
      <c r="C31" s="17">
        <f>IFERROR(INDEX('Master List'!$A$3:$A$500,$I31),"")</f>
        <v/>
      </c>
      <c r="D31" s="17">
        <f>IFERROR(INDEX('Master List'!$G$3:$G$500,$I31),"")</f>
        <v/>
      </c>
      <c r="E31" s="17">
        <f>IFERROR(INDEX('Master List'!$W$3:$W$500,$I31),"")</f>
        <v/>
      </c>
      <c r="F31" s="17">
        <f>IFERROR(INDEX('Master List'!$F$3:$F$500,$I31),"")</f>
        <v/>
      </c>
      <c r="G31" s="16">
        <f>IFERROR(INDEX('Master List'!$AF$3:$AF$500,$I31),"")</f>
        <v/>
      </c>
      <c r="I31" s="18">
        <f>IFERROR(MATCH(SMALL('Master List'!$AL$3:$AL$500,ROW()-2),'Master List'!$AL$3:$AL$500,0),"")</f>
        <v/>
      </c>
    </row>
    <row r="32" ht="18" customHeight="1">
      <c r="A32" s="15">
        <f>IFERROR(INDEX('Master List'!$V$3:$V$500,$I32),"")</f>
        <v/>
      </c>
      <c r="B32" s="16">
        <f>IFERROR(INDEX('Master List'!$B$3:$B$500,$I32),"")</f>
        <v/>
      </c>
      <c r="C32" s="17">
        <f>IFERROR(INDEX('Master List'!$A$3:$A$500,$I32),"")</f>
        <v/>
      </c>
      <c r="D32" s="17">
        <f>IFERROR(INDEX('Master List'!$G$3:$G$500,$I32),"")</f>
        <v/>
      </c>
      <c r="E32" s="17">
        <f>IFERROR(INDEX('Master List'!$W$3:$W$500,$I32),"")</f>
        <v/>
      </c>
      <c r="F32" s="17">
        <f>IFERROR(INDEX('Master List'!$F$3:$F$500,$I32),"")</f>
        <v/>
      </c>
      <c r="G32" s="16">
        <f>IFERROR(INDEX('Master List'!$AF$3:$AF$500,$I32),"")</f>
        <v/>
      </c>
      <c r="I32" s="18">
        <f>IFERROR(MATCH(SMALL('Master List'!$AL$3:$AL$500,ROW()-2),'Master List'!$AL$3:$AL$500,0),"")</f>
        <v/>
      </c>
    </row>
    <row r="33" ht="18" customHeight="1">
      <c r="A33" s="15">
        <f>IFERROR(INDEX('Master List'!$V$3:$V$500,$I33),"")</f>
        <v/>
      </c>
      <c r="B33" s="16">
        <f>IFERROR(INDEX('Master List'!$B$3:$B$500,$I33),"")</f>
        <v/>
      </c>
      <c r="C33" s="17">
        <f>IFERROR(INDEX('Master List'!$A$3:$A$500,$I33),"")</f>
        <v/>
      </c>
      <c r="D33" s="17">
        <f>IFERROR(INDEX('Master List'!$G$3:$G$500,$I33),"")</f>
        <v/>
      </c>
      <c r="E33" s="17">
        <f>IFERROR(INDEX('Master List'!$W$3:$W$500,$I33),"")</f>
        <v/>
      </c>
      <c r="F33" s="17">
        <f>IFERROR(INDEX('Master List'!$F$3:$F$500,$I33),"")</f>
        <v/>
      </c>
      <c r="G33" s="16">
        <f>IFERROR(INDEX('Master List'!$AF$3:$AF$500,$I33),"")</f>
        <v/>
      </c>
      <c r="I33" s="18">
        <f>IFERROR(MATCH(SMALL('Master List'!$AL$3:$AL$500,ROW()-2),'Master List'!$AL$3:$AL$500,0),"")</f>
        <v/>
      </c>
    </row>
    <row r="34" ht="18" customHeight="1">
      <c r="A34" s="15">
        <f>IFERROR(INDEX('Master List'!$V$3:$V$500,$I34),"")</f>
        <v/>
      </c>
      <c r="B34" s="16">
        <f>IFERROR(INDEX('Master List'!$B$3:$B$500,$I34),"")</f>
        <v/>
      </c>
      <c r="C34" s="17">
        <f>IFERROR(INDEX('Master List'!$A$3:$A$500,$I34),"")</f>
        <v/>
      </c>
      <c r="D34" s="17">
        <f>IFERROR(INDEX('Master List'!$G$3:$G$500,$I34),"")</f>
        <v/>
      </c>
      <c r="E34" s="17">
        <f>IFERROR(INDEX('Master List'!$W$3:$W$500,$I34),"")</f>
        <v/>
      </c>
      <c r="F34" s="17">
        <f>IFERROR(INDEX('Master List'!$F$3:$F$500,$I34),"")</f>
        <v/>
      </c>
      <c r="G34" s="16">
        <f>IFERROR(INDEX('Master List'!$AF$3:$AF$500,$I34),"")</f>
        <v/>
      </c>
      <c r="I34" s="18">
        <f>IFERROR(MATCH(SMALL('Master List'!$AL$3:$AL$500,ROW()-2),'Master List'!$AL$3:$AL$500,0),"")</f>
        <v/>
      </c>
    </row>
    <row r="35" ht="18" customHeight="1">
      <c r="A35" s="15">
        <f>IFERROR(INDEX('Master List'!$V$3:$V$500,$I35),"")</f>
        <v/>
      </c>
      <c r="B35" s="16">
        <f>IFERROR(INDEX('Master List'!$B$3:$B$500,$I35),"")</f>
        <v/>
      </c>
      <c r="C35" s="17">
        <f>IFERROR(INDEX('Master List'!$A$3:$A$500,$I35),"")</f>
        <v/>
      </c>
      <c r="D35" s="17">
        <f>IFERROR(INDEX('Master List'!$G$3:$G$500,$I35),"")</f>
        <v/>
      </c>
      <c r="E35" s="17">
        <f>IFERROR(INDEX('Master List'!$W$3:$W$500,$I35),"")</f>
        <v/>
      </c>
      <c r="F35" s="17">
        <f>IFERROR(INDEX('Master List'!$F$3:$F$500,$I35),"")</f>
        <v/>
      </c>
      <c r="G35" s="16">
        <f>IFERROR(INDEX('Master List'!$AF$3:$AF$500,$I35),"")</f>
        <v/>
      </c>
      <c r="I35" s="18">
        <f>IFERROR(MATCH(SMALL('Master List'!$AL$3:$AL$500,ROW()-2),'Master List'!$AL$3:$AL$500,0),"")</f>
        <v/>
      </c>
    </row>
    <row r="36" ht="18" customHeight="1">
      <c r="A36" s="15">
        <f>IFERROR(INDEX('Master List'!$V$3:$V$500,$I36),"")</f>
        <v/>
      </c>
      <c r="B36" s="16">
        <f>IFERROR(INDEX('Master List'!$B$3:$B$500,$I36),"")</f>
        <v/>
      </c>
      <c r="C36" s="17">
        <f>IFERROR(INDEX('Master List'!$A$3:$A$500,$I36),"")</f>
        <v/>
      </c>
      <c r="D36" s="17">
        <f>IFERROR(INDEX('Master List'!$G$3:$G$500,$I36),"")</f>
        <v/>
      </c>
      <c r="E36" s="17">
        <f>IFERROR(INDEX('Master List'!$W$3:$W$500,$I36),"")</f>
        <v/>
      </c>
      <c r="F36" s="17">
        <f>IFERROR(INDEX('Master List'!$F$3:$F$500,$I36),"")</f>
        <v/>
      </c>
      <c r="G36" s="16">
        <f>IFERROR(INDEX('Master List'!$AF$3:$AF$500,$I36),"")</f>
        <v/>
      </c>
      <c r="I36" s="18">
        <f>IFERROR(MATCH(SMALL('Master List'!$AL$3:$AL$500,ROW()-2),'Master List'!$AL$3:$AL$500,0),"")</f>
        <v/>
      </c>
    </row>
    <row r="37" ht="18" customHeight="1">
      <c r="A37" s="15">
        <f>IFERROR(INDEX('Master List'!$V$3:$V$500,$I37),"")</f>
        <v/>
      </c>
      <c r="B37" s="16">
        <f>IFERROR(INDEX('Master List'!$B$3:$B$500,$I37),"")</f>
        <v/>
      </c>
      <c r="C37" s="17">
        <f>IFERROR(INDEX('Master List'!$A$3:$A$500,$I37),"")</f>
        <v/>
      </c>
      <c r="D37" s="17">
        <f>IFERROR(INDEX('Master List'!$G$3:$G$500,$I37),"")</f>
        <v/>
      </c>
      <c r="E37" s="17">
        <f>IFERROR(INDEX('Master List'!$W$3:$W$500,$I37),"")</f>
        <v/>
      </c>
      <c r="F37" s="17">
        <f>IFERROR(INDEX('Master List'!$F$3:$F$500,$I37),"")</f>
        <v/>
      </c>
      <c r="G37" s="16">
        <f>IFERROR(INDEX('Master List'!$AF$3:$AF$500,$I37),"")</f>
        <v/>
      </c>
      <c r="I37" s="18">
        <f>IFERROR(MATCH(SMALL('Master List'!$AL$3:$AL$500,ROW()-2),'Master List'!$AL$3:$AL$500,0),"")</f>
        <v/>
      </c>
    </row>
    <row r="38" ht="18" customHeight="1">
      <c r="A38" s="15">
        <f>IFERROR(INDEX('Master List'!$V$3:$V$500,$I38),"")</f>
        <v/>
      </c>
      <c r="B38" s="16">
        <f>IFERROR(INDEX('Master List'!$B$3:$B$500,$I38),"")</f>
        <v/>
      </c>
      <c r="C38" s="17">
        <f>IFERROR(INDEX('Master List'!$A$3:$A$500,$I38),"")</f>
        <v/>
      </c>
      <c r="D38" s="17">
        <f>IFERROR(INDEX('Master List'!$G$3:$G$500,$I38),"")</f>
        <v/>
      </c>
      <c r="E38" s="17">
        <f>IFERROR(INDEX('Master List'!$W$3:$W$500,$I38),"")</f>
        <v/>
      </c>
      <c r="F38" s="17">
        <f>IFERROR(INDEX('Master List'!$F$3:$F$500,$I38),"")</f>
        <v/>
      </c>
      <c r="G38" s="16">
        <f>IFERROR(INDEX('Master List'!$AF$3:$AF$500,$I38),"")</f>
        <v/>
      </c>
      <c r="I38" s="18">
        <f>IFERROR(MATCH(SMALL('Master List'!$AL$3:$AL$500,ROW()-2),'Master List'!$AL$3:$AL$500,0),"")</f>
        <v/>
      </c>
    </row>
    <row r="39" ht="18" customHeight="1">
      <c r="A39" s="15">
        <f>IFERROR(INDEX('Master List'!$V$3:$V$500,$I39),"")</f>
        <v/>
      </c>
      <c r="B39" s="16">
        <f>IFERROR(INDEX('Master List'!$B$3:$B$500,$I39),"")</f>
        <v/>
      </c>
      <c r="C39" s="17">
        <f>IFERROR(INDEX('Master List'!$A$3:$A$500,$I39),"")</f>
        <v/>
      </c>
      <c r="D39" s="17">
        <f>IFERROR(INDEX('Master List'!$G$3:$G$500,$I39),"")</f>
        <v/>
      </c>
      <c r="E39" s="17">
        <f>IFERROR(INDEX('Master List'!$W$3:$W$500,$I39),"")</f>
        <v/>
      </c>
      <c r="F39" s="17">
        <f>IFERROR(INDEX('Master List'!$F$3:$F$500,$I39),"")</f>
        <v/>
      </c>
      <c r="G39" s="16">
        <f>IFERROR(INDEX('Master List'!$AF$3:$AF$500,$I39),"")</f>
        <v/>
      </c>
      <c r="I39" s="18">
        <f>IFERROR(MATCH(SMALL('Master List'!$AL$3:$AL$500,ROW()-2),'Master List'!$AL$3:$AL$500,0),"")</f>
        <v/>
      </c>
    </row>
    <row r="40" ht="18" customHeight="1">
      <c r="A40" s="15">
        <f>IFERROR(INDEX('Master List'!$V$3:$V$500,$I40),"")</f>
        <v/>
      </c>
      <c r="B40" s="16">
        <f>IFERROR(INDEX('Master List'!$B$3:$B$500,$I40),"")</f>
        <v/>
      </c>
      <c r="C40" s="17">
        <f>IFERROR(INDEX('Master List'!$A$3:$A$500,$I40),"")</f>
        <v/>
      </c>
      <c r="D40" s="17">
        <f>IFERROR(INDEX('Master List'!$G$3:$G$500,$I40),"")</f>
        <v/>
      </c>
      <c r="E40" s="17">
        <f>IFERROR(INDEX('Master List'!$W$3:$W$500,$I40),"")</f>
        <v/>
      </c>
      <c r="F40" s="17">
        <f>IFERROR(INDEX('Master List'!$F$3:$F$500,$I40),"")</f>
        <v/>
      </c>
      <c r="G40" s="16">
        <f>IFERROR(INDEX('Master List'!$AF$3:$AF$500,$I40),"")</f>
        <v/>
      </c>
      <c r="I40" s="18">
        <f>IFERROR(MATCH(SMALL('Master List'!$AL$3:$AL$500,ROW()-2),'Master List'!$AL$3:$AL$500,0),"")</f>
        <v/>
      </c>
    </row>
    <row r="41" ht="18" customHeight="1">
      <c r="A41" s="15">
        <f>IFERROR(INDEX('Master List'!$V$3:$V$500,$I41),"")</f>
        <v/>
      </c>
      <c r="B41" s="16">
        <f>IFERROR(INDEX('Master List'!$B$3:$B$500,$I41),"")</f>
        <v/>
      </c>
      <c r="C41" s="17">
        <f>IFERROR(INDEX('Master List'!$A$3:$A$500,$I41),"")</f>
        <v/>
      </c>
      <c r="D41" s="17">
        <f>IFERROR(INDEX('Master List'!$G$3:$G$500,$I41),"")</f>
        <v/>
      </c>
      <c r="E41" s="17">
        <f>IFERROR(INDEX('Master List'!$W$3:$W$500,$I41),"")</f>
        <v/>
      </c>
      <c r="F41" s="17">
        <f>IFERROR(INDEX('Master List'!$F$3:$F$500,$I41),"")</f>
        <v/>
      </c>
      <c r="G41" s="16">
        <f>IFERROR(INDEX('Master List'!$AF$3:$AF$500,$I41),"")</f>
        <v/>
      </c>
      <c r="I41" s="18">
        <f>IFERROR(MATCH(SMALL('Master List'!$AL$3:$AL$500,ROW()-2),'Master List'!$AL$3:$AL$500,0),"")</f>
        <v/>
      </c>
    </row>
    <row r="42" ht="18" customHeight="1">
      <c r="A42" s="15">
        <f>IFERROR(INDEX('Master List'!$V$3:$V$500,$I42),"")</f>
        <v/>
      </c>
      <c r="B42" s="16">
        <f>IFERROR(INDEX('Master List'!$B$3:$B$500,$I42),"")</f>
        <v/>
      </c>
      <c r="C42" s="17">
        <f>IFERROR(INDEX('Master List'!$A$3:$A$500,$I42),"")</f>
        <v/>
      </c>
      <c r="D42" s="17">
        <f>IFERROR(INDEX('Master List'!$G$3:$G$500,$I42),"")</f>
        <v/>
      </c>
      <c r="E42" s="17">
        <f>IFERROR(INDEX('Master List'!$W$3:$W$500,$I42),"")</f>
        <v/>
      </c>
      <c r="F42" s="17">
        <f>IFERROR(INDEX('Master List'!$F$3:$F$500,$I42),"")</f>
        <v/>
      </c>
      <c r="G42" s="16">
        <f>IFERROR(INDEX('Master List'!$AF$3:$AF$500,$I42),"")</f>
        <v/>
      </c>
      <c r="I42" s="18">
        <f>IFERROR(MATCH(SMALL('Master List'!$AL$3:$AL$500,ROW()-2),'Master List'!$AL$3:$AL$500,0),"")</f>
        <v/>
      </c>
    </row>
    <row r="43" ht="18" customHeight="1">
      <c r="A43" s="15">
        <f>IFERROR(INDEX('Master List'!$V$3:$V$500,$I43),"")</f>
        <v/>
      </c>
      <c r="B43" s="16">
        <f>IFERROR(INDEX('Master List'!$B$3:$B$500,$I43),"")</f>
        <v/>
      </c>
      <c r="C43" s="17">
        <f>IFERROR(INDEX('Master List'!$A$3:$A$500,$I43),"")</f>
        <v/>
      </c>
      <c r="D43" s="17">
        <f>IFERROR(INDEX('Master List'!$G$3:$G$500,$I43),"")</f>
        <v/>
      </c>
      <c r="E43" s="17">
        <f>IFERROR(INDEX('Master List'!$W$3:$W$500,$I43),"")</f>
        <v/>
      </c>
      <c r="F43" s="17">
        <f>IFERROR(INDEX('Master List'!$F$3:$F$500,$I43),"")</f>
        <v/>
      </c>
      <c r="G43" s="16">
        <f>IFERROR(INDEX('Master List'!$AF$3:$AF$500,$I43),"")</f>
        <v/>
      </c>
      <c r="I43" s="18">
        <f>IFERROR(MATCH(SMALL('Master List'!$AL$3:$AL$500,ROW()-2),'Master List'!$AL$3:$AL$500,0),"")</f>
        <v/>
      </c>
    </row>
    <row r="44" ht="18" customHeight="1">
      <c r="A44" s="15">
        <f>IFERROR(INDEX('Master List'!$V$3:$V$500,$I44),"")</f>
        <v/>
      </c>
      <c r="B44" s="16">
        <f>IFERROR(INDEX('Master List'!$B$3:$B$500,$I44),"")</f>
        <v/>
      </c>
      <c r="C44" s="17">
        <f>IFERROR(INDEX('Master List'!$A$3:$A$500,$I44),"")</f>
        <v/>
      </c>
      <c r="D44" s="17">
        <f>IFERROR(INDEX('Master List'!$G$3:$G$500,$I44),"")</f>
        <v/>
      </c>
      <c r="E44" s="17">
        <f>IFERROR(INDEX('Master List'!$W$3:$W$500,$I44),"")</f>
        <v/>
      </c>
      <c r="F44" s="17">
        <f>IFERROR(INDEX('Master List'!$F$3:$F$500,$I44),"")</f>
        <v/>
      </c>
      <c r="G44" s="16">
        <f>IFERROR(INDEX('Master List'!$AF$3:$AF$500,$I44),"")</f>
        <v/>
      </c>
      <c r="I44" s="18">
        <f>IFERROR(MATCH(SMALL('Master List'!$AL$3:$AL$500,ROW()-2),'Master List'!$AL$3:$AL$500,0),"")</f>
        <v/>
      </c>
    </row>
    <row r="45" ht="18" customHeight="1">
      <c r="A45" s="15">
        <f>IFERROR(INDEX('Master List'!$V$3:$V$500,$I45),"")</f>
        <v/>
      </c>
      <c r="B45" s="16">
        <f>IFERROR(INDEX('Master List'!$B$3:$B$500,$I45),"")</f>
        <v/>
      </c>
      <c r="C45" s="17">
        <f>IFERROR(INDEX('Master List'!$A$3:$A$500,$I45),"")</f>
        <v/>
      </c>
      <c r="D45" s="17">
        <f>IFERROR(INDEX('Master List'!$G$3:$G$500,$I45),"")</f>
        <v/>
      </c>
      <c r="E45" s="17">
        <f>IFERROR(INDEX('Master List'!$W$3:$W$500,$I45),"")</f>
        <v/>
      </c>
      <c r="F45" s="17">
        <f>IFERROR(INDEX('Master List'!$F$3:$F$500,$I45),"")</f>
        <v/>
      </c>
      <c r="G45" s="16">
        <f>IFERROR(INDEX('Master List'!$AF$3:$AF$500,$I45),"")</f>
        <v/>
      </c>
      <c r="I45" s="18">
        <f>IFERROR(MATCH(SMALL('Master List'!$AL$3:$AL$500,ROW()-2),'Master List'!$AL$3:$AL$500,0),"")</f>
        <v/>
      </c>
    </row>
    <row r="46" ht="18" customHeight="1">
      <c r="A46" s="15">
        <f>IFERROR(INDEX('Master List'!$V$3:$V$500,$I46),"")</f>
        <v/>
      </c>
      <c r="B46" s="16">
        <f>IFERROR(INDEX('Master List'!$B$3:$B$500,$I46),"")</f>
        <v/>
      </c>
      <c r="C46" s="17">
        <f>IFERROR(INDEX('Master List'!$A$3:$A$500,$I46),"")</f>
        <v/>
      </c>
      <c r="D46" s="17">
        <f>IFERROR(INDEX('Master List'!$G$3:$G$500,$I46),"")</f>
        <v/>
      </c>
      <c r="E46" s="17">
        <f>IFERROR(INDEX('Master List'!$W$3:$W$500,$I46),"")</f>
        <v/>
      </c>
      <c r="F46" s="17">
        <f>IFERROR(INDEX('Master List'!$F$3:$F$500,$I46),"")</f>
        <v/>
      </c>
      <c r="G46" s="16">
        <f>IFERROR(INDEX('Master List'!$AF$3:$AF$500,$I46),"")</f>
        <v/>
      </c>
      <c r="I46" s="18">
        <f>IFERROR(MATCH(SMALL('Master List'!$AL$3:$AL$500,ROW()-2),'Master List'!$AL$3:$AL$500,0),"")</f>
        <v/>
      </c>
    </row>
    <row r="47" ht="18" customHeight="1">
      <c r="A47" s="15">
        <f>IFERROR(INDEX('Master List'!$V$3:$V$500,$I47),"")</f>
        <v/>
      </c>
      <c r="B47" s="16">
        <f>IFERROR(INDEX('Master List'!$B$3:$B$500,$I47),"")</f>
        <v/>
      </c>
      <c r="C47" s="17">
        <f>IFERROR(INDEX('Master List'!$A$3:$A$500,$I47),"")</f>
        <v/>
      </c>
      <c r="D47" s="17">
        <f>IFERROR(INDEX('Master List'!$G$3:$G$500,$I47),"")</f>
        <v/>
      </c>
      <c r="E47" s="17">
        <f>IFERROR(INDEX('Master List'!$W$3:$W$500,$I47),"")</f>
        <v/>
      </c>
      <c r="F47" s="17">
        <f>IFERROR(INDEX('Master List'!$F$3:$F$500,$I47),"")</f>
        <v/>
      </c>
      <c r="G47" s="16">
        <f>IFERROR(INDEX('Master List'!$AF$3:$AF$500,$I47),"")</f>
        <v/>
      </c>
      <c r="I47" s="18">
        <f>IFERROR(MATCH(SMALL('Master List'!$AL$3:$AL$500,ROW()-2),'Master List'!$AL$3:$AL$500,0),"")</f>
        <v/>
      </c>
    </row>
    <row r="48" ht="18" customHeight="1">
      <c r="A48" s="15">
        <f>IFERROR(INDEX('Master List'!$V$3:$V$500,$I48),"")</f>
        <v/>
      </c>
      <c r="B48" s="16">
        <f>IFERROR(INDEX('Master List'!$B$3:$B$500,$I48),"")</f>
        <v/>
      </c>
      <c r="C48" s="17">
        <f>IFERROR(INDEX('Master List'!$A$3:$A$500,$I48),"")</f>
        <v/>
      </c>
      <c r="D48" s="17">
        <f>IFERROR(INDEX('Master List'!$G$3:$G$500,$I48),"")</f>
        <v/>
      </c>
      <c r="E48" s="17">
        <f>IFERROR(INDEX('Master List'!$W$3:$W$500,$I48),"")</f>
        <v/>
      </c>
      <c r="F48" s="17">
        <f>IFERROR(INDEX('Master List'!$F$3:$F$500,$I48),"")</f>
        <v/>
      </c>
      <c r="G48" s="16">
        <f>IFERROR(INDEX('Master List'!$AF$3:$AF$500,$I48),"")</f>
        <v/>
      </c>
      <c r="I48" s="18">
        <f>IFERROR(MATCH(SMALL('Master List'!$AL$3:$AL$500,ROW()-2),'Master List'!$AL$3:$AL$500,0),"")</f>
        <v/>
      </c>
    </row>
    <row r="49" ht="18" customHeight="1">
      <c r="A49" s="15">
        <f>IFERROR(INDEX('Master List'!$V$3:$V$500,$I49),"")</f>
        <v/>
      </c>
      <c r="B49" s="16">
        <f>IFERROR(INDEX('Master List'!$B$3:$B$500,$I49),"")</f>
        <v/>
      </c>
      <c r="C49" s="17">
        <f>IFERROR(INDEX('Master List'!$A$3:$A$500,$I49),"")</f>
        <v/>
      </c>
      <c r="D49" s="17">
        <f>IFERROR(INDEX('Master List'!$G$3:$G$500,$I49),"")</f>
        <v/>
      </c>
      <c r="E49" s="17">
        <f>IFERROR(INDEX('Master List'!$W$3:$W$500,$I49),"")</f>
        <v/>
      </c>
      <c r="F49" s="17">
        <f>IFERROR(INDEX('Master List'!$F$3:$F$500,$I49),"")</f>
        <v/>
      </c>
      <c r="G49" s="16">
        <f>IFERROR(INDEX('Master List'!$AF$3:$AF$500,$I49),"")</f>
        <v/>
      </c>
      <c r="I49" s="18">
        <f>IFERROR(MATCH(SMALL('Master List'!$AL$3:$AL$500,ROW()-2),'Master List'!$AL$3:$AL$500,0),"")</f>
        <v/>
      </c>
    </row>
    <row r="50" ht="18" customHeight="1">
      <c r="A50" s="15">
        <f>IFERROR(INDEX('Master List'!$V$3:$V$500,$I50),"")</f>
        <v/>
      </c>
      <c r="B50" s="16">
        <f>IFERROR(INDEX('Master List'!$B$3:$B$500,$I50),"")</f>
        <v/>
      </c>
      <c r="C50" s="17">
        <f>IFERROR(INDEX('Master List'!$A$3:$A$500,$I50),"")</f>
        <v/>
      </c>
      <c r="D50" s="17">
        <f>IFERROR(INDEX('Master List'!$G$3:$G$500,$I50),"")</f>
        <v/>
      </c>
      <c r="E50" s="17">
        <f>IFERROR(INDEX('Master List'!$W$3:$W$500,$I50),"")</f>
        <v/>
      </c>
      <c r="F50" s="17">
        <f>IFERROR(INDEX('Master List'!$F$3:$F$500,$I50),"")</f>
        <v/>
      </c>
      <c r="G50" s="16">
        <f>IFERROR(INDEX('Master List'!$AF$3:$AF$500,$I50),"")</f>
        <v/>
      </c>
      <c r="I50" s="18">
        <f>IFERROR(MATCH(SMALL('Master List'!$AL$3:$AL$500,ROW()-2),'Master List'!$AL$3:$AL$500,0),"")</f>
        <v/>
      </c>
    </row>
    <row r="51" ht="18" customHeight="1">
      <c r="A51" s="15">
        <f>IFERROR(INDEX('Master List'!$V$3:$V$500,$I51),"")</f>
        <v/>
      </c>
      <c r="B51" s="16">
        <f>IFERROR(INDEX('Master List'!$B$3:$B$500,$I51),"")</f>
        <v/>
      </c>
      <c r="C51" s="17">
        <f>IFERROR(INDEX('Master List'!$A$3:$A$500,$I51),"")</f>
        <v/>
      </c>
      <c r="D51" s="17">
        <f>IFERROR(INDEX('Master List'!$G$3:$G$500,$I51),"")</f>
        <v/>
      </c>
      <c r="E51" s="17">
        <f>IFERROR(INDEX('Master List'!$W$3:$W$500,$I51),"")</f>
        <v/>
      </c>
      <c r="F51" s="17">
        <f>IFERROR(INDEX('Master List'!$F$3:$F$500,$I51),"")</f>
        <v/>
      </c>
      <c r="G51" s="16">
        <f>IFERROR(INDEX('Master List'!$AF$3:$AF$500,$I51),"")</f>
        <v/>
      </c>
      <c r="I51" s="18">
        <f>IFERROR(MATCH(SMALL('Master List'!$AL$3:$AL$500,ROW()-2),'Master List'!$AL$3:$AL$500,0),"")</f>
        <v/>
      </c>
    </row>
    <row r="52" ht="18" customHeight="1">
      <c r="A52" s="15">
        <f>IFERROR(INDEX('Master List'!$V$3:$V$500,$I52),"")</f>
        <v/>
      </c>
      <c r="B52" s="16">
        <f>IFERROR(INDEX('Master List'!$B$3:$B$500,$I52),"")</f>
        <v/>
      </c>
      <c r="C52" s="17">
        <f>IFERROR(INDEX('Master List'!$A$3:$A$500,$I52),"")</f>
        <v/>
      </c>
      <c r="D52" s="17">
        <f>IFERROR(INDEX('Master List'!$G$3:$G$500,$I52),"")</f>
        <v/>
      </c>
      <c r="E52" s="17">
        <f>IFERROR(INDEX('Master List'!$W$3:$W$500,$I52),"")</f>
        <v/>
      </c>
      <c r="F52" s="17">
        <f>IFERROR(INDEX('Master List'!$F$3:$F$500,$I52),"")</f>
        <v/>
      </c>
      <c r="G52" s="16">
        <f>IFERROR(INDEX('Master List'!$AF$3:$AF$500,$I52),"")</f>
        <v/>
      </c>
      <c r="I52" s="18">
        <f>IFERROR(MATCH(SMALL('Master List'!$AL$3:$AL$500,ROW()-2),'Master List'!$AL$3:$AL$500,0),"")</f>
        <v/>
      </c>
    </row>
    <row r="53" ht="18" customHeight="1">
      <c r="A53" s="15">
        <f>IFERROR(INDEX('Master List'!$V$3:$V$500,$I53),"")</f>
        <v/>
      </c>
      <c r="B53" s="16">
        <f>IFERROR(INDEX('Master List'!$B$3:$B$500,$I53),"")</f>
        <v/>
      </c>
      <c r="C53" s="17">
        <f>IFERROR(INDEX('Master List'!$A$3:$A$500,$I53),"")</f>
        <v/>
      </c>
      <c r="D53" s="17">
        <f>IFERROR(INDEX('Master List'!$G$3:$G$500,$I53),"")</f>
        <v/>
      </c>
      <c r="E53" s="17">
        <f>IFERROR(INDEX('Master List'!$W$3:$W$500,$I53),"")</f>
        <v/>
      </c>
      <c r="F53" s="17">
        <f>IFERROR(INDEX('Master List'!$F$3:$F$500,$I53),"")</f>
        <v/>
      </c>
      <c r="G53" s="16">
        <f>IFERROR(INDEX('Master List'!$AF$3:$AF$500,$I53),"")</f>
        <v/>
      </c>
      <c r="I53" s="18">
        <f>IFERROR(MATCH(SMALL('Master List'!$AL$3:$AL$500,ROW()-2),'Master List'!$AL$3:$AL$500,0),"")</f>
        <v/>
      </c>
    </row>
    <row r="54" ht="18" customHeight="1">
      <c r="A54" s="15">
        <f>IFERROR(INDEX('Master List'!$V$3:$V$500,$I54),"")</f>
        <v/>
      </c>
      <c r="B54" s="16">
        <f>IFERROR(INDEX('Master List'!$B$3:$B$500,$I54),"")</f>
        <v/>
      </c>
      <c r="C54" s="17">
        <f>IFERROR(INDEX('Master List'!$A$3:$A$500,$I54),"")</f>
        <v/>
      </c>
      <c r="D54" s="17">
        <f>IFERROR(INDEX('Master List'!$G$3:$G$500,$I54),"")</f>
        <v/>
      </c>
      <c r="E54" s="17">
        <f>IFERROR(INDEX('Master List'!$W$3:$W$500,$I54),"")</f>
        <v/>
      </c>
      <c r="F54" s="17">
        <f>IFERROR(INDEX('Master List'!$F$3:$F$500,$I54),"")</f>
        <v/>
      </c>
      <c r="G54" s="16">
        <f>IFERROR(INDEX('Master List'!$AF$3:$AF$500,$I54),"")</f>
        <v/>
      </c>
      <c r="I54" s="18">
        <f>IFERROR(MATCH(SMALL('Master List'!$AL$3:$AL$500,ROW()-2),'Master List'!$AL$3:$AL$500,0),"")</f>
        <v/>
      </c>
    </row>
    <row r="55" ht="18" customHeight="1">
      <c r="A55" s="15">
        <f>IFERROR(INDEX('Master List'!$V$3:$V$500,$I55),"")</f>
        <v/>
      </c>
      <c r="B55" s="16">
        <f>IFERROR(INDEX('Master List'!$B$3:$B$500,$I55),"")</f>
        <v/>
      </c>
      <c r="C55" s="17">
        <f>IFERROR(INDEX('Master List'!$A$3:$A$500,$I55),"")</f>
        <v/>
      </c>
      <c r="D55" s="17">
        <f>IFERROR(INDEX('Master List'!$G$3:$G$500,$I55),"")</f>
        <v/>
      </c>
      <c r="E55" s="17">
        <f>IFERROR(INDEX('Master List'!$W$3:$W$500,$I55),"")</f>
        <v/>
      </c>
      <c r="F55" s="17">
        <f>IFERROR(INDEX('Master List'!$F$3:$F$500,$I55),"")</f>
        <v/>
      </c>
      <c r="G55" s="16">
        <f>IFERROR(INDEX('Master List'!$AF$3:$AF$500,$I55),"")</f>
        <v/>
      </c>
      <c r="I55" s="18">
        <f>IFERROR(MATCH(SMALL('Master List'!$AL$3:$AL$500,ROW()-2),'Master List'!$AL$3:$AL$500,0),"")</f>
        <v/>
      </c>
    </row>
    <row r="56" ht="18" customHeight="1">
      <c r="A56" s="15">
        <f>IFERROR(INDEX('Master List'!$V$3:$V$500,$I56),"")</f>
        <v/>
      </c>
      <c r="B56" s="16">
        <f>IFERROR(INDEX('Master List'!$B$3:$B$500,$I56),"")</f>
        <v/>
      </c>
      <c r="C56" s="17">
        <f>IFERROR(INDEX('Master List'!$A$3:$A$500,$I56),"")</f>
        <v/>
      </c>
      <c r="D56" s="17">
        <f>IFERROR(INDEX('Master List'!$G$3:$G$500,$I56),"")</f>
        <v/>
      </c>
      <c r="E56" s="17">
        <f>IFERROR(INDEX('Master List'!$W$3:$W$500,$I56),"")</f>
        <v/>
      </c>
      <c r="F56" s="17">
        <f>IFERROR(INDEX('Master List'!$F$3:$F$500,$I56),"")</f>
        <v/>
      </c>
      <c r="G56" s="16">
        <f>IFERROR(INDEX('Master List'!$AF$3:$AF$500,$I56),"")</f>
        <v/>
      </c>
      <c r="I56" s="18">
        <f>IFERROR(MATCH(SMALL('Master List'!$AL$3:$AL$500,ROW()-2),'Master List'!$AL$3:$AL$500,0),"")</f>
        <v/>
      </c>
    </row>
    <row r="57" ht="18" customHeight="1">
      <c r="A57" s="15">
        <f>IFERROR(INDEX('Master List'!$V$3:$V$500,$I57),"")</f>
        <v/>
      </c>
      <c r="B57" s="16">
        <f>IFERROR(INDEX('Master List'!$B$3:$B$500,$I57),"")</f>
        <v/>
      </c>
      <c r="C57" s="17">
        <f>IFERROR(INDEX('Master List'!$A$3:$A$500,$I57),"")</f>
        <v/>
      </c>
      <c r="D57" s="17">
        <f>IFERROR(INDEX('Master List'!$G$3:$G$500,$I57),"")</f>
        <v/>
      </c>
      <c r="E57" s="17">
        <f>IFERROR(INDEX('Master List'!$W$3:$W$500,$I57),"")</f>
        <v/>
      </c>
      <c r="F57" s="17">
        <f>IFERROR(INDEX('Master List'!$F$3:$F$500,$I57),"")</f>
        <v/>
      </c>
      <c r="G57" s="16">
        <f>IFERROR(INDEX('Master List'!$AF$3:$AF$500,$I57),"")</f>
        <v/>
      </c>
      <c r="I57" s="18">
        <f>IFERROR(MATCH(SMALL('Master List'!$AL$3:$AL$500,ROW()-2),'Master List'!$AL$3:$AL$500,0),"")</f>
        <v/>
      </c>
    </row>
    <row r="58" ht="18" customHeight="1">
      <c r="A58" s="15">
        <f>IFERROR(INDEX('Master List'!$V$3:$V$500,$I58),"")</f>
        <v/>
      </c>
      <c r="B58" s="16">
        <f>IFERROR(INDEX('Master List'!$B$3:$B$500,$I58),"")</f>
        <v/>
      </c>
      <c r="C58" s="17">
        <f>IFERROR(INDEX('Master List'!$A$3:$A$500,$I58),"")</f>
        <v/>
      </c>
      <c r="D58" s="17">
        <f>IFERROR(INDEX('Master List'!$G$3:$G$500,$I58),"")</f>
        <v/>
      </c>
      <c r="E58" s="17">
        <f>IFERROR(INDEX('Master List'!$W$3:$W$500,$I58),"")</f>
        <v/>
      </c>
      <c r="F58" s="17">
        <f>IFERROR(INDEX('Master List'!$F$3:$F$500,$I58),"")</f>
        <v/>
      </c>
      <c r="G58" s="16">
        <f>IFERROR(INDEX('Master List'!$AF$3:$AF$500,$I58),"")</f>
        <v/>
      </c>
      <c r="I58" s="18">
        <f>IFERROR(MATCH(SMALL('Master List'!$AL$3:$AL$500,ROW()-2),'Master List'!$AL$3:$AL$500,0),"")</f>
        <v/>
      </c>
    </row>
    <row r="59" ht="18" customHeight="1">
      <c r="A59" s="15">
        <f>IFERROR(INDEX('Master List'!$V$3:$V$500,$I59),"")</f>
        <v/>
      </c>
      <c r="B59" s="16">
        <f>IFERROR(INDEX('Master List'!$B$3:$B$500,$I59),"")</f>
        <v/>
      </c>
      <c r="C59" s="17">
        <f>IFERROR(INDEX('Master List'!$A$3:$A$500,$I59),"")</f>
        <v/>
      </c>
      <c r="D59" s="17">
        <f>IFERROR(INDEX('Master List'!$G$3:$G$500,$I59),"")</f>
        <v/>
      </c>
      <c r="E59" s="17">
        <f>IFERROR(INDEX('Master List'!$W$3:$W$500,$I59),"")</f>
        <v/>
      </c>
      <c r="F59" s="17">
        <f>IFERROR(INDEX('Master List'!$F$3:$F$500,$I59),"")</f>
        <v/>
      </c>
      <c r="G59" s="16">
        <f>IFERROR(INDEX('Master List'!$AF$3:$AF$500,$I59),"")</f>
        <v/>
      </c>
      <c r="I59" s="18">
        <f>IFERROR(MATCH(SMALL('Master List'!$AL$3:$AL$500,ROW()-2),'Master List'!$AL$3:$AL$500,0),"")</f>
        <v/>
      </c>
    </row>
    <row r="60" ht="18" customHeight="1">
      <c r="A60" s="15">
        <f>IFERROR(INDEX('Master List'!$V$3:$V$500,$I60),"")</f>
        <v/>
      </c>
      <c r="B60" s="16">
        <f>IFERROR(INDEX('Master List'!$B$3:$B$500,$I60),"")</f>
        <v/>
      </c>
      <c r="C60" s="17">
        <f>IFERROR(INDEX('Master List'!$A$3:$A$500,$I60),"")</f>
        <v/>
      </c>
      <c r="D60" s="17">
        <f>IFERROR(INDEX('Master List'!$G$3:$G$500,$I60),"")</f>
        <v/>
      </c>
      <c r="E60" s="17">
        <f>IFERROR(INDEX('Master List'!$W$3:$W$500,$I60),"")</f>
        <v/>
      </c>
      <c r="F60" s="17">
        <f>IFERROR(INDEX('Master List'!$F$3:$F$500,$I60),"")</f>
        <v/>
      </c>
      <c r="G60" s="16">
        <f>IFERROR(INDEX('Master List'!$AF$3:$AF$500,$I60),"")</f>
        <v/>
      </c>
      <c r="I60" s="18">
        <f>IFERROR(MATCH(SMALL('Master List'!$AL$3:$AL$500,ROW()-2),'Master List'!$AL$3:$AL$500,0),"")</f>
        <v/>
      </c>
    </row>
    <row r="61" ht="18" customHeight="1">
      <c r="A61" s="15">
        <f>IFERROR(INDEX('Master List'!$V$3:$V$500,$I61),"")</f>
        <v/>
      </c>
      <c r="B61" s="16">
        <f>IFERROR(INDEX('Master List'!$B$3:$B$500,$I61),"")</f>
        <v/>
      </c>
      <c r="C61" s="17">
        <f>IFERROR(INDEX('Master List'!$A$3:$A$500,$I61),"")</f>
        <v/>
      </c>
      <c r="D61" s="17">
        <f>IFERROR(INDEX('Master List'!$G$3:$G$500,$I61),"")</f>
        <v/>
      </c>
      <c r="E61" s="17">
        <f>IFERROR(INDEX('Master List'!$W$3:$W$500,$I61),"")</f>
        <v/>
      </c>
      <c r="F61" s="17">
        <f>IFERROR(INDEX('Master List'!$F$3:$F$500,$I61),"")</f>
        <v/>
      </c>
      <c r="G61" s="16">
        <f>IFERROR(INDEX('Master List'!$AF$3:$AF$500,$I61),"")</f>
        <v/>
      </c>
      <c r="I61" s="18">
        <f>IFERROR(MATCH(SMALL('Master List'!$AL$3:$AL$500,ROW()-2),'Master List'!$AL$3:$AL$500,0),"")</f>
        <v/>
      </c>
    </row>
    <row r="62" ht="18" customHeight="1">
      <c r="A62" s="15">
        <f>IFERROR(INDEX('Master List'!$V$3:$V$500,$I62),"")</f>
        <v/>
      </c>
      <c r="B62" s="16">
        <f>IFERROR(INDEX('Master List'!$B$3:$B$500,$I62),"")</f>
        <v/>
      </c>
      <c r="C62" s="17">
        <f>IFERROR(INDEX('Master List'!$A$3:$A$500,$I62),"")</f>
        <v/>
      </c>
      <c r="D62" s="17">
        <f>IFERROR(INDEX('Master List'!$G$3:$G$500,$I62),"")</f>
        <v/>
      </c>
      <c r="E62" s="17">
        <f>IFERROR(INDEX('Master List'!$W$3:$W$500,$I62),"")</f>
        <v/>
      </c>
      <c r="F62" s="17">
        <f>IFERROR(INDEX('Master List'!$F$3:$F$500,$I62),"")</f>
        <v/>
      </c>
      <c r="G62" s="16">
        <f>IFERROR(INDEX('Master List'!$AF$3:$AF$500,$I62),"")</f>
        <v/>
      </c>
      <c r="I62" s="18">
        <f>IFERROR(MATCH(SMALL('Master List'!$AL$3:$AL$500,ROW()-2),'Master List'!$AL$3:$AL$500,0),"")</f>
        <v/>
      </c>
    </row>
    <row r="63" ht="18" customHeight="1">
      <c r="A63" s="15">
        <f>IFERROR(INDEX('Master List'!$V$3:$V$500,$I63),"")</f>
        <v/>
      </c>
      <c r="B63" s="16">
        <f>IFERROR(INDEX('Master List'!$B$3:$B$500,$I63),"")</f>
        <v/>
      </c>
      <c r="C63" s="17">
        <f>IFERROR(INDEX('Master List'!$A$3:$A$500,$I63),"")</f>
        <v/>
      </c>
      <c r="D63" s="17">
        <f>IFERROR(INDEX('Master List'!$G$3:$G$500,$I63),"")</f>
        <v/>
      </c>
      <c r="E63" s="17">
        <f>IFERROR(INDEX('Master List'!$W$3:$W$500,$I63),"")</f>
        <v/>
      </c>
      <c r="F63" s="17">
        <f>IFERROR(INDEX('Master List'!$F$3:$F$500,$I63),"")</f>
        <v/>
      </c>
      <c r="G63" s="16">
        <f>IFERROR(INDEX('Master List'!$AF$3:$AF$500,$I63),"")</f>
        <v/>
      </c>
      <c r="I63" s="18">
        <f>IFERROR(MATCH(SMALL('Master List'!$AL$3:$AL$500,ROW()-2),'Master List'!$AL$3:$AL$500,0),"")</f>
        <v/>
      </c>
    </row>
    <row r="64" ht="18" customHeight="1">
      <c r="A64" s="15">
        <f>IFERROR(INDEX('Master List'!$V$3:$V$500,$I64),"")</f>
        <v/>
      </c>
      <c r="B64" s="16">
        <f>IFERROR(INDEX('Master List'!$B$3:$B$500,$I64),"")</f>
        <v/>
      </c>
      <c r="C64" s="17">
        <f>IFERROR(INDEX('Master List'!$A$3:$A$500,$I64),"")</f>
        <v/>
      </c>
      <c r="D64" s="17">
        <f>IFERROR(INDEX('Master List'!$G$3:$G$500,$I64),"")</f>
        <v/>
      </c>
      <c r="E64" s="17">
        <f>IFERROR(INDEX('Master List'!$W$3:$W$500,$I64),"")</f>
        <v/>
      </c>
      <c r="F64" s="17">
        <f>IFERROR(INDEX('Master List'!$F$3:$F$500,$I64),"")</f>
        <v/>
      </c>
      <c r="G64" s="16">
        <f>IFERROR(INDEX('Master List'!$AF$3:$AF$500,$I64),"")</f>
        <v/>
      </c>
      <c r="I64" s="18">
        <f>IFERROR(MATCH(SMALL('Master List'!$AL$3:$AL$500,ROW()-2),'Master List'!$AL$3:$AL$500,0),"")</f>
        <v/>
      </c>
    </row>
    <row r="65" ht="18" customHeight="1">
      <c r="A65" s="15">
        <f>IFERROR(INDEX('Master List'!$V$3:$V$500,$I65),"")</f>
        <v/>
      </c>
      <c r="B65" s="16">
        <f>IFERROR(INDEX('Master List'!$B$3:$B$500,$I65),"")</f>
        <v/>
      </c>
      <c r="C65" s="17">
        <f>IFERROR(INDEX('Master List'!$A$3:$A$500,$I65),"")</f>
        <v/>
      </c>
      <c r="D65" s="17">
        <f>IFERROR(INDEX('Master List'!$G$3:$G$500,$I65),"")</f>
        <v/>
      </c>
      <c r="E65" s="17">
        <f>IFERROR(INDEX('Master List'!$W$3:$W$500,$I65),"")</f>
        <v/>
      </c>
      <c r="F65" s="17">
        <f>IFERROR(INDEX('Master List'!$F$3:$F$500,$I65),"")</f>
        <v/>
      </c>
      <c r="G65" s="16">
        <f>IFERROR(INDEX('Master List'!$AF$3:$AF$500,$I65),"")</f>
        <v/>
      </c>
      <c r="I65" s="18">
        <f>IFERROR(MATCH(SMALL('Master List'!$AL$3:$AL$500,ROW()-2),'Master List'!$AL$3:$AL$500,0),"")</f>
        <v/>
      </c>
    </row>
    <row r="66" ht="18" customHeight="1">
      <c r="A66" s="15">
        <f>IFERROR(INDEX('Master List'!$V$3:$V$500,$I66),"")</f>
        <v/>
      </c>
      <c r="B66" s="16">
        <f>IFERROR(INDEX('Master List'!$B$3:$B$500,$I66),"")</f>
        <v/>
      </c>
      <c r="C66" s="17">
        <f>IFERROR(INDEX('Master List'!$A$3:$A$500,$I66),"")</f>
        <v/>
      </c>
      <c r="D66" s="17">
        <f>IFERROR(INDEX('Master List'!$G$3:$G$500,$I66),"")</f>
        <v/>
      </c>
      <c r="E66" s="17">
        <f>IFERROR(INDEX('Master List'!$W$3:$W$500,$I66),"")</f>
        <v/>
      </c>
      <c r="F66" s="17">
        <f>IFERROR(INDEX('Master List'!$F$3:$F$500,$I66),"")</f>
        <v/>
      </c>
      <c r="G66" s="16">
        <f>IFERROR(INDEX('Master List'!$AF$3:$AF$500,$I66),"")</f>
        <v/>
      </c>
      <c r="I66" s="18">
        <f>IFERROR(MATCH(SMALL('Master List'!$AL$3:$AL$500,ROW()-2),'Master List'!$AL$3:$AL$500,0),"")</f>
        <v/>
      </c>
    </row>
    <row r="67" ht="18" customHeight="1">
      <c r="A67" s="15">
        <f>IFERROR(INDEX('Master List'!$V$3:$V$500,$I67),"")</f>
        <v/>
      </c>
      <c r="B67" s="16">
        <f>IFERROR(INDEX('Master List'!$B$3:$B$500,$I67),"")</f>
        <v/>
      </c>
      <c r="C67" s="17">
        <f>IFERROR(INDEX('Master List'!$A$3:$A$500,$I67),"")</f>
        <v/>
      </c>
      <c r="D67" s="17">
        <f>IFERROR(INDEX('Master List'!$G$3:$G$500,$I67),"")</f>
        <v/>
      </c>
      <c r="E67" s="17">
        <f>IFERROR(INDEX('Master List'!$W$3:$W$500,$I67),"")</f>
        <v/>
      </c>
      <c r="F67" s="17">
        <f>IFERROR(INDEX('Master List'!$F$3:$F$500,$I67),"")</f>
        <v/>
      </c>
      <c r="G67" s="16">
        <f>IFERROR(INDEX('Master List'!$AF$3:$AF$500,$I67),"")</f>
        <v/>
      </c>
      <c r="I67" s="18">
        <f>IFERROR(MATCH(SMALL('Master List'!$AL$3:$AL$500,ROW()-2),'Master List'!$AL$3:$AL$500,0),"")</f>
        <v/>
      </c>
    </row>
    <row r="68" ht="18" customHeight="1">
      <c r="A68" s="15">
        <f>IFERROR(INDEX('Master List'!$V$3:$V$500,$I68),"")</f>
        <v/>
      </c>
      <c r="B68" s="16">
        <f>IFERROR(INDEX('Master List'!$B$3:$B$500,$I68),"")</f>
        <v/>
      </c>
      <c r="C68" s="17">
        <f>IFERROR(INDEX('Master List'!$A$3:$A$500,$I68),"")</f>
        <v/>
      </c>
      <c r="D68" s="17">
        <f>IFERROR(INDEX('Master List'!$G$3:$G$500,$I68),"")</f>
        <v/>
      </c>
      <c r="E68" s="17">
        <f>IFERROR(INDEX('Master List'!$W$3:$W$500,$I68),"")</f>
        <v/>
      </c>
      <c r="F68" s="17">
        <f>IFERROR(INDEX('Master List'!$F$3:$F$500,$I68),"")</f>
        <v/>
      </c>
      <c r="G68" s="16">
        <f>IFERROR(INDEX('Master List'!$AF$3:$AF$500,$I68),"")</f>
        <v/>
      </c>
      <c r="I68" s="18">
        <f>IFERROR(MATCH(SMALL('Master List'!$AL$3:$AL$500,ROW()-2),'Master List'!$AL$3:$AL$500,0),"")</f>
        <v/>
      </c>
    </row>
    <row r="69" ht="18" customHeight="1">
      <c r="A69" s="15">
        <f>IFERROR(INDEX('Master List'!$V$3:$V$500,$I69),"")</f>
        <v/>
      </c>
      <c r="B69" s="16">
        <f>IFERROR(INDEX('Master List'!$B$3:$B$500,$I69),"")</f>
        <v/>
      </c>
      <c r="C69" s="17">
        <f>IFERROR(INDEX('Master List'!$A$3:$A$500,$I69),"")</f>
        <v/>
      </c>
      <c r="D69" s="17">
        <f>IFERROR(INDEX('Master List'!$G$3:$G$500,$I69),"")</f>
        <v/>
      </c>
      <c r="E69" s="17">
        <f>IFERROR(INDEX('Master List'!$W$3:$W$500,$I69),"")</f>
        <v/>
      </c>
      <c r="F69" s="17">
        <f>IFERROR(INDEX('Master List'!$F$3:$F$500,$I69),"")</f>
        <v/>
      </c>
      <c r="G69" s="16">
        <f>IFERROR(INDEX('Master List'!$AF$3:$AF$500,$I69),"")</f>
        <v/>
      </c>
      <c r="I69" s="18">
        <f>IFERROR(MATCH(SMALL('Master List'!$AL$3:$AL$500,ROW()-2),'Master List'!$AL$3:$AL$500,0),"")</f>
        <v/>
      </c>
    </row>
    <row r="70" ht="18" customHeight="1">
      <c r="A70" s="15">
        <f>IFERROR(INDEX('Master List'!$V$3:$V$500,$I70),"")</f>
        <v/>
      </c>
      <c r="B70" s="16">
        <f>IFERROR(INDEX('Master List'!$B$3:$B$500,$I70),"")</f>
        <v/>
      </c>
      <c r="C70" s="17">
        <f>IFERROR(INDEX('Master List'!$A$3:$A$500,$I70),"")</f>
        <v/>
      </c>
      <c r="D70" s="17">
        <f>IFERROR(INDEX('Master List'!$G$3:$G$500,$I70),"")</f>
        <v/>
      </c>
      <c r="E70" s="17">
        <f>IFERROR(INDEX('Master List'!$W$3:$W$500,$I70),"")</f>
        <v/>
      </c>
      <c r="F70" s="17">
        <f>IFERROR(INDEX('Master List'!$F$3:$F$500,$I70),"")</f>
        <v/>
      </c>
      <c r="G70" s="16">
        <f>IFERROR(INDEX('Master List'!$AF$3:$AF$500,$I70),"")</f>
        <v/>
      </c>
      <c r="I70" s="18">
        <f>IFERROR(MATCH(SMALL('Master List'!$AL$3:$AL$500,ROW()-2),'Master List'!$AL$3:$AL$500,0),"")</f>
        <v/>
      </c>
    </row>
    <row r="71" ht="18" customHeight="1">
      <c r="A71" s="15">
        <f>IFERROR(INDEX('Master List'!$V$3:$V$500,$I71),"")</f>
        <v/>
      </c>
      <c r="B71" s="16">
        <f>IFERROR(INDEX('Master List'!$B$3:$B$500,$I71),"")</f>
        <v/>
      </c>
      <c r="C71" s="17">
        <f>IFERROR(INDEX('Master List'!$A$3:$A$500,$I71),"")</f>
        <v/>
      </c>
      <c r="D71" s="17">
        <f>IFERROR(INDEX('Master List'!$G$3:$G$500,$I71),"")</f>
        <v/>
      </c>
      <c r="E71" s="17">
        <f>IFERROR(INDEX('Master List'!$W$3:$W$500,$I71),"")</f>
        <v/>
      </c>
      <c r="F71" s="17">
        <f>IFERROR(INDEX('Master List'!$F$3:$F$500,$I71),"")</f>
        <v/>
      </c>
      <c r="G71" s="16">
        <f>IFERROR(INDEX('Master List'!$AF$3:$AF$500,$I71),"")</f>
        <v/>
      </c>
      <c r="I71" s="18">
        <f>IFERROR(MATCH(SMALL('Master List'!$AL$3:$AL$500,ROW()-2),'Master List'!$AL$3:$AL$500,0),"")</f>
        <v/>
      </c>
    </row>
    <row r="72" ht="18" customHeight="1">
      <c r="A72" s="15">
        <f>IFERROR(INDEX('Master List'!$V$3:$V$500,$I72),"")</f>
        <v/>
      </c>
      <c r="B72" s="16">
        <f>IFERROR(INDEX('Master List'!$B$3:$B$500,$I72),"")</f>
        <v/>
      </c>
      <c r="C72" s="17">
        <f>IFERROR(INDEX('Master List'!$A$3:$A$500,$I72),"")</f>
        <v/>
      </c>
      <c r="D72" s="17">
        <f>IFERROR(INDEX('Master List'!$G$3:$G$500,$I72),"")</f>
        <v/>
      </c>
      <c r="E72" s="17">
        <f>IFERROR(INDEX('Master List'!$W$3:$W$500,$I72),"")</f>
        <v/>
      </c>
      <c r="F72" s="17">
        <f>IFERROR(INDEX('Master List'!$F$3:$F$500,$I72),"")</f>
        <v/>
      </c>
      <c r="G72" s="16">
        <f>IFERROR(INDEX('Master List'!$AF$3:$AF$500,$I72),"")</f>
        <v/>
      </c>
      <c r="I72" s="18">
        <f>IFERROR(MATCH(SMALL('Master List'!$AL$3:$AL$500,ROW()-2),'Master List'!$AL$3:$AL$500,0),"")</f>
        <v/>
      </c>
    </row>
    <row r="73" ht="18" customHeight="1">
      <c r="A73" s="15">
        <f>IFERROR(INDEX('Master List'!$V$3:$V$500,$I73),"")</f>
        <v/>
      </c>
      <c r="B73" s="16">
        <f>IFERROR(INDEX('Master List'!$B$3:$B$500,$I73),"")</f>
        <v/>
      </c>
      <c r="C73" s="17">
        <f>IFERROR(INDEX('Master List'!$A$3:$A$500,$I73),"")</f>
        <v/>
      </c>
      <c r="D73" s="17">
        <f>IFERROR(INDEX('Master List'!$G$3:$G$500,$I73),"")</f>
        <v/>
      </c>
      <c r="E73" s="17">
        <f>IFERROR(INDEX('Master List'!$W$3:$W$500,$I73),"")</f>
        <v/>
      </c>
      <c r="F73" s="17">
        <f>IFERROR(INDEX('Master List'!$F$3:$F$500,$I73),"")</f>
        <v/>
      </c>
      <c r="G73" s="16">
        <f>IFERROR(INDEX('Master List'!$AF$3:$AF$500,$I73),"")</f>
        <v/>
      </c>
      <c r="I73" s="18">
        <f>IFERROR(MATCH(SMALL('Master List'!$AL$3:$AL$500,ROW()-2),'Master List'!$AL$3:$AL$500,0),"")</f>
        <v/>
      </c>
    </row>
    <row r="74" ht="18" customHeight="1">
      <c r="A74" s="15">
        <f>IFERROR(INDEX('Master List'!$V$3:$V$500,$I74),"")</f>
        <v/>
      </c>
      <c r="B74" s="16">
        <f>IFERROR(INDEX('Master List'!$B$3:$B$500,$I74),"")</f>
        <v/>
      </c>
      <c r="C74" s="17">
        <f>IFERROR(INDEX('Master List'!$A$3:$A$500,$I74),"")</f>
        <v/>
      </c>
      <c r="D74" s="17">
        <f>IFERROR(INDEX('Master List'!$G$3:$G$500,$I74),"")</f>
        <v/>
      </c>
      <c r="E74" s="17">
        <f>IFERROR(INDEX('Master List'!$W$3:$W$500,$I74),"")</f>
        <v/>
      </c>
      <c r="F74" s="17">
        <f>IFERROR(INDEX('Master List'!$F$3:$F$500,$I74),"")</f>
        <v/>
      </c>
      <c r="G74" s="16">
        <f>IFERROR(INDEX('Master List'!$AF$3:$AF$500,$I74),"")</f>
        <v/>
      </c>
      <c r="I74" s="18">
        <f>IFERROR(MATCH(SMALL('Master List'!$AL$3:$AL$500,ROW()-2),'Master List'!$AL$3:$AL$500,0),"")</f>
        <v/>
      </c>
    </row>
    <row r="75" ht="18" customHeight="1">
      <c r="A75" s="15">
        <f>IFERROR(INDEX('Master List'!$V$3:$V$500,$I75),"")</f>
        <v/>
      </c>
      <c r="B75" s="16">
        <f>IFERROR(INDEX('Master List'!$B$3:$B$500,$I75),"")</f>
        <v/>
      </c>
      <c r="C75" s="17">
        <f>IFERROR(INDEX('Master List'!$A$3:$A$500,$I75),"")</f>
        <v/>
      </c>
      <c r="D75" s="17">
        <f>IFERROR(INDEX('Master List'!$G$3:$G$500,$I75),"")</f>
        <v/>
      </c>
      <c r="E75" s="17">
        <f>IFERROR(INDEX('Master List'!$W$3:$W$500,$I75),"")</f>
        <v/>
      </c>
      <c r="F75" s="17">
        <f>IFERROR(INDEX('Master List'!$F$3:$F$500,$I75),"")</f>
        <v/>
      </c>
      <c r="G75" s="16">
        <f>IFERROR(INDEX('Master List'!$AF$3:$AF$500,$I75),"")</f>
        <v/>
      </c>
      <c r="I75" s="18">
        <f>IFERROR(MATCH(SMALL('Master List'!$AL$3:$AL$500,ROW()-2),'Master List'!$AL$3:$AL$500,0),"")</f>
        <v/>
      </c>
    </row>
    <row r="76" ht="18" customHeight="1">
      <c r="A76" s="15">
        <f>IFERROR(INDEX('Master List'!$V$3:$V$500,$I76),"")</f>
        <v/>
      </c>
      <c r="B76" s="16">
        <f>IFERROR(INDEX('Master List'!$B$3:$B$500,$I76),"")</f>
        <v/>
      </c>
      <c r="C76" s="17">
        <f>IFERROR(INDEX('Master List'!$A$3:$A$500,$I76),"")</f>
        <v/>
      </c>
      <c r="D76" s="17">
        <f>IFERROR(INDEX('Master List'!$G$3:$G$500,$I76),"")</f>
        <v/>
      </c>
      <c r="E76" s="17">
        <f>IFERROR(INDEX('Master List'!$W$3:$W$500,$I76),"")</f>
        <v/>
      </c>
      <c r="F76" s="17">
        <f>IFERROR(INDEX('Master List'!$F$3:$F$500,$I76),"")</f>
        <v/>
      </c>
      <c r="G76" s="16">
        <f>IFERROR(INDEX('Master List'!$AF$3:$AF$500,$I76),"")</f>
        <v/>
      </c>
      <c r="I76" s="18">
        <f>IFERROR(MATCH(SMALL('Master List'!$AL$3:$AL$500,ROW()-2),'Master List'!$AL$3:$AL$500,0),"")</f>
        <v/>
      </c>
    </row>
    <row r="77" ht="18" customHeight="1">
      <c r="A77" s="15">
        <f>IFERROR(INDEX('Master List'!$V$3:$V$500,$I77),"")</f>
        <v/>
      </c>
      <c r="B77" s="16">
        <f>IFERROR(INDEX('Master List'!$B$3:$B$500,$I77),"")</f>
        <v/>
      </c>
      <c r="C77" s="17">
        <f>IFERROR(INDEX('Master List'!$A$3:$A$500,$I77),"")</f>
        <v/>
      </c>
      <c r="D77" s="17">
        <f>IFERROR(INDEX('Master List'!$G$3:$G$500,$I77),"")</f>
        <v/>
      </c>
      <c r="E77" s="17">
        <f>IFERROR(INDEX('Master List'!$W$3:$W$500,$I77),"")</f>
        <v/>
      </c>
      <c r="F77" s="17">
        <f>IFERROR(INDEX('Master List'!$F$3:$F$500,$I77),"")</f>
        <v/>
      </c>
      <c r="G77" s="16">
        <f>IFERROR(INDEX('Master List'!$AF$3:$AF$500,$I77),"")</f>
        <v/>
      </c>
      <c r="I77" s="18">
        <f>IFERROR(MATCH(SMALL('Master List'!$AL$3:$AL$500,ROW()-2),'Master List'!$AL$3:$AL$500,0),"")</f>
        <v/>
      </c>
    </row>
    <row r="78" ht="18" customHeight="1">
      <c r="A78" s="15">
        <f>IFERROR(INDEX('Master List'!$V$3:$V$500,$I78),"")</f>
        <v/>
      </c>
      <c r="B78" s="16">
        <f>IFERROR(INDEX('Master List'!$B$3:$B$500,$I78),"")</f>
        <v/>
      </c>
      <c r="C78" s="17">
        <f>IFERROR(INDEX('Master List'!$A$3:$A$500,$I78),"")</f>
        <v/>
      </c>
      <c r="D78" s="17">
        <f>IFERROR(INDEX('Master List'!$G$3:$G$500,$I78),"")</f>
        <v/>
      </c>
      <c r="E78" s="17">
        <f>IFERROR(INDEX('Master List'!$W$3:$W$500,$I78),"")</f>
        <v/>
      </c>
      <c r="F78" s="17">
        <f>IFERROR(INDEX('Master List'!$F$3:$F$500,$I78),"")</f>
        <v/>
      </c>
      <c r="G78" s="16">
        <f>IFERROR(INDEX('Master List'!$AF$3:$AF$500,$I78),"")</f>
        <v/>
      </c>
      <c r="I78" s="18">
        <f>IFERROR(MATCH(SMALL('Master List'!$AL$3:$AL$500,ROW()-2),'Master List'!$AL$3:$AL$500,0),"")</f>
        <v/>
      </c>
    </row>
    <row r="79" ht="18" customHeight="1">
      <c r="A79" s="15">
        <f>IFERROR(INDEX('Master List'!$V$3:$V$500,$I79),"")</f>
        <v/>
      </c>
      <c r="B79" s="16">
        <f>IFERROR(INDEX('Master List'!$B$3:$B$500,$I79),"")</f>
        <v/>
      </c>
      <c r="C79" s="17">
        <f>IFERROR(INDEX('Master List'!$A$3:$A$500,$I79),"")</f>
        <v/>
      </c>
      <c r="D79" s="17">
        <f>IFERROR(INDEX('Master List'!$G$3:$G$500,$I79),"")</f>
        <v/>
      </c>
      <c r="E79" s="17">
        <f>IFERROR(INDEX('Master List'!$W$3:$W$500,$I79),"")</f>
        <v/>
      </c>
      <c r="F79" s="17">
        <f>IFERROR(INDEX('Master List'!$F$3:$F$500,$I79),"")</f>
        <v/>
      </c>
      <c r="G79" s="16">
        <f>IFERROR(INDEX('Master List'!$AF$3:$AF$500,$I79),"")</f>
        <v/>
      </c>
      <c r="I79" s="18">
        <f>IFERROR(MATCH(SMALL('Master List'!$AL$3:$AL$500,ROW()-2),'Master List'!$AL$3:$AL$500,0),"")</f>
        <v/>
      </c>
    </row>
    <row r="80" ht="18" customHeight="1">
      <c r="A80" s="15">
        <f>IFERROR(INDEX('Master List'!$V$3:$V$500,$I80),"")</f>
        <v/>
      </c>
      <c r="B80" s="16">
        <f>IFERROR(INDEX('Master List'!$B$3:$B$500,$I80),"")</f>
        <v/>
      </c>
      <c r="C80" s="17">
        <f>IFERROR(INDEX('Master List'!$A$3:$A$500,$I80),"")</f>
        <v/>
      </c>
      <c r="D80" s="17">
        <f>IFERROR(INDEX('Master List'!$G$3:$G$500,$I80),"")</f>
        <v/>
      </c>
      <c r="E80" s="17">
        <f>IFERROR(INDEX('Master List'!$W$3:$W$500,$I80),"")</f>
        <v/>
      </c>
      <c r="F80" s="17">
        <f>IFERROR(INDEX('Master List'!$F$3:$F$500,$I80),"")</f>
        <v/>
      </c>
      <c r="G80" s="16">
        <f>IFERROR(INDEX('Master List'!$AF$3:$AF$500,$I80),"")</f>
        <v/>
      </c>
      <c r="I80" s="18">
        <f>IFERROR(MATCH(SMALL('Master List'!$AL$3:$AL$500,ROW()-2),'Master List'!$AL$3:$AL$500,0),"")</f>
        <v/>
      </c>
    </row>
    <row r="81" ht="18" customHeight="1">
      <c r="A81" s="15">
        <f>IFERROR(INDEX('Master List'!$V$3:$V$500,$I81),"")</f>
        <v/>
      </c>
      <c r="B81" s="16">
        <f>IFERROR(INDEX('Master List'!$B$3:$B$500,$I81),"")</f>
        <v/>
      </c>
      <c r="C81" s="17">
        <f>IFERROR(INDEX('Master List'!$A$3:$A$500,$I81),"")</f>
        <v/>
      </c>
      <c r="D81" s="17">
        <f>IFERROR(INDEX('Master List'!$G$3:$G$500,$I81),"")</f>
        <v/>
      </c>
      <c r="E81" s="17">
        <f>IFERROR(INDEX('Master List'!$W$3:$W$500,$I81),"")</f>
        <v/>
      </c>
      <c r="F81" s="17">
        <f>IFERROR(INDEX('Master List'!$F$3:$F$500,$I81),"")</f>
        <v/>
      </c>
      <c r="G81" s="16">
        <f>IFERROR(INDEX('Master List'!$AF$3:$AF$500,$I81),"")</f>
        <v/>
      </c>
      <c r="I81" s="18">
        <f>IFERROR(MATCH(SMALL('Master List'!$AL$3:$AL$500,ROW()-2),'Master List'!$AL$3:$AL$500,0),"")</f>
        <v/>
      </c>
    </row>
    <row r="82" ht="18" customHeight="1">
      <c r="A82" s="15">
        <f>IFERROR(INDEX('Master List'!$V$3:$V$500,$I82),"")</f>
        <v/>
      </c>
      <c r="B82" s="16">
        <f>IFERROR(INDEX('Master List'!$B$3:$B$500,$I82),"")</f>
        <v/>
      </c>
      <c r="C82" s="17">
        <f>IFERROR(INDEX('Master List'!$A$3:$A$500,$I82),"")</f>
        <v/>
      </c>
      <c r="D82" s="17">
        <f>IFERROR(INDEX('Master List'!$G$3:$G$500,$I82),"")</f>
        <v/>
      </c>
      <c r="E82" s="17">
        <f>IFERROR(INDEX('Master List'!$W$3:$W$500,$I82),"")</f>
        <v/>
      </c>
      <c r="F82" s="17">
        <f>IFERROR(INDEX('Master List'!$F$3:$F$500,$I82),"")</f>
        <v/>
      </c>
      <c r="G82" s="16">
        <f>IFERROR(INDEX('Master List'!$AF$3:$AF$500,$I82),"")</f>
        <v/>
      </c>
      <c r="I82" s="18">
        <f>IFERROR(MATCH(SMALL('Master List'!$AL$3:$AL$500,ROW()-2),'Master List'!$AL$3:$AL$500,0),"")</f>
        <v/>
      </c>
    </row>
    <row r="83" ht="18" customHeight="1">
      <c r="A83" s="15">
        <f>IFERROR(INDEX('Master List'!$V$3:$V$500,$I83),"")</f>
        <v/>
      </c>
      <c r="B83" s="16">
        <f>IFERROR(INDEX('Master List'!$B$3:$B$500,$I83),"")</f>
        <v/>
      </c>
      <c r="C83" s="17">
        <f>IFERROR(INDEX('Master List'!$A$3:$A$500,$I83),"")</f>
        <v/>
      </c>
      <c r="D83" s="17">
        <f>IFERROR(INDEX('Master List'!$G$3:$G$500,$I83),"")</f>
        <v/>
      </c>
      <c r="E83" s="17">
        <f>IFERROR(INDEX('Master List'!$W$3:$W$500,$I83),"")</f>
        <v/>
      </c>
      <c r="F83" s="17">
        <f>IFERROR(INDEX('Master List'!$F$3:$F$500,$I83),"")</f>
        <v/>
      </c>
      <c r="G83" s="16">
        <f>IFERROR(INDEX('Master List'!$AF$3:$AF$500,$I83),"")</f>
        <v/>
      </c>
      <c r="I83" s="18">
        <f>IFERROR(MATCH(SMALL('Master List'!$AL$3:$AL$500,ROW()-2),'Master List'!$AL$3:$AL$500,0),"")</f>
        <v/>
      </c>
    </row>
    <row r="84" ht="18" customHeight="1">
      <c r="A84" s="15">
        <f>IFERROR(INDEX('Master List'!$V$3:$V$500,$I84),"")</f>
        <v/>
      </c>
      <c r="B84" s="16">
        <f>IFERROR(INDEX('Master List'!$B$3:$B$500,$I84),"")</f>
        <v/>
      </c>
      <c r="C84" s="17">
        <f>IFERROR(INDEX('Master List'!$A$3:$A$500,$I84),"")</f>
        <v/>
      </c>
      <c r="D84" s="17">
        <f>IFERROR(INDEX('Master List'!$G$3:$G$500,$I84),"")</f>
        <v/>
      </c>
      <c r="E84" s="17">
        <f>IFERROR(INDEX('Master List'!$W$3:$W$500,$I84),"")</f>
        <v/>
      </c>
      <c r="F84" s="17">
        <f>IFERROR(INDEX('Master List'!$F$3:$F$500,$I84),"")</f>
        <v/>
      </c>
      <c r="G84" s="16">
        <f>IFERROR(INDEX('Master List'!$AF$3:$AF$500,$I84),"")</f>
        <v/>
      </c>
      <c r="I84" s="18">
        <f>IFERROR(MATCH(SMALL('Master List'!$AL$3:$AL$500,ROW()-2),'Master List'!$AL$3:$AL$500,0),"")</f>
        <v/>
      </c>
    </row>
    <row r="85" ht="18" customHeight="1">
      <c r="A85" s="15">
        <f>IFERROR(INDEX('Master List'!$V$3:$V$500,$I85),"")</f>
        <v/>
      </c>
      <c r="B85" s="16">
        <f>IFERROR(INDEX('Master List'!$B$3:$B$500,$I85),"")</f>
        <v/>
      </c>
      <c r="C85" s="17">
        <f>IFERROR(INDEX('Master List'!$A$3:$A$500,$I85),"")</f>
        <v/>
      </c>
      <c r="D85" s="17">
        <f>IFERROR(INDEX('Master List'!$G$3:$G$500,$I85),"")</f>
        <v/>
      </c>
      <c r="E85" s="17">
        <f>IFERROR(INDEX('Master List'!$W$3:$W$500,$I85),"")</f>
        <v/>
      </c>
      <c r="F85" s="17">
        <f>IFERROR(INDEX('Master List'!$F$3:$F$500,$I85),"")</f>
        <v/>
      </c>
      <c r="G85" s="16">
        <f>IFERROR(INDEX('Master List'!$AF$3:$AF$500,$I85),"")</f>
        <v/>
      </c>
      <c r="I85" s="18">
        <f>IFERROR(MATCH(SMALL('Master List'!$AL$3:$AL$500,ROW()-2),'Master List'!$AL$3:$AL$500,0),"")</f>
        <v/>
      </c>
    </row>
    <row r="86" ht="18" customHeight="1">
      <c r="A86" s="15">
        <f>IFERROR(INDEX('Master List'!$V$3:$V$500,$I86),"")</f>
        <v/>
      </c>
      <c r="B86" s="16">
        <f>IFERROR(INDEX('Master List'!$B$3:$B$500,$I86),"")</f>
        <v/>
      </c>
      <c r="C86" s="17">
        <f>IFERROR(INDEX('Master List'!$A$3:$A$500,$I86),"")</f>
        <v/>
      </c>
      <c r="D86" s="17">
        <f>IFERROR(INDEX('Master List'!$G$3:$G$500,$I86),"")</f>
        <v/>
      </c>
      <c r="E86" s="17">
        <f>IFERROR(INDEX('Master List'!$W$3:$W$500,$I86),"")</f>
        <v/>
      </c>
      <c r="F86" s="17">
        <f>IFERROR(INDEX('Master List'!$F$3:$F$500,$I86),"")</f>
        <v/>
      </c>
      <c r="G86" s="16">
        <f>IFERROR(INDEX('Master List'!$AF$3:$AF$500,$I86),"")</f>
        <v/>
      </c>
      <c r="I86" s="18">
        <f>IFERROR(MATCH(SMALL('Master List'!$AL$3:$AL$500,ROW()-2),'Master List'!$AL$3:$AL$500,0),"")</f>
        <v/>
      </c>
    </row>
    <row r="87" ht="18" customHeight="1">
      <c r="A87" s="15">
        <f>IFERROR(INDEX('Master List'!$V$3:$V$500,$I87),"")</f>
        <v/>
      </c>
      <c r="B87" s="16">
        <f>IFERROR(INDEX('Master List'!$B$3:$B$500,$I87),"")</f>
        <v/>
      </c>
      <c r="C87" s="17">
        <f>IFERROR(INDEX('Master List'!$A$3:$A$500,$I87),"")</f>
        <v/>
      </c>
      <c r="D87" s="17">
        <f>IFERROR(INDEX('Master List'!$G$3:$G$500,$I87),"")</f>
        <v/>
      </c>
      <c r="E87" s="17">
        <f>IFERROR(INDEX('Master List'!$W$3:$W$500,$I87),"")</f>
        <v/>
      </c>
      <c r="F87" s="17">
        <f>IFERROR(INDEX('Master List'!$F$3:$F$500,$I87),"")</f>
        <v/>
      </c>
      <c r="G87" s="16">
        <f>IFERROR(INDEX('Master List'!$AF$3:$AF$500,$I87),"")</f>
        <v/>
      </c>
      <c r="I87" s="18">
        <f>IFERROR(MATCH(SMALL('Master List'!$AL$3:$AL$500,ROW()-2),'Master List'!$AL$3:$AL$500,0),"")</f>
        <v/>
      </c>
    </row>
    <row r="88" ht="18" customHeight="1">
      <c r="A88" s="15">
        <f>IFERROR(INDEX('Master List'!$V$3:$V$500,$I88),"")</f>
        <v/>
      </c>
      <c r="B88" s="16">
        <f>IFERROR(INDEX('Master List'!$B$3:$B$500,$I88),"")</f>
        <v/>
      </c>
      <c r="C88" s="17">
        <f>IFERROR(INDEX('Master List'!$A$3:$A$500,$I88),"")</f>
        <v/>
      </c>
      <c r="D88" s="17">
        <f>IFERROR(INDEX('Master List'!$G$3:$G$500,$I88),"")</f>
        <v/>
      </c>
      <c r="E88" s="17">
        <f>IFERROR(INDEX('Master List'!$W$3:$W$500,$I88),"")</f>
        <v/>
      </c>
      <c r="F88" s="17">
        <f>IFERROR(INDEX('Master List'!$F$3:$F$500,$I88),"")</f>
        <v/>
      </c>
      <c r="G88" s="16">
        <f>IFERROR(INDEX('Master List'!$AF$3:$AF$500,$I88),"")</f>
        <v/>
      </c>
      <c r="I88" s="18">
        <f>IFERROR(MATCH(SMALL('Master List'!$AL$3:$AL$500,ROW()-2),'Master List'!$AL$3:$AL$500,0),"")</f>
        <v/>
      </c>
    </row>
    <row r="89" ht="18" customHeight="1">
      <c r="A89" s="15">
        <f>IFERROR(INDEX('Master List'!$V$3:$V$500,$I89),"")</f>
        <v/>
      </c>
      <c r="B89" s="16">
        <f>IFERROR(INDEX('Master List'!$B$3:$B$500,$I89),"")</f>
        <v/>
      </c>
      <c r="C89" s="17">
        <f>IFERROR(INDEX('Master List'!$A$3:$A$500,$I89),"")</f>
        <v/>
      </c>
      <c r="D89" s="17">
        <f>IFERROR(INDEX('Master List'!$G$3:$G$500,$I89),"")</f>
        <v/>
      </c>
      <c r="E89" s="17">
        <f>IFERROR(INDEX('Master List'!$W$3:$W$500,$I89),"")</f>
        <v/>
      </c>
      <c r="F89" s="17">
        <f>IFERROR(INDEX('Master List'!$F$3:$F$500,$I89),"")</f>
        <v/>
      </c>
      <c r="G89" s="16">
        <f>IFERROR(INDEX('Master List'!$AF$3:$AF$500,$I89),"")</f>
        <v/>
      </c>
      <c r="I89" s="18">
        <f>IFERROR(MATCH(SMALL('Master List'!$AL$3:$AL$500,ROW()-2),'Master List'!$AL$3:$AL$500,0),"")</f>
        <v/>
      </c>
    </row>
    <row r="90" ht="18" customHeight="1">
      <c r="A90" s="15">
        <f>IFERROR(INDEX('Master List'!$V$3:$V$500,$I90),"")</f>
        <v/>
      </c>
      <c r="B90" s="16">
        <f>IFERROR(INDEX('Master List'!$B$3:$B$500,$I90),"")</f>
        <v/>
      </c>
      <c r="C90" s="17">
        <f>IFERROR(INDEX('Master List'!$A$3:$A$500,$I90),"")</f>
        <v/>
      </c>
      <c r="D90" s="17">
        <f>IFERROR(INDEX('Master List'!$G$3:$G$500,$I90),"")</f>
        <v/>
      </c>
      <c r="E90" s="17">
        <f>IFERROR(INDEX('Master List'!$W$3:$W$500,$I90),"")</f>
        <v/>
      </c>
      <c r="F90" s="17">
        <f>IFERROR(INDEX('Master List'!$F$3:$F$500,$I90),"")</f>
        <v/>
      </c>
      <c r="G90" s="16">
        <f>IFERROR(INDEX('Master List'!$AF$3:$AF$500,$I90),"")</f>
        <v/>
      </c>
      <c r="I90" s="18">
        <f>IFERROR(MATCH(SMALL('Master List'!$AL$3:$AL$500,ROW()-2),'Master List'!$AL$3:$AL$500,0),"")</f>
        <v/>
      </c>
    </row>
    <row r="91" ht="18" customHeight="1">
      <c r="A91" s="15">
        <f>IFERROR(INDEX('Master List'!$V$3:$V$500,$I91),"")</f>
        <v/>
      </c>
      <c r="B91" s="16">
        <f>IFERROR(INDEX('Master List'!$B$3:$B$500,$I91),"")</f>
        <v/>
      </c>
      <c r="C91" s="17">
        <f>IFERROR(INDEX('Master List'!$A$3:$A$500,$I91),"")</f>
        <v/>
      </c>
      <c r="D91" s="17">
        <f>IFERROR(INDEX('Master List'!$G$3:$G$500,$I91),"")</f>
        <v/>
      </c>
      <c r="E91" s="17">
        <f>IFERROR(INDEX('Master List'!$W$3:$W$500,$I91),"")</f>
        <v/>
      </c>
      <c r="F91" s="17">
        <f>IFERROR(INDEX('Master List'!$F$3:$F$500,$I91),"")</f>
        <v/>
      </c>
      <c r="G91" s="16">
        <f>IFERROR(INDEX('Master List'!$AF$3:$AF$500,$I91),"")</f>
        <v/>
      </c>
      <c r="I91" s="18">
        <f>IFERROR(MATCH(SMALL('Master List'!$AL$3:$AL$500,ROW()-2),'Master List'!$AL$3:$AL$500,0),"")</f>
        <v/>
      </c>
    </row>
    <row r="92" ht="18" customHeight="1">
      <c r="A92" s="15">
        <f>IFERROR(INDEX('Master List'!$V$3:$V$500,$I92),"")</f>
        <v/>
      </c>
      <c r="B92" s="16">
        <f>IFERROR(INDEX('Master List'!$B$3:$B$500,$I92),"")</f>
        <v/>
      </c>
      <c r="C92" s="17">
        <f>IFERROR(INDEX('Master List'!$A$3:$A$500,$I92),"")</f>
        <v/>
      </c>
      <c r="D92" s="17">
        <f>IFERROR(INDEX('Master List'!$G$3:$G$500,$I92),"")</f>
        <v/>
      </c>
      <c r="E92" s="17">
        <f>IFERROR(INDEX('Master List'!$W$3:$W$500,$I92),"")</f>
        <v/>
      </c>
      <c r="F92" s="17">
        <f>IFERROR(INDEX('Master List'!$F$3:$F$500,$I92),"")</f>
        <v/>
      </c>
      <c r="G92" s="16">
        <f>IFERROR(INDEX('Master List'!$AF$3:$AF$500,$I92),"")</f>
        <v/>
      </c>
      <c r="I92" s="18">
        <f>IFERROR(MATCH(SMALL('Master List'!$AL$3:$AL$500,ROW()-2),'Master List'!$AL$3:$AL$500,0),"")</f>
        <v/>
      </c>
    </row>
    <row r="93" ht="18" customHeight="1">
      <c r="A93" s="15">
        <f>IFERROR(INDEX('Master List'!$V$3:$V$500,$I93),"")</f>
        <v/>
      </c>
      <c r="B93" s="16">
        <f>IFERROR(INDEX('Master List'!$B$3:$B$500,$I93),"")</f>
        <v/>
      </c>
      <c r="C93" s="17">
        <f>IFERROR(INDEX('Master List'!$A$3:$A$500,$I93),"")</f>
        <v/>
      </c>
      <c r="D93" s="17">
        <f>IFERROR(INDEX('Master List'!$G$3:$G$500,$I93),"")</f>
        <v/>
      </c>
      <c r="E93" s="17">
        <f>IFERROR(INDEX('Master List'!$W$3:$W$500,$I93),"")</f>
        <v/>
      </c>
      <c r="F93" s="17">
        <f>IFERROR(INDEX('Master List'!$F$3:$F$500,$I93),"")</f>
        <v/>
      </c>
      <c r="G93" s="16">
        <f>IFERROR(INDEX('Master List'!$AF$3:$AF$500,$I93),"")</f>
        <v/>
      </c>
      <c r="I93" s="18">
        <f>IFERROR(MATCH(SMALL('Master List'!$AL$3:$AL$500,ROW()-2),'Master List'!$AL$3:$AL$500,0),"")</f>
        <v/>
      </c>
    </row>
    <row r="94" ht="18" customHeight="1">
      <c r="A94" s="15">
        <f>IFERROR(INDEX('Master List'!$V$3:$V$500,$I94),"")</f>
        <v/>
      </c>
      <c r="B94" s="16">
        <f>IFERROR(INDEX('Master List'!$B$3:$B$500,$I94),"")</f>
        <v/>
      </c>
      <c r="C94" s="17">
        <f>IFERROR(INDEX('Master List'!$A$3:$A$500,$I94),"")</f>
        <v/>
      </c>
      <c r="D94" s="17">
        <f>IFERROR(INDEX('Master List'!$G$3:$G$500,$I94),"")</f>
        <v/>
      </c>
      <c r="E94" s="17">
        <f>IFERROR(INDEX('Master List'!$W$3:$W$500,$I94),"")</f>
        <v/>
      </c>
      <c r="F94" s="17">
        <f>IFERROR(INDEX('Master List'!$F$3:$F$500,$I94),"")</f>
        <v/>
      </c>
      <c r="G94" s="16">
        <f>IFERROR(INDEX('Master List'!$AF$3:$AF$500,$I94),"")</f>
        <v/>
      </c>
      <c r="I94" s="18">
        <f>IFERROR(MATCH(SMALL('Master List'!$AL$3:$AL$500,ROW()-2),'Master List'!$AL$3:$AL$500,0),"")</f>
        <v/>
      </c>
    </row>
    <row r="95" ht="18" customHeight="1">
      <c r="A95" s="15">
        <f>IFERROR(INDEX('Master List'!$V$3:$V$500,$I95),"")</f>
        <v/>
      </c>
      <c r="B95" s="16">
        <f>IFERROR(INDEX('Master List'!$B$3:$B$500,$I95),"")</f>
        <v/>
      </c>
      <c r="C95" s="17">
        <f>IFERROR(INDEX('Master List'!$A$3:$A$500,$I95),"")</f>
        <v/>
      </c>
      <c r="D95" s="17">
        <f>IFERROR(INDEX('Master List'!$G$3:$G$500,$I95),"")</f>
        <v/>
      </c>
      <c r="E95" s="17">
        <f>IFERROR(INDEX('Master List'!$W$3:$W$500,$I95),"")</f>
        <v/>
      </c>
      <c r="F95" s="17">
        <f>IFERROR(INDEX('Master List'!$F$3:$F$500,$I95),"")</f>
        <v/>
      </c>
      <c r="G95" s="16">
        <f>IFERROR(INDEX('Master List'!$AF$3:$AF$500,$I95),"")</f>
        <v/>
      </c>
      <c r="I95" s="18">
        <f>IFERROR(MATCH(SMALL('Master List'!$AL$3:$AL$500,ROW()-2),'Master List'!$AL$3:$AL$500,0),"")</f>
        <v/>
      </c>
    </row>
    <row r="96" ht="18" customHeight="1">
      <c r="A96" s="15">
        <f>IFERROR(INDEX('Master List'!$V$3:$V$500,$I96),"")</f>
        <v/>
      </c>
      <c r="B96" s="16">
        <f>IFERROR(INDEX('Master List'!$B$3:$B$500,$I96),"")</f>
        <v/>
      </c>
      <c r="C96" s="17">
        <f>IFERROR(INDEX('Master List'!$A$3:$A$500,$I96),"")</f>
        <v/>
      </c>
      <c r="D96" s="17">
        <f>IFERROR(INDEX('Master List'!$G$3:$G$500,$I96),"")</f>
        <v/>
      </c>
      <c r="E96" s="17">
        <f>IFERROR(INDEX('Master List'!$W$3:$W$500,$I96),"")</f>
        <v/>
      </c>
      <c r="F96" s="17">
        <f>IFERROR(INDEX('Master List'!$F$3:$F$500,$I96),"")</f>
        <v/>
      </c>
      <c r="G96" s="16">
        <f>IFERROR(INDEX('Master List'!$AF$3:$AF$500,$I96),"")</f>
        <v/>
      </c>
      <c r="I96" s="18">
        <f>IFERROR(MATCH(SMALL('Master List'!$AL$3:$AL$500,ROW()-2),'Master List'!$AL$3:$AL$500,0),"")</f>
        <v/>
      </c>
    </row>
    <row r="97" ht="18" customHeight="1">
      <c r="A97" s="15">
        <f>IFERROR(INDEX('Master List'!$V$3:$V$500,$I97),"")</f>
        <v/>
      </c>
      <c r="B97" s="16">
        <f>IFERROR(INDEX('Master List'!$B$3:$B$500,$I97),"")</f>
        <v/>
      </c>
      <c r="C97" s="17">
        <f>IFERROR(INDEX('Master List'!$A$3:$A$500,$I97),"")</f>
        <v/>
      </c>
      <c r="D97" s="17">
        <f>IFERROR(INDEX('Master List'!$G$3:$G$500,$I97),"")</f>
        <v/>
      </c>
      <c r="E97" s="17">
        <f>IFERROR(INDEX('Master List'!$W$3:$W$500,$I97),"")</f>
        <v/>
      </c>
      <c r="F97" s="17">
        <f>IFERROR(INDEX('Master List'!$F$3:$F$500,$I97),"")</f>
        <v/>
      </c>
      <c r="G97" s="16">
        <f>IFERROR(INDEX('Master List'!$AF$3:$AF$500,$I97),"")</f>
        <v/>
      </c>
      <c r="I97" s="18">
        <f>IFERROR(MATCH(SMALL('Master List'!$AL$3:$AL$500,ROW()-2),'Master List'!$AL$3:$AL$500,0),"")</f>
        <v/>
      </c>
    </row>
    <row r="98" ht="18" customHeight="1">
      <c r="A98" s="15">
        <f>IFERROR(INDEX('Master List'!$V$3:$V$500,$I98),"")</f>
        <v/>
      </c>
      <c r="B98" s="16">
        <f>IFERROR(INDEX('Master List'!$B$3:$B$500,$I98),"")</f>
        <v/>
      </c>
      <c r="C98" s="17">
        <f>IFERROR(INDEX('Master List'!$A$3:$A$500,$I98),"")</f>
        <v/>
      </c>
      <c r="D98" s="17">
        <f>IFERROR(INDEX('Master List'!$G$3:$G$500,$I98),"")</f>
        <v/>
      </c>
      <c r="E98" s="17">
        <f>IFERROR(INDEX('Master List'!$W$3:$W$500,$I98),"")</f>
        <v/>
      </c>
      <c r="F98" s="17">
        <f>IFERROR(INDEX('Master List'!$F$3:$F$500,$I98),"")</f>
        <v/>
      </c>
      <c r="G98" s="16">
        <f>IFERROR(INDEX('Master List'!$AF$3:$AF$500,$I98),"")</f>
        <v/>
      </c>
      <c r="I98" s="18">
        <f>IFERROR(MATCH(SMALL('Master List'!$AL$3:$AL$500,ROW()-2),'Master List'!$AL$3:$AL$500,0),"")</f>
        <v/>
      </c>
    </row>
    <row r="99" ht="18" customHeight="1">
      <c r="A99" s="15">
        <f>IFERROR(INDEX('Master List'!$V$3:$V$500,$I99),"")</f>
        <v/>
      </c>
      <c r="B99" s="16">
        <f>IFERROR(INDEX('Master List'!$B$3:$B$500,$I99),"")</f>
        <v/>
      </c>
      <c r="C99" s="17">
        <f>IFERROR(INDEX('Master List'!$A$3:$A$500,$I99),"")</f>
        <v/>
      </c>
      <c r="D99" s="17">
        <f>IFERROR(INDEX('Master List'!$G$3:$G$500,$I99),"")</f>
        <v/>
      </c>
      <c r="E99" s="17">
        <f>IFERROR(INDEX('Master List'!$W$3:$W$500,$I99),"")</f>
        <v/>
      </c>
      <c r="F99" s="17">
        <f>IFERROR(INDEX('Master List'!$F$3:$F$500,$I99),"")</f>
        <v/>
      </c>
      <c r="G99" s="16">
        <f>IFERROR(INDEX('Master List'!$AF$3:$AF$500,$I99),"")</f>
        <v/>
      </c>
      <c r="I99" s="18">
        <f>IFERROR(MATCH(SMALL('Master List'!$AL$3:$AL$500,ROW()-2),'Master List'!$AL$3:$AL$500,0),"")</f>
        <v/>
      </c>
    </row>
    <row r="100" ht="18" customHeight="1">
      <c r="A100" s="15">
        <f>IFERROR(INDEX('Master List'!$V$3:$V$500,$I100),"")</f>
        <v/>
      </c>
      <c r="B100" s="16">
        <f>IFERROR(INDEX('Master List'!$B$3:$B$500,$I100),"")</f>
        <v/>
      </c>
      <c r="C100" s="17">
        <f>IFERROR(INDEX('Master List'!$A$3:$A$500,$I100),"")</f>
        <v/>
      </c>
      <c r="D100" s="17">
        <f>IFERROR(INDEX('Master List'!$G$3:$G$500,$I100),"")</f>
        <v/>
      </c>
      <c r="E100" s="17">
        <f>IFERROR(INDEX('Master List'!$W$3:$W$500,$I100),"")</f>
        <v/>
      </c>
      <c r="F100" s="17">
        <f>IFERROR(INDEX('Master List'!$F$3:$F$500,$I100),"")</f>
        <v/>
      </c>
      <c r="G100" s="16">
        <f>IFERROR(INDEX('Master List'!$AF$3:$AF$500,$I100),"")</f>
        <v/>
      </c>
      <c r="I100" s="18">
        <f>IFERROR(MATCH(SMALL('Master List'!$AL$3:$AL$500,ROW()-2),'Master List'!$AL$3:$AL$500,0),"")</f>
        <v/>
      </c>
    </row>
    <row r="101" ht="18" customHeight="1">
      <c r="A101" s="15">
        <f>IFERROR(INDEX('Master List'!$V$3:$V$500,$I101),"")</f>
        <v/>
      </c>
      <c r="B101" s="16">
        <f>IFERROR(INDEX('Master List'!$B$3:$B$500,$I101),"")</f>
        <v/>
      </c>
      <c r="C101" s="17">
        <f>IFERROR(INDEX('Master List'!$A$3:$A$500,$I101),"")</f>
        <v/>
      </c>
      <c r="D101" s="17">
        <f>IFERROR(INDEX('Master List'!$G$3:$G$500,$I101),"")</f>
        <v/>
      </c>
      <c r="E101" s="17">
        <f>IFERROR(INDEX('Master List'!$W$3:$W$500,$I101),"")</f>
        <v/>
      </c>
      <c r="F101" s="17">
        <f>IFERROR(INDEX('Master List'!$F$3:$F$500,$I101),"")</f>
        <v/>
      </c>
      <c r="G101" s="16">
        <f>IFERROR(INDEX('Master List'!$AF$3:$AF$500,$I101),"")</f>
        <v/>
      </c>
      <c r="I101" s="18">
        <f>IFERROR(MATCH(SMALL('Master List'!$AL$3:$AL$500,ROW()-2),'Master List'!$AL$3:$AL$500,0),"")</f>
        <v/>
      </c>
    </row>
    <row r="102" ht="18" customHeight="1">
      <c r="A102" s="15">
        <f>IFERROR(INDEX('Master List'!$V$3:$V$500,$I102),"")</f>
        <v/>
      </c>
      <c r="B102" s="16">
        <f>IFERROR(INDEX('Master List'!$B$3:$B$500,$I102),"")</f>
        <v/>
      </c>
      <c r="C102" s="17">
        <f>IFERROR(INDEX('Master List'!$A$3:$A$500,$I102),"")</f>
        <v/>
      </c>
      <c r="D102" s="17">
        <f>IFERROR(INDEX('Master List'!$G$3:$G$500,$I102),"")</f>
        <v/>
      </c>
      <c r="E102" s="17">
        <f>IFERROR(INDEX('Master List'!$W$3:$W$500,$I102),"")</f>
        <v/>
      </c>
      <c r="F102" s="17">
        <f>IFERROR(INDEX('Master List'!$F$3:$F$500,$I102),"")</f>
        <v/>
      </c>
      <c r="G102" s="16">
        <f>IFERROR(INDEX('Master List'!$AF$3:$AF$500,$I102),"")</f>
        <v/>
      </c>
      <c r="I102" s="18">
        <f>IFERROR(MATCH(SMALL('Master List'!$AL$3:$AL$500,ROW()-2),'Master List'!$AL$3:$AL$500,0),"")</f>
        <v/>
      </c>
    </row>
    <row r="103" ht="18" customHeight="1">
      <c r="A103" s="15">
        <f>IFERROR(INDEX('Master List'!$V$3:$V$500,$I103),"")</f>
        <v/>
      </c>
      <c r="B103" s="16">
        <f>IFERROR(INDEX('Master List'!$B$3:$B$500,$I103),"")</f>
        <v/>
      </c>
      <c r="C103" s="17">
        <f>IFERROR(INDEX('Master List'!$A$3:$A$500,$I103),"")</f>
        <v/>
      </c>
      <c r="D103" s="17">
        <f>IFERROR(INDEX('Master List'!$G$3:$G$500,$I103),"")</f>
        <v/>
      </c>
      <c r="E103" s="17">
        <f>IFERROR(INDEX('Master List'!$W$3:$W$500,$I103),"")</f>
        <v/>
      </c>
      <c r="F103" s="17">
        <f>IFERROR(INDEX('Master List'!$F$3:$F$500,$I103),"")</f>
        <v/>
      </c>
      <c r="G103" s="16">
        <f>IFERROR(INDEX('Master List'!$AF$3:$AF$500,$I103),"")</f>
        <v/>
      </c>
      <c r="I103" s="18">
        <f>IFERROR(MATCH(SMALL('Master List'!$AL$3:$AL$500,ROW()-2),'Master List'!$AL$3:$AL$500,0),"")</f>
        <v/>
      </c>
    </row>
    <row r="104" ht="18" customHeight="1">
      <c r="A104" s="15">
        <f>IFERROR(INDEX('Master List'!$V$3:$V$500,$I104),"")</f>
        <v/>
      </c>
      <c r="B104" s="16">
        <f>IFERROR(INDEX('Master List'!$B$3:$B$500,$I104),"")</f>
        <v/>
      </c>
      <c r="C104" s="17">
        <f>IFERROR(INDEX('Master List'!$A$3:$A$500,$I104),"")</f>
        <v/>
      </c>
      <c r="D104" s="17">
        <f>IFERROR(INDEX('Master List'!$G$3:$G$500,$I104),"")</f>
        <v/>
      </c>
      <c r="E104" s="17">
        <f>IFERROR(INDEX('Master List'!$W$3:$W$500,$I104),"")</f>
        <v/>
      </c>
      <c r="F104" s="17">
        <f>IFERROR(INDEX('Master List'!$F$3:$F$500,$I104),"")</f>
        <v/>
      </c>
      <c r="G104" s="16">
        <f>IFERROR(INDEX('Master List'!$AF$3:$AF$500,$I104),"")</f>
        <v/>
      </c>
      <c r="I104" s="18">
        <f>IFERROR(MATCH(SMALL('Master List'!$AL$3:$AL$500,ROW()-2),'Master List'!$AL$3:$AL$500,0),"")</f>
        <v/>
      </c>
    </row>
    <row r="105" ht="18" customHeight="1">
      <c r="A105" s="15">
        <f>IFERROR(INDEX('Master List'!$V$3:$V$500,$I105),"")</f>
        <v/>
      </c>
      <c r="B105" s="16">
        <f>IFERROR(INDEX('Master List'!$B$3:$B$500,$I105),"")</f>
        <v/>
      </c>
      <c r="C105" s="17">
        <f>IFERROR(INDEX('Master List'!$A$3:$A$500,$I105),"")</f>
        <v/>
      </c>
      <c r="D105" s="17">
        <f>IFERROR(INDEX('Master List'!$G$3:$G$500,$I105),"")</f>
        <v/>
      </c>
      <c r="E105" s="17">
        <f>IFERROR(INDEX('Master List'!$W$3:$W$500,$I105),"")</f>
        <v/>
      </c>
      <c r="F105" s="17">
        <f>IFERROR(INDEX('Master List'!$F$3:$F$500,$I105),"")</f>
        <v/>
      </c>
      <c r="G105" s="16">
        <f>IFERROR(INDEX('Master List'!$AF$3:$AF$500,$I105),"")</f>
        <v/>
      </c>
      <c r="I105" s="18">
        <f>IFERROR(MATCH(SMALL('Master List'!$AL$3:$AL$500,ROW()-2),'Master List'!$AL$3:$AL$500,0),"")</f>
        <v/>
      </c>
    </row>
    <row r="106" ht="18" customHeight="1">
      <c r="A106" s="15">
        <f>IFERROR(INDEX('Master List'!$V$3:$V$500,$I106),"")</f>
        <v/>
      </c>
      <c r="B106" s="16">
        <f>IFERROR(INDEX('Master List'!$B$3:$B$500,$I106),"")</f>
        <v/>
      </c>
      <c r="C106" s="17">
        <f>IFERROR(INDEX('Master List'!$A$3:$A$500,$I106),"")</f>
        <v/>
      </c>
      <c r="D106" s="17">
        <f>IFERROR(INDEX('Master List'!$G$3:$G$500,$I106),"")</f>
        <v/>
      </c>
      <c r="E106" s="17">
        <f>IFERROR(INDEX('Master List'!$W$3:$W$500,$I106),"")</f>
        <v/>
      </c>
      <c r="F106" s="17">
        <f>IFERROR(INDEX('Master List'!$F$3:$F$500,$I106),"")</f>
        <v/>
      </c>
      <c r="G106" s="16">
        <f>IFERROR(INDEX('Master List'!$AF$3:$AF$500,$I106),"")</f>
        <v/>
      </c>
      <c r="I106" s="18">
        <f>IFERROR(MATCH(SMALL('Master List'!$AL$3:$AL$500,ROW()-2),'Master List'!$AL$3:$AL$500,0),"")</f>
        <v/>
      </c>
    </row>
    <row r="107" ht="18" customHeight="1">
      <c r="A107" s="15">
        <f>IFERROR(INDEX('Master List'!$V$3:$V$500,$I107),"")</f>
        <v/>
      </c>
      <c r="B107" s="16">
        <f>IFERROR(INDEX('Master List'!$B$3:$B$500,$I107),"")</f>
        <v/>
      </c>
      <c r="C107" s="17">
        <f>IFERROR(INDEX('Master List'!$A$3:$A$500,$I107),"")</f>
        <v/>
      </c>
      <c r="D107" s="17">
        <f>IFERROR(INDEX('Master List'!$G$3:$G$500,$I107),"")</f>
        <v/>
      </c>
      <c r="E107" s="17">
        <f>IFERROR(INDEX('Master List'!$W$3:$W$500,$I107),"")</f>
        <v/>
      </c>
      <c r="F107" s="17">
        <f>IFERROR(INDEX('Master List'!$F$3:$F$500,$I107),"")</f>
        <v/>
      </c>
      <c r="G107" s="16">
        <f>IFERROR(INDEX('Master List'!$AF$3:$AF$500,$I107),"")</f>
        <v/>
      </c>
      <c r="I107" s="18">
        <f>IFERROR(MATCH(SMALL('Master List'!$AL$3:$AL$500,ROW()-2),'Master List'!$AL$3:$AL$500,0),"")</f>
        <v/>
      </c>
    </row>
    <row r="108" ht="18" customHeight="1">
      <c r="A108" s="15">
        <f>IFERROR(INDEX('Master List'!$V$3:$V$500,$I108),"")</f>
        <v/>
      </c>
      <c r="B108" s="16">
        <f>IFERROR(INDEX('Master List'!$B$3:$B$500,$I108),"")</f>
        <v/>
      </c>
      <c r="C108" s="17">
        <f>IFERROR(INDEX('Master List'!$A$3:$A$500,$I108),"")</f>
        <v/>
      </c>
      <c r="D108" s="17">
        <f>IFERROR(INDEX('Master List'!$G$3:$G$500,$I108),"")</f>
        <v/>
      </c>
      <c r="E108" s="17">
        <f>IFERROR(INDEX('Master List'!$W$3:$W$500,$I108),"")</f>
        <v/>
      </c>
      <c r="F108" s="17">
        <f>IFERROR(INDEX('Master List'!$F$3:$F$500,$I108),"")</f>
        <v/>
      </c>
      <c r="G108" s="16">
        <f>IFERROR(INDEX('Master List'!$AF$3:$AF$500,$I108),"")</f>
        <v/>
      </c>
      <c r="I108" s="18">
        <f>IFERROR(MATCH(SMALL('Master List'!$AL$3:$AL$500,ROW()-2),'Master List'!$AL$3:$AL$500,0),"")</f>
        <v/>
      </c>
    </row>
    <row r="109" ht="18" customHeight="1">
      <c r="A109" s="15">
        <f>IFERROR(INDEX('Master List'!$V$3:$V$500,$I109),"")</f>
        <v/>
      </c>
      <c r="B109" s="16">
        <f>IFERROR(INDEX('Master List'!$B$3:$B$500,$I109),"")</f>
        <v/>
      </c>
      <c r="C109" s="17">
        <f>IFERROR(INDEX('Master List'!$A$3:$A$500,$I109),"")</f>
        <v/>
      </c>
      <c r="D109" s="17">
        <f>IFERROR(INDEX('Master List'!$G$3:$G$500,$I109),"")</f>
        <v/>
      </c>
      <c r="E109" s="17">
        <f>IFERROR(INDEX('Master List'!$W$3:$W$500,$I109),"")</f>
        <v/>
      </c>
      <c r="F109" s="17">
        <f>IFERROR(INDEX('Master List'!$F$3:$F$500,$I109),"")</f>
        <v/>
      </c>
      <c r="G109" s="16">
        <f>IFERROR(INDEX('Master List'!$AF$3:$AF$500,$I109),"")</f>
        <v/>
      </c>
      <c r="I109" s="18">
        <f>IFERROR(MATCH(SMALL('Master List'!$AL$3:$AL$500,ROW()-2),'Master List'!$AL$3:$AL$500,0),"")</f>
        <v/>
      </c>
    </row>
    <row r="110" ht="18" customHeight="1">
      <c r="A110" s="15">
        <f>IFERROR(INDEX('Master List'!$V$3:$V$500,$I110),"")</f>
        <v/>
      </c>
      <c r="B110" s="16">
        <f>IFERROR(INDEX('Master List'!$B$3:$B$500,$I110),"")</f>
        <v/>
      </c>
      <c r="C110" s="17">
        <f>IFERROR(INDEX('Master List'!$A$3:$A$500,$I110),"")</f>
        <v/>
      </c>
      <c r="D110" s="17">
        <f>IFERROR(INDEX('Master List'!$G$3:$G$500,$I110),"")</f>
        <v/>
      </c>
      <c r="E110" s="17">
        <f>IFERROR(INDEX('Master List'!$W$3:$W$500,$I110),"")</f>
        <v/>
      </c>
      <c r="F110" s="17">
        <f>IFERROR(INDEX('Master List'!$F$3:$F$500,$I110),"")</f>
        <v/>
      </c>
      <c r="G110" s="16">
        <f>IFERROR(INDEX('Master List'!$AF$3:$AF$500,$I110),"")</f>
        <v/>
      </c>
      <c r="I110" s="18">
        <f>IFERROR(MATCH(SMALL('Master List'!$AL$3:$AL$500,ROW()-2),'Master List'!$AL$3:$AL$500,0),"")</f>
        <v/>
      </c>
    </row>
    <row r="111" ht="18" customHeight="1">
      <c r="A111" s="15">
        <f>IFERROR(INDEX('Master List'!$V$3:$V$500,$I111),"")</f>
        <v/>
      </c>
      <c r="B111" s="16">
        <f>IFERROR(INDEX('Master List'!$B$3:$B$500,$I111),"")</f>
        <v/>
      </c>
      <c r="C111" s="17">
        <f>IFERROR(INDEX('Master List'!$A$3:$A$500,$I111),"")</f>
        <v/>
      </c>
      <c r="D111" s="17">
        <f>IFERROR(INDEX('Master List'!$G$3:$G$500,$I111),"")</f>
        <v/>
      </c>
      <c r="E111" s="17">
        <f>IFERROR(INDEX('Master List'!$W$3:$W$500,$I111),"")</f>
        <v/>
      </c>
      <c r="F111" s="17">
        <f>IFERROR(INDEX('Master List'!$F$3:$F$500,$I111),"")</f>
        <v/>
      </c>
      <c r="G111" s="16">
        <f>IFERROR(INDEX('Master List'!$AF$3:$AF$500,$I111),"")</f>
        <v/>
      </c>
      <c r="I111" s="18">
        <f>IFERROR(MATCH(SMALL('Master List'!$AL$3:$AL$500,ROW()-2),'Master List'!$AL$3:$AL$500,0),"")</f>
        <v/>
      </c>
    </row>
    <row r="112" ht="18" customHeight="1">
      <c r="A112" s="15">
        <f>IFERROR(INDEX('Master List'!$V$3:$V$500,$I112),"")</f>
        <v/>
      </c>
      <c r="B112" s="16">
        <f>IFERROR(INDEX('Master List'!$B$3:$B$500,$I112),"")</f>
        <v/>
      </c>
      <c r="C112" s="17">
        <f>IFERROR(INDEX('Master List'!$A$3:$A$500,$I112),"")</f>
        <v/>
      </c>
      <c r="D112" s="17">
        <f>IFERROR(INDEX('Master List'!$G$3:$G$500,$I112),"")</f>
        <v/>
      </c>
      <c r="E112" s="17">
        <f>IFERROR(INDEX('Master List'!$W$3:$W$500,$I112),"")</f>
        <v/>
      </c>
      <c r="F112" s="17">
        <f>IFERROR(INDEX('Master List'!$F$3:$F$500,$I112),"")</f>
        <v/>
      </c>
      <c r="G112" s="16">
        <f>IFERROR(INDEX('Master List'!$AF$3:$AF$500,$I112),"")</f>
        <v/>
      </c>
      <c r="I112" s="18">
        <f>IFERROR(MATCH(SMALL('Master List'!$AL$3:$AL$500,ROW()-2),'Master List'!$AL$3:$AL$500,0),"")</f>
        <v/>
      </c>
    </row>
    <row r="113" ht="18" customHeight="1">
      <c r="A113" s="15">
        <f>IFERROR(INDEX('Master List'!$V$3:$V$500,$I113),"")</f>
        <v/>
      </c>
      <c r="B113" s="16">
        <f>IFERROR(INDEX('Master List'!$B$3:$B$500,$I113),"")</f>
        <v/>
      </c>
      <c r="C113" s="17">
        <f>IFERROR(INDEX('Master List'!$A$3:$A$500,$I113),"")</f>
        <v/>
      </c>
      <c r="D113" s="17">
        <f>IFERROR(INDEX('Master List'!$G$3:$G$500,$I113),"")</f>
        <v/>
      </c>
      <c r="E113" s="17">
        <f>IFERROR(INDEX('Master List'!$W$3:$W$500,$I113),"")</f>
        <v/>
      </c>
      <c r="F113" s="17">
        <f>IFERROR(INDEX('Master List'!$F$3:$F$500,$I113),"")</f>
        <v/>
      </c>
      <c r="G113" s="16">
        <f>IFERROR(INDEX('Master List'!$AF$3:$AF$500,$I113),"")</f>
        <v/>
      </c>
      <c r="I113" s="18">
        <f>IFERROR(MATCH(SMALL('Master List'!$AL$3:$AL$500,ROW()-2),'Master List'!$AL$3:$AL$500,0),"")</f>
        <v/>
      </c>
    </row>
    <row r="114" ht="18" customHeight="1">
      <c r="A114" s="15">
        <f>IFERROR(INDEX('Master List'!$V$3:$V$500,$I114),"")</f>
        <v/>
      </c>
      <c r="B114" s="16">
        <f>IFERROR(INDEX('Master List'!$B$3:$B$500,$I114),"")</f>
        <v/>
      </c>
      <c r="C114" s="17">
        <f>IFERROR(INDEX('Master List'!$A$3:$A$500,$I114),"")</f>
        <v/>
      </c>
      <c r="D114" s="17">
        <f>IFERROR(INDEX('Master List'!$G$3:$G$500,$I114),"")</f>
        <v/>
      </c>
      <c r="E114" s="17">
        <f>IFERROR(INDEX('Master List'!$W$3:$W$500,$I114),"")</f>
        <v/>
      </c>
      <c r="F114" s="17">
        <f>IFERROR(INDEX('Master List'!$F$3:$F$500,$I114),"")</f>
        <v/>
      </c>
      <c r="G114" s="16">
        <f>IFERROR(INDEX('Master List'!$AF$3:$AF$500,$I114),"")</f>
        <v/>
      </c>
      <c r="I114" s="18">
        <f>IFERROR(MATCH(SMALL('Master List'!$AL$3:$AL$500,ROW()-2),'Master List'!$AL$3:$AL$500,0),"")</f>
        <v/>
      </c>
    </row>
    <row r="115" ht="18" customHeight="1">
      <c r="A115" s="15">
        <f>IFERROR(INDEX('Master List'!$V$3:$V$500,$I115),"")</f>
        <v/>
      </c>
      <c r="B115" s="16">
        <f>IFERROR(INDEX('Master List'!$B$3:$B$500,$I115),"")</f>
        <v/>
      </c>
      <c r="C115" s="17">
        <f>IFERROR(INDEX('Master List'!$A$3:$A$500,$I115),"")</f>
        <v/>
      </c>
      <c r="D115" s="17">
        <f>IFERROR(INDEX('Master List'!$G$3:$G$500,$I115),"")</f>
        <v/>
      </c>
      <c r="E115" s="17">
        <f>IFERROR(INDEX('Master List'!$W$3:$W$500,$I115),"")</f>
        <v/>
      </c>
      <c r="F115" s="17">
        <f>IFERROR(INDEX('Master List'!$F$3:$F$500,$I115),"")</f>
        <v/>
      </c>
      <c r="G115" s="16">
        <f>IFERROR(INDEX('Master List'!$AF$3:$AF$500,$I115),"")</f>
        <v/>
      </c>
      <c r="I115" s="18">
        <f>IFERROR(MATCH(SMALL('Master List'!$AL$3:$AL$500,ROW()-2),'Master List'!$AL$3:$AL$500,0),"")</f>
        <v/>
      </c>
    </row>
    <row r="116" ht="18" customHeight="1">
      <c r="A116" s="15">
        <f>IFERROR(INDEX('Master List'!$V$3:$V$500,$I116),"")</f>
        <v/>
      </c>
      <c r="B116" s="16">
        <f>IFERROR(INDEX('Master List'!$B$3:$B$500,$I116),"")</f>
        <v/>
      </c>
      <c r="C116" s="17">
        <f>IFERROR(INDEX('Master List'!$A$3:$A$500,$I116),"")</f>
        <v/>
      </c>
      <c r="D116" s="17">
        <f>IFERROR(INDEX('Master List'!$G$3:$G$500,$I116),"")</f>
        <v/>
      </c>
      <c r="E116" s="17">
        <f>IFERROR(INDEX('Master List'!$W$3:$W$500,$I116),"")</f>
        <v/>
      </c>
      <c r="F116" s="17">
        <f>IFERROR(INDEX('Master List'!$F$3:$F$500,$I116),"")</f>
        <v/>
      </c>
      <c r="G116" s="16">
        <f>IFERROR(INDEX('Master List'!$AF$3:$AF$500,$I116),"")</f>
        <v/>
      </c>
      <c r="I116" s="18">
        <f>IFERROR(MATCH(SMALL('Master List'!$AL$3:$AL$500,ROW()-2),'Master List'!$AL$3:$AL$500,0),"")</f>
        <v/>
      </c>
    </row>
    <row r="117" ht="18" customHeight="1">
      <c r="A117" s="15">
        <f>IFERROR(INDEX('Master List'!$V$3:$V$500,$I117),"")</f>
        <v/>
      </c>
      <c r="B117" s="16">
        <f>IFERROR(INDEX('Master List'!$B$3:$B$500,$I117),"")</f>
        <v/>
      </c>
      <c r="C117" s="17">
        <f>IFERROR(INDEX('Master List'!$A$3:$A$500,$I117),"")</f>
        <v/>
      </c>
      <c r="D117" s="17">
        <f>IFERROR(INDEX('Master List'!$G$3:$G$500,$I117),"")</f>
        <v/>
      </c>
      <c r="E117" s="17">
        <f>IFERROR(INDEX('Master List'!$W$3:$W$500,$I117),"")</f>
        <v/>
      </c>
      <c r="F117" s="17">
        <f>IFERROR(INDEX('Master List'!$F$3:$F$500,$I117),"")</f>
        <v/>
      </c>
      <c r="G117" s="16">
        <f>IFERROR(INDEX('Master List'!$AF$3:$AF$500,$I117),"")</f>
        <v/>
      </c>
      <c r="I117" s="18">
        <f>IFERROR(MATCH(SMALL('Master List'!$AL$3:$AL$500,ROW()-2),'Master List'!$AL$3:$AL$500,0),"")</f>
        <v/>
      </c>
    </row>
    <row r="118" ht="18" customHeight="1">
      <c r="A118" s="15">
        <f>IFERROR(INDEX('Master List'!$V$3:$V$500,$I118),"")</f>
        <v/>
      </c>
      <c r="B118" s="16">
        <f>IFERROR(INDEX('Master List'!$B$3:$B$500,$I118),"")</f>
        <v/>
      </c>
      <c r="C118" s="17">
        <f>IFERROR(INDEX('Master List'!$A$3:$A$500,$I118),"")</f>
        <v/>
      </c>
      <c r="D118" s="17">
        <f>IFERROR(INDEX('Master List'!$G$3:$G$500,$I118),"")</f>
        <v/>
      </c>
      <c r="E118" s="17">
        <f>IFERROR(INDEX('Master List'!$W$3:$W$500,$I118),"")</f>
        <v/>
      </c>
      <c r="F118" s="17">
        <f>IFERROR(INDEX('Master List'!$F$3:$F$500,$I118),"")</f>
        <v/>
      </c>
      <c r="G118" s="16">
        <f>IFERROR(INDEX('Master List'!$AF$3:$AF$500,$I118),"")</f>
        <v/>
      </c>
      <c r="I118" s="18">
        <f>IFERROR(MATCH(SMALL('Master List'!$AL$3:$AL$500,ROW()-2),'Master List'!$AL$3:$AL$500,0),"")</f>
        <v/>
      </c>
    </row>
    <row r="119" ht="18" customHeight="1">
      <c r="A119" s="15">
        <f>IFERROR(INDEX('Master List'!$V$3:$V$500,$I119),"")</f>
        <v/>
      </c>
      <c r="B119" s="16">
        <f>IFERROR(INDEX('Master List'!$B$3:$B$500,$I119),"")</f>
        <v/>
      </c>
      <c r="C119" s="17">
        <f>IFERROR(INDEX('Master List'!$A$3:$A$500,$I119),"")</f>
        <v/>
      </c>
      <c r="D119" s="17">
        <f>IFERROR(INDEX('Master List'!$G$3:$G$500,$I119),"")</f>
        <v/>
      </c>
      <c r="E119" s="17">
        <f>IFERROR(INDEX('Master List'!$W$3:$W$500,$I119),"")</f>
        <v/>
      </c>
      <c r="F119" s="17">
        <f>IFERROR(INDEX('Master List'!$F$3:$F$500,$I119),"")</f>
        <v/>
      </c>
      <c r="G119" s="16">
        <f>IFERROR(INDEX('Master List'!$AF$3:$AF$500,$I119),"")</f>
        <v/>
      </c>
      <c r="I119" s="18">
        <f>IFERROR(MATCH(SMALL('Master List'!$AL$3:$AL$500,ROW()-2),'Master List'!$AL$3:$AL$500,0),"")</f>
        <v/>
      </c>
    </row>
    <row r="120" ht="18" customHeight="1">
      <c r="A120" s="15">
        <f>IFERROR(INDEX('Master List'!$V$3:$V$500,$I120),"")</f>
        <v/>
      </c>
      <c r="B120" s="16">
        <f>IFERROR(INDEX('Master List'!$B$3:$B$500,$I120),"")</f>
        <v/>
      </c>
      <c r="C120" s="17">
        <f>IFERROR(INDEX('Master List'!$A$3:$A$500,$I120),"")</f>
        <v/>
      </c>
      <c r="D120" s="17">
        <f>IFERROR(INDEX('Master List'!$G$3:$G$500,$I120),"")</f>
        <v/>
      </c>
      <c r="E120" s="17">
        <f>IFERROR(INDEX('Master List'!$W$3:$W$500,$I120),"")</f>
        <v/>
      </c>
      <c r="F120" s="17">
        <f>IFERROR(INDEX('Master List'!$F$3:$F$500,$I120),"")</f>
        <v/>
      </c>
      <c r="G120" s="16">
        <f>IFERROR(INDEX('Master List'!$AF$3:$AF$500,$I120),"")</f>
        <v/>
      </c>
      <c r="I120" s="18">
        <f>IFERROR(MATCH(SMALL('Master List'!$AL$3:$AL$500,ROW()-2),'Master List'!$AL$3:$AL$500,0),"")</f>
        <v/>
      </c>
    </row>
    <row r="121" ht="18" customHeight="1">
      <c r="A121" s="15">
        <f>IFERROR(INDEX('Master List'!$V$3:$V$500,$I121),"")</f>
        <v/>
      </c>
      <c r="B121" s="16">
        <f>IFERROR(INDEX('Master List'!$B$3:$B$500,$I121),"")</f>
        <v/>
      </c>
      <c r="C121" s="17">
        <f>IFERROR(INDEX('Master List'!$A$3:$A$500,$I121),"")</f>
        <v/>
      </c>
      <c r="D121" s="17">
        <f>IFERROR(INDEX('Master List'!$G$3:$G$500,$I121),"")</f>
        <v/>
      </c>
      <c r="E121" s="17">
        <f>IFERROR(INDEX('Master List'!$W$3:$W$500,$I121),"")</f>
        <v/>
      </c>
      <c r="F121" s="17">
        <f>IFERROR(INDEX('Master List'!$F$3:$F$500,$I121),"")</f>
        <v/>
      </c>
      <c r="G121" s="16">
        <f>IFERROR(INDEX('Master List'!$AF$3:$AF$500,$I121),"")</f>
        <v/>
      </c>
      <c r="I121" s="18">
        <f>IFERROR(MATCH(SMALL('Master List'!$AL$3:$AL$500,ROW()-2),'Master List'!$AL$3:$AL$500,0),"")</f>
        <v/>
      </c>
    </row>
    <row r="122" ht="18" customHeight="1">
      <c r="A122" s="15">
        <f>IFERROR(INDEX('Master List'!$V$3:$V$500,$I122),"")</f>
        <v/>
      </c>
      <c r="B122" s="16">
        <f>IFERROR(INDEX('Master List'!$B$3:$B$500,$I122),"")</f>
        <v/>
      </c>
      <c r="C122" s="17">
        <f>IFERROR(INDEX('Master List'!$A$3:$A$500,$I122),"")</f>
        <v/>
      </c>
      <c r="D122" s="17">
        <f>IFERROR(INDEX('Master List'!$G$3:$G$500,$I122),"")</f>
        <v/>
      </c>
      <c r="E122" s="17">
        <f>IFERROR(INDEX('Master List'!$W$3:$W$500,$I122),"")</f>
        <v/>
      </c>
      <c r="F122" s="17">
        <f>IFERROR(INDEX('Master List'!$F$3:$F$500,$I122),"")</f>
        <v/>
      </c>
      <c r="G122" s="16">
        <f>IFERROR(INDEX('Master List'!$AF$3:$AF$500,$I122),"")</f>
        <v/>
      </c>
      <c r="I122" s="18">
        <f>IFERROR(MATCH(SMALL('Master List'!$AL$3:$AL$500,ROW()-2),'Master List'!$AL$3:$AL$500,0),"")</f>
        <v/>
      </c>
    </row>
  </sheetData>
  <autoFilter ref="A2:G122"/>
  <mergeCells count="1">
    <mergeCell ref="A1:G1"/>
  </mergeCells>
  <conditionalFormatting sqref="F3:F12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A3:A122">
    <cfRule type="expression" priority="10" dxfId="5">
      <formula>AND($A3&lt;&gt;"",$A3&lt;TODAY())</formula>
    </cfRule>
    <cfRule type="expression" priority="11" dxfId="1">
      <formula>AND($A3&lt;&gt;"",$A3&gt;=TODAY(),$A3&lt;=TODAY()+14)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6FA392"/>
    <outlinePr summaryBelow="1" summaryRight="1"/>
    <pageSetUpPr fitToPage="1"/>
  </sheetPr>
  <dimension ref="A1:AL2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44" customWidth="1" min="37" max="37"/>
    <col hidden="1" width="13" customWidth="1" min="38" max="38"/>
  </cols>
  <sheetData>
    <row r="1" ht="34" customHeight="1">
      <c r="A1" s="1" t="inlineStr">
        <is>
          <t>Master List   (read only, auto updates from the type tabs)</t>
        </is>
      </c>
    </row>
    <row r="2" ht="50" customHeight="1">
      <c r="A2" s="8" t="inlineStr">
        <is>
          <t>Partnership Type</t>
        </is>
      </c>
      <c r="B2" s="8" t="inlineStr">
        <is>
          <t>Partner Name</t>
        </is>
      </c>
      <c r="C2" s="8" t="inlineStr">
        <is>
          <t>City</t>
        </is>
      </c>
      <c r="D2" s="8" t="inlineStr">
        <is>
          <t>Neighbourhood</t>
        </is>
      </c>
      <c r="E2" s="8" t="inlineStr">
        <is>
          <t>Priority</t>
        </is>
      </c>
      <c r="F2" s="8" t="inlineStr">
        <is>
          <t>Status</t>
        </is>
      </c>
      <c r="G2" s="8" t="inlineStr">
        <is>
          <t>Primary Owner</t>
        </is>
      </c>
      <c r="H2" s="8" t="inlineStr">
        <is>
          <t>Contact Name</t>
        </is>
      </c>
      <c r="I2" s="8" t="inlineStr">
        <is>
          <t>Role</t>
        </is>
      </c>
      <c r="J2" s="8" t="inlineStr">
        <is>
          <t>Contact Email</t>
        </is>
      </c>
      <c r="K2" s="8" t="inlineStr">
        <is>
          <t>Contact Phone</t>
        </is>
      </c>
      <c r="L2" s="8" t="inlineStr">
        <is>
          <t>Instagram or Website</t>
        </is>
      </c>
      <c r="M2" s="8" t="inlineStr">
        <is>
          <t>Audience Size</t>
        </is>
      </c>
      <c r="N2" s="8" t="inlineStr">
        <is>
          <t>Audience Source</t>
        </is>
      </c>
      <c r="O2" s="8" t="inlineStr">
        <is>
          <t>Source</t>
        </is>
      </c>
      <c r="P2" s="8" t="inlineStr">
        <is>
          <t>Warm</t>
        </is>
      </c>
      <c r="Q2" s="8" t="inlineStr">
        <is>
          <t>Last Contacted</t>
        </is>
      </c>
      <c r="R2" s="8" t="inlineStr">
        <is>
          <t>Days Since Activity</t>
        </is>
      </c>
      <c r="S2" s="8" t="inlineStr">
        <is>
          <t>Next Action</t>
        </is>
      </c>
      <c r="T2" s="8" t="inlineStr">
        <is>
          <t>Next Action Date</t>
        </is>
      </c>
      <c r="U2" s="8" t="inlineStr">
        <is>
          <t>Activation Type</t>
        </is>
      </c>
      <c r="V2" s="8" t="inlineStr">
        <is>
          <t>Activation Date</t>
        </is>
      </c>
      <c r="W2" s="8" t="inlineStr">
        <is>
          <t>Cases Committed</t>
        </is>
      </c>
      <c r="X2" s="8" t="inlineStr">
        <is>
          <t>Cases Delivered</t>
        </is>
      </c>
      <c r="Y2" s="8" t="inlineStr">
        <is>
          <t>Cost ($)</t>
        </is>
      </c>
      <c r="Z2" s="8" t="inlineStr">
        <is>
          <t>Cost Per Can</t>
        </is>
      </c>
      <c r="AA2" s="8" t="inlineStr">
        <is>
          <t>Contra Value ($)</t>
        </is>
      </c>
      <c r="AB2" s="8" t="inlineStr">
        <is>
          <t>Deliverables Promised</t>
        </is>
      </c>
      <c r="AC2" s="8" t="inlineStr">
        <is>
          <t>Deliverables Received</t>
        </is>
      </c>
      <c r="AD2" s="8" t="inlineStr">
        <is>
          <t>What They Want</t>
        </is>
      </c>
      <c r="AE2" s="8" t="inlineStr">
        <is>
          <t>Risks</t>
        </is>
      </c>
      <c r="AF2" s="8" t="inlineStr">
        <is>
          <t>Nearby Retail Doors</t>
        </is>
      </c>
      <c r="AG2" s="8" t="inlineStr">
        <is>
          <t>In BC Tracker?</t>
        </is>
      </c>
      <c r="AH2" s="8" t="inlineStr">
        <is>
          <t>Raspberry 4338</t>
        </is>
      </c>
      <c r="AI2" s="8" t="inlineStr">
        <is>
          <t>Lemon Lime 4336</t>
        </is>
      </c>
      <c r="AJ2" s="8" t="inlineStr">
        <is>
          <t>Pineapple Passion Fruit 4340</t>
        </is>
      </c>
      <c r="AK2" s="8" t="inlineStr">
        <is>
          <t>Notes</t>
        </is>
      </c>
    </row>
    <row r="3" ht="18" customHeight="1">
      <c r="A3" s="16">
        <f>IF('Run Clubs'!B3="","","Run Clubs")</f>
        <v/>
      </c>
      <c r="B3" s="16">
        <f>IF('Run Clubs'!B3="","",'Run Clubs'!B3)</f>
        <v/>
      </c>
      <c r="C3" s="17">
        <f>IF('Run Clubs'!D3="","",'Run Clubs'!D3)</f>
        <v/>
      </c>
      <c r="D3" s="16">
        <f>IF('Run Clubs'!E3="","",'Run Clubs'!E3)</f>
        <v/>
      </c>
      <c r="E3" s="17">
        <f>IF('Run Clubs'!F3="","",'Run Clubs'!F3)</f>
        <v/>
      </c>
      <c r="F3" s="17">
        <f>IF('Run Clubs'!G3="","",'Run Clubs'!G3)</f>
        <v/>
      </c>
      <c r="G3" s="17">
        <f>IF('Run Clubs'!H3="","",'Run Clubs'!H3)</f>
        <v/>
      </c>
      <c r="H3" s="16">
        <f>IF('Run Clubs'!I3="","",'Run Clubs'!I3)</f>
        <v/>
      </c>
      <c r="I3" s="17">
        <f>IF('Run Clubs'!J3="","",'Run Clubs'!J3)</f>
        <v/>
      </c>
      <c r="J3" s="16">
        <f>IF('Run Clubs'!K3="","",'Run Clubs'!K3)</f>
        <v/>
      </c>
      <c r="K3" s="17">
        <f>IF('Run Clubs'!L3="","",'Run Clubs'!L3)</f>
        <v/>
      </c>
      <c r="L3" s="16">
        <f>IF('Run Clubs'!M3="","",'Run Clubs'!M3)</f>
        <v/>
      </c>
      <c r="M3" s="17">
        <f>IF('Run Clubs'!N3="","",'Run Clubs'!N3)</f>
        <v/>
      </c>
      <c r="N3" s="16">
        <f>IF('Run Clubs'!O3="","",'Run Clubs'!O3)</f>
        <v/>
      </c>
      <c r="O3" s="17">
        <f>IF('Run Clubs'!P3="","",'Run Clubs'!P3)</f>
        <v/>
      </c>
      <c r="P3" s="17">
        <f>IF('Run Clubs'!Q3="","",'Run Clubs'!Q3)</f>
        <v/>
      </c>
      <c r="Q3" s="15">
        <f>IF('Run Clubs'!R3="","",'Run Clubs'!R3)</f>
        <v/>
      </c>
      <c r="R3" s="19">
        <f>IF('Run Clubs'!S3="","",'Run Clubs'!S3)</f>
        <v/>
      </c>
      <c r="S3" s="16">
        <f>IF('Run Clubs'!T3="","",'Run Clubs'!T3)</f>
        <v/>
      </c>
      <c r="T3" s="15">
        <f>IF('Run Clubs'!U3="","",'Run Clubs'!U3)</f>
        <v/>
      </c>
      <c r="U3" s="17">
        <f>IF('Run Clubs'!V3="","",'Run Clubs'!V3)</f>
        <v/>
      </c>
      <c r="V3" s="15">
        <f>IF('Run Clubs'!W3="","",'Run Clubs'!W3)</f>
        <v/>
      </c>
      <c r="W3" s="17">
        <f>IF('Run Clubs'!X3="","",'Run Clubs'!X3)</f>
        <v/>
      </c>
      <c r="X3" s="17">
        <f>IF('Run Clubs'!Y3="","",'Run Clubs'!Y3)</f>
        <v/>
      </c>
      <c r="Y3" s="20">
        <f>IF('Run Clubs'!Z3="","",'Run Clubs'!Z3)</f>
        <v/>
      </c>
      <c r="Z3" s="21">
        <f>IF('Run Clubs'!AA3="","",'Run Clubs'!AA3)</f>
        <v/>
      </c>
      <c r="AA3" s="20">
        <f>IF('Run Clubs'!AB3="","",'Run Clubs'!AB3)</f>
        <v/>
      </c>
      <c r="AB3" s="16">
        <f>IF('Run Clubs'!AC3="","",'Run Clubs'!AC3)</f>
        <v/>
      </c>
      <c r="AC3" s="16">
        <f>IF('Run Clubs'!AD3="","",'Run Clubs'!AD3)</f>
        <v/>
      </c>
      <c r="AD3" s="16">
        <f>IF('Run Clubs'!AE3="","",'Run Clubs'!AE3)</f>
        <v/>
      </c>
      <c r="AE3" s="16">
        <f>IF('Run Clubs'!AF3="","",'Run Clubs'!AF3)</f>
        <v/>
      </c>
      <c r="AF3" s="16">
        <f>IF('Run Clubs'!AG3="","",'Run Clubs'!AG3)</f>
        <v/>
      </c>
      <c r="AG3" s="17">
        <f>IF('Run Clubs'!AH3="","",'Run Clubs'!AH3)</f>
        <v/>
      </c>
      <c r="AH3" s="17">
        <f>IF('Run Clubs'!AI3="","",'Run Clubs'!AI3)</f>
        <v/>
      </c>
      <c r="AI3" s="17">
        <f>IF('Run Clubs'!AJ3="","",'Run Clubs'!AJ3)</f>
        <v/>
      </c>
      <c r="AJ3" s="17">
        <f>IF('Run Clubs'!AK3="","",'Run Clubs'!AK3)</f>
        <v/>
      </c>
      <c r="AK3" s="16">
        <f>IF('Run Clubs'!AL3="","",'Run Clubs'!AL3)</f>
        <v/>
      </c>
      <c r="AL3" s="18">
        <f>IF(V3="","",V3+ROW()/100000)</f>
        <v/>
      </c>
    </row>
    <row r="4" ht="18" customHeight="1">
      <c r="A4" s="22">
        <f>IF('Run Clubs'!B4="","","Run Clubs")</f>
        <v/>
      </c>
      <c r="B4" s="22">
        <f>IF('Run Clubs'!B4="","",'Run Clubs'!B4)</f>
        <v/>
      </c>
      <c r="C4" s="23">
        <f>IF('Run Clubs'!D4="","",'Run Clubs'!D4)</f>
        <v/>
      </c>
      <c r="D4" s="22">
        <f>IF('Run Clubs'!E4="","",'Run Clubs'!E4)</f>
        <v/>
      </c>
      <c r="E4" s="23">
        <f>IF('Run Clubs'!F4="","",'Run Clubs'!F4)</f>
        <v/>
      </c>
      <c r="F4" s="23">
        <f>IF('Run Clubs'!G4="","",'Run Clubs'!G4)</f>
        <v/>
      </c>
      <c r="G4" s="23">
        <f>IF('Run Clubs'!H4="","",'Run Clubs'!H4)</f>
        <v/>
      </c>
      <c r="H4" s="22">
        <f>IF('Run Clubs'!I4="","",'Run Clubs'!I4)</f>
        <v/>
      </c>
      <c r="I4" s="23">
        <f>IF('Run Clubs'!J4="","",'Run Clubs'!J4)</f>
        <v/>
      </c>
      <c r="J4" s="22">
        <f>IF('Run Clubs'!K4="","",'Run Clubs'!K4)</f>
        <v/>
      </c>
      <c r="K4" s="23">
        <f>IF('Run Clubs'!L4="","",'Run Clubs'!L4)</f>
        <v/>
      </c>
      <c r="L4" s="22">
        <f>IF('Run Clubs'!M4="","",'Run Clubs'!M4)</f>
        <v/>
      </c>
      <c r="M4" s="23">
        <f>IF('Run Clubs'!N4="","",'Run Clubs'!N4)</f>
        <v/>
      </c>
      <c r="N4" s="22">
        <f>IF('Run Clubs'!O4="","",'Run Clubs'!O4)</f>
        <v/>
      </c>
      <c r="O4" s="23">
        <f>IF('Run Clubs'!P4="","",'Run Clubs'!P4)</f>
        <v/>
      </c>
      <c r="P4" s="23">
        <f>IF('Run Clubs'!Q4="","",'Run Clubs'!Q4)</f>
        <v/>
      </c>
      <c r="Q4" s="24">
        <f>IF('Run Clubs'!R4="","",'Run Clubs'!R4)</f>
        <v/>
      </c>
      <c r="R4" s="25">
        <f>IF('Run Clubs'!S4="","",'Run Clubs'!S4)</f>
        <v/>
      </c>
      <c r="S4" s="22">
        <f>IF('Run Clubs'!T4="","",'Run Clubs'!T4)</f>
        <v/>
      </c>
      <c r="T4" s="24">
        <f>IF('Run Clubs'!U4="","",'Run Clubs'!U4)</f>
        <v/>
      </c>
      <c r="U4" s="23">
        <f>IF('Run Clubs'!V4="","",'Run Clubs'!V4)</f>
        <v/>
      </c>
      <c r="V4" s="24">
        <f>IF('Run Clubs'!W4="","",'Run Clubs'!W4)</f>
        <v/>
      </c>
      <c r="W4" s="23">
        <f>IF('Run Clubs'!X4="","",'Run Clubs'!X4)</f>
        <v/>
      </c>
      <c r="X4" s="23">
        <f>IF('Run Clubs'!Y4="","",'Run Clubs'!Y4)</f>
        <v/>
      </c>
      <c r="Y4" s="26">
        <f>IF('Run Clubs'!Z4="","",'Run Clubs'!Z4)</f>
        <v/>
      </c>
      <c r="Z4" s="27">
        <f>IF('Run Clubs'!AA4="","",'Run Clubs'!AA4)</f>
        <v/>
      </c>
      <c r="AA4" s="26">
        <f>IF('Run Clubs'!AB4="","",'Run Clubs'!AB4)</f>
        <v/>
      </c>
      <c r="AB4" s="22">
        <f>IF('Run Clubs'!AC4="","",'Run Clubs'!AC4)</f>
        <v/>
      </c>
      <c r="AC4" s="22">
        <f>IF('Run Clubs'!AD4="","",'Run Clubs'!AD4)</f>
        <v/>
      </c>
      <c r="AD4" s="22">
        <f>IF('Run Clubs'!AE4="","",'Run Clubs'!AE4)</f>
        <v/>
      </c>
      <c r="AE4" s="22">
        <f>IF('Run Clubs'!AF4="","",'Run Clubs'!AF4)</f>
        <v/>
      </c>
      <c r="AF4" s="22">
        <f>IF('Run Clubs'!AG4="","",'Run Clubs'!AG4)</f>
        <v/>
      </c>
      <c r="AG4" s="23">
        <f>IF('Run Clubs'!AH4="","",'Run Clubs'!AH4)</f>
        <v/>
      </c>
      <c r="AH4" s="23">
        <f>IF('Run Clubs'!AI4="","",'Run Clubs'!AI4)</f>
        <v/>
      </c>
      <c r="AI4" s="23">
        <f>IF('Run Clubs'!AJ4="","",'Run Clubs'!AJ4)</f>
        <v/>
      </c>
      <c r="AJ4" s="23">
        <f>IF('Run Clubs'!AK4="","",'Run Clubs'!AK4)</f>
        <v/>
      </c>
      <c r="AK4" s="22">
        <f>IF('Run Clubs'!AL4="","",'Run Clubs'!AL4)</f>
        <v/>
      </c>
      <c r="AL4" s="18">
        <f>IF(V4="","",V4+ROW()/100000)</f>
        <v/>
      </c>
    </row>
    <row r="5" ht="18" customHeight="1">
      <c r="A5" s="16">
        <f>IF('Run Clubs'!B5="","","Run Clubs")</f>
        <v/>
      </c>
      <c r="B5" s="16">
        <f>IF('Run Clubs'!B5="","",'Run Clubs'!B5)</f>
        <v/>
      </c>
      <c r="C5" s="17">
        <f>IF('Run Clubs'!D5="","",'Run Clubs'!D5)</f>
        <v/>
      </c>
      <c r="D5" s="16">
        <f>IF('Run Clubs'!E5="","",'Run Clubs'!E5)</f>
        <v/>
      </c>
      <c r="E5" s="17">
        <f>IF('Run Clubs'!F5="","",'Run Clubs'!F5)</f>
        <v/>
      </c>
      <c r="F5" s="17">
        <f>IF('Run Clubs'!G5="","",'Run Clubs'!G5)</f>
        <v/>
      </c>
      <c r="G5" s="17">
        <f>IF('Run Clubs'!H5="","",'Run Clubs'!H5)</f>
        <v/>
      </c>
      <c r="H5" s="16">
        <f>IF('Run Clubs'!I5="","",'Run Clubs'!I5)</f>
        <v/>
      </c>
      <c r="I5" s="17">
        <f>IF('Run Clubs'!J5="","",'Run Clubs'!J5)</f>
        <v/>
      </c>
      <c r="J5" s="16">
        <f>IF('Run Clubs'!K5="","",'Run Clubs'!K5)</f>
        <v/>
      </c>
      <c r="K5" s="17">
        <f>IF('Run Clubs'!L5="","",'Run Clubs'!L5)</f>
        <v/>
      </c>
      <c r="L5" s="16">
        <f>IF('Run Clubs'!M5="","",'Run Clubs'!M5)</f>
        <v/>
      </c>
      <c r="M5" s="17">
        <f>IF('Run Clubs'!N5="","",'Run Clubs'!N5)</f>
        <v/>
      </c>
      <c r="N5" s="16">
        <f>IF('Run Clubs'!O5="","",'Run Clubs'!O5)</f>
        <v/>
      </c>
      <c r="O5" s="17">
        <f>IF('Run Clubs'!P5="","",'Run Clubs'!P5)</f>
        <v/>
      </c>
      <c r="P5" s="17">
        <f>IF('Run Clubs'!Q5="","",'Run Clubs'!Q5)</f>
        <v/>
      </c>
      <c r="Q5" s="15">
        <f>IF('Run Clubs'!R5="","",'Run Clubs'!R5)</f>
        <v/>
      </c>
      <c r="R5" s="19">
        <f>IF('Run Clubs'!S5="","",'Run Clubs'!S5)</f>
        <v/>
      </c>
      <c r="S5" s="16">
        <f>IF('Run Clubs'!T5="","",'Run Clubs'!T5)</f>
        <v/>
      </c>
      <c r="T5" s="15">
        <f>IF('Run Clubs'!U5="","",'Run Clubs'!U5)</f>
        <v/>
      </c>
      <c r="U5" s="17">
        <f>IF('Run Clubs'!V5="","",'Run Clubs'!V5)</f>
        <v/>
      </c>
      <c r="V5" s="15">
        <f>IF('Run Clubs'!W5="","",'Run Clubs'!W5)</f>
        <v/>
      </c>
      <c r="W5" s="17">
        <f>IF('Run Clubs'!X5="","",'Run Clubs'!X5)</f>
        <v/>
      </c>
      <c r="X5" s="17">
        <f>IF('Run Clubs'!Y5="","",'Run Clubs'!Y5)</f>
        <v/>
      </c>
      <c r="Y5" s="20">
        <f>IF('Run Clubs'!Z5="","",'Run Clubs'!Z5)</f>
        <v/>
      </c>
      <c r="Z5" s="21">
        <f>IF('Run Clubs'!AA5="","",'Run Clubs'!AA5)</f>
        <v/>
      </c>
      <c r="AA5" s="20">
        <f>IF('Run Clubs'!AB5="","",'Run Clubs'!AB5)</f>
        <v/>
      </c>
      <c r="AB5" s="16">
        <f>IF('Run Clubs'!AC5="","",'Run Clubs'!AC5)</f>
        <v/>
      </c>
      <c r="AC5" s="16">
        <f>IF('Run Clubs'!AD5="","",'Run Clubs'!AD5)</f>
        <v/>
      </c>
      <c r="AD5" s="16">
        <f>IF('Run Clubs'!AE5="","",'Run Clubs'!AE5)</f>
        <v/>
      </c>
      <c r="AE5" s="16">
        <f>IF('Run Clubs'!AF5="","",'Run Clubs'!AF5)</f>
        <v/>
      </c>
      <c r="AF5" s="16">
        <f>IF('Run Clubs'!AG5="","",'Run Clubs'!AG5)</f>
        <v/>
      </c>
      <c r="AG5" s="17">
        <f>IF('Run Clubs'!AH5="","",'Run Clubs'!AH5)</f>
        <v/>
      </c>
      <c r="AH5" s="17">
        <f>IF('Run Clubs'!AI5="","",'Run Clubs'!AI5)</f>
        <v/>
      </c>
      <c r="AI5" s="17">
        <f>IF('Run Clubs'!AJ5="","",'Run Clubs'!AJ5)</f>
        <v/>
      </c>
      <c r="AJ5" s="17">
        <f>IF('Run Clubs'!AK5="","",'Run Clubs'!AK5)</f>
        <v/>
      </c>
      <c r="AK5" s="16">
        <f>IF('Run Clubs'!AL5="","",'Run Clubs'!AL5)</f>
        <v/>
      </c>
      <c r="AL5" s="18">
        <f>IF(V5="","",V5+ROW()/100000)</f>
        <v/>
      </c>
    </row>
    <row r="6" ht="18" customHeight="1">
      <c r="A6" s="22">
        <f>IF('Run Clubs'!B6="","","Run Clubs")</f>
        <v/>
      </c>
      <c r="B6" s="22">
        <f>IF('Run Clubs'!B6="","",'Run Clubs'!B6)</f>
        <v/>
      </c>
      <c r="C6" s="23">
        <f>IF('Run Clubs'!D6="","",'Run Clubs'!D6)</f>
        <v/>
      </c>
      <c r="D6" s="22">
        <f>IF('Run Clubs'!E6="","",'Run Clubs'!E6)</f>
        <v/>
      </c>
      <c r="E6" s="23">
        <f>IF('Run Clubs'!F6="","",'Run Clubs'!F6)</f>
        <v/>
      </c>
      <c r="F6" s="23">
        <f>IF('Run Clubs'!G6="","",'Run Clubs'!G6)</f>
        <v/>
      </c>
      <c r="G6" s="23">
        <f>IF('Run Clubs'!H6="","",'Run Clubs'!H6)</f>
        <v/>
      </c>
      <c r="H6" s="22">
        <f>IF('Run Clubs'!I6="","",'Run Clubs'!I6)</f>
        <v/>
      </c>
      <c r="I6" s="23">
        <f>IF('Run Clubs'!J6="","",'Run Clubs'!J6)</f>
        <v/>
      </c>
      <c r="J6" s="22">
        <f>IF('Run Clubs'!K6="","",'Run Clubs'!K6)</f>
        <v/>
      </c>
      <c r="K6" s="23">
        <f>IF('Run Clubs'!L6="","",'Run Clubs'!L6)</f>
        <v/>
      </c>
      <c r="L6" s="22">
        <f>IF('Run Clubs'!M6="","",'Run Clubs'!M6)</f>
        <v/>
      </c>
      <c r="M6" s="23">
        <f>IF('Run Clubs'!N6="","",'Run Clubs'!N6)</f>
        <v/>
      </c>
      <c r="N6" s="22">
        <f>IF('Run Clubs'!O6="","",'Run Clubs'!O6)</f>
        <v/>
      </c>
      <c r="O6" s="23">
        <f>IF('Run Clubs'!P6="","",'Run Clubs'!P6)</f>
        <v/>
      </c>
      <c r="P6" s="23">
        <f>IF('Run Clubs'!Q6="","",'Run Clubs'!Q6)</f>
        <v/>
      </c>
      <c r="Q6" s="24">
        <f>IF('Run Clubs'!R6="","",'Run Clubs'!R6)</f>
        <v/>
      </c>
      <c r="R6" s="25">
        <f>IF('Run Clubs'!S6="","",'Run Clubs'!S6)</f>
        <v/>
      </c>
      <c r="S6" s="22">
        <f>IF('Run Clubs'!T6="","",'Run Clubs'!T6)</f>
        <v/>
      </c>
      <c r="T6" s="24">
        <f>IF('Run Clubs'!U6="","",'Run Clubs'!U6)</f>
        <v/>
      </c>
      <c r="U6" s="23">
        <f>IF('Run Clubs'!V6="","",'Run Clubs'!V6)</f>
        <v/>
      </c>
      <c r="V6" s="24">
        <f>IF('Run Clubs'!W6="","",'Run Clubs'!W6)</f>
        <v/>
      </c>
      <c r="W6" s="23">
        <f>IF('Run Clubs'!X6="","",'Run Clubs'!X6)</f>
        <v/>
      </c>
      <c r="X6" s="23">
        <f>IF('Run Clubs'!Y6="","",'Run Clubs'!Y6)</f>
        <v/>
      </c>
      <c r="Y6" s="26">
        <f>IF('Run Clubs'!Z6="","",'Run Clubs'!Z6)</f>
        <v/>
      </c>
      <c r="Z6" s="27">
        <f>IF('Run Clubs'!AA6="","",'Run Clubs'!AA6)</f>
        <v/>
      </c>
      <c r="AA6" s="26">
        <f>IF('Run Clubs'!AB6="","",'Run Clubs'!AB6)</f>
        <v/>
      </c>
      <c r="AB6" s="22">
        <f>IF('Run Clubs'!AC6="","",'Run Clubs'!AC6)</f>
        <v/>
      </c>
      <c r="AC6" s="22">
        <f>IF('Run Clubs'!AD6="","",'Run Clubs'!AD6)</f>
        <v/>
      </c>
      <c r="AD6" s="22">
        <f>IF('Run Clubs'!AE6="","",'Run Clubs'!AE6)</f>
        <v/>
      </c>
      <c r="AE6" s="22">
        <f>IF('Run Clubs'!AF6="","",'Run Clubs'!AF6)</f>
        <v/>
      </c>
      <c r="AF6" s="22">
        <f>IF('Run Clubs'!AG6="","",'Run Clubs'!AG6)</f>
        <v/>
      </c>
      <c r="AG6" s="23">
        <f>IF('Run Clubs'!AH6="","",'Run Clubs'!AH6)</f>
        <v/>
      </c>
      <c r="AH6" s="23">
        <f>IF('Run Clubs'!AI6="","",'Run Clubs'!AI6)</f>
        <v/>
      </c>
      <c r="AI6" s="23">
        <f>IF('Run Clubs'!AJ6="","",'Run Clubs'!AJ6)</f>
        <v/>
      </c>
      <c r="AJ6" s="23">
        <f>IF('Run Clubs'!AK6="","",'Run Clubs'!AK6)</f>
        <v/>
      </c>
      <c r="AK6" s="22">
        <f>IF('Run Clubs'!AL6="","",'Run Clubs'!AL6)</f>
        <v/>
      </c>
      <c r="AL6" s="18">
        <f>IF(V6="","",V6+ROW()/100000)</f>
        <v/>
      </c>
    </row>
    <row r="7" ht="18" customHeight="1">
      <c r="A7" s="16">
        <f>IF('Run Clubs'!B7="","","Run Clubs")</f>
        <v/>
      </c>
      <c r="B7" s="16">
        <f>IF('Run Clubs'!B7="","",'Run Clubs'!B7)</f>
        <v/>
      </c>
      <c r="C7" s="17">
        <f>IF('Run Clubs'!D7="","",'Run Clubs'!D7)</f>
        <v/>
      </c>
      <c r="D7" s="16">
        <f>IF('Run Clubs'!E7="","",'Run Clubs'!E7)</f>
        <v/>
      </c>
      <c r="E7" s="17">
        <f>IF('Run Clubs'!F7="","",'Run Clubs'!F7)</f>
        <v/>
      </c>
      <c r="F7" s="17">
        <f>IF('Run Clubs'!G7="","",'Run Clubs'!G7)</f>
        <v/>
      </c>
      <c r="G7" s="17">
        <f>IF('Run Clubs'!H7="","",'Run Clubs'!H7)</f>
        <v/>
      </c>
      <c r="H7" s="16">
        <f>IF('Run Clubs'!I7="","",'Run Clubs'!I7)</f>
        <v/>
      </c>
      <c r="I7" s="17">
        <f>IF('Run Clubs'!J7="","",'Run Clubs'!J7)</f>
        <v/>
      </c>
      <c r="J7" s="16">
        <f>IF('Run Clubs'!K7="","",'Run Clubs'!K7)</f>
        <v/>
      </c>
      <c r="K7" s="17">
        <f>IF('Run Clubs'!L7="","",'Run Clubs'!L7)</f>
        <v/>
      </c>
      <c r="L7" s="16">
        <f>IF('Run Clubs'!M7="","",'Run Clubs'!M7)</f>
        <v/>
      </c>
      <c r="M7" s="17">
        <f>IF('Run Clubs'!N7="","",'Run Clubs'!N7)</f>
        <v/>
      </c>
      <c r="N7" s="16">
        <f>IF('Run Clubs'!O7="","",'Run Clubs'!O7)</f>
        <v/>
      </c>
      <c r="O7" s="17">
        <f>IF('Run Clubs'!P7="","",'Run Clubs'!P7)</f>
        <v/>
      </c>
      <c r="P7" s="17">
        <f>IF('Run Clubs'!Q7="","",'Run Clubs'!Q7)</f>
        <v/>
      </c>
      <c r="Q7" s="15">
        <f>IF('Run Clubs'!R7="","",'Run Clubs'!R7)</f>
        <v/>
      </c>
      <c r="R7" s="19">
        <f>IF('Run Clubs'!S7="","",'Run Clubs'!S7)</f>
        <v/>
      </c>
      <c r="S7" s="16">
        <f>IF('Run Clubs'!T7="","",'Run Clubs'!T7)</f>
        <v/>
      </c>
      <c r="T7" s="15">
        <f>IF('Run Clubs'!U7="","",'Run Clubs'!U7)</f>
        <v/>
      </c>
      <c r="U7" s="17">
        <f>IF('Run Clubs'!V7="","",'Run Clubs'!V7)</f>
        <v/>
      </c>
      <c r="V7" s="15">
        <f>IF('Run Clubs'!W7="","",'Run Clubs'!W7)</f>
        <v/>
      </c>
      <c r="W7" s="17">
        <f>IF('Run Clubs'!X7="","",'Run Clubs'!X7)</f>
        <v/>
      </c>
      <c r="X7" s="17">
        <f>IF('Run Clubs'!Y7="","",'Run Clubs'!Y7)</f>
        <v/>
      </c>
      <c r="Y7" s="20">
        <f>IF('Run Clubs'!Z7="","",'Run Clubs'!Z7)</f>
        <v/>
      </c>
      <c r="Z7" s="21">
        <f>IF('Run Clubs'!AA7="","",'Run Clubs'!AA7)</f>
        <v/>
      </c>
      <c r="AA7" s="20">
        <f>IF('Run Clubs'!AB7="","",'Run Clubs'!AB7)</f>
        <v/>
      </c>
      <c r="AB7" s="16">
        <f>IF('Run Clubs'!AC7="","",'Run Clubs'!AC7)</f>
        <v/>
      </c>
      <c r="AC7" s="16">
        <f>IF('Run Clubs'!AD7="","",'Run Clubs'!AD7)</f>
        <v/>
      </c>
      <c r="AD7" s="16">
        <f>IF('Run Clubs'!AE7="","",'Run Clubs'!AE7)</f>
        <v/>
      </c>
      <c r="AE7" s="16">
        <f>IF('Run Clubs'!AF7="","",'Run Clubs'!AF7)</f>
        <v/>
      </c>
      <c r="AF7" s="16">
        <f>IF('Run Clubs'!AG7="","",'Run Clubs'!AG7)</f>
        <v/>
      </c>
      <c r="AG7" s="17">
        <f>IF('Run Clubs'!AH7="","",'Run Clubs'!AH7)</f>
        <v/>
      </c>
      <c r="AH7" s="17">
        <f>IF('Run Clubs'!AI7="","",'Run Clubs'!AI7)</f>
        <v/>
      </c>
      <c r="AI7" s="17">
        <f>IF('Run Clubs'!AJ7="","",'Run Clubs'!AJ7)</f>
        <v/>
      </c>
      <c r="AJ7" s="17">
        <f>IF('Run Clubs'!AK7="","",'Run Clubs'!AK7)</f>
        <v/>
      </c>
      <c r="AK7" s="16">
        <f>IF('Run Clubs'!AL7="","",'Run Clubs'!AL7)</f>
        <v/>
      </c>
      <c r="AL7" s="18">
        <f>IF(V7="","",V7+ROW()/100000)</f>
        <v/>
      </c>
    </row>
    <row r="8" ht="18" customHeight="1">
      <c r="A8" s="22">
        <f>IF('Run Clubs'!B8="","","Run Clubs")</f>
        <v/>
      </c>
      <c r="B8" s="22">
        <f>IF('Run Clubs'!B8="","",'Run Clubs'!B8)</f>
        <v/>
      </c>
      <c r="C8" s="23">
        <f>IF('Run Clubs'!D8="","",'Run Clubs'!D8)</f>
        <v/>
      </c>
      <c r="D8" s="22">
        <f>IF('Run Clubs'!E8="","",'Run Clubs'!E8)</f>
        <v/>
      </c>
      <c r="E8" s="23">
        <f>IF('Run Clubs'!F8="","",'Run Clubs'!F8)</f>
        <v/>
      </c>
      <c r="F8" s="23">
        <f>IF('Run Clubs'!G8="","",'Run Clubs'!G8)</f>
        <v/>
      </c>
      <c r="G8" s="23">
        <f>IF('Run Clubs'!H8="","",'Run Clubs'!H8)</f>
        <v/>
      </c>
      <c r="H8" s="22">
        <f>IF('Run Clubs'!I8="","",'Run Clubs'!I8)</f>
        <v/>
      </c>
      <c r="I8" s="23">
        <f>IF('Run Clubs'!J8="","",'Run Clubs'!J8)</f>
        <v/>
      </c>
      <c r="J8" s="22">
        <f>IF('Run Clubs'!K8="","",'Run Clubs'!K8)</f>
        <v/>
      </c>
      <c r="K8" s="23">
        <f>IF('Run Clubs'!L8="","",'Run Clubs'!L8)</f>
        <v/>
      </c>
      <c r="L8" s="22">
        <f>IF('Run Clubs'!M8="","",'Run Clubs'!M8)</f>
        <v/>
      </c>
      <c r="M8" s="23">
        <f>IF('Run Clubs'!N8="","",'Run Clubs'!N8)</f>
        <v/>
      </c>
      <c r="N8" s="22">
        <f>IF('Run Clubs'!O8="","",'Run Clubs'!O8)</f>
        <v/>
      </c>
      <c r="O8" s="23">
        <f>IF('Run Clubs'!P8="","",'Run Clubs'!P8)</f>
        <v/>
      </c>
      <c r="P8" s="23">
        <f>IF('Run Clubs'!Q8="","",'Run Clubs'!Q8)</f>
        <v/>
      </c>
      <c r="Q8" s="24">
        <f>IF('Run Clubs'!R8="","",'Run Clubs'!R8)</f>
        <v/>
      </c>
      <c r="R8" s="25">
        <f>IF('Run Clubs'!S8="","",'Run Clubs'!S8)</f>
        <v/>
      </c>
      <c r="S8" s="22">
        <f>IF('Run Clubs'!T8="","",'Run Clubs'!T8)</f>
        <v/>
      </c>
      <c r="T8" s="24">
        <f>IF('Run Clubs'!U8="","",'Run Clubs'!U8)</f>
        <v/>
      </c>
      <c r="U8" s="23">
        <f>IF('Run Clubs'!V8="","",'Run Clubs'!V8)</f>
        <v/>
      </c>
      <c r="V8" s="24">
        <f>IF('Run Clubs'!W8="","",'Run Clubs'!W8)</f>
        <v/>
      </c>
      <c r="W8" s="23">
        <f>IF('Run Clubs'!X8="","",'Run Clubs'!X8)</f>
        <v/>
      </c>
      <c r="X8" s="23">
        <f>IF('Run Clubs'!Y8="","",'Run Clubs'!Y8)</f>
        <v/>
      </c>
      <c r="Y8" s="26">
        <f>IF('Run Clubs'!Z8="","",'Run Clubs'!Z8)</f>
        <v/>
      </c>
      <c r="Z8" s="27">
        <f>IF('Run Clubs'!AA8="","",'Run Clubs'!AA8)</f>
        <v/>
      </c>
      <c r="AA8" s="26">
        <f>IF('Run Clubs'!AB8="","",'Run Clubs'!AB8)</f>
        <v/>
      </c>
      <c r="AB8" s="22">
        <f>IF('Run Clubs'!AC8="","",'Run Clubs'!AC8)</f>
        <v/>
      </c>
      <c r="AC8" s="22">
        <f>IF('Run Clubs'!AD8="","",'Run Clubs'!AD8)</f>
        <v/>
      </c>
      <c r="AD8" s="22">
        <f>IF('Run Clubs'!AE8="","",'Run Clubs'!AE8)</f>
        <v/>
      </c>
      <c r="AE8" s="22">
        <f>IF('Run Clubs'!AF8="","",'Run Clubs'!AF8)</f>
        <v/>
      </c>
      <c r="AF8" s="22">
        <f>IF('Run Clubs'!AG8="","",'Run Clubs'!AG8)</f>
        <v/>
      </c>
      <c r="AG8" s="23">
        <f>IF('Run Clubs'!AH8="","",'Run Clubs'!AH8)</f>
        <v/>
      </c>
      <c r="AH8" s="23">
        <f>IF('Run Clubs'!AI8="","",'Run Clubs'!AI8)</f>
        <v/>
      </c>
      <c r="AI8" s="23">
        <f>IF('Run Clubs'!AJ8="","",'Run Clubs'!AJ8)</f>
        <v/>
      </c>
      <c r="AJ8" s="23">
        <f>IF('Run Clubs'!AK8="","",'Run Clubs'!AK8)</f>
        <v/>
      </c>
      <c r="AK8" s="22">
        <f>IF('Run Clubs'!AL8="","",'Run Clubs'!AL8)</f>
        <v/>
      </c>
      <c r="AL8" s="18">
        <f>IF(V8="","",V8+ROW()/100000)</f>
        <v/>
      </c>
    </row>
    <row r="9" ht="18" customHeight="1">
      <c r="A9" s="16">
        <f>IF('Run Clubs'!B9="","","Run Clubs")</f>
        <v/>
      </c>
      <c r="B9" s="16">
        <f>IF('Run Clubs'!B9="","",'Run Clubs'!B9)</f>
        <v/>
      </c>
      <c r="C9" s="17">
        <f>IF('Run Clubs'!D9="","",'Run Clubs'!D9)</f>
        <v/>
      </c>
      <c r="D9" s="16">
        <f>IF('Run Clubs'!E9="","",'Run Clubs'!E9)</f>
        <v/>
      </c>
      <c r="E9" s="17">
        <f>IF('Run Clubs'!F9="","",'Run Clubs'!F9)</f>
        <v/>
      </c>
      <c r="F9" s="17">
        <f>IF('Run Clubs'!G9="","",'Run Clubs'!G9)</f>
        <v/>
      </c>
      <c r="G9" s="17">
        <f>IF('Run Clubs'!H9="","",'Run Clubs'!H9)</f>
        <v/>
      </c>
      <c r="H9" s="16">
        <f>IF('Run Clubs'!I9="","",'Run Clubs'!I9)</f>
        <v/>
      </c>
      <c r="I9" s="17">
        <f>IF('Run Clubs'!J9="","",'Run Clubs'!J9)</f>
        <v/>
      </c>
      <c r="J9" s="16">
        <f>IF('Run Clubs'!K9="","",'Run Clubs'!K9)</f>
        <v/>
      </c>
      <c r="K9" s="17">
        <f>IF('Run Clubs'!L9="","",'Run Clubs'!L9)</f>
        <v/>
      </c>
      <c r="L9" s="16">
        <f>IF('Run Clubs'!M9="","",'Run Clubs'!M9)</f>
        <v/>
      </c>
      <c r="M9" s="17">
        <f>IF('Run Clubs'!N9="","",'Run Clubs'!N9)</f>
        <v/>
      </c>
      <c r="N9" s="16">
        <f>IF('Run Clubs'!O9="","",'Run Clubs'!O9)</f>
        <v/>
      </c>
      <c r="O9" s="17">
        <f>IF('Run Clubs'!P9="","",'Run Clubs'!P9)</f>
        <v/>
      </c>
      <c r="P9" s="17">
        <f>IF('Run Clubs'!Q9="","",'Run Clubs'!Q9)</f>
        <v/>
      </c>
      <c r="Q9" s="15">
        <f>IF('Run Clubs'!R9="","",'Run Clubs'!R9)</f>
        <v/>
      </c>
      <c r="R9" s="19">
        <f>IF('Run Clubs'!S9="","",'Run Clubs'!S9)</f>
        <v/>
      </c>
      <c r="S9" s="16">
        <f>IF('Run Clubs'!T9="","",'Run Clubs'!T9)</f>
        <v/>
      </c>
      <c r="T9" s="15">
        <f>IF('Run Clubs'!U9="","",'Run Clubs'!U9)</f>
        <v/>
      </c>
      <c r="U9" s="17">
        <f>IF('Run Clubs'!V9="","",'Run Clubs'!V9)</f>
        <v/>
      </c>
      <c r="V9" s="15">
        <f>IF('Run Clubs'!W9="","",'Run Clubs'!W9)</f>
        <v/>
      </c>
      <c r="W9" s="17">
        <f>IF('Run Clubs'!X9="","",'Run Clubs'!X9)</f>
        <v/>
      </c>
      <c r="X9" s="17">
        <f>IF('Run Clubs'!Y9="","",'Run Clubs'!Y9)</f>
        <v/>
      </c>
      <c r="Y9" s="20">
        <f>IF('Run Clubs'!Z9="","",'Run Clubs'!Z9)</f>
        <v/>
      </c>
      <c r="Z9" s="21">
        <f>IF('Run Clubs'!AA9="","",'Run Clubs'!AA9)</f>
        <v/>
      </c>
      <c r="AA9" s="20">
        <f>IF('Run Clubs'!AB9="","",'Run Clubs'!AB9)</f>
        <v/>
      </c>
      <c r="AB9" s="16">
        <f>IF('Run Clubs'!AC9="","",'Run Clubs'!AC9)</f>
        <v/>
      </c>
      <c r="AC9" s="16">
        <f>IF('Run Clubs'!AD9="","",'Run Clubs'!AD9)</f>
        <v/>
      </c>
      <c r="AD9" s="16">
        <f>IF('Run Clubs'!AE9="","",'Run Clubs'!AE9)</f>
        <v/>
      </c>
      <c r="AE9" s="16">
        <f>IF('Run Clubs'!AF9="","",'Run Clubs'!AF9)</f>
        <v/>
      </c>
      <c r="AF9" s="16">
        <f>IF('Run Clubs'!AG9="","",'Run Clubs'!AG9)</f>
        <v/>
      </c>
      <c r="AG9" s="17">
        <f>IF('Run Clubs'!AH9="","",'Run Clubs'!AH9)</f>
        <v/>
      </c>
      <c r="AH9" s="17">
        <f>IF('Run Clubs'!AI9="","",'Run Clubs'!AI9)</f>
        <v/>
      </c>
      <c r="AI9" s="17">
        <f>IF('Run Clubs'!AJ9="","",'Run Clubs'!AJ9)</f>
        <v/>
      </c>
      <c r="AJ9" s="17">
        <f>IF('Run Clubs'!AK9="","",'Run Clubs'!AK9)</f>
        <v/>
      </c>
      <c r="AK9" s="16">
        <f>IF('Run Clubs'!AL9="","",'Run Clubs'!AL9)</f>
        <v/>
      </c>
      <c r="AL9" s="18">
        <f>IF(V9="","",V9+ROW()/100000)</f>
        <v/>
      </c>
    </row>
    <row r="10" ht="18" customHeight="1">
      <c r="A10" s="22">
        <f>IF('Run Clubs'!B10="","","Run Clubs")</f>
        <v/>
      </c>
      <c r="B10" s="22">
        <f>IF('Run Clubs'!B10="","",'Run Clubs'!B10)</f>
        <v/>
      </c>
      <c r="C10" s="23">
        <f>IF('Run Clubs'!D10="","",'Run Clubs'!D10)</f>
        <v/>
      </c>
      <c r="D10" s="22">
        <f>IF('Run Clubs'!E10="","",'Run Clubs'!E10)</f>
        <v/>
      </c>
      <c r="E10" s="23">
        <f>IF('Run Clubs'!F10="","",'Run Clubs'!F10)</f>
        <v/>
      </c>
      <c r="F10" s="23">
        <f>IF('Run Clubs'!G10="","",'Run Clubs'!G10)</f>
        <v/>
      </c>
      <c r="G10" s="23">
        <f>IF('Run Clubs'!H10="","",'Run Clubs'!H10)</f>
        <v/>
      </c>
      <c r="H10" s="22">
        <f>IF('Run Clubs'!I10="","",'Run Clubs'!I10)</f>
        <v/>
      </c>
      <c r="I10" s="23">
        <f>IF('Run Clubs'!J10="","",'Run Clubs'!J10)</f>
        <v/>
      </c>
      <c r="J10" s="22">
        <f>IF('Run Clubs'!K10="","",'Run Clubs'!K10)</f>
        <v/>
      </c>
      <c r="K10" s="23">
        <f>IF('Run Clubs'!L10="","",'Run Clubs'!L10)</f>
        <v/>
      </c>
      <c r="L10" s="22">
        <f>IF('Run Clubs'!M10="","",'Run Clubs'!M10)</f>
        <v/>
      </c>
      <c r="M10" s="23">
        <f>IF('Run Clubs'!N10="","",'Run Clubs'!N10)</f>
        <v/>
      </c>
      <c r="N10" s="22">
        <f>IF('Run Clubs'!O10="","",'Run Clubs'!O10)</f>
        <v/>
      </c>
      <c r="O10" s="23">
        <f>IF('Run Clubs'!P10="","",'Run Clubs'!P10)</f>
        <v/>
      </c>
      <c r="P10" s="23">
        <f>IF('Run Clubs'!Q10="","",'Run Clubs'!Q10)</f>
        <v/>
      </c>
      <c r="Q10" s="24">
        <f>IF('Run Clubs'!R10="","",'Run Clubs'!R10)</f>
        <v/>
      </c>
      <c r="R10" s="25">
        <f>IF('Run Clubs'!S10="","",'Run Clubs'!S10)</f>
        <v/>
      </c>
      <c r="S10" s="22">
        <f>IF('Run Clubs'!T10="","",'Run Clubs'!T10)</f>
        <v/>
      </c>
      <c r="T10" s="24">
        <f>IF('Run Clubs'!U10="","",'Run Clubs'!U10)</f>
        <v/>
      </c>
      <c r="U10" s="23">
        <f>IF('Run Clubs'!V10="","",'Run Clubs'!V10)</f>
        <v/>
      </c>
      <c r="V10" s="24">
        <f>IF('Run Clubs'!W10="","",'Run Clubs'!W10)</f>
        <v/>
      </c>
      <c r="W10" s="23">
        <f>IF('Run Clubs'!X10="","",'Run Clubs'!X10)</f>
        <v/>
      </c>
      <c r="X10" s="23">
        <f>IF('Run Clubs'!Y10="","",'Run Clubs'!Y10)</f>
        <v/>
      </c>
      <c r="Y10" s="26">
        <f>IF('Run Clubs'!Z10="","",'Run Clubs'!Z10)</f>
        <v/>
      </c>
      <c r="Z10" s="27">
        <f>IF('Run Clubs'!AA10="","",'Run Clubs'!AA10)</f>
        <v/>
      </c>
      <c r="AA10" s="26">
        <f>IF('Run Clubs'!AB10="","",'Run Clubs'!AB10)</f>
        <v/>
      </c>
      <c r="AB10" s="22">
        <f>IF('Run Clubs'!AC10="","",'Run Clubs'!AC10)</f>
        <v/>
      </c>
      <c r="AC10" s="22">
        <f>IF('Run Clubs'!AD10="","",'Run Clubs'!AD10)</f>
        <v/>
      </c>
      <c r="AD10" s="22">
        <f>IF('Run Clubs'!AE10="","",'Run Clubs'!AE10)</f>
        <v/>
      </c>
      <c r="AE10" s="22">
        <f>IF('Run Clubs'!AF10="","",'Run Clubs'!AF10)</f>
        <v/>
      </c>
      <c r="AF10" s="22">
        <f>IF('Run Clubs'!AG10="","",'Run Clubs'!AG10)</f>
        <v/>
      </c>
      <c r="AG10" s="23">
        <f>IF('Run Clubs'!AH10="","",'Run Clubs'!AH10)</f>
        <v/>
      </c>
      <c r="AH10" s="23">
        <f>IF('Run Clubs'!AI10="","",'Run Clubs'!AI10)</f>
        <v/>
      </c>
      <c r="AI10" s="23">
        <f>IF('Run Clubs'!AJ10="","",'Run Clubs'!AJ10)</f>
        <v/>
      </c>
      <c r="AJ10" s="23">
        <f>IF('Run Clubs'!AK10="","",'Run Clubs'!AK10)</f>
        <v/>
      </c>
      <c r="AK10" s="22">
        <f>IF('Run Clubs'!AL10="","",'Run Clubs'!AL10)</f>
        <v/>
      </c>
      <c r="AL10" s="18">
        <f>IF(V10="","",V10+ROW()/100000)</f>
        <v/>
      </c>
    </row>
    <row r="11" ht="18" customHeight="1">
      <c r="A11" s="16">
        <f>IF('Run Clubs'!B11="","","Run Clubs")</f>
        <v/>
      </c>
      <c r="B11" s="16">
        <f>IF('Run Clubs'!B11="","",'Run Clubs'!B11)</f>
        <v/>
      </c>
      <c r="C11" s="17">
        <f>IF('Run Clubs'!D11="","",'Run Clubs'!D11)</f>
        <v/>
      </c>
      <c r="D11" s="16">
        <f>IF('Run Clubs'!E11="","",'Run Clubs'!E11)</f>
        <v/>
      </c>
      <c r="E11" s="17">
        <f>IF('Run Clubs'!F11="","",'Run Clubs'!F11)</f>
        <v/>
      </c>
      <c r="F11" s="17">
        <f>IF('Run Clubs'!G11="","",'Run Clubs'!G11)</f>
        <v/>
      </c>
      <c r="G11" s="17">
        <f>IF('Run Clubs'!H11="","",'Run Clubs'!H11)</f>
        <v/>
      </c>
      <c r="H11" s="16">
        <f>IF('Run Clubs'!I11="","",'Run Clubs'!I11)</f>
        <v/>
      </c>
      <c r="I11" s="17">
        <f>IF('Run Clubs'!J11="","",'Run Clubs'!J11)</f>
        <v/>
      </c>
      <c r="J11" s="16">
        <f>IF('Run Clubs'!K11="","",'Run Clubs'!K11)</f>
        <v/>
      </c>
      <c r="K11" s="17">
        <f>IF('Run Clubs'!L11="","",'Run Clubs'!L11)</f>
        <v/>
      </c>
      <c r="L11" s="16">
        <f>IF('Run Clubs'!M11="","",'Run Clubs'!M11)</f>
        <v/>
      </c>
      <c r="M11" s="17">
        <f>IF('Run Clubs'!N11="","",'Run Clubs'!N11)</f>
        <v/>
      </c>
      <c r="N11" s="16">
        <f>IF('Run Clubs'!O11="","",'Run Clubs'!O11)</f>
        <v/>
      </c>
      <c r="O11" s="17">
        <f>IF('Run Clubs'!P11="","",'Run Clubs'!P11)</f>
        <v/>
      </c>
      <c r="P11" s="17">
        <f>IF('Run Clubs'!Q11="","",'Run Clubs'!Q11)</f>
        <v/>
      </c>
      <c r="Q11" s="15">
        <f>IF('Run Clubs'!R11="","",'Run Clubs'!R11)</f>
        <v/>
      </c>
      <c r="R11" s="19">
        <f>IF('Run Clubs'!S11="","",'Run Clubs'!S11)</f>
        <v/>
      </c>
      <c r="S11" s="16">
        <f>IF('Run Clubs'!T11="","",'Run Clubs'!T11)</f>
        <v/>
      </c>
      <c r="T11" s="15">
        <f>IF('Run Clubs'!U11="","",'Run Clubs'!U11)</f>
        <v/>
      </c>
      <c r="U11" s="17">
        <f>IF('Run Clubs'!V11="","",'Run Clubs'!V11)</f>
        <v/>
      </c>
      <c r="V11" s="15">
        <f>IF('Run Clubs'!W11="","",'Run Clubs'!W11)</f>
        <v/>
      </c>
      <c r="W11" s="17">
        <f>IF('Run Clubs'!X11="","",'Run Clubs'!X11)</f>
        <v/>
      </c>
      <c r="X11" s="17">
        <f>IF('Run Clubs'!Y11="","",'Run Clubs'!Y11)</f>
        <v/>
      </c>
      <c r="Y11" s="20">
        <f>IF('Run Clubs'!Z11="","",'Run Clubs'!Z11)</f>
        <v/>
      </c>
      <c r="Z11" s="21">
        <f>IF('Run Clubs'!AA11="","",'Run Clubs'!AA11)</f>
        <v/>
      </c>
      <c r="AA11" s="20">
        <f>IF('Run Clubs'!AB11="","",'Run Clubs'!AB11)</f>
        <v/>
      </c>
      <c r="AB11" s="16">
        <f>IF('Run Clubs'!AC11="","",'Run Clubs'!AC11)</f>
        <v/>
      </c>
      <c r="AC11" s="16">
        <f>IF('Run Clubs'!AD11="","",'Run Clubs'!AD11)</f>
        <v/>
      </c>
      <c r="AD11" s="16">
        <f>IF('Run Clubs'!AE11="","",'Run Clubs'!AE11)</f>
        <v/>
      </c>
      <c r="AE11" s="16">
        <f>IF('Run Clubs'!AF11="","",'Run Clubs'!AF11)</f>
        <v/>
      </c>
      <c r="AF11" s="16">
        <f>IF('Run Clubs'!AG11="","",'Run Clubs'!AG11)</f>
        <v/>
      </c>
      <c r="AG11" s="17">
        <f>IF('Run Clubs'!AH11="","",'Run Clubs'!AH11)</f>
        <v/>
      </c>
      <c r="AH11" s="17">
        <f>IF('Run Clubs'!AI11="","",'Run Clubs'!AI11)</f>
        <v/>
      </c>
      <c r="AI11" s="17">
        <f>IF('Run Clubs'!AJ11="","",'Run Clubs'!AJ11)</f>
        <v/>
      </c>
      <c r="AJ11" s="17">
        <f>IF('Run Clubs'!AK11="","",'Run Clubs'!AK11)</f>
        <v/>
      </c>
      <c r="AK11" s="16">
        <f>IF('Run Clubs'!AL11="","",'Run Clubs'!AL11)</f>
        <v/>
      </c>
      <c r="AL11" s="18">
        <f>IF(V11="","",V11+ROW()/100000)</f>
        <v/>
      </c>
    </row>
    <row r="12" ht="18" customHeight="1">
      <c r="A12" s="22">
        <f>IF('Run Clubs'!B12="","","Run Clubs")</f>
        <v/>
      </c>
      <c r="B12" s="22">
        <f>IF('Run Clubs'!B12="","",'Run Clubs'!B12)</f>
        <v/>
      </c>
      <c r="C12" s="23">
        <f>IF('Run Clubs'!D12="","",'Run Clubs'!D12)</f>
        <v/>
      </c>
      <c r="D12" s="22">
        <f>IF('Run Clubs'!E12="","",'Run Clubs'!E12)</f>
        <v/>
      </c>
      <c r="E12" s="23">
        <f>IF('Run Clubs'!F12="","",'Run Clubs'!F12)</f>
        <v/>
      </c>
      <c r="F12" s="23">
        <f>IF('Run Clubs'!G12="","",'Run Clubs'!G12)</f>
        <v/>
      </c>
      <c r="G12" s="23">
        <f>IF('Run Clubs'!H12="","",'Run Clubs'!H12)</f>
        <v/>
      </c>
      <c r="H12" s="22">
        <f>IF('Run Clubs'!I12="","",'Run Clubs'!I12)</f>
        <v/>
      </c>
      <c r="I12" s="23">
        <f>IF('Run Clubs'!J12="","",'Run Clubs'!J12)</f>
        <v/>
      </c>
      <c r="J12" s="22">
        <f>IF('Run Clubs'!K12="","",'Run Clubs'!K12)</f>
        <v/>
      </c>
      <c r="K12" s="23">
        <f>IF('Run Clubs'!L12="","",'Run Clubs'!L12)</f>
        <v/>
      </c>
      <c r="L12" s="22">
        <f>IF('Run Clubs'!M12="","",'Run Clubs'!M12)</f>
        <v/>
      </c>
      <c r="M12" s="23">
        <f>IF('Run Clubs'!N12="","",'Run Clubs'!N12)</f>
        <v/>
      </c>
      <c r="N12" s="22">
        <f>IF('Run Clubs'!O12="","",'Run Clubs'!O12)</f>
        <v/>
      </c>
      <c r="O12" s="23">
        <f>IF('Run Clubs'!P12="","",'Run Clubs'!P12)</f>
        <v/>
      </c>
      <c r="P12" s="23">
        <f>IF('Run Clubs'!Q12="","",'Run Clubs'!Q12)</f>
        <v/>
      </c>
      <c r="Q12" s="24">
        <f>IF('Run Clubs'!R12="","",'Run Clubs'!R12)</f>
        <v/>
      </c>
      <c r="R12" s="25">
        <f>IF('Run Clubs'!S12="","",'Run Clubs'!S12)</f>
        <v/>
      </c>
      <c r="S12" s="22">
        <f>IF('Run Clubs'!T12="","",'Run Clubs'!T12)</f>
        <v/>
      </c>
      <c r="T12" s="24">
        <f>IF('Run Clubs'!U12="","",'Run Clubs'!U12)</f>
        <v/>
      </c>
      <c r="U12" s="23">
        <f>IF('Run Clubs'!V12="","",'Run Clubs'!V12)</f>
        <v/>
      </c>
      <c r="V12" s="24">
        <f>IF('Run Clubs'!W12="","",'Run Clubs'!W12)</f>
        <v/>
      </c>
      <c r="W12" s="23">
        <f>IF('Run Clubs'!X12="","",'Run Clubs'!X12)</f>
        <v/>
      </c>
      <c r="X12" s="23">
        <f>IF('Run Clubs'!Y12="","",'Run Clubs'!Y12)</f>
        <v/>
      </c>
      <c r="Y12" s="26">
        <f>IF('Run Clubs'!Z12="","",'Run Clubs'!Z12)</f>
        <v/>
      </c>
      <c r="Z12" s="27">
        <f>IF('Run Clubs'!AA12="","",'Run Clubs'!AA12)</f>
        <v/>
      </c>
      <c r="AA12" s="26">
        <f>IF('Run Clubs'!AB12="","",'Run Clubs'!AB12)</f>
        <v/>
      </c>
      <c r="AB12" s="22">
        <f>IF('Run Clubs'!AC12="","",'Run Clubs'!AC12)</f>
        <v/>
      </c>
      <c r="AC12" s="22">
        <f>IF('Run Clubs'!AD12="","",'Run Clubs'!AD12)</f>
        <v/>
      </c>
      <c r="AD12" s="22">
        <f>IF('Run Clubs'!AE12="","",'Run Clubs'!AE12)</f>
        <v/>
      </c>
      <c r="AE12" s="22">
        <f>IF('Run Clubs'!AF12="","",'Run Clubs'!AF12)</f>
        <v/>
      </c>
      <c r="AF12" s="22">
        <f>IF('Run Clubs'!AG12="","",'Run Clubs'!AG12)</f>
        <v/>
      </c>
      <c r="AG12" s="23">
        <f>IF('Run Clubs'!AH12="","",'Run Clubs'!AH12)</f>
        <v/>
      </c>
      <c r="AH12" s="23">
        <f>IF('Run Clubs'!AI12="","",'Run Clubs'!AI12)</f>
        <v/>
      </c>
      <c r="AI12" s="23">
        <f>IF('Run Clubs'!AJ12="","",'Run Clubs'!AJ12)</f>
        <v/>
      </c>
      <c r="AJ12" s="23">
        <f>IF('Run Clubs'!AK12="","",'Run Clubs'!AK12)</f>
        <v/>
      </c>
      <c r="AK12" s="22">
        <f>IF('Run Clubs'!AL12="","",'Run Clubs'!AL12)</f>
        <v/>
      </c>
      <c r="AL12" s="18">
        <f>IF(V12="","",V12+ROW()/100000)</f>
        <v/>
      </c>
    </row>
    <row r="13" ht="18" customHeight="1">
      <c r="A13" s="16">
        <f>IF('Run Clubs'!B13="","","Run Clubs")</f>
        <v/>
      </c>
      <c r="B13" s="16">
        <f>IF('Run Clubs'!B13="","",'Run Clubs'!B13)</f>
        <v/>
      </c>
      <c r="C13" s="17">
        <f>IF('Run Clubs'!D13="","",'Run Clubs'!D13)</f>
        <v/>
      </c>
      <c r="D13" s="16">
        <f>IF('Run Clubs'!E13="","",'Run Clubs'!E13)</f>
        <v/>
      </c>
      <c r="E13" s="17">
        <f>IF('Run Clubs'!F13="","",'Run Clubs'!F13)</f>
        <v/>
      </c>
      <c r="F13" s="17">
        <f>IF('Run Clubs'!G13="","",'Run Clubs'!G13)</f>
        <v/>
      </c>
      <c r="G13" s="17">
        <f>IF('Run Clubs'!H13="","",'Run Clubs'!H13)</f>
        <v/>
      </c>
      <c r="H13" s="16">
        <f>IF('Run Clubs'!I13="","",'Run Clubs'!I13)</f>
        <v/>
      </c>
      <c r="I13" s="17">
        <f>IF('Run Clubs'!J13="","",'Run Clubs'!J13)</f>
        <v/>
      </c>
      <c r="J13" s="16">
        <f>IF('Run Clubs'!K13="","",'Run Clubs'!K13)</f>
        <v/>
      </c>
      <c r="K13" s="17">
        <f>IF('Run Clubs'!L13="","",'Run Clubs'!L13)</f>
        <v/>
      </c>
      <c r="L13" s="16">
        <f>IF('Run Clubs'!M13="","",'Run Clubs'!M13)</f>
        <v/>
      </c>
      <c r="M13" s="17">
        <f>IF('Run Clubs'!N13="","",'Run Clubs'!N13)</f>
        <v/>
      </c>
      <c r="N13" s="16">
        <f>IF('Run Clubs'!O13="","",'Run Clubs'!O13)</f>
        <v/>
      </c>
      <c r="O13" s="17">
        <f>IF('Run Clubs'!P13="","",'Run Clubs'!P13)</f>
        <v/>
      </c>
      <c r="P13" s="17">
        <f>IF('Run Clubs'!Q13="","",'Run Clubs'!Q13)</f>
        <v/>
      </c>
      <c r="Q13" s="15">
        <f>IF('Run Clubs'!R13="","",'Run Clubs'!R13)</f>
        <v/>
      </c>
      <c r="R13" s="19">
        <f>IF('Run Clubs'!S13="","",'Run Clubs'!S13)</f>
        <v/>
      </c>
      <c r="S13" s="16">
        <f>IF('Run Clubs'!T13="","",'Run Clubs'!T13)</f>
        <v/>
      </c>
      <c r="T13" s="15">
        <f>IF('Run Clubs'!U13="","",'Run Clubs'!U13)</f>
        <v/>
      </c>
      <c r="U13" s="17">
        <f>IF('Run Clubs'!V13="","",'Run Clubs'!V13)</f>
        <v/>
      </c>
      <c r="V13" s="15">
        <f>IF('Run Clubs'!W13="","",'Run Clubs'!W13)</f>
        <v/>
      </c>
      <c r="W13" s="17">
        <f>IF('Run Clubs'!X13="","",'Run Clubs'!X13)</f>
        <v/>
      </c>
      <c r="X13" s="17">
        <f>IF('Run Clubs'!Y13="","",'Run Clubs'!Y13)</f>
        <v/>
      </c>
      <c r="Y13" s="20">
        <f>IF('Run Clubs'!Z13="","",'Run Clubs'!Z13)</f>
        <v/>
      </c>
      <c r="Z13" s="21">
        <f>IF('Run Clubs'!AA13="","",'Run Clubs'!AA13)</f>
        <v/>
      </c>
      <c r="AA13" s="20">
        <f>IF('Run Clubs'!AB13="","",'Run Clubs'!AB13)</f>
        <v/>
      </c>
      <c r="AB13" s="16">
        <f>IF('Run Clubs'!AC13="","",'Run Clubs'!AC13)</f>
        <v/>
      </c>
      <c r="AC13" s="16">
        <f>IF('Run Clubs'!AD13="","",'Run Clubs'!AD13)</f>
        <v/>
      </c>
      <c r="AD13" s="16">
        <f>IF('Run Clubs'!AE13="","",'Run Clubs'!AE13)</f>
        <v/>
      </c>
      <c r="AE13" s="16">
        <f>IF('Run Clubs'!AF13="","",'Run Clubs'!AF13)</f>
        <v/>
      </c>
      <c r="AF13" s="16">
        <f>IF('Run Clubs'!AG13="","",'Run Clubs'!AG13)</f>
        <v/>
      </c>
      <c r="AG13" s="17">
        <f>IF('Run Clubs'!AH13="","",'Run Clubs'!AH13)</f>
        <v/>
      </c>
      <c r="AH13" s="17">
        <f>IF('Run Clubs'!AI13="","",'Run Clubs'!AI13)</f>
        <v/>
      </c>
      <c r="AI13" s="17">
        <f>IF('Run Clubs'!AJ13="","",'Run Clubs'!AJ13)</f>
        <v/>
      </c>
      <c r="AJ13" s="17">
        <f>IF('Run Clubs'!AK13="","",'Run Clubs'!AK13)</f>
        <v/>
      </c>
      <c r="AK13" s="16">
        <f>IF('Run Clubs'!AL13="","",'Run Clubs'!AL13)</f>
        <v/>
      </c>
      <c r="AL13" s="18">
        <f>IF(V13="","",V13+ROW()/100000)</f>
        <v/>
      </c>
    </row>
    <row r="14" ht="18" customHeight="1">
      <c r="A14" s="22">
        <f>IF('Run Clubs'!B14="","","Run Clubs")</f>
        <v/>
      </c>
      <c r="B14" s="22">
        <f>IF('Run Clubs'!B14="","",'Run Clubs'!B14)</f>
        <v/>
      </c>
      <c r="C14" s="23">
        <f>IF('Run Clubs'!D14="","",'Run Clubs'!D14)</f>
        <v/>
      </c>
      <c r="D14" s="22">
        <f>IF('Run Clubs'!E14="","",'Run Clubs'!E14)</f>
        <v/>
      </c>
      <c r="E14" s="23">
        <f>IF('Run Clubs'!F14="","",'Run Clubs'!F14)</f>
        <v/>
      </c>
      <c r="F14" s="23">
        <f>IF('Run Clubs'!G14="","",'Run Clubs'!G14)</f>
        <v/>
      </c>
      <c r="G14" s="23">
        <f>IF('Run Clubs'!H14="","",'Run Clubs'!H14)</f>
        <v/>
      </c>
      <c r="H14" s="22">
        <f>IF('Run Clubs'!I14="","",'Run Clubs'!I14)</f>
        <v/>
      </c>
      <c r="I14" s="23">
        <f>IF('Run Clubs'!J14="","",'Run Clubs'!J14)</f>
        <v/>
      </c>
      <c r="J14" s="22">
        <f>IF('Run Clubs'!K14="","",'Run Clubs'!K14)</f>
        <v/>
      </c>
      <c r="K14" s="23">
        <f>IF('Run Clubs'!L14="","",'Run Clubs'!L14)</f>
        <v/>
      </c>
      <c r="L14" s="22">
        <f>IF('Run Clubs'!M14="","",'Run Clubs'!M14)</f>
        <v/>
      </c>
      <c r="M14" s="23">
        <f>IF('Run Clubs'!N14="","",'Run Clubs'!N14)</f>
        <v/>
      </c>
      <c r="N14" s="22">
        <f>IF('Run Clubs'!O14="","",'Run Clubs'!O14)</f>
        <v/>
      </c>
      <c r="O14" s="23">
        <f>IF('Run Clubs'!P14="","",'Run Clubs'!P14)</f>
        <v/>
      </c>
      <c r="P14" s="23">
        <f>IF('Run Clubs'!Q14="","",'Run Clubs'!Q14)</f>
        <v/>
      </c>
      <c r="Q14" s="24">
        <f>IF('Run Clubs'!R14="","",'Run Clubs'!R14)</f>
        <v/>
      </c>
      <c r="R14" s="25">
        <f>IF('Run Clubs'!S14="","",'Run Clubs'!S14)</f>
        <v/>
      </c>
      <c r="S14" s="22">
        <f>IF('Run Clubs'!T14="","",'Run Clubs'!T14)</f>
        <v/>
      </c>
      <c r="T14" s="24">
        <f>IF('Run Clubs'!U14="","",'Run Clubs'!U14)</f>
        <v/>
      </c>
      <c r="U14" s="23">
        <f>IF('Run Clubs'!V14="","",'Run Clubs'!V14)</f>
        <v/>
      </c>
      <c r="V14" s="24">
        <f>IF('Run Clubs'!W14="","",'Run Clubs'!W14)</f>
        <v/>
      </c>
      <c r="W14" s="23">
        <f>IF('Run Clubs'!X14="","",'Run Clubs'!X14)</f>
        <v/>
      </c>
      <c r="X14" s="23">
        <f>IF('Run Clubs'!Y14="","",'Run Clubs'!Y14)</f>
        <v/>
      </c>
      <c r="Y14" s="26">
        <f>IF('Run Clubs'!Z14="","",'Run Clubs'!Z14)</f>
        <v/>
      </c>
      <c r="Z14" s="27">
        <f>IF('Run Clubs'!AA14="","",'Run Clubs'!AA14)</f>
        <v/>
      </c>
      <c r="AA14" s="26">
        <f>IF('Run Clubs'!AB14="","",'Run Clubs'!AB14)</f>
        <v/>
      </c>
      <c r="AB14" s="22">
        <f>IF('Run Clubs'!AC14="","",'Run Clubs'!AC14)</f>
        <v/>
      </c>
      <c r="AC14" s="22">
        <f>IF('Run Clubs'!AD14="","",'Run Clubs'!AD14)</f>
        <v/>
      </c>
      <c r="AD14" s="22">
        <f>IF('Run Clubs'!AE14="","",'Run Clubs'!AE14)</f>
        <v/>
      </c>
      <c r="AE14" s="22">
        <f>IF('Run Clubs'!AF14="","",'Run Clubs'!AF14)</f>
        <v/>
      </c>
      <c r="AF14" s="22">
        <f>IF('Run Clubs'!AG14="","",'Run Clubs'!AG14)</f>
        <v/>
      </c>
      <c r="AG14" s="23">
        <f>IF('Run Clubs'!AH14="","",'Run Clubs'!AH14)</f>
        <v/>
      </c>
      <c r="AH14" s="23">
        <f>IF('Run Clubs'!AI14="","",'Run Clubs'!AI14)</f>
        <v/>
      </c>
      <c r="AI14" s="23">
        <f>IF('Run Clubs'!AJ14="","",'Run Clubs'!AJ14)</f>
        <v/>
      </c>
      <c r="AJ14" s="23">
        <f>IF('Run Clubs'!AK14="","",'Run Clubs'!AK14)</f>
        <v/>
      </c>
      <c r="AK14" s="22">
        <f>IF('Run Clubs'!AL14="","",'Run Clubs'!AL14)</f>
        <v/>
      </c>
      <c r="AL14" s="18">
        <f>IF(V14="","",V14+ROW()/100000)</f>
        <v/>
      </c>
    </row>
    <row r="15" ht="18" customHeight="1">
      <c r="A15" s="16">
        <f>IF('Run Clubs'!B15="","","Run Clubs")</f>
        <v/>
      </c>
      <c r="B15" s="16">
        <f>IF('Run Clubs'!B15="","",'Run Clubs'!B15)</f>
        <v/>
      </c>
      <c r="C15" s="17">
        <f>IF('Run Clubs'!D15="","",'Run Clubs'!D15)</f>
        <v/>
      </c>
      <c r="D15" s="16">
        <f>IF('Run Clubs'!E15="","",'Run Clubs'!E15)</f>
        <v/>
      </c>
      <c r="E15" s="17">
        <f>IF('Run Clubs'!F15="","",'Run Clubs'!F15)</f>
        <v/>
      </c>
      <c r="F15" s="17">
        <f>IF('Run Clubs'!G15="","",'Run Clubs'!G15)</f>
        <v/>
      </c>
      <c r="G15" s="17">
        <f>IF('Run Clubs'!H15="","",'Run Clubs'!H15)</f>
        <v/>
      </c>
      <c r="H15" s="16">
        <f>IF('Run Clubs'!I15="","",'Run Clubs'!I15)</f>
        <v/>
      </c>
      <c r="I15" s="17">
        <f>IF('Run Clubs'!J15="","",'Run Clubs'!J15)</f>
        <v/>
      </c>
      <c r="J15" s="16">
        <f>IF('Run Clubs'!K15="","",'Run Clubs'!K15)</f>
        <v/>
      </c>
      <c r="K15" s="17">
        <f>IF('Run Clubs'!L15="","",'Run Clubs'!L15)</f>
        <v/>
      </c>
      <c r="L15" s="16">
        <f>IF('Run Clubs'!M15="","",'Run Clubs'!M15)</f>
        <v/>
      </c>
      <c r="M15" s="17">
        <f>IF('Run Clubs'!N15="","",'Run Clubs'!N15)</f>
        <v/>
      </c>
      <c r="N15" s="16">
        <f>IF('Run Clubs'!O15="","",'Run Clubs'!O15)</f>
        <v/>
      </c>
      <c r="O15" s="17">
        <f>IF('Run Clubs'!P15="","",'Run Clubs'!P15)</f>
        <v/>
      </c>
      <c r="P15" s="17">
        <f>IF('Run Clubs'!Q15="","",'Run Clubs'!Q15)</f>
        <v/>
      </c>
      <c r="Q15" s="15">
        <f>IF('Run Clubs'!R15="","",'Run Clubs'!R15)</f>
        <v/>
      </c>
      <c r="R15" s="19">
        <f>IF('Run Clubs'!S15="","",'Run Clubs'!S15)</f>
        <v/>
      </c>
      <c r="S15" s="16">
        <f>IF('Run Clubs'!T15="","",'Run Clubs'!T15)</f>
        <v/>
      </c>
      <c r="T15" s="15">
        <f>IF('Run Clubs'!U15="","",'Run Clubs'!U15)</f>
        <v/>
      </c>
      <c r="U15" s="17">
        <f>IF('Run Clubs'!V15="","",'Run Clubs'!V15)</f>
        <v/>
      </c>
      <c r="V15" s="15">
        <f>IF('Run Clubs'!W15="","",'Run Clubs'!W15)</f>
        <v/>
      </c>
      <c r="W15" s="17">
        <f>IF('Run Clubs'!X15="","",'Run Clubs'!X15)</f>
        <v/>
      </c>
      <c r="X15" s="17">
        <f>IF('Run Clubs'!Y15="","",'Run Clubs'!Y15)</f>
        <v/>
      </c>
      <c r="Y15" s="20">
        <f>IF('Run Clubs'!Z15="","",'Run Clubs'!Z15)</f>
        <v/>
      </c>
      <c r="Z15" s="21">
        <f>IF('Run Clubs'!AA15="","",'Run Clubs'!AA15)</f>
        <v/>
      </c>
      <c r="AA15" s="20">
        <f>IF('Run Clubs'!AB15="","",'Run Clubs'!AB15)</f>
        <v/>
      </c>
      <c r="AB15" s="16">
        <f>IF('Run Clubs'!AC15="","",'Run Clubs'!AC15)</f>
        <v/>
      </c>
      <c r="AC15" s="16">
        <f>IF('Run Clubs'!AD15="","",'Run Clubs'!AD15)</f>
        <v/>
      </c>
      <c r="AD15" s="16">
        <f>IF('Run Clubs'!AE15="","",'Run Clubs'!AE15)</f>
        <v/>
      </c>
      <c r="AE15" s="16">
        <f>IF('Run Clubs'!AF15="","",'Run Clubs'!AF15)</f>
        <v/>
      </c>
      <c r="AF15" s="16">
        <f>IF('Run Clubs'!AG15="","",'Run Clubs'!AG15)</f>
        <v/>
      </c>
      <c r="AG15" s="17">
        <f>IF('Run Clubs'!AH15="","",'Run Clubs'!AH15)</f>
        <v/>
      </c>
      <c r="AH15" s="17">
        <f>IF('Run Clubs'!AI15="","",'Run Clubs'!AI15)</f>
        <v/>
      </c>
      <c r="AI15" s="17">
        <f>IF('Run Clubs'!AJ15="","",'Run Clubs'!AJ15)</f>
        <v/>
      </c>
      <c r="AJ15" s="17">
        <f>IF('Run Clubs'!AK15="","",'Run Clubs'!AK15)</f>
        <v/>
      </c>
      <c r="AK15" s="16">
        <f>IF('Run Clubs'!AL15="","",'Run Clubs'!AL15)</f>
        <v/>
      </c>
      <c r="AL15" s="18">
        <f>IF(V15="","",V15+ROW()/100000)</f>
        <v/>
      </c>
    </row>
    <row r="16" ht="18" customHeight="1">
      <c r="A16" s="22">
        <f>IF('Run Clubs'!B16="","","Run Clubs")</f>
        <v/>
      </c>
      <c r="B16" s="22">
        <f>IF('Run Clubs'!B16="","",'Run Clubs'!B16)</f>
        <v/>
      </c>
      <c r="C16" s="23">
        <f>IF('Run Clubs'!D16="","",'Run Clubs'!D16)</f>
        <v/>
      </c>
      <c r="D16" s="22">
        <f>IF('Run Clubs'!E16="","",'Run Clubs'!E16)</f>
        <v/>
      </c>
      <c r="E16" s="23">
        <f>IF('Run Clubs'!F16="","",'Run Clubs'!F16)</f>
        <v/>
      </c>
      <c r="F16" s="23">
        <f>IF('Run Clubs'!G16="","",'Run Clubs'!G16)</f>
        <v/>
      </c>
      <c r="G16" s="23">
        <f>IF('Run Clubs'!H16="","",'Run Clubs'!H16)</f>
        <v/>
      </c>
      <c r="H16" s="22">
        <f>IF('Run Clubs'!I16="","",'Run Clubs'!I16)</f>
        <v/>
      </c>
      <c r="I16" s="23">
        <f>IF('Run Clubs'!J16="","",'Run Clubs'!J16)</f>
        <v/>
      </c>
      <c r="J16" s="22">
        <f>IF('Run Clubs'!K16="","",'Run Clubs'!K16)</f>
        <v/>
      </c>
      <c r="K16" s="23">
        <f>IF('Run Clubs'!L16="","",'Run Clubs'!L16)</f>
        <v/>
      </c>
      <c r="L16" s="22">
        <f>IF('Run Clubs'!M16="","",'Run Clubs'!M16)</f>
        <v/>
      </c>
      <c r="M16" s="23">
        <f>IF('Run Clubs'!N16="","",'Run Clubs'!N16)</f>
        <v/>
      </c>
      <c r="N16" s="22">
        <f>IF('Run Clubs'!O16="","",'Run Clubs'!O16)</f>
        <v/>
      </c>
      <c r="O16" s="23">
        <f>IF('Run Clubs'!P16="","",'Run Clubs'!P16)</f>
        <v/>
      </c>
      <c r="P16" s="23">
        <f>IF('Run Clubs'!Q16="","",'Run Clubs'!Q16)</f>
        <v/>
      </c>
      <c r="Q16" s="24">
        <f>IF('Run Clubs'!R16="","",'Run Clubs'!R16)</f>
        <v/>
      </c>
      <c r="R16" s="25">
        <f>IF('Run Clubs'!S16="","",'Run Clubs'!S16)</f>
        <v/>
      </c>
      <c r="S16" s="22">
        <f>IF('Run Clubs'!T16="","",'Run Clubs'!T16)</f>
        <v/>
      </c>
      <c r="T16" s="24">
        <f>IF('Run Clubs'!U16="","",'Run Clubs'!U16)</f>
        <v/>
      </c>
      <c r="U16" s="23">
        <f>IF('Run Clubs'!V16="","",'Run Clubs'!V16)</f>
        <v/>
      </c>
      <c r="V16" s="24">
        <f>IF('Run Clubs'!W16="","",'Run Clubs'!W16)</f>
        <v/>
      </c>
      <c r="W16" s="23">
        <f>IF('Run Clubs'!X16="","",'Run Clubs'!X16)</f>
        <v/>
      </c>
      <c r="X16" s="23">
        <f>IF('Run Clubs'!Y16="","",'Run Clubs'!Y16)</f>
        <v/>
      </c>
      <c r="Y16" s="26">
        <f>IF('Run Clubs'!Z16="","",'Run Clubs'!Z16)</f>
        <v/>
      </c>
      <c r="Z16" s="27">
        <f>IF('Run Clubs'!AA16="","",'Run Clubs'!AA16)</f>
        <v/>
      </c>
      <c r="AA16" s="26">
        <f>IF('Run Clubs'!AB16="","",'Run Clubs'!AB16)</f>
        <v/>
      </c>
      <c r="AB16" s="22">
        <f>IF('Run Clubs'!AC16="","",'Run Clubs'!AC16)</f>
        <v/>
      </c>
      <c r="AC16" s="22">
        <f>IF('Run Clubs'!AD16="","",'Run Clubs'!AD16)</f>
        <v/>
      </c>
      <c r="AD16" s="22">
        <f>IF('Run Clubs'!AE16="","",'Run Clubs'!AE16)</f>
        <v/>
      </c>
      <c r="AE16" s="22">
        <f>IF('Run Clubs'!AF16="","",'Run Clubs'!AF16)</f>
        <v/>
      </c>
      <c r="AF16" s="22">
        <f>IF('Run Clubs'!AG16="","",'Run Clubs'!AG16)</f>
        <v/>
      </c>
      <c r="AG16" s="23">
        <f>IF('Run Clubs'!AH16="","",'Run Clubs'!AH16)</f>
        <v/>
      </c>
      <c r="AH16" s="23">
        <f>IF('Run Clubs'!AI16="","",'Run Clubs'!AI16)</f>
        <v/>
      </c>
      <c r="AI16" s="23">
        <f>IF('Run Clubs'!AJ16="","",'Run Clubs'!AJ16)</f>
        <v/>
      </c>
      <c r="AJ16" s="23">
        <f>IF('Run Clubs'!AK16="","",'Run Clubs'!AK16)</f>
        <v/>
      </c>
      <c r="AK16" s="22">
        <f>IF('Run Clubs'!AL16="","",'Run Clubs'!AL16)</f>
        <v/>
      </c>
      <c r="AL16" s="18">
        <f>IF(V16="","",V16+ROW()/100000)</f>
        <v/>
      </c>
    </row>
    <row r="17" ht="18" customHeight="1">
      <c r="A17" s="16">
        <f>IF('Run Clubs'!B17="","","Run Clubs")</f>
        <v/>
      </c>
      <c r="B17" s="16">
        <f>IF('Run Clubs'!B17="","",'Run Clubs'!B17)</f>
        <v/>
      </c>
      <c r="C17" s="17">
        <f>IF('Run Clubs'!D17="","",'Run Clubs'!D17)</f>
        <v/>
      </c>
      <c r="D17" s="16">
        <f>IF('Run Clubs'!E17="","",'Run Clubs'!E17)</f>
        <v/>
      </c>
      <c r="E17" s="17">
        <f>IF('Run Clubs'!F17="","",'Run Clubs'!F17)</f>
        <v/>
      </c>
      <c r="F17" s="17">
        <f>IF('Run Clubs'!G17="","",'Run Clubs'!G17)</f>
        <v/>
      </c>
      <c r="G17" s="17">
        <f>IF('Run Clubs'!H17="","",'Run Clubs'!H17)</f>
        <v/>
      </c>
      <c r="H17" s="16">
        <f>IF('Run Clubs'!I17="","",'Run Clubs'!I17)</f>
        <v/>
      </c>
      <c r="I17" s="17">
        <f>IF('Run Clubs'!J17="","",'Run Clubs'!J17)</f>
        <v/>
      </c>
      <c r="J17" s="16">
        <f>IF('Run Clubs'!K17="","",'Run Clubs'!K17)</f>
        <v/>
      </c>
      <c r="K17" s="17">
        <f>IF('Run Clubs'!L17="","",'Run Clubs'!L17)</f>
        <v/>
      </c>
      <c r="L17" s="16">
        <f>IF('Run Clubs'!M17="","",'Run Clubs'!M17)</f>
        <v/>
      </c>
      <c r="M17" s="17">
        <f>IF('Run Clubs'!N17="","",'Run Clubs'!N17)</f>
        <v/>
      </c>
      <c r="N17" s="16">
        <f>IF('Run Clubs'!O17="","",'Run Clubs'!O17)</f>
        <v/>
      </c>
      <c r="O17" s="17">
        <f>IF('Run Clubs'!P17="","",'Run Clubs'!P17)</f>
        <v/>
      </c>
      <c r="P17" s="17">
        <f>IF('Run Clubs'!Q17="","",'Run Clubs'!Q17)</f>
        <v/>
      </c>
      <c r="Q17" s="15">
        <f>IF('Run Clubs'!R17="","",'Run Clubs'!R17)</f>
        <v/>
      </c>
      <c r="R17" s="19">
        <f>IF('Run Clubs'!S17="","",'Run Clubs'!S17)</f>
        <v/>
      </c>
      <c r="S17" s="16">
        <f>IF('Run Clubs'!T17="","",'Run Clubs'!T17)</f>
        <v/>
      </c>
      <c r="T17" s="15">
        <f>IF('Run Clubs'!U17="","",'Run Clubs'!U17)</f>
        <v/>
      </c>
      <c r="U17" s="17">
        <f>IF('Run Clubs'!V17="","",'Run Clubs'!V17)</f>
        <v/>
      </c>
      <c r="V17" s="15">
        <f>IF('Run Clubs'!W17="","",'Run Clubs'!W17)</f>
        <v/>
      </c>
      <c r="W17" s="17">
        <f>IF('Run Clubs'!X17="","",'Run Clubs'!X17)</f>
        <v/>
      </c>
      <c r="X17" s="17">
        <f>IF('Run Clubs'!Y17="","",'Run Clubs'!Y17)</f>
        <v/>
      </c>
      <c r="Y17" s="20">
        <f>IF('Run Clubs'!Z17="","",'Run Clubs'!Z17)</f>
        <v/>
      </c>
      <c r="Z17" s="21">
        <f>IF('Run Clubs'!AA17="","",'Run Clubs'!AA17)</f>
        <v/>
      </c>
      <c r="AA17" s="20">
        <f>IF('Run Clubs'!AB17="","",'Run Clubs'!AB17)</f>
        <v/>
      </c>
      <c r="AB17" s="16">
        <f>IF('Run Clubs'!AC17="","",'Run Clubs'!AC17)</f>
        <v/>
      </c>
      <c r="AC17" s="16">
        <f>IF('Run Clubs'!AD17="","",'Run Clubs'!AD17)</f>
        <v/>
      </c>
      <c r="AD17" s="16">
        <f>IF('Run Clubs'!AE17="","",'Run Clubs'!AE17)</f>
        <v/>
      </c>
      <c r="AE17" s="16">
        <f>IF('Run Clubs'!AF17="","",'Run Clubs'!AF17)</f>
        <v/>
      </c>
      <c r="AF17" s="16">
        <f>IF('Run Clubs'!AG17="","",'Run Clubs'!AG17)</f>
        <v/>
      </c>
      <c r="AG17" s="17">
        <f>IF('Run Clubs'!AH17="","",'Run Clubs'!AH17)</f>
        <v/>
      </c>
      <c r="AH17" s="17">
        <f>IF('Run Clubs'!AI17="","",'Run Clubs'!AI17)</f>
        <v/>
      </c>
      <c r="AI17" s="17">
        <f>IF('Run Clubs'!AJ17="","",'Run Clubs'!AJ17)</f>
        <v/>
      </c>
      <c r="AJ17" s="17">
        <f>IF('Run Clubs'!AK17="","",'Run Clubs'!AK17)</f>
        <v/>
      </c>
      <c r="AK17" s="16">
        <f>IF('Run Clubs'!AL17="","",'Run Clubs'!AL17)</f>
        <v/>
      </c>
      <c r="AL17" s="18">
        <f>IF(V17="","",V17+ROW()/100000)</f>
        <v/>
      </c>
    </row>
    <row r="18" ht="18" customHeight="1">
      <c r="A18" s="22">
        <f>IF('Run Clubs'!B18="","","Run Clubs")</f>
        <v/>
      </c>
      <c r="B18" s="22">
        <f>IF('Run Clubs'!B18="","",'Run Clubs'!B18)</f>
        <v/>
      </c>
      <c r="C18" s="23">
        <f>IF('Run Clubs'!D18="","",'Run Clubs'!D18)</f>
        <v/>
      </c>
      <c r="D18" s="22">
        <f>IF('Run Clubs'!E18="","",'Run Clubs'!E18)</f>
        <v/>
      </c>
      <c r="E18" s="23">
        <f>IF('Run Clubs'!F18="","",'Run Clubs'!F18)</f>
        <v/>
      </c>
      <c r="F18" s="23">
        <f>IF('Run Clubs'!G18="","",'Run Clubs'!G18)</f>
        <v/>
      </c>
      <c r="G18" s="23">
        <f>IF('Run Clubs'!H18="","",'Run Clubs'!H18)</f>
        <v/>
      </c>
      <c r="H18" s="22">
        <f>IF('Run Clubs'!I18="","",'Run Clubs'!I18)</f>
        <v/>
      </c>
      <c r="I18" s="23">
        <f>IF('Run Clubs'!J18="","",'Run Clubs'!J18)</f>
        <v/>
      </c>
      <c r="J18" s="22">
        <f>IF('Run Clubs'!K18="","",'Run Clubs'!K18)</f>
        <v/>
      </c>
      <c r="K18" s="23">
        <f>IF('Run Clubs'!L18="","",'Run Clubs'!L18)</f>
        <v/>
      </c>
      <c r="L18" s="22">
        <f>IF('Run Clubs'!M18="","",'Run Clubs'!M18)</f>
        <v/>
      </c>
      <c r="M18" s="23">
        <f>IF('Run Clubs'!N18="","",'Run Clubs'!N18)</f>
        <v/>
      </c>
      <c r="N18" s="22">
        <f>IF('Run Clubs'!O18="","",'Run Clubs'!O18)</f>
        <v/>
      </c>
      <c r="O18" s="23">
        <f>IF('Run Clubs'!P18="","",'Run Clubs'!P18)</f>
        <v/>
      </c>
      <c r="P18" s="23">
        <f>IF('Run Clubs'!Q18="","",'Run Clubs'!Q18)</f>
        <v/>
      </c>
      <c r="Q18" s="24">
        <f>IF('Run Clubs'!R18="","",'Run Clubs'!R18)</f>
        <v/>
      </c>
      <c r="R18" s="25">
        <f>IF('Run Clubs'!S18="","",'Run Clubs'!S18)</f>
        <v/>
      </c>
      <c r="S18" s="22">
        <f>IF('Run Clubs'!T18="","",'Run Clubs'!T18)</f>
        <v/>
      </c>
      <c r="T18" s="24">
        <f>IF('Run Clubs'!U18="","",'Run Clubs'!U18)</f>
        <v/>
      </c>
      <c r="U18" s="23">
        <f>IF('Run Clubs'!V18="","",'Run Clubs'!V18)</f>
        <v/>
      </c>
      <c r="V18" s="24">
        <f>IF('Run Clubs'!W18="","",'Run Clubs'!W18)</f>
        <v/>
      </c>
      <c r="W18" s="23">
        <f>IF('Run Clubs'!X18="","",'Run Clubs'!X18)</f>
        <v/>
      </c>
      <c r="X18" s="23">
        <f>IF('Run Clubs'!Y18="","",'Run Clubs'!Y18)</f>
        <v/>
      </c>
      <c r="Y18" s="26">
        <f>IF('Run Clubs'!Z18="","",'Run Clubs'!Z18)</f>
        <v/>
      </c>
      <c r="Z18" s="27">
        <f>IF('Run Clubs'!AA18="","",'Run Clubs'!AA18)</f>
        <v/>
      </c>
      <c r="AA18" s="26">
        <f>IF('Run Clubs'!AB18="","",'Run Clubs'!AB18)</f>
        <v/>
      </c>
      <c r="AB18" s="22">
        <f>IF('Run Clubs'!AC18="","",'Run Clubs'!AC18)</f>
        <v/>
      </c>
      <c r="AC18" s="22">
        <f>IF('Run Clubs'!AD18="","",'Run Clubs'!AD18)</f>
        <v/>
      </c>
      <c r="AD18" s="22">
        <f>IF('Run Clubs'!AE18="","",'Run Clubs'!AE18)</f>
        <v/>
      </c>
      <c r="AE18" s="22">
        <f>IF('Run Clubs'!AF18="","",'Run Clubs'!AF18)</f>
        <v/>
      </c>
      <c r="AF18" s="22">
        <f>IF('Run Clubs'!AG18="","",'Run Clubs'!AG18)</f>
        <v/>
      </c>
      <c r="AG18" s="23">
        <f>IF('Run Clubs'!AH18="","",'Run Clubs'!AH18)</f>
        <v/>
      </c>
      <c r="AH18" s="23">
        <f>IF('Run Clubs'!AI18="","",'Run Clubs'!AI18)</f>
        <v/>
      </c>
      <c r="AI18" s="23">
        <f>IF('Run Clubs'!AJ18="","",'Run Clubs'!AJ18)</f>
        <v/>
      </c>
      <c r="AJ18" s="23">
        <f>IF('Run Clubs'!AK18="","",'Run Clubs'!AK18)</f>
        <v/>
      </c>
      <c r="AK18" s="22">
        <f>IF('Run Clubs'!AL18="","",'Run Clubs'!AL18)</f>
        <v/>
      </c>
      <c r="AL18" s="18">
        <f>IF(V18="","",V18+ROW()/100000)</f>
        <v/>
      </c>
    </row>
    <row r="19" ht="18" customHeight="1">
      <c r="A19" s="16">
        <f>IF('Run Clubs'!B19="","","Run Clubs")</f>
        <v/>
      </c>
      <c r="B19" s="16">
        <f>IF('Run Clubs'!B19="","",'Run Clubs'!B19)</f>
        <v/>
      </c>
      <c r="C19" s="17">
        <f>IF('Run Clubs'!D19="","",'Run Clubs'!D19)</f>
        <v/>
      </c>
      <c r="D19" s="16">
        <f>IF('Run Clubs'!E19="","",'Run Clubs'!E19)</f>
        <v/>
      </c>
      <c r="E19" s="17">
        <f>IF('Run Clubs'!F19="","",'Run Clubs'!F19)</f>
        <v/>
      </c>
      <c r="F19" s="17">
        <f>IF('Run Clubs'!G19="","",'Run Clubs'!G19)</f>
        <v/>
      </c>
      <c r="G19" s="17">
        <f>IF('Run Clubs'!H19="","",'Run Clubs'!H19)</f>
        <v/>
      </c>
      <c r="H19" s="16">
        <f>IF('Run Clubs'!I19="","",'Run Clubs'!I19)</f>
        <v/>
      </c>
      <c r="I19" s="17">
        <f>IF('Run Clubs'!J19="","",'Run Clubs'!J19)</f>
        <v/>
      </c>
      <c r="J19" s="16">
        <f>IF('Run Clubs'!K19="","",'Run Clubs'!K19)</f>
        <v/>
      </c>
      <c r="K19" s="17">
        <f>IF('Run Clubs'!L19="","",'Run Clubs'!L19)</f>
        <v/>
      </c>
      <c r="L19" s="16">
        <f>IF('Run Clubs'!M19="","",'Run Clubs'!M19)</f>
        <v/>
      </c>
      <c r="M19" s="17">
        <f>IF('Run Clubs'!N19="","",'Run Clubs'!N19)</f>
        <v/>
      </c>
      <c r="N19" s="16">
        <f>IF('Run Clubs'!O19="","",'Run Clubs'!O19)</f>
        <v/>
      </c>
      <c r="O19" s="17">
        <f>IF('Run Clubs'!P19="","",'Run Clubs'!P19)</f>
        <v/>
      </c>
      <c r="P19" s="17">
        <f>IF('Run Clubs'!Q19="","",'Run Clubs'!Q19)</f>
        <v/>
      </c>
      <c r="Q19" s="15">
        <f>IF('Run Clubs'!R19="","",'Run Clubs'!R19)</f>
        <v/>
      </c>
      <c r="R19" s="19">
        <f>IF('Run Clubs'!S19="","",'Run Clubs'!S19)</f>
        <v/>
      </c>
      <c r="S19" s="16">
        <f>IF('Run Clubs'!T19="","",'Run Clubs'!T19)</f>
        <v/>
      </c>
      <c r="T19" s="15">
        <f>IF('Run Clubs'!U19="","",'Run Clubs'!U19)</f>
        <v/>
      </c>
      <c r="U19" s="17">
        <f>IF('Run Clubs'!V19="","",'Run Clubs'!V19)</f>
        <v/>
      </c>
      <c r="V19" s="15">
        <f>IF('Run Clubs'!W19="","",'Run Clubs'!W19)</f>
        <v/>
      </c>
      <c r="W19" s="17">
        <f>IF('Run Clubs'!X19="","",'Run Clubs'!X19)</f>
        <v/>
      </c>
      <c r="X19" s="17">
        <f>IF('Run Clubs'!Y19="","",'Run Clubs'!Y19)</f>
        <v/>
      </c>
      <c r="Y19" s="20">
        <f>IF('Run Clubs'!Z19="","",'Run Clubs'!Z19)</f>
        <v/>
      </c>
      <c r="Z19" s="21">
        <f>IF('Run Clubs'!AA19="","",'Run Clubs'!AA19)</f>
        <v/>
      </c>
      <c r="AA19" s="20">
        <f>IF('Run Clubs'!AB19="","",'Run Clubs'!AB19)</f>
        <v/>
      </c>
      <c r="AB19" s="16">
        <f>IF('Run Clubs'!AC19="","",'Run Clubs'!AC19)</f>
        <v/>
      </c>
      <c r="AC19" s="16">
        <f>IF('Run Clubs'!AD19="","",'Run Clubs'!AD19)</f>
        <v/>
      </c>
      <c r="AD19" s="16">
        <f>IF('Run Clubs'!AE19="","",'Run Clubs'!AE19)</f>
        <v/>
      </c>
      <c r="AE19" s="16">
        <f>IF('Run Clubs'!AF19="","",'Run Clubs'!AF19)</f>
        <v/>
      </c>
      <c r="AF19" s="16">
        <f>IF('Run Clubs'!AG19="","",'Run Clubs'!AG19)</f>
        <v/>
      </c>
      <c r="AG19" s="17">
        <f>IF('Run Clubs'!AH19="","",'Run Clubs'!AH19)</f>
        <v/>
      </c>
      <c r="AH19" s="17">
        <f>IF('Run Clubs'!AI19="","",'Run Clubs'!AI19)</f>
        <v/>
      </c>
      <c r="AI19" s="17">
        <f>IF('Run Clubs'!AJ19="","",'Run Clubs'!AJ19)</f>
        <v/>
      </c>
      <c r="AJ19" s="17">
        <f>IF('Run Clubs'!AK19="","",'Run Clubs'!AK19)</f>
        <v/>
      </c>
      <c r="AK19" s="16">
        <f>IF('Run Clubs'!AL19="","",'Run Clubs'!AL19)</f>
        <v/>
      </c>
      <c r="AL19" s="18">
        <f>IF(V19="","",V19+ROW()/100000)</f>
        <v/>
      </c>
    </row>
    <row r="20" ht="18" customHeight="1">
      <c r="A20" s="22">
        <f>IF('Run Clubs'!B20="","","Run Clubs")</f>
        <v/>
      </c>
      <c r="B20" s="22">
        <f>IF('Run Clubs'!B20="","",'Run Clubs'!B20)</f>
        <v/>
      </c>
      <c r="C20" s="23">
        <f>IF('Run Clubs'!D20="","",'Run Clubs'!D20)</f>
        <v/>
      </c>
      <c r="D20" s="22">
        <f>IF('Run Clubs'!E20="","",'Run Clubs'!E20)</f>
        <v/>
      </c>
      <c r="E20" s="23">
        <f>IF('Run Clubs'!F20="","",'Run Clubs'!F20)</f>
        <v/>
      </c>
      <c r="F20" s="23">
        <f>IF('Run Clubs'!G20="","",'Run Clubs'!G20)</f>
        <v/>
      </c>
      <c r="G20" s="23">
        <f>IF('Run Clubs'!H20="","",'Run Clubs'!H20)</f>
        <v/>
      </c>
      <c r="H20" s="22">
        <f>IF('Run Clubs'!I20="","",'Run Clubs'!I20)</f>
        <v/>
      </c>
      <c r="I20" s="23">
        <f>IF('Run Clubs'!J20="","",'Run Clubs'!J20)</f>
        <v/>
      </c>
      <c r="J20" s="22">
        <f>IF('Run Clubs'!K20="","",'Run Clubs'!K20)</f>
        <v/>
      </c>
      <c r="K20" s="23">
        <f>IF('Run Clubs'!L20="","",'Run Clubs'!L20)</f>
        <v/>
      </c>
      <c r="L20" s="22">
        <f>IF('Run Clubs'!M20="","",'Run Clubs'!M20)</f>
        <v/>
      </c>
      <c r="M20" s="23">
        <f>IF('Run Clubs'!N20="","",'Run Clubs'!N20)</f>
        <v/>
      </c>
      <c r="N20" s="22">
        <f>IF('Run Clubs'!O20="","",'Run Clubs'!O20)</f>
        <v/>
      </c>
      <c r="O20" s="23">
        <f>IF('Run Clubs'!P20="","",'Run Clubs'!P20)</f>
        <v/>
      </c>
      <c r="P20" s="23">
        <f>IF('Run Clubs'!Q20="","",'Run Clubs'!Q20)</f>
        <v/>
      </c>
      <c r="Q20" s="24">
        <f>IF('Run Clubs'!R20="","",'Run Clubs'!R20)</f>
        <v/>
      </c>
      <c r="R20" s="25">
        <f>IF('Run Clubs'!S20="","",'Run Clubs'!S20)</f>
        <v/>
      </c>
      <c r="S20" s="22">
        <f>IF('Run Clubs'!T20="","",'Run Clubs'!T20)</f>
        <v/>
      </c>
      <c r="T20" s="24">
        <f>IF('Run Clubs'!U20="","",'Run Clubs'!U20)</f>
        <v/>
      </c>
      <c r="U20" s="23">
        <f>IF('Run Clubs'!V20="","",'Run Clubs'!V20)</f>
        <v/>
      </c>
      <c r="V20" s="24">
        <f>IF('Run Clubs'!W20="","",'Run Clubs'!W20)</f>
        <v/>
      </c>
      <c r="W20" s="23">
        <f>IF('Run Clubs'!X20="","",'Run Clubs'!X20)</f>
        <v/>
      </c>
      <c r="X20" s="23">
        <f>IF('Run Clubs'!Y20="","",'Run Clubs'!Y20)</f>
        <v/>
      </c>
      <c r="Y20" s="26">
        <f>IF('Run Clubs'!Z20="","",'Run Clubs'!Z20)</f>
        <v/>
      </c>
      <c r="Z20" s="27">
        <f>IF('Run Clubs'!AA20="","",'Run Clubs'!AA20)</f>
        <v/>
      </c>
      <c r="AA20" s="26">
        <f>IF('Run Clubs'!AB20="","",'Run Clubs'!AB20)</f>
        <v/>
      </c>
      <c r="AB20" s="22">
        <f>IF('Run Clubs'!AC20="","",'Run Clubs'!AC20)</f>
        <v/>
      </c>
      <c r="AC20" s="22">
        <f>IF('Run Clubs'!AD20="","",'Run Clubs'!AD20)</f>
        <v/>
      </c>
      <c r="AD20" s="22">
        <f>IF('Run Clubs'!AE20="","",'Run Clubs'!AE20)</f>
        <v/>
      </c>
      <c r="AE20" s="22">
        <f>IF('Run Clubs'!AF20="","",'Run Clubs'!AF20)</f>
        <v/>
      </c>
      <c r="AF20" s="22">
        <f>IF('Run Clubs'!AG20="","",'Run Clubs'!AG20)</f>
        <v/>
      </c>
      <c r="AG20" s="23">
        <f>IF('Run Clubs'!AH20="","",'Run Clubs'!AH20)</f>
        <v/>
      </c>
      <c r="AH20" s="23">
        <f>IF('Run Clubs'!AI20="","",'Run Clubs'!AI20)</f>
        <v/>
      </c>
      <c r="AI20" s="23">
        <f>IF('Run Clubs'!AJ20="","",'Run Clubs'!AJ20)</f>
        <v/>
      </c>
      <c r="AJ20" s="23">
        <f>IF('Run Clubs'!AK20="","",'Run Clubs'!AK20)</f>
        <v/>
      </c>
      <c r="AK20" s="22">
        <f>IF('Run Clubs'!AL20="","",'Run Clubs'!AL20)</f>
        <v/>
      </c>
      <c r="AL20" s="18">
        <f>IF(V20="","",V20+ROW()/100000)</f>
        <v/>
      </c>
    </row>
    <row r="21" ht="18" customHeight="1">
      <c r="A21" s="16">
        <f>IF('Run Clubs'!B21="","","Run Clubs")</f>
        <v/>
      </c>
      <c r="B21" s="16">
        <f>IF('Run Clubs'!B21="","",'Run Clubs'!B21)</f>
        <v/>
      </c>
      <c r="C21" s="17">
        <f>IF('Run Clubs'!D21="","",'Run Clubs'!D21)</f>
        <v/>
      </c>
      <c r="D21" s="16">
        <f>IF('Run Clubs'!E21="","",'Run Clubs'!E21)</f>
        <v/>
      </c>
      <c r="E21" s="17">
        <f>IF('Run Clubs'!F21="","",'Run Clubs'!F21)</f>
        <v/>
      </c>
      <c r="F21" s="17">
        <f>IF('Run Clubs'!G21="","",'Run Clubs'!G21)</f>
        <v/>
      </c>
      <c r="G21" s="17">
        <f>IF('Run Clubs'!H21="","",'Run Clubs'!H21)</f>
        <v/>
      </c>
      <c r="H21" s="16">
        <f>IF('Run Clubs'!I21="","",'Run Clubs'!I21)</f>
        <v/>
      </c>
      <c r="I21" s="17">
        <f>IF('Run Clubs'!J21="","",'Run Clubs'!J21)</f>
        <v/>
      </c>
      <c r="J21" s="16">
        <f>IF('Run Clubs'!K21="","",'Run Clubs'!K21)</f>
        <v/>
      </c>
      <c r="K21" s="17">
        <f>IF('Run Clubs'!L21="","",'Run Clubs'!L21)</f>
        <v/>
      </c>
      <c r="L21" s="16">
        <f>IF('Run Clubs'!M21="","",'Run Clubs'!M21)</f>
        <v/>
      </c>
      <c r="M21" s="17">
        <f>IF('Run Clubs'!N21="","",'Run Clubs'!N21)</f>
        <v/>
      </c>
      <c r="N21" s="16">
        <f>IF('Run Clubs'!O21="","",'Run Clubs'!O21)</f>
        <v/>
      </c>
      <c r="O21" s="17">
        <f>IF('Run Clubs'!P21="","",'Run Clubs'!P21)</f>
        <v/>
      </c>
      <c r="P21" s="17">
        <f>IF('Run Clubs'!Q21="","",'Run Clubs'!Q21)</f>
        <v/>
      </c>
      <c r="Q21" s="15">
        <f>IF('Run Clubs'!R21="","",'Run Clubs'!R21)</f>
        <v/>
      </c>
      <c r="R21" s="19">
        <f>IF('Run Clubs'!S21="","",'Run Clubs'!S21)</f>
        <v/>
      </c>
      <c r="S21" s="16">
        <f>IF('Run Clubs'!T21="","",'Run Clubs'!T21)</f>
        <v/>
      </c>
      <c r="T21" s="15">
        <f>IF('Run Clubs'!U21="","",'Run Clubs'!U21)</f>
        <v/>
      </c>
      <c r="U21" s="17">
        <f>IF('Run Clubs'!V21="","",'Run Clubs'!V21)</f>
        <v/>
      </c>
      <c r="V21" s="15">
        <f>IF('Run Clubs'!W21="","",'Run Clubs'!W21)</f>
        <v/>
      </c>
      <c r="W21" s="17">
        <f>IF('Run Clubs'!X21="","",'Run Clubs'!X21)</f>
        <v/>
      </c>
      <c r="X21" s="17">
        <f>IF('Run Clubs'!Y21="","",'Run Clubs'!Y21)</f>
        <v/>
      </c>
      <c r="Y21" s="20">
        <f>IF('Run Clubs'!Z21="","",'Run Clubs'!Z21)</f>
        <v/>
      </c>
      <c r="Z21" s="21">
        <f>IF('Run Clubs'!AA21="","",'Run Clubs'!AA21)</f>
        <v/>
      </c>
      <c r="AA21" s="20">
        <f>IF('Run Clubs'!AB21="","",'Run Clubs'!AB21)</f>
        <v/>
      </c>
      <c r="AB21" s="16">
        <f>IF('Run Clubs'!AC21="","",'Run Clubs'!AC21)</f>
        <v/>
      </c>
      <c r="AC21" s="16">
        <f>IF('Run Clubs'!AD21="","",'Run Clubs'!AD21)</f>
        <v/>
      </c>
      <c r="AD21" s="16">
        <f>IF('Run Clubs'!AE21="","",'Run Clubs'!AE21)</f>
        <v/>
      </c>
      <c r="AE21" s="16">
        <f>IF('Run Clubs'!AF21="","",'Run Clubs'!AF21)</f>
        <v/>
      </c>
      <c r="AF21" s="16">
        <f>IF('Run Clubs'!AG21="","",'Run Clubs'!AG21)</f>
        <v/>
      </c>
      <c r="AG21" s="17">
        <f>IF('Run Clubs'!AH21="","",'Run Clubs'!AH21)</f>
        <v/>
      </c>
      <c r="AH21" s="17">
        <f>IF('Run Clubs'!AI21="","",'Run Clubs'!AI21)</f>
        <v/>
      </c>
      <c r="AI21" s="17">
        <f>IF('Run Clubs'!AJ21="","",'Run Clubs'!AJ21)</f>
        <v/>
      </c>
      <c r="AJ21" s="17">
        <f>IF('Run Clubs'!AK21="","",'Run Clubs'!AK21)</f>
        <v/>
      </c>
      <c r="AK21" s="16">
        <f>IF('Run Clubs'!AL21="","",'Run Clubs'!AL21)</f>
        <v/>
      </c>
      <c r="AL21" s="18">
        <f>IF(V21="","",V21+ROW()/100000)</f>
        <v/>
      </c>
    </row>
    <row r="22" ht="18" customHeight="1">
      <c r="A22" s="22">
        <f>IF('Run Clubs'!B22="","","Run Clubs")</f>
        <v/>
      </c>
      <c r="B22" s="22">
        <f>IF('Run Clubs'!B22="","",'Run Clubs'!B22)</f>
        <v/>
      </c>
      <c r="C22" s="23">
        <f>IF('Run Clubs'!D22="","",'Run Clubs'!D22)</f>
        <v/>
      </c>
      <c r="D22" s="22">
        <f>IF('Run Clubs'!E22="","",'Run Clubs'!E22)</f>
        <v/>
      </c>
      <c r="E22" s="23">
        <f>IF('Run Clubs'!F22="","",'Run Clubs'!F22)</f>
        <v/>
      </c>
      <c r="F22" s="23">
        <f>IF('Run Clubs'!G22="","",'Run Clubs'!G22)</f>
        <v/>
      </c>
      <c r="G22" s="23">
        <f>IF('Run Clubs'!H22="","",'Run Clubs'!H22)</f>
        <v/>
      </c>
      <c r="H22" s="22">
        <f>IF('Run Clubs'!I22="","",'Run Clubs'!I22)</f>
        <v/>
      </c>
      <c r="I22" s="23">
        <f>IF('Run Clubs'!J22="","",'Run Clubs'!J22)</f>
        <v/>
      </c>
      <c r="J22" s="22">
        <f>IF('Run Clubs'!K22="","",'Run Clubs'!K22)</f>
        <v/>
      </c>
      <c r="K22" s="23">
        <f>IF('Run Clubs'!L22="","",'Run Clubs'!L22)</f>
        <v/>
      </c>
      <c r="L22" s="22">
        <f>IF('Run Clubs'!M22="","",'Run Clubs'!M22)</f>
        <v/>
      </c>
      <c r="M22" s="23">
        <f>IF('Run Clubs'!N22="","",'Run Clubs'!N22)</f>
        <v/>
      </c>
      <c r="N22" s="22">
        <f>IF('Run Clubs'!O22="","",'Run Clubs'!O22)</f>
        <v/>
      </c>
      <c r="O22" s="23">
        <f>IF('Run Clubs'!P22="","",'Run Clubs'!P22)</f>
        <v/>
      </c>
      <c r="P22" s="23">
        <f>IF('Run Clubs'!Q22="","",'Run Clubs'!Q22)</f>
        <v/>
      </c>
      <c r="Q22" s="24">
        <f>IF('Run Clubs'!R22="","",'Run Clubs'!R22)</f>
        <v/>
      </c>
      <c r="R22" s="25">
        <f>IF('Run Clubs'!S22="","",'Run Clubs'!S22)</f>
        <v/>
      </c>
      <c r="S22" s="22">
        <f>IF('Run Clubs'!T22="","",'Run Clubs'!T22)</f>
        <v/>
      </c>
      <c r="T22" s="24">
        <f>IF('Run Clubs'!U22="","",'Run Clubs'!U22)</f>
        <v/>
      </c>
      <c r="U22" s="23">
        <f>IF('Run Clubs'!V22="","",'Run Clubs'!V22)</f>
        <v/>
      </c>
      <c r="V22" s="24">
        <f>IF('Run Clubs'!W22="","",'Run Clubs'!W22)</f>
        <v/>
      </c>
      <c r="W22" s="23">
        <f>IF('Run Clubs'!X22="","",'Run Clubs'!X22)</f>
        <v/>
      </c>
      <c r="X22" s="23">
        <f>IF('Run Clubs'!Y22="","",'Run Clubs'!Y22)</f>
        <v/>
      </c>
      <c r="Y22" s="26">
        <f>IF('Run Clubs'!Z22="","",'Run Clubs'!Z22)</f>
        <v/>
      </c>
      <c r="Z22" s="27">
        <f>IF('Run Clubs'!AA22="","",'Run Clubs'!AA22)</f>
        <v/>
      </c>
      <c r="AA22" s="26">
        <f>IF('Run Clubs'!AB22="","",'Run Clubs'!AB22)</f>
        <v/>
      </c>
      <c r="AB22" s="22">
        <f>IF('Run Clubs'!AC22="","",'Run Clubs'!AC22)</f>
        <v/>
      </c>
      <c r="AC22" s="22">
        <f>IF('Run Clubs'!AD22="","",'Run Clubs'!AD22)</f>
        <v/>
      </c>
      <c r="AD22" s="22">
        <f>IF('Run Clubs'!AE22="","",'Run Clubs'!AE22)</f>
        <v/>
      </c>
      <c r="AE22" s="22">
        <f>IF('Run Clubs'!AF22="","",'Run Clubs'!AF22)</f>
        <v/>
      </c>
      <c r="AF22" s="22">
        <f>IF('Run Clubs'!AG22="","",'Run Clubs'!AG22)</f>
        <v/>
      </c>
      <c r="AG22" s="23">
        <f>IF('Run Clubs'!AH22="","",'Run Clubs'!AH22)</f>
        <v/>
      </c>
      <c r="AH22" s="23">
        <f>IF('Run Clubs'!AI22="","",'Run Clubs'!AI22)</f>
        <v/>
      </c>
      <c r="AI22" s="23">
        <f>IF('Run Clubs'!AJ22="","",'Run Clubs'!AJ22)</f>
        <v/>
      </c>
      <c r="AJ22" s="23">
        <f>IF('Run Clubs'!AK22="","",'Run Clubs'!AK22)</f>
        <v/>
      </c>
      <c r="AK22" s="22">
        <f>IF('Run Clubs'!AL22="","",'Run Clubs'!AL22)</f>
        <v/>
      </c>
      <c r="AL22" s="18">
        <f>IF(V22="","",V22+ROW()/100000)</f>
        <v/>
      </c>
    </row>
    <row r="23" ht="18" customHeight="1">
      <c r="A23" s="16">
        <f>IF('Run Clubs'!B23="","","Run Clubs")</f>
        <v/>
      </c>
      <c r="B23" s="16">
        <f>IF('Run Clubs'!B23="","",'Run Clubs'!B23)</f>
        <v/>
      </c>
      <c r="C23" s="17">
        <f>IF('Run Clubs'!D23="","",'Run Clubs'!D23)</f>
        <v/>
      </c>
      <c r="D23" s="16">
        <f>IF('Run Clubs'!E23="","",'Run Clubs'!E23)</f>
        <v/>
      </c>
      <c r="E23" s="17">
        <f>IF('Run Clubs'!F23="","",'Run Clubs'!F23)</f>
        <v/>
      </c>
      <c r="F23" s="17">
        <f>IF('Run Clubs'!G23="","",'Run Clubs'!G23)</f>
        <v/>
      </c>
      <c r="G23" s="17">
        <f>IF('Run Clubs'!H23="","",'Run Clubs'!H23)</f>
        <v/>
      </c>
      <c r="H23" s="16">
        <f>IF('Run Clubs'!I23="","",'Run Clubs'!I23)</f>
        <v/>
      </c>
      <c r="I23" s="17">
        <f>IF('Run Clubs'!J23="","",'Run Clubs'!J23)</f>
        <v/>
      </c>
      <c r="J23" s="16">
        <f>IF('Run Clubs'!K23="","",'Run Clubs'!K23)</f>
        <v/>
      </c>
      <c r="K23" s="17">
        <f>IF('Run Clubs'!L23="","",'Run Clubs'!L23)</f>
        <v/>
      </c>
      <c r="L23" s="16">
        <f>IF('Run Clubs'!M23="","",'Run Clubs'!M23)</f>
        <v/>
      </c>
      <c r="M23" s="17">
        <f>IF('Run Clubs'!N23="","",'Run Clubs'!N23)</f>
        <v/>
      </c>
      <c r="N23" s="16">
        <f>IF('Run Clubs'!O23="","",'Run Clubs'!O23)</f>
        <v/>
      </c>
      <c r="O23" s="17">
        <f>IF('Run Clubs'!P23="","",'Run Clubs'!P23)</f>
        <v/>
      </c>
      <c r="P23" s="17">
        <f>IF('Run Clubs'!Q23="","",'Run Clubs'!Q23)</f>
        <v/>
      </c>
      <c r="Q23" s="15">
        <f>IF('Run Clubs'!R23="","",'Run Clubs'!R23)</f>
        <v/>
      </c>
      <c r="R23" s="19">
        <f>IF('Run Clubs'!S23="","",'Run Clubs'!S23)</f>
        <v/>
      </c>
      <c r="S23" s="16">
        <f>IF('Run Clubs'!T23="","",'Run Clubs'!T23)</f>
        <v/>
      </c>
      <c r="T23" s="15">
        <f>IF('Run Clubs'!U23="","",'Run Clubs'!U23)</f>
        <v/>
      </c>
      <c r="U23" s="17">
        <f>IF('Run Clubs'!V23="","",'Run Clubs'!V23)</f>
        <v/>
      </c>
      <c r="V23" s="15">
        <f>IF('Run Clubs'!W23="","",'Run Clubs'!W23)</f>
        <v/>
      </c>
      <c r="W23" s="17">
        <f>IF('Run Clubs'!X23="","",'Run Clubs'!X23)</f>
        <v/>
      </c>
      <c r="X23" s="17">
        <f>IF('Run Clubs'!Y23="","",'Run Clubs'!Y23)</f>
        <v/>
      </c>
      <c r="Y23" s="20">
        <f>IF('Run Clubs'!Z23="","",'Run Clubs'!Z23)</f>
        <v/>
      </c>
      <c r="Z23" s="21">
        <f>IF('Run Clubs'!AA23="","",'Run Clubs'!AA23)</f>
        <v/>
      </c>
      <c r="AA23" s="20">
        <f>IF('Run Clubs'!AB23="","",'Run Clubs'!AB23)</f>
        <v/>
      </c>
      <c r="AB23" s="16">
        <f>IF('Run Clubs'!AC23="","",'Run Clubs'!AC23)</f>
        <v/>
      </c>
      <c r="AC23" s="16">
        <f>IF('Run Clubs'!AD23="","",'Run Clubs'!AD23)</f>
        <v/>
      </c>
      <c r="AD23" s="16">
        <f>IF('Run Clubs'!AE23="","",'Run Clubs'!AE23)</f>
        <v/>
      </c>
      <c r="AE23" s="16">
        <f>IF('Run Clubs'!AF23="","",'Run Clubs'!AF23)</f>
        <v/>
      </c>
      <c r="AF23" s="16">
        <f>IF('Run Clubs'!AG23="","",'Run Clubs'!AG23)</f>
        <v/>
      </c>
      <c r="AG23" s="17">
        <f>IF('Run Clubs'!AH23="","",'Run Clubs'!AH23)</f>
        <v/>
      </c>
      <c r="AH23" s="17">
        <f>IF('Run Clubs'!AI23="","",'Run Clubs'!AI23)</f>
        <v/>
      </c>
      <c r="AI23" s="17">
        <f>IF('Run Clubs'!AJ23="","",'Run Clubs'!AJ23)</f>
        <v/>
      </c>
      <c r="AJ23" s="17">
        <f>IF('Run Clubs'!AK23="","",'Run Clubs'!AK23)</f>
        <v/>
      </c>
      <c r="AK23" s="16">
        <f>IF('Run Clubs'!AL23="","",'Run Clubs'!AL23)</f>
        <v/>
      </c>
      <c r="AL23" s="18">
        <f>IF(V23="","",V23+ROW()/100000)</f>
        <v/>
      </c>
    </row>
    <row r="24" ht="18" customHeight="1">
      <c r="A24" s="22">
        <f>IF('Run Clubs'!B24="","","Run Clubs")</f>
        <v/>
      </c>
      <c r="B24" s="22">
        <f>IF('Run Clubs'!B24="","",'Run Clubs'!B24)</f>
        <v/>
      </c>
      <c r="C24" s="23">
        <f>IF('Run Clubs'!D24="","",'Run Clubs'!D24)</f>
        <v/>
      </c>
      <c r="D24" s="22">
        <f>IF('Run Clubs'!E24="","",'Run Clubs'!E24)</f>
        <v/>
      </c>
      <c r="E24" s="23">
        <f>IF('Run Clubs'!F24="","",'Run Clubs'!F24)</f>
        <v/>
      </c>
      <c r="F24" s="23">
        <f>IF('Run Clubs'!G24="","",'Run Clubs'!G24)</f>
        <v/>
      </c>
      <c r="G24" s="23">
        <f>IF('Run Clubs'!H24="","",'Run Clubs'!H24)</f>
        <v/>
      </c>
      <c r="H24" s="22">
        <f>IF('Run Clubs'!I24="","",'Run Clubs'!I24)</f>
        <v/>
      </c>
      <c r="I24" s="23">
        <f>IF('Run Clubs'!J24="","",'Run Clubs'!J24)</f>
        <v/>
      </c>
      <c r="J24" s="22">
        <f>IF('Run Clubs'!K24="","",'Run Clubs'!K24)</f>
        <v/>
      </c>
      <c r="K24" s="23">
        <f>IF('Run Clubs'!L24="","",'Run Clubs'!L24)</f>
        <v/>
      </c>
      <c r="L24" s="22">
        <f>IF('Run Clubs'!M24="","",'Run Clubs'!M24)</f>
        <v/>
      </c>
      <c r="M24" s="23">
        <f>IF('Run Clubs'!N24="","",'Run Clubs'!N24)</f>
        <v/>
      </c>
      <c r="N24" s="22">
        <f>IF('Run Clubs'!O24="","",'Run Clubs'!O24)</f>
        <v/>
      </c>
      <c r="O24" s="23">
        <f>IF('Run Clubs'!P24="","",'Run Clubs'!P24)</f>
        <v/>
      </c>
      <c r="P24" s="23">
        <f>IF('Run Clubs'!Q24="","",'Run Clubs'!Q24)</f>
        <v/>
      </c>
      <c r="Q24" s="24">
        <f>IF('Run Clubs'!R24="","",'Run Clubs'!R24)</f>
        <v/>
      </c>
      <c r="R24" s="25">
        <f>IF('Run Clubs'!S24="","",'Run Clubs'!S24)</f>
        <v/>
      </c>
      <c r="S24" s="22">
        <f>IF('Run Clubs'!T24="","",'Run Clubs'!T24)</f>
        <v/>
      </c>
      <c r="T24" s="24">
        <f>IF('Run Clubs'!U24="","",'Run Clubs'!U24)</f>
        <v/>
      </c>
      <c r="U24" s="23">
        <f>IF('Run Clubs'!V24="","",'Run Clubs'!V24)</f>
        <v/>
      </c>
      <c r="V24" s="24">
        <f>IF('Run Clubs'!W24="","",'Run Clubs'!W24)</f>
        <v/>
      </c>
      <c r="W24" s="23">
        <f>IF('Run Clubs'!X24="","",'Run Clubs'!X24)</f>
        <v/>
      </c>
      <c r="X24" s="23">
        <f>IF('Run Clubs'!Y24="","",'Run Clubs'!Y24)</f>
        <v/>
      </c>
      <c r="Y24" s="26">
        <f>IF('Run Clubs'!Z24="","",'Run Clubs'!Z24)</f>
        <v/>
      </c>
      <c r="Z24" s="27">
        <f>IF('Run Clubs'!AA24="","",'Run Clubs'!AA24)</f>
        <v/>
      </c>
      <c r="AA24" s="26">
        <f>IF('Run Clubs'!AB24="","",'Run Clubs'!AB24)</f>
        <v/>
      </c>
      <c r="AB24" s="22">
        <f>IF('Run Clubs'!AC24="","",'Run Clubs'!AC24)</f>
        <v/>
      </c>
      <c r="AC24" s="22">
        <f>IF('Run Clubs'!AD24="","",'Run Clubs'!AD24)</f>
        <v/>
      </c>
      <c r="AD24" s="22">
        <f>IF('Run Clubs'!AE24="","",'Run Clubs'!AE24)</f>
        <v/>
      </c>
      <c r="AE24" s="22">
        <f>IF('Run Clubs'!AF24="","",'Run Clubs'!AF24)</f>
        <v/>
      </c>
      <c r="AF24" s="22">
        <f>IF('Run Clubs'!AG24="","",'Run Clubs'!AG24)</f>
        <v/>
      </c>
      <c r="AG24" s="23">
        <f>IF('Run Clubs'!AH24="","",'Run Clubs'!AH24)</f>
        <v/>
      </c>
      <c r="AH24" s="23">
        <f>IF('Run Clubs'!AI24="","",'Run Clubs'!AI24)</f>
        <v/>
      </c>
      <c r="AI24" s="23">
        <f>IF('Run Clubs'!AJ24="","",'Run Clubs'!AJ24)</f>
        <v/>
      </c>
      <c r="AJ24" s="23">
        <f>IF('Run Clubs'!AK24="","",'Run Clubs'!AK24)</f>
        <v/>
      </c>
      <c r="AK24" s="22">
        <f>IF('Run Clubs'!AL24="","",'Run Clubs'!AL24)</f>
        <v/>
      </c>
      <c r="AL24" s="18">
        <f>IF(V24="","",V24+ROW()/100000)</f>
        <v/>
      </c>
    </row>
    <row r="25" ht="18" customHeight="1">
      <c r="A25" s="16">
        <f>IF('Run Clubs'!B25="","","Run Clubs")</f>
        <v/>
      </c>
      <c r="B25" s="16">
        <f>IF('Run Clubs'!B25="","",'Run Clubs'!B25)</f>
        <v/>
      </c>
      <c r="C25" s="17">
        <f>IF('Run Clubs'!D25="","",'Run Clubs'!D25)</f>
        <v/>
      </c>
      <c r="D25" s="16">
        <f>IF('Run Clubs'!E25="","",'Run Clubs'!E25)</f>
        <v/>
      </c>
      <c r="E25" s="17">
        <f>IF('Run Clubs'!F25="","",'Run Clubs'!F25)</f>
        <v/>
      </c>
      <c r="F25" s="17">
        <f>IF('Run Clubs'!G25="","",'Run Clubs'!G25)</f>
        <v/>
      </c>
      <c r="G25" s="17">
        <f>IF('Run Clubs'!H25="","",'Run Clubs'!H25)</f>
        <v/>
      </c>
      <c r="H25" s="16">
        <f>IF('Run Clubs'!I25="","",'Run Clubs'!I25)</f>
        <v/>
      </c>
      <c r="I25" s="17">
        <f>IF('Run Clubs'!J25="","",'Run Clubs'!J25)</f>
        <v/>
      </c>
      <c r="J25" s="16">
        <f>IF('Run Clubs'!K25="","",'Run Clubs'!K25)</f>
        <v/>
      </c>
      <c r="K25" s="17">
        <f>IF('Run Clubs'!L25="","",'Run Clubs'!L25)</f>
        <v/>
      </c>
      <c r="L25" s="16">
        <f>IF('Run Clubs'!M25="","",'Run Clubs'!M25)</f>
        <v/>
      </c>
      <c r="M25" s="17">
        <f>IF('Run Clubs'!N25="","",'Run Clubs'!N25)</f>
        <v/>
      </c>
      <c r="N25" s="16">
        <f>IF('Run Clubs'!O25="","",'Run Clubs'!O25)</f>
        <v/>
      </c>
      <c r="O25" s="17">
        <f>IF('Run Clubs'!P25="","",'Run Clubs'!P25)</f>
        <v/>
      </c>
      <c r="P25" s="17">
        <f>IF('Run Clubs'!Q25="","",'Run Clubs'!Q25)</f>
        <v/>
      </c>
      <c r="Q25" s="15">
        <f>IF('Run Clubs'!R25="","",'Run Clubs'!R25)</f>
        <v/>
      </c>
      <c r="R25" s="19">
        <f>IF('Run Clubs'!S25="","",'Run Clubs'!S25)</f>
        <v/>
      </c>
      <c r="S25" s="16">
        <f>IF('Run Clubs'!T25="","",'Run Clubs'!T25)</f>
        <v/>
      </c>
      <c r="T25" s="15">
        <f>IF('Run Clubs'!U25="","",'Run Clubs'!U25)</f>
        <v/>
      </c>
      <c r="U25" s="17">
        <f>IF('Run Clubs'!V25="","",'Run Clubs'!V25)</f>
        <v/>
      </c>
      <c r="V25" s="15">
        <f>IF('Run Clubs'!W25="","",'Run Clubs'!W25)</f>
        <v/>
      </c>
      <c r="W25" s="17">
        <f>IF('Run Clubs'!X25="","",'Run Clubs'!X25)</f>
        <v/>
      </c>
      <c r="X25" s="17">
        <f>IF('Run Clubs'!Y25="","",'Run Clubs'!Y25)</f>
        <v/>
      </c>
      <c r="Y25" s="20">
        <f>IF('Run Clubs'!Z25="","",'Run Clubs'!Z25)</f>
        <v/>
      </c>
      <c r="Z25" s="21">
        <f>IF('Run Clubs'!AA25="","",'Run Clubs'!AA25)</f>
        <v/>
      </c>
      <c r="AA25" s="20">
        <f>IF('Run Clubs'!AB25="","",'Run Clubs'!AB25)</f>
        <v/>
      </c>
      <c r="AB25" s="16">
        <f>IF('Run Clubs'!AC25="","",'Run Clubs'!AC25)</f>
        <v/>
      </c>
      <c r="AC25" s="16">
        <f>IF('Run Clubs'!AD25="","",'Run Clubs'!AD25)</f>
        <v/>
      </c>
      <c r="AD25" s="16">
        <f>IF('Run Clubs'!AE25="","",'Run Clubs'!AE25)</f>
        <v/>
      </c>
      <c r="AE25" s="16">
        <f>IF('Run Clubs'!AF25="","",'Run Clubs'!AF25)</f>
        <v/>
      </c>
      <c r="AF25" s="16">
        <f>IF('Run Clubs'!AG25="","",'Run Clubs'!AG25)</f>
        <v/>
      </c>
      <c r="AG25" s="17">
        <f>IF('Run Clubs'!AH25="","",'Run Clubs'!AH25)</f>
        <v/>
      </c>
      <c r="AH25" s="17">
        <f>IF('Run Clubs'!AI25="","",'Run Clubs'!AI25)</f>
        <v/>
      </c>
      <c r="AI25" s="17">
        <f>IF('Run Clubs'!AJ25="","",'Run Clubs'!AJ25)</f>
        <v/>
      </c>
      <c r="AJ25" s="17">
        <f>IF('Run Clubs'!AK25="","",'Run Clubs'!AK25)</f>
        <v/>
      </c>
      <c r="AK25" s="16">
        <f>IF('Run Clubs'!AL25="","",'Run Clubs'!AL25)</f>
        <v/>
      </c>
      <c r="AL25" s="18">
        <f>IF(V25="","",V25+ROW()/100000)</f>
        <v/>
      </c>
    </row>
    <row r="26" ht="18" customHeight="1">
      <c r="A26" s="22">
        <f>IF('Run Clubs'!B26="","","Run Clubs")</f>
        <v/>
      </c>
      <c r="B26" s="22">
        <f>IF('Run Clubs'!B26="","",'Run Clubs'!B26)</f>
        <v/>
      </c>
      <c r="C26" s="23">
        <f>IF('Run Clubs'!D26="","",'Run Clubs'!D26)</f>
        <v/>
      </c>
      <c r="D26" s="22">
        <f>IF('Run Clubs'!E26="","",'Run Clubs'!E26)</f>
        <v/>
      </c>
      <c r="E26" s="23">
        <f>IF('Run Clubs'!F26="","",'Run Clubs'!F26)</f>
        <v/>
      </c>
      <c r="F26" s="23">
        <f>IF('Run Clubs'!G26="","",'Run Clubs'!G26)</f>
        <v/>
      </c>
      <c r="G26" s="23">
        <f>IF('Run Clubs'!H26="","",'Run Clubs'!H26)</f>
        <v/>
      </c>
      <c r="H26" s="22">
        <f>IF('Run Clubs'!I26="","",'Run Clubs'!I26)</f>
        <v/>
      </c>
      <c r="I26" s="23">
        <f>IF('Run Clubs'!J26="","",'Run Clubs'!J26)</f>
        <v/>
      </c>
      <c r="J26" s="22">
        <f>IF('Run Clubs'!K26="","",'Run Clubs'!K26)</f>
        <v/>
      </c>
      <c r="K26" s="23">
        <f>IF('Run Clubs'!L26="","",'Run Clubs'!L26)</f>
        <v/>
      </c>
      <c r="L26" s="22">
        <f>IF('Run Clubs'!M26="","",'Run Clubs'!M26)</f>
        <v/>
      </c>
      <c r="M26" s="23">
        <f>IF('Run Clubs'!N26="","",'Run Clubs'!N26)</f>
        <v/>
      </c>
      <c r="N26" s="22">
        <f>IF('Run Clubs'!O26="","",'Run Clubs'!O26)</f>
        <v/>
      </c>
      <c r="O26" s="23">
        <f>IF('Run Clubs'!P26="","",'Run Clubs'!P26)</f>
        <v/>
      </c>
      <c r="P26" s="23">
        <f>IF('Run Clubs'!Q26="","",'Run Clubs'!Q26)</f>
        <v/>
      </c>
      <c r="Q26" s="24">
        <f>IF('Run Clubs'!R26="","",'Run Clubs'!R26)</f>
        <v/>
      </c>
      <c r="R26" s="25">
        <f>IF('Run Clubs'!S26="","",'Run Clubs'!S26)</f>
        <v/>
      </c>
      <c r="S26" s="22">
        <f>IF('Run Clubs'!T26="","",'Run Clubs'!T26)</f>
        <v/>
      </c>
      <c r="T26" s="24">
        <f>IF('Run Clubs'!U26="","",'Run Clubs'!U26)</f>
        <v/>
      </c>
      <c r="U26" s="23">
        <f>IF('Run Clubs'!V26="","",'Run Clubs'!V26)</f>
        <v/>
      </c>
      <c r="V26" s="24">
        <f>IF('Run Clubs'!W26="","",'Run Clubs'!W26)</f>
        <v/>
      </c>
      <c r="W26" s="23">
        <f>IF('Run Clubs'!X26="","",'Run Clubs'!X26)</f>
        <v/>
      </c>
      <c r="X26" s="23">
        <f>IF('Run Clubs'!Y26="","",'Run Clubs'!Y26)</f>
        <v/>
      </c>
      <c r="Y26" s="26">
        <f>IF('Run Clubs'!Z26="","",'Run Clubs'!Z26)</f>
        <v/>
      </c>
      <c r="Z26" s="27">
        <f>IF('Run Clubs'!AA26="","",'Run Clubs'!AA26)</f>
        <v/>
      </c>
      <c r="AA26" s="26">
        <f>IF('Run Clubs'!AB26="","",'Run Clubs'!AB26)</f>
        <v/>
      </c>
      <c r="AB26" s="22">
        <f>IF('Run Clubs'!AC26="","",'Run Clubs'!AC26)</f>
        <v/>
      </c>
      <c r="AC26" s="22">
        <f>IF('Run Clubs'!AD26="","",'Run Clubs'!AD26)</f>
        <v/>
      </c>
      <c r="AD26" s="22">
        <f>IF('Run Clubs'!AE26="","",'Run Clubs'!AE26)</f>
        <v/>
      </c>
      <c r="AE26" s="22">
        <f>IF('Run Clubs'!AF26="","",'Run Clubs'!AF26)</f>
        <v/>
      </c>
      <c r="AF26" s="22">
        <f>IF('Run Clubs'!AG26="","",'Run Clubs'!AG26)</f>
        <v/>
      </c>
      <c r="AG26" s="23">
        <f>IF('Run Clubs'!AH26="","",'Run Clubs'!AH26)</f>
        <v/>
      </c>
      <c r="AH26" s="23">
        <f>IF('Run Clubs'!AI26="","",'Run Clubs'!AI26)</f>
        <v/>
      </c>
      <c r="AI26" s="23">
        <f>IF('Run Clubs'!AJ26="","",'Run Clubs'!AJ26)</f>
        <v/>
      </c>
      <c r="AJ26" s="23">
        <f>IF('Run Clubs'!AK26="","",'Run Clubs'!AK26)</f>
        <v/>
      </c>
      <c r="AK26" s="22">
        <f>IF('Run Clubs'!AL26="","",'Run Clubs'!AL26)</f>
        <v/>
      </c>
      <c r="AL26" s="18">
        <f>IF(V26="","",V26+ROW()/100000)</f>
        <v/>
      </c>
    </row>
    <row r="27" ht="18" customHeight="1">
      <c r="A27" s="16">
        <f>IF('Run Clubs'!B27="","","Run Clubs")</f>
        <v/>
      </c>
      <c r="B27" s="16">
        <f>IF('Run Clubs'!B27="","",'Run Clubs'!B27)</f>
        <v/>
      </c>
      <c r="C27" s="17">
        <f>IF('Run Clubs'!D27="","",'Run Clubs'!D27)</f>
        <v/>
      </c>
      <c r="D27" s="16">
        <f>IF('Run Clubs'!E27="","",'Run Clubs'!E27)</f>
        <v/>
      </c>
      <c r="E27" s="17">
        <f>IF('Run Clubs'!F27="","",'Run Clubs'!F27)</f>
        <v/>
      </c>
      <c r="F27" s="17">
        <f>IF('Run Clubs'!G27="","",'Run Clubs'!G27)</f>
        <v/>
      </c>
      <c r="G27" s="17">
        <f>IF('Run Clubs'!H27="","",'Run Clubs'!H27)</f>
        <v/>
      </c>
      <c r="H27" s="16">
        <f>IF('Run Clubs'!I27="","",'Run Clubs'!I27)</f>
        <v/>
      </c>
      <c r="I27" s="17">
        <f>IF('Run Clubs'!J27="","",'Run Clubs'!J27)</f>
        <v/>
      </c>
      <c r="J27" s="16">
        <f>IF('Run Clubs'!K27="","",'Run Clubs'!K27)</f>
        <v/>
      </c>
      <c r="K27" s="17">
        <f>IF('Run Clubs'!L27="","",'Run Clubs'!L27)</f>
        <v/>
      </c>
      <c r="L27" s="16">
        <f>IF('Run Clubs'!M27="","",'Run Clubs'!M27)</f>
        <v/>
      </c>
      <c r="M27" s="17">
        <f>IF('Run Clubs'!N27="","",'Run Clubs'!N27)</f>
        <v/>
      </c>
      <c r="N27" s="16">
        <f>IF('Run Clubs'!O27="","",'Run Clubs'!O27)</f>
        <v/>
      </c>
      <c r="O27" s="17">
        <f>IF('Run Clubs'!P27="","",'Run Clubs'!P27)</f>
        <v/>
      </c>
      <c r="P27" s="17">
        <f>IF('Run Clubs'!Q27="","",'Run Clubs'!Q27)</f>
        <v/>
      </c>
      <c r="Q27" s="15">
        <f>IF('Run Clubs'!R27="","",'Run Clubs'!R27)</f>
        <v/>
      </c>
      <c r="R27" s="19">
        <f>IF('Run Clubs'!S27="","",'Run Clubs'!S27)</f>
        <v/>
      </c>
      <c r="S27" s="16">
        <f>IF('Run Clubs'!T27="","",'Run Clubs'!T27)</f>
        <v/>
      </c>
      <c r="T27" s="15">
        <f>IF('Run Clubs'!U27="","",'Run Clubs'!U27)</f>
        <v/>
      </c>
      <c r="U27" s="17">
        <f>IF('Run Clubs'!V27="","",'Run Clubs'!V27)</f>
        <v/>
      </c>
      <c r="V27" s="15">
        <f>IF('Run Clubs'!W27="","",'Run Clubs'!W27)</f>
        <v/>
      </c>
      <c r="W27" s="17">
        <f>IF('Run Clubs'!X27="","",'Run Clubs'!X27)</f>
        <v/>
      </c>
      <c r="X27" s="17">
        <f>IF('Run Clubs'!Y27="","",'Run Clubs'!Y27)</f>
        <v/>
      </c>
      <c r="Y27" s="20">
        <f>IF('Run Clubs'!Z27="","",'Run Clubs'!Z27)</f>
        <v/>
      </c>
      <c r="Z27" s="21">
        <f>IF('Run Clubs'!AA27="","",'Run Clubs'!AA27)</f>
        <v/>
      </c>
      <c r="AA27" s="20">
        <f>IF('Run Clubs'!AB27="","",'Run Clubs'!AB27)</f>
        <v/>
      </c>
      <c r="AB27" s="16">
        <f>IF('Run Clubs'!AC27="","",'Run Clubs'!AC27)</f>
        <v/>
      </c>
      <c r="AC27" s="16">
        <f>IF('Run Clubs'!AD27="","",'Run Clubs'!AD27)</f>
        <v/>
      </c>
      <c r="AD27" s="16">
        <f>IF('Run Clubs'!AE27="","",'Run Clubs'!AE27)</f>
        <v/>
      </c>
      <c r="AE27" s="16">
        <f>IF('Run Clubs'!AF27="","",'Run Clubs'!AF27)</f>
        <v/>
      </c>
      <c r="AF27" s="16">
        <f>IF('Run Clubs'!AG27="","",'Run Clubs'!AG27)</f>
        <v/>
      </c>
      <c r="AG27" s="17">
        <f>IF('Run Clubs'!AH27="","",'Run Clubs'!AH27)</f>
        <v/>
      </c>
      <c r="AH27" s="17">
        <f>IF('Run Clubs'!AI27="","",'Run Clubs'!AI27)</f>
        <v/>
      </c>
      <c r="AI27" s="17">
        <f>IF('Run Clubs'!AJ27="","",'Run Clubs'!AJ27)</f>
        <v/>
      </c>
      <c r="AJ27" s="17">
        <f>IF('Run Clubs'!AK27="","",'Run Clubs'!AK27)</f>
        <v/>
      </c>
      <c r="AK27" s="16">
        <f>IF('Run Clubs'!AL27="","",'Run Clubs'!AL27)</f>
        <v/>
      </c>
      <c r="AL27" s="18">
        <f>IF(V27="","",V27+ROW()/100000)</f>
        <v/>
      </c>
    </row>
    <row r="28" ht="18" customHeight="1">
      <c r="A28" s="22">
        <f>IF('Run Clubs'!B28="","","Run Clubs")</f>
        <v/>
      </c>
      <c r="B28" s="22">
        <f>IF('Run Clubs'!B28="","",'Run Clubs'!B28)</f>
        <v/>
      </c>
      <c r="C28" s="23">
        <f>IF('Run Clubs'!D28="","",'Run Clubs'!D28)</f>
        <v/>
      </c>
      <c r="D28" s="22">
        <f>IF('Run Clubs'!E28="","",'Run Clubs'!E28)</f>
        <v/>
      </c>
      <c r="E28" s="23">
        <f>IF('Run Clubs'!F28="","",'Run Clubs'!F28)</f>
        <v/>
      </c>
      <c r="F28" s="23">
        <f>IF('Run Clubs'!G28="","",'Run Clubs'!G28)</f>
        <v/>
      </c>
      <c r="G28" s="23">
        <f>IF('Run Clubs'!H28="","",'Run Clubs'!H28)</f>
        <v/>
      </c>
      <c r="H28" s="22">
        <f>IF('Run Clubs'!I28="","",'Run Clubs'!I28)</f>
        <v/>
      </c>
      <c r="I28" s="23">
        <f>IF('Run Clubs'!J28="","",'Run Clubs'!J28)</f>
        <v/>
      </c>
      <c r="J28" s="22">
        <f>IF('Run Clubs'!K28="","",'Run Clubs'!K28)</f>
        <v/>
      </c>
      <c r="K28" s="23">
        <f>IF('Run Clubs'!L28="","",'Run Clubs'!L28)</f>
        <v/>
      </c>
      <c r="L28" s="22">
        <f>IF('Run Clubs'!M28="","",'Run Clubs'!M28)</f>
        <v/>
      </c>
      <c r="M28" s="23">
        <f>IF('Run Clubs'!N28="","",'Run Clubs'!N28)</f>
        <v/>
      </c>
      <c r="N28" s="22">
        <f>IF('Run Clubs'!O28="","",'Run Clubs'!O28)</f>
        <v/>
      </c>
      <c r="O28" s="23">
        <f>IF('Run Clubs'!P28="","",'Run Clubs'!P28)</f>
        <v/>
      </c>
      <c r="P28" s="23">
        <f>IF('Run Clubs'!Q28="","",'Run Clubs'!Q28)</f>
        <v/>
      </c>
      <c r="Q28" s="24">
        <f>IF('Run Clubs'!R28="","",'Run Clubs'!R28)</f>
        <v/>
      </c>
      <c r="R28" s="25">
        <f>IF('Run Clubs'!S28="","",'Run Clubs'!S28)</f>
        <v/>
      </c>
      <c r="S28" s="22">
        <f>IF('Run Clubs'!T28="","",'Run Clubs'!T28)</f>
        <v/>
      </c>
      <c r="T28" s="24">
        <f>IF('Run Clubs'!U28="","",'Run Clubs'!U28)</f>
        <v/>
      </c>
      <c r="U28" s="23">
        <f>IF('Run Clubs'!V28="","",'Run Clubs'!V28)</f>
        <v/>
      </c>
      <c r="V28" s="24">
        <f>IF('Run Clubs'!W28="","",'Run Clubs'!W28)</f>
        <v/>
      </c>
      <c r="W28" s="23">
        <f>IF('Run Clubs'!X28="","",'Run Clubs'!X28)</f>
        <v/>
      </c>
      <c r="X28" s="23">
        <f>IF('Run Clubs'!Y28="","",'Run Clubs'!Y28)</f>
        <v/>
      </c>
      <c r="Y28" s="26">
        <f>IF('Run Clubs'!Z28="","",'Run Clubs'!Z28)</f>
        <v/>
      </c>
      <c r="Z28" s="27">
        <f>IF('Run Clubs'!AA28="","",'Run Clubs'!AA28)</f>
        <v/>
      </c>
      <c r="AA28" s="26">
        <f>IF('Run Clubs'!AB28="","",'Run Clubs'!AB28)</f>
        <v/>
      </c>
      <c r="AB28" s="22">
        <f>IF('Run Clubs'!AC28="","",'Run Clubs'!AC28)</f>
        <v/>
      </c>
      <c r="AC28" s="22">
        <f>IF('Run Clubs'!AD28="","",'Run Clubs'!AD28)</f>
        <v/>
      </c>
      <c r="AD28" s="22">
        <f>IF('Run Clubs'!AE28="","",'Run Clubs'!AE28)</f>
        <v/>
      </c>
      <c r="AE28" s="22">
        <f>IF('Run Clubs'!AF28="","",'Run Clubs'!AF28)</f>
        <v/>
      </c>
      <c r="AF28" s="22">
        <f>IF('Run Clubs'!AG28="","",'Run Clubs'!AG28)</f>
        <v/>
      </c>
      <c r="AG28" s="23">
        <f>IF('Run Clubs'!AH28="","",'Run Clubs'!AH28)</f>
        <v/>
      </c>
      <c r="AH28" s="23">
        <f>IF('Run Clubs'!AI28="","",'Run Clubs'!AI28)</f>
        <v/>
      </c>
      <c r="AI28" s="23">
        <f>IF('Run Clubs'!AJ28="","",'Run Clubs'!AJ28)</f>
        <v/>
      </c>
      <c r="AJ28" s="23">
        <f>IF('Run Clubs'!AK28="","",'Run Clubs'!AK28)</f>
        <v/>
      </c>
      <c r="AK28" s="22">
        <f>IF('Run Clubs'!AL28="","",'Run Clubs'!AL28)</f>
        <v/>
      </c>
      <c r="AL28" s="18">
        <f>IF(V28="","",V28+ROW()/100000)</f>
        <v/>
      </c>
    </row>
    <row r="29" ht="18" customHeight="1">
      <c r="A29" s="16">
        <f>IF('Run Clubs'!B29="","","Run Clubs")</f>
        <v/>
      </c>
      <c r="B29" s="16">
        <f>IF('Run Clubs'!B29="","",'Run Clubs'!B29)</f>
        <v/>
      </c>
      <c r="C29" s="17">
        <f>IF('Run Clubs'!D29="","",'Run Clubs'!D29)</f>
        <v/>
      </c>
      <c r="D29" s="16">
        <f>IF('Run Clubs'!E29="","",'Run Clubs'!E29)</f>
        <v/>
      </c>
      <c r="E29" s="17">
        <f>IF('Run Clubs'!F29="","",'Run Clubs'!F29)</f>
        <v/>
      </c>
      <c r="F29" s="17">
        <f>IF('Run Clubs'!G29="","",'Run Clubs'!G29)</f>
        <v/>
      </c>
      <c r="G29" s="17">
        <f>IF('Run Clubs'!H29="","",'Run Clubs'!H29)</f>
        <v/>
      </c>
      <c r="H29" s="16">
        <f>IF('Run Clubs'!I29="","",'Run Clubs'!I29)</f>
        <v/>
      </c>
      <c r="I29" s="17">
        <f>IF('Run Clubs'!J29="","",'Run Clubs'!J29)</f>
        <v/>
      </c>
      <c r="J29" s="16">
        <f>IF('Run Clubs'!K29="","",'Run Clubs'!K29)</f>
        <v/>
      </c>
      <c r="K29" s="17">
        <f>IF('Run Clubs'!L29="","",'Run Clubs'!L29)</f>
        <v/>
      </c>
      <c r="L29" s="16">
        <f>IF('Run Clubs'!M29="","",'Run Clubs'!M29)</f>
        <v/>
      </c>
      <c r="M29" s="17">
        <f>IF('Run Clubs'!N29="","",'Run Clubs'!N29)</f>
        <v/>
      </c>
      <c r="N29" s="16">
        <f>IF('Run Clubs'!O29="","",'Run Clubs'!O29)</f>
        <v/>
      </c>
      <c r="O29" s="17">
        <f>IF('Run Clubs'!P29="","",'Run Clubs'!P29)</f>
        <v/>
      </c>
      <c r="P29" s="17">
        <f>IF('Run Clubs'!Q29="","",'Run Clubs'!Q29)</f>
        <v/>
      </c>
      <c r="Q29" s="15">
        <f>IF('Run Clubs'!R29="","",'Run Clubs'!R29)</f>
        <v/>
      </c>
      <c r="R29" s="19">
        <f>IF('Run Clubs'!S29="","",'Run Clubs'!S29)</f>
        <v/>
      </c>
      <c r="S29" s="16">
        <f>IF('Run Clubs'!T29="","",'Run Clubs'!T29)</f>
        <v/>
      </c>
      <c r="T29" s="15">
        <f>IF('Run Clubs'!U29="","",'Run Clubs'!U29)</f>
        <v/>
      </c>
      <c r="U29" s="17">
        <f>IF('Run Clubs'!V29="","",'Run Clubs'!V29)</f>
        <v/>
      </c>
      <c r="V29" s="15">
        <f>IF('Run Clubs'!W29="","",'Run Clubs'!W29)</f>
        <v/>
      </c>
      <c r="W29" s="17">
        <f>IF('Run Clubs'!X29="","",'Run Clubs'!X29)</f>
        <v/>
      </c>
      <c r="X29" s="17">
        <f>IF('Run Clubs'!Y29="","",'Run Clubs'!Y29)</f>
        <v/>
      </c>
      <c r="Y29" s="20">
        <f>IF('Run Clubs'!Z29="","",'Run Clubs'!Z29)</f>
        <v/>
      </c>
      <c r="Z29" s="21">
        <f>IF('Run Clubs'!AA29="","",'Run Clubs'!AA29)</f>
        <v/>
      </c>
      <c r="AA29" s="20">
        <f>IF('Run Clubs'!AB29="","",'Run Clubs'!AB29)</f>
        <v/>
      </c>
      <c r="AB29" s="16">
        <f>IF('Run Clubs'!AC29="","",'Run Clubs'!AC29)</f>
        <v/>
      </c>
      <c r="AC29" s="16">
        <f>IF('Run Clubs'!AD29="","",'Run Clubs'!AD29)</f>
        <v/>
      </c>
      <c r="AD29" s="16">
        <f>IF('Run Clubs'!AE29="","",'Run Clubs'!AE29)</f>
        <v/>
      </c>
      <c r="AE29" s="16">
        <f>IF('Run Clubs'!AF29="","",'Run Clubs'!AF29)</f>
        <v/>
      </c>
      <c r="AF29" s="16">
        <f>IF('Run Clubs'!AG29="","",'Run Clubs'!AG29)</f>
        <v/>
      </c>
      <c r="AG29" s="17">
        <f>IF('Run Clubs'!AH29="","",'Run Clubs'!AH29)</f>
        <v/>
      </c>
      <c r="AH29" s="17">
        <f>IF('Run Clubs'!AI29="","",'Run Clubs'!AI29)</f>
        <v/>
      </c>
      <c r="AI29" s="17">
        <f>IF('Run Clubs'!AJ29="","",'Run Clubs'!AJ29)</f>
        <v/>
      </c>
      <c r="AJ29" s="17">
        <f>IF('Run Clubs'!AK29="","",'Run Clubs'!AK29)</f>
        <v/>
      </c>
      <c r="AK29" s="16">
        <f>IF('Run Clubs'!AL29="","",'Run Clubs'!AL29)</f>
        <v/>
      </c>
      <c r="AL29" s="18">
        <f>IF(V29="","",V29+ROW()/100000)</f>
        <v/>
      </c>
    </row>
    <row r="30" ht="18" customHeight="1">
      <c r="A30" s="22">
        <f>IF('Run Clubs'!B30="","","Run Clubs")</f>
        <v/>
      </c>
      <c r="B30" s="22">
        <f>IF('Run Clubs'!B30="","",'Run Clubs'!B30)</f>
        <v/>
      </c>
      <c r="C30" s="23">
        <f>IF('Run Clubs'!D30="","",'Run Clubs'!D30)</f>
        <v/>
      </c>
      <c r="D30" s="22">
        <f>IF('Run Clubs'!E30="","",'Run Clubs'!E30)</f>
        <v/>
      </c>
      <c r="E30" s="23">
        <f>IF('Run Clubs'!F30="","",'Run Clubs'!F30)</f>
        <v/>
      </c>
      <c r="F30" s="23">
        <f>IF('Run Clubs'!G30="","",'Run Clubs'!G30)</f>
        <v/>
      </c>
      <c r="G30" s="23">
        <f>IF('Run Clubs'!H30="","",'Run Clubs'!H30)</f>
        <v/>
      </c>
      <c r="H30" s="22">
        <f>IF('Run Clubs'!I30="","",'Run Clubs'!I30)</f>
        <v/>
      </c>
      <c r="I30" s="23">
        <f>IF('Run Clubs'!J30="","",'Run Clubs'!J30)</f>
        <v/>
      </c>
      <c r="J30" s="22">
        <f>IF('Run Clubs'!K30="","",'Run Clubs'!K30)</f>
        <v/>
      </c>
      <c r="K30" s="23">
        <f>IF('Run Clubs'!L30="","",'Run Clubs'!L30)</f>
        <v/>
      </c>
      <c r="L30" s="22">
        <f>IF('Run Clubs'!M30="","",'Run Clubs'!M30)</f>
        <v/>
      </c>
      <c r="M30" s="23">
        <f>IF('Run Clubs'!N30="","",'Run Clubs'!N30)</f>
        <v/>
      </c>
      <c r="N30" s="22">
        <f>IF('Run Clubs'!O30="","",'Run Clubs'!O30)</f>
        <v/>
      </c>
      <c r="O30" s="23">
        <f>IF('Run Clubs'!P30="","",'Run Clubs'!P30)</f>
        <v/>
      </c>
      <c r="P30" s="23">
        <f>IF('Run Clubs'!Q30="","",'Run Clubs'!Q30)</f>
        <v/>
      </c>
      <c r="Q30" s="24">
        <f>IF('Run Clubs'!R30="","",'Run Clubs'!R30)</f>
        <v/>
      </c>
      <c r="R30" s="25">
        <f>IF('Run Clubs'!S30="","",'Run Clubs'!S30)</f>
        <v/>
      </c>
      <c r="S30" s="22">
        <f>IF('Run Clubs'!T30="","",'Run Clubs'!T30)</f>
        <v/>
      </c>
      <c r="T30" s="24">
        <f>IF('Run Clubs'!U30="","",'Run Clubs'!U30)</f>
        <v/>
      </c>
      <c r="U30" s="23">
        <f>IF('Run Clubs'!V30="","",'Run Clubs'!V30)</f>
        <v/>
      </c>
      <c r="V30" s="24">
        <f>IF('Run Clubs'!W30="","",'Run Clubs'!W30)</f>
        <v/>
      </c>
      <c r="W30" s="23">
        <f>IF('Run Clubs'!X30="","",'Run Clubs'!X30)</f>
        <v/>
      </c>
      <c r="X30" s="23">
        <f>IF('Run Clubs'!Y30="","",'Run Clubs'!Y30)</f>
        <v/>
      </c>
      <c r="Y30" s="26">
        <f>IF('Run Clubs'!Z30="","",'Run Clubs'!Z30)</f>
        <v/>
      </c>
      <c r="Z30" s="27">
        <f>IF('Run Clubs'!AA30="","",'Run Clubs'!AA30)</f>
        <v/>
      </c>
      <c r="AA30" s="26">
        <f>IF('Run Clubs'!AB30="","",'Run Clubs'!AB30)</f>
        <v/>
      </c>
      <c r="AB30" s="22">
        <f>IF('Run Clubs'!AC30="","",'Run Clubs'!AC30)</f>
        <v/>
      </c>
      <c r="AC30" s="22">
        <f>IF('Run Clubs'!AD30="","",'Run Clubs'!AD30)</f>
        <v/>
      </c>
      <c r="AD30" s="22">
        <f>IF('Run Clubs'!AE30="","",'Run Clubs'!AE30)</f>
        <v/>
      </c>
      <c r="AE30" s="22">
        <f>IF('Run Clubs'!AF30="","",'Run Clubs'!AF30)</f>
        <v/>
      </c>
      <c r="AF30" s="22">
        <f>IF('Run Clubs'!AG30="","",'Run Clubs'!AG30)</f>
        <v/>
      </c>
      <c r="AG30" s="23">
        <f>IF('Run Clubs'!AH30="","",'Run Clubs'!AH30)</f>
        <v/>
      </c>
      <c r="AH30" s="23">
        <f>IF('Run Clubs'!AI30="","",'Run Clubs'!AI30)</f>
        <v/>
      </c>
      <c r="AI30" s="23">
        <f>IF('Run Clubs'!AJ30="","",'Run Clubs'!AJ30)</f>
        <v/>
      </c>
      <c r="AJ30" s="23">
        <f>IF('Run Clubs'!AK30="","",'Run Clubs'!AK30)</f>
        <v/>
      </c>
      <c r="AK30" s="22">
        <f>IF('Run Clubs'!AL30="","",'Run Clubs'!AL30)</f>
        <v/>
      </c>
      <c r="AL30" s="18">
        <f>IF(V30="","",V30+ROW()/100000)</f>
        <v/>
      </c>
    </row>
    <row r="31" ht="18" customHeight="1">
      <c r="A31" s="16">
        <f>IF('Run Clubs'!B31="","","Run Clubs")</f>
        <v/>
      </c>
      <c r="B31" s="16">
        <f>IF('Run Clubs'!B31="","",'Run Clubs'!B31)</f>
        <v/>
      </c>
      <c r="C31" s="17">
        <f>IF('Run Clubs'!D31="","",'Run Clubs'!D31)</f>
        <v/>
      </c>
      <c r="D31" s="16">
        <f>IF('Run Clubs'!E31="","",'Run Clubs'!E31)</f>
        <v/>
      </c>
      <c r="E31" s="17">
        <f>IF('Run Clubs'!F31="","",'Run Clubs'!F31)</f>
        <v/>
      </c>
      <c r="F31" s="17">
        <f>IF('Run Clubs'!G31="","",'Run Clubs'!G31)</f>
        <v/>
      </c>
      <c r="G31" s="17">
        <f>IF('Run Clubs'!H31="","",'Run Clubs'!H31)</f>
        <v/>
      </c>
      <c r="H31" s="16">
        <f>IF('Run Clubs'!I31="","",'Run Clubs'!I31)</f>
        <v/>
      </c>
      <c r="I31" s="17">
        <f>IF('Run Clubs'!J31="","",'Run Clubs'!J31)</f>
        <v/>
      </c>
      <c r="J31" s="16">
        <f>IF('Run Clubs'!K31="","",'Run Clubs'!K31)</f>
        <v/>
      </c>
      <c r="K31" s="17">
        <f>IF('Run Clubs'!L31="","",'Run Clubs'!L31)</f>
        <v/>
      </c>
      <c r="L31" s="16">
        <f>IF('Run Clubs'!M31="","",'Run Clubs'!M31)</f>
        <v/>
      </c>
      <c r="M31" s="17">
        <f>IF('Run Clubs'!N31="","",'Run Clubs'!N31)</f>
        <v/>
      </c>
      <c r="N31" s="16">
        <f>IF('Run Clubs'!O31="","",'Run Clubs'!O31)</f>
        <v/>
      </c>
      <c r="O31" s="17">
        <f>IF('Run Clubs'!P31="","",'Run Clubs'!P31)</f>
        <v/>
      </c>
      <c r="P31" s="17">
        <f>IF('Run Clubs'!Q31="","",'Run Clubs'!Q31)</f>
        <v/>
      </c>
      <c r="Q31" s="15">
        <f>IF('Run Clubs'!R31="","",'Run Clubs'!R31)</f>
        <v/>
      </c>
      <c r="R31" s="19">
        <f>IF('Run Clubs'!S31="","",'Run Clubs'!S31)</f>
        <v/>
      </c>
      <c r="S31" s="16">
        <f>IF('Run Clubs'!T31="","",'Run Clubs'!T31)</f>
        <v/>
      </c>
      <c r="T31" s="15">
        <f>IF('Run Clubs'!U31="","",'Run Clubs'!U31)</f>
        <v/>
      </c>
      <c r="U31" s="17">
        <f>IF('Run Clubs'!V31="","",'Run Clubs'!V31)</f>
        <v/>
      </c>
      <c r="V31" s="15">
        <f>IF('Run Clubs'!W31="","",'Run Clubs'!W31)</f>
        <v/>
      </c>
      <c r="W31" s="17">
        <f>IF('Run Clubs'!X31="","",'Run Clubs'!X31)</f>
        <v/>
      </c>
      <c r="X31" s="17">
        <f>IF('Run Clubs'!Y31="","",'Run Clubs'!Y31)</f>
        <v/>
      </c>
      <c r="Y31" s="20">
        <f>IF('Run Clubs'!Z31="","",'Run Clubs'!Z31)</f>
        <v/>
      </c>
      <c r="Z31" s="21">
        <f>IF('Run Clubs'!AA31="","",'Run Clubs'!AA31)</f>
        <v/>
      </c>
      <c r="AA31" s="20">
        <f>IF('Run Clubs'!AB31="","",'Run Clubs'!AB31)</f>
        <v/>
      </c>
      <c r="AB31" s="16">
        <f>IF('Run Clubs'!AC31="","",'Run Clubs'!AC31)</f>
        <v/>
      </c>
      <c r="AC31" s="16">
        <f>IF('Run Clubs'!AD31="","",'Run Clubs'!AD31)</f>
        <v/>
      </c>
      <c r="AD31" s="16">
        <f>IF('Run Clubs'!AE31="","",'Run Clubs'!AE31)</f>
        <v/>
      </c>
      <c r="AE31" s="16">
        <f>IF('Run Clubs'!AF31="","",'Run Clubs'!AF31)</f>
        <v/>
      </c>
      <c r="AF31" s="16">
        <f>IF('Run Clubs'!AG31="","",'Run Clubs'!AG31)</f>
        <v/>
      </c>
      <c r="AG31" s="17">
        <f>IF('Run Clubs'!AH31="","",'Run Clubs'!AH31)</f>
        <v/>
      </c>
      <c r="AH31" s="17">
        <f>IF('Run Clubs'!AI31="","",'Run Clubs'!AI31)</f>
        <v/>
      </c>
      <c r="AI31" s="17">
        <f>IF('Run Clubs'!AJ31="","",'Run Clubs'!AJ31)</f>
        <v/>
      </c>
      <c r="AJ31" s="17">
        <f>IF('Run Clubs'!AK31="","",'Run Clubs'!AK31)</f>
        <v/>
      </c>
      <c r="AK31" s="16">
        <f>IF('Run Clubs'!AL31="","",'Run Clubs'!AL31)</f>
        <v/>
      </c>
      <c r="AL31" s="18">
        <f>IF(V31="","",V31+ROW()/100000)</f>
        <v/>
      </c>
    </row>
    <row r="32" ht="18" customHeight="1">
      <c r="A32" s="22">
        <f>IF('Run Clubs'!B32="","","Run Clubs")</f>
        <v/>
      </c>
      <c r="B32" s="22">
        <f>IF('Run Clubs'!B32="","",'Run Clubs'!B32)</f>
        <v/>
      </c>
      <c r="C32" s="23">
        <f>IF('Run Clubs'!D32="","",'Run Clubs'!D32)</f>
        <v/>
      </c>
      <c r="D32" s="22">
        <f>IF('Run Clubs'!E32="","",'Run Clubs'!E32)</f>
        <v/>
      </c>
      <c r="E32" s="23">
        <f>IF('Run Clubs'!F32="","",'Run Clubs'!F32)</f>
        <v/>
      </c>
      <c r="F32" s="23">
        <f>IF('Run Clubs'!G32="","",'Run Clubs'!G32)</f>
        <v/>
      </c>
      <c r="G32" s="23">
        <f>IF('Run Clubs'!H32="","",'Run Clubs'!H32)</f>
        <v/>
      </c>
      <c r="H32" s="22">
        <f>IF('Run Clubs'!I32="","",'Run Clubs'!I32)</f>
        <v/>
      </c>
      <c r="I32" s="23">
        <f>IF('Run Clubs'!J32="","",'Run Clubs'!J32)</f>
        <v/>
      </c>
      <c r="J32" s="22">
        <f>IF('Run Clubs'!K32="","",'Run Clubs'!K32)</f>
        <v/>
      </c>
      <c r="K32" s="23">
        <f>IF('Run Clubs'!L32="","",'Run Clubs'!L32)</f>
        <v/>
      </c>
      <c r="L32" s="22">
        <f>IF('Run Clubs'!M32="","",'Run Clubs'!M32)</f>
        <v/>
      </c>
      <c r="M32" s="23">
        <f>IF('Run Clubs'!N32="","",'Run Clubs'!N32)</f>
        <v/>
      </c>
      <c r="N32" s="22">
        <f>IF('Run Clubs'!O32="","",'Run Clubs'!O32)</f>
        <v/>
      </c>
      <c r="O32" s="23">
        <f>IF('Run Clubs'!P32="","",'Run Clubs'!P32)</f>
        <v/>
      </c>
      <c r="P32" s="23">
        <f>IF('Run Clubs'!Q32="","",'Run Clubs'!Q32)</f>
        <v/>
      </c>
      <c r="Q32" s="24">
        <f>IF('Run Clubs'!R32="","",'Run Clubs'!R32)</f>
        <v/>
      </c>
      <c r="R32" s="25">
        <f>IF('Run Clubs'!S32="","",'Run Clubs'!S32)</f>
        <v/>
      </c>
      <c r="S32" s="22">
        <f>IF('Run Clubs'!T32="","",'Run Clubs'!T32)</f>
        <v/>
      </c>
      <c r="T32" s="24">
        <f>IF('Run Clubs'!U32="","",'Run Clubs'!U32)</f>
        <v/>
      </c>
      <c r="U32" s="23">
        <f>IF('Run Clubs'!V32="","",'Run Clubs'!V32)</f>
        <v/>
      </c>
      <c r="V32" s="24">
        <f>IF('Run Clubs'!W32="","",'Run Clubs'!W32)</f>
        <v/>
      </c>
      <c r="W32" s="23">
        <f>IF('Run Clubs'!X32="","",'Run Clubs'!X32)</f>
        <v/>
      </c>
      <c r="X32" s="23">
        <f>IF('Run Clubs'!Y32="","",'Run Clubs'!Y32)</f>
        <v/>
      </c>
      <c r="Y32" s="26">
        <f>IF('Run Clubs'!Z32="","",'Run Clubs'!Z32)</f>
        <v/>
      </c>
      <c r="Z32" s="27">
        <f>IF('Run Clubs'!AA32="","",'Run Clubs'!AA32)</f>
        <v/>
      </c>
      <c r="AA32" s="26">
        <f>IF('Run Clubs'!AB32="","",'Run Clubs'!AB32)</f>
        <v/>
      </c>
      <c r="AB32" s="22">
        <f>IF('Run Clubs'!AC32="","",'Run Clubs'!AC32)</f>
        <v/>
      </c>
      <c r="AC32" s="22">
        <f>IF('Run Clubs'!AD32="","",'Run Clubs'!AD32)</f>
        <v/>
      </c>
      <c r="AD32" s="22">
        <f>IF('Run Clubs'!AE32="","",'Run Clubs'!AE32)</f>
        <v/>
      </c>
      <c r="AE32" s="22">
        <f>IF('Run Clubs'!AF32="","",'Run Clubs'!AF32)</f>
        <v/>
      </c>
      <c r="AF32" s="22">
        <f>IF('Run Clubs'!AG32="","",'Run Clubs'!AG32)</f>
        <v/>
      </c>
      <c r="AG32" s="23">
        <f>IF('Run Clubs'!AH32="","",'Run Clubs'!AH32)</f>
        <v/>
      </c>
      <c r="AH32" s="23">
        <f>IF('Run Clubs'!AI32="","",'Run Clubs'!AI32)</f>
        <v/>
      </c>
      <c r="AI32" s="23">
        <f>IF('Run Clubs'!AJ32="","",'Run Clubs'!AJ32)</f>
        <v/>
      </c>
      <c r="AJ32" s="23">
        <f>IF('Run Clubs'!AK32="","",'Run Clubs'!AK32)</f>
        <v/>
      </c>
      <c r="AK32" s="22">
        <f>IF('Run Clubs'!AL32="","",'Run Clubs'!AL32)</f>
        <v/>
      </c>
      <c r="AL32" s="18">
        <f>IF(V32="","",V32+ROW()/100000)</f>
        <v/>
      </c>
    </row>
    <row r="33" ht="18" customHeight="1">
      <c r="A33" s="16">
        <f>IF('Gyms &amp; Studios'!B3="","","Gyms &amp; Studios")</f>
        <v/>
      </c>
      <c r="B33" s="16">
        <f>IF('Gyms &amp; Studios'!B3="","",'Gyms &amp; Studios'!B3)</f>
        <v/>
      </c>
      <c r="C33" s="17">
        <f>IF('Gyms &amp; Studios'!D3="","",'Gyms &amp; Studios'!D3)</f>
        <v/>
      </c>
      <c r="D33" s="16">
        <f>IF('Gyms &amp; Studios'!E3="","",'Gyms &amp; Studios'!E3)</f>
        <v/>
      </c>
      <c r="E33" s="17">
        <f>IF('Gyms &amp; Studios'!F3="","",'Gyms &amp; Studios'!F3)</f>
        <v/>
      </c>
      <c r="F33" s="17">
        <f>IF('Gyms &amp; Studios'!G3="","",'Gyms &amp; Studios'!G3)</f>
        <v/>
      </c>
      <c r="G33" s="17">
        <f>IF('Gyms &amp; Studios'!H3="","",'Gyms &amp; Studios'!H3)</f>
        <v/>
      </c>
      <c r="H33" s="16">
        <f>IF('Gyms &amp; Studios'!I3="","",'Gyms &amp; Studios'!I3)</f>
        <v/>
      </c>
      <c r="I33" s="17">
        <f>IF('Gyms &amp; Studios'!J3="","",'Gyms &amp; Studios'!J3)</f>
        <v/>
      </c>
      <c r="J33" s="16">
        <f>IF('Gyms &amp; Studios'!K3="","",'Gyms &amp; Studios'!K3)</f>
        <v/>
      </c>
      <c r="K33" s="17">
        <f>IF('Gyms &amp; Studios'!L3="","",'Gyms &amp; Studios'!L3)</f>
        <v/>
      </c>
      <c r="L33" s="16">
        <f>IF('Gyms &amp; Studios'!M3="","",'Gyms &amp; Studios'!M3)</f>
        <v/>
      </c>
      <c r="M33" s="17">
        <f>IF('Gyms &amp; Studios'!N3="","",'Gyms &amp; Studios'!N3)</f>
        <v/>
      </c>
      <c r="N33" s="16">
        <f>IF('Gyms &amp; Studios'!O3="","",'Gyms &amp; Studios'!O3)</f>
        <v/>
      </c>
      <c r="O33" s="17">
        <f>IF('Gyms &amp; Studios'!P3="","",'Gyms &amp; Studios'!P3)</f>
        <v/>
      </c>
      <c r="P33" s="17">
        <f>IF('Gyms &amp; Studios'!Q3="","",'Gyms &amp; Studios'!Q3)</f>
        <v/>
      </c>
      <c r="Q33" s="15">
        <f>IF('Gyms &amp; Studios'!R3="","",'Gyms &amp; Studios'!R3)</f>
        <v/>
      </c>
      <c r="R33" s="19">
        <f>IF('Gyms &amp; Studios'!S3="","",'Gyms &amp; Studios'!S3)</f>
        <v/>
      </c>
      <c r="S33" s="16">
        <f>IF('Gyms &amp; Studios'!T3="","",'Gyms &amp; Studios'!T3)</f>
        <v/>
      </c>
      <c r="T33" s="15">
        <f>IF('Gyms &amp; Studios'!U3="","",'Gyms &amp; Studios'!U3)</f>
        <v/>
      </c>
      <c r="U33" s="17">
        <f>IF('Gyms &amp; Studios'!V3="","",'Gyms &amp; Studios'!V3)</f>
        <v/>
      </c>
      <c r="V33" s="15">
        <f>IF('Gyms &amp; Studios'!W3="","",'Gyms &amp; Studios'!W3)</f>
        <v/>
      </c>
      <c r="W33" s="17">
        <f>IF('Gyms &amp; Studios'!X3="","",'Gyms &amp; Studios'!X3)</f>
        <v/>
      </c>
      <c r="X33" s="17">
        <f>IF('Gyms &amp; Studios'!Y3="","",'Gyms &amp; Studios'!Y3)</f>
        <v/>
      </c>
      <c r="Y33" s="20">
        <f>IF('Gyms &amp; Studios'!Z3="","",'Gyms &amp; Studios'!Z3)</f>
        <v/>
      </c>
      <c r="Z33" s="21">
        <f>IF('Gyms &amp; Studios'!AA3="","",'Gyms &amp; Studios'!AA3)</f>
        <v/>
      </c>
      <c r="AA33" s="20">
        <f>IF('Gyms &amp; Studios'!AB3="","",'Gyms &amp; Studios'!AB3)</f>
        <v/>
      </c>
      <c r="AB33" s="16">
        <f>IF('Gyms &amp; Studios'!AC3="","",'Gyms &amp; Studios'!AC3)</f>
        <v/>
      </c>
      <c r="AC33" s="16">
        <f>IF('Gyms &amp; Studios'!AD3="","",'Gyms &amp; Studios'!AD3)</f>
        <v/>
      </c>
      <c r="AD33" s="16">
        <f>IF('Gyms &amp; Studios'!AE3="","",'Gyms &amp; Studios'!AE3)</f>
        <v/>
      </c>
      <c r="AE33" s="16">
        <f>IF('Gyms &amp; Studios'!AF3="","",'Gyms &amp; Studios'!AF3)</f>
        <v/>
      </c>
      <c r="AF33" s="16">
        <f>IF('Gyms &amp; Studios'!AG3="","",'Gyms &amp; Studios'!AG3)</f>
        <v/>
      </c>
      <c r="AG33" s="17">
        <f>IF('Gyms &amp; Studios'!AH3="","",'Gyms &amp; Studios'!AH3)</f>
        <v/>
      </c>
      <c r="AH33" s="17">
        <f>IF('Gyms &amp; Studios'!AI3="","",'Gyms &amp; Studios'!AI3)</f>
        <v/>
      </c>
      <c r="AI33" s="17">
        <f>IF('Gyms &amp; Studios'!AJ3="","",'Gyms &amp; Studios'!AJ3)</f>
        <v/>
      </c>
      <c r="AJ33" s="17">
        <f>IF('Gyms &amp; Studios'!AK3="","",'Gyms &amp; Studios'!AK3)</f>
        <v/>
      </c>
      <c r="AK33" s="16">
        <f>IF('Gyms &amp; Studios'!AL3="","",'Gyms &amp; Studios'!AL3)</f>
        <v/>
      </c>
      <c r="AL33" s="18">
        <f>IF(V33="","",V33+ROW()/100000)</f>
        <v/>
      </c>
    </row>
    <row r="34" ht="18" customHeight="1">
      <c r="A34" s="22">
        <f>IF('Gyms &amp; Studios'!B4="","","Gyms &amp; Studios")</f>
        <v/>
      </c>
      <c r="B34" s="22">
        <f>IF('Gyms &amp; Studios'!B4="","",'Gyms &amp; Studios'!B4)</f>
        <v/>
      </c>
      <c r="C34" s="23">
        <f>IF('Gyms &amp; Studios'!D4="","",'Gyms &amp; Studios'!D4)</f>
        <v/>
      </c>
      <c r="D34" s="22">
        <f>IF('Gyms &amp; Studios'!E4="","",'Gyms &amp; Studios'!E4)</f>
        <v/>
      </c>
      <c r="E34" s="23">
        <f>IF('Gyms &amp; Studios'!F4="","",'Gyms &amp; Studios'!F4)</f>
        <v/>
      </c>
      <c r="F34" s="23">
        <f>IF('Gyms &amp; Studios'!G4="","",'Gyms &amp; Studios'!G4)</f>
        <v/>
      </c>
      <c r="G34" s="23">
        <f>IF('Gyms &amp; Studios'!H4="","",'Gyms &amp; Studios'!H4)</f>
        <v/>
      </c>
      <c r="H34" s="22">
        <f>IF('Gyms &amp; Studios'!I4="","",'Gyms &amp; Studios'!I4)</f>
        <v/>
      </c>
      <c r="I34" s="23">
        <f>IF('Gyms &amp; Studios'!J4="","",'Gyms &amp; Studios'!J4)</f>
        <v/>
      </c>
      <c r="J34" s="22">
        <f>IF('Gyms &amp; Studios'!K4="","",'Gyms &amp; Studios'!K4)</f>
        <v/>
      </c>
      <c r="K34" s="23">
        <f>IF('Gyms &amp; Studios'!L4="","",'Gyms &amp; Studios'!L4)</f>
        <v/>
      </c>
      <c r="L34" s="22">
        <f>IF('Gyms &amp; Studios'!M4="","",'Gyms &amp; Studios'!M4)</f>
        <v/>
      </c>
      <c r="M34" s="23">
        <f>IF('Gyms &amp; Studios'!N4="","",'Gyms &amp; Studios'!N4)</f>
        <v/>
      </c>
      <c r="N34" s="22">
        <f>IF('Gyms &amp; Studios'!O4="","",'Gyms &amp; Studios'!O4)</f>
        <v/>
      </c>
      <c r="O34" s="23">
        <f>IF('Gyms &amp; Studios'!P4="","",'Gyms &amp; Studios'!P4)</f>
        <v/>
      </c>
      <c r="P34" s="23">
        <f>IF('Gyms &amp; Studios'!Q4="","",'Gyms &amp; Studios'!Q4)</f>
        <v/>
      </c>
      <c r="Q34" s="24">
        <f>IF('Gyms &amp; Studios'!R4="","",'Gyms &amp; Studios'!R4)</f>
        <v/>
      </c>
      <c r="R34" s="25">
        <f>IF('Gyms &amp; Studios'!S4="","",'Gyms &amp; Studios'!S4)</f>
        <v/>
      </c>
      <c r="S34" s="22">
        <f>IF('Gyms &amp; Studios'!T4="","",'Gyms &amp; Studios'!T4)</f>
        <v/>
      </c>
      <c r="T34" s="24">
        <f>IF('Gyms &amp; Studios'!U4="","",'Gyms &amp; Studios'!U4)</f>
        <v/>
      </c>
      <c r="U34" s="23">
        <f>IF('Gyms &amp; Studios'!V4="","",'Gyms &amp; Studios'!V4)</f>
        <v/>
      </c>
      <c r="V34" s="24">
        <f>IF('Gyms &amp; Studios'!W4="","",'Gyms &amp; Studios'!W4)</f>
        <v/>
      </c>
      <c r="W34" s="23">
        <f>IF('Gyms &amp; Studios'!X4="","",'Gyms &amp; Studios'!X4)</f>
        <v/>
      </c>
      <c r="X34" s="23">
        <f>IF('Gyms &amp; Studios'!Y4="","",'Gyms &amp; Studios'!Y4)</f>
        <v/>
      </c>
      <c r="Y34" s="26">
        <f>IF('Gyms &amp; Studios'!Z4="","",'Gyms &amp; Studios'!Z4)</f>
        <v/>
      </c>
      <c r="Z34" s="27">
        <f>IF('Gyms &amp; Studios'!AA4="","",'Gyms &amp; Studios'!AA4)</f>
        <v/>
      </c>
      <c r="AA34" s="26">
        <f>IF('Gyms &amp; Studios'!AB4="","",'Gyms &amp; Studios'!AB4)</f>
        <v/>
      </c>
      <c r="AB34" s="22">
        <f>IF('Gyms &amp; Studios'!AC4="","",'Gyms &amp; Studios'!AC4)</f>
        <v/>
      </c>
      <c r="AC34" s="22">
        <f>IF('Gyms &amp; Studios'!AD4="","",'Gyms &amp; Studios'!AD4)</f>
        <v/>
      </c>
      <c r="AD34" s="22">
        <f>IF('Gyms &amp; Studios'!AE4="","",'Gyms &amp; Studios'!AE4)</f>
        <v/>
      </c>
      <c r="AE34" s="22">
        <f>IF('Gyms &amp; Studios'!AF4="","",'Gyms &amp; Studios'!AF4)</f>
        <v/>
      </c>
      <c r="AF34" s="22">
        <f>IF('Gyms &amp; Studios'!AG4="","",'Gyms &amp; Studios'!AG4)</f>
        <v/>
      </c>
      <c r="AG34" s="23">
        <f>IF('Gyms &amp; Studios'!AH4="","",'Gyms &amp; Studios'!AH4)</f>
        <v/>
      </c>
      <c r="AH34" s="23">
        <f>IF('Gyms &amp; Studios'!AI4="","",'Gyms &amp; Studios'!AI4)</f>
        <v/>
      </c>
      <c r="AI34" s="23">
        <f>IF('Gyms &amp; Studios'!AJ4="","",'Gyms &amp; Studios'!AJ4)</f>
        <v/>
      </c>
      <c r="AJ34" s="23">
        <f>IF('Gyms &amp; Studios'!AK4="","",'Gyms &amp; Studios'!AK4)</f>
        <v/>
      </c>
      <c r="AK34" s="22">
        <f>IF('Gyms &amp; Studios'!AL4="","",'Gyms &amp; Studios'!AL4)</f>
        <v/>
      </c>
      <c r="AL34" s="18">
        <f>IF(V34="","",V34+ROW()/100000)</f>
        <v/>
      </c>
    </row>
    <row r="35" ht="18" customHeight="1">
      <c r="A35" s="16">
        <f>IF('Gyms &amp; Studios'!B5="","","Gyms &amp; Studios")</f>
        <v/>
      </c>
      <c r="B35" s="16">
        <f>IF('Gyms &amp; Studios'!B5="","",'Gyms &amp; Studios'!B5)</f>
        <v/>
      </c>
      <c r="C35" s="17">
        <f>IF('Gyms &amp; Studios'!D5="","",'Gyms &amp; Studios'!D5)</f>
        <v/>
      </c>
      <c r="D35" s="16">
        <f>IF('Gyms &amp; Studios'!E5="","",'Gyms &amp; Studios'!E5)</f>
        <v/>
      </c>
      <c r="E35" s="17">
        <f>IF('Gyms &amp; Studios'!F5="","",'Gyms &amp; Studios'!F5)</f>
        <v/>
      </c>
      <c r="F35" s="17">
        <f>IF('Gyms &amp; Studios'!G5="","",'Gyms &amp; Studios'!G5)</f>
        <v/>
      </c>
      <c r="G35" s="17">
        <f>IF('Gyms &amp; Studios'!H5="","",'Gyms &amp; Studios'!H5)</f>
        <v/>
      </c>
      <c r="H35" s="16">
        <f>IF('Gyms &amp; Studios'!I5="","",'Gyms &amp; Studios'!I5)</f>
        <v/>
      </c>
      <c r="I35" s="17">
        <f>IF('Gyms &amp; Studios'!J5="","",'Gyms &amp; Studios'!J5)</f>
        <v/>
      </c>
      <c r="J35" s="16">
        <f>IF('Gyms &amp; Studios'!K5="","",'Gyms &amp; Studios'!K5)</f>
        <v/>
      </c>
      <c r="K35" s="17">
        <f>IF('Gyms &amp; Studios'!L5="","",'Gyms &amp; Studios'!L5)</f>
        <v/>
      </c>
      <c r="L35" s="16">
        <f>IF('Gyms &amp; Studios'!M5="","",'Gyms &amp; Studios'!M5)</f>
        <v/>
      </c>
      <c r="M35" s="17">
        <f>IF('Gyms &amp; Studios'!N5="","",'Gyms &amp; Studios'!N5)</f>
        <v/>
      </c>
      <c r="N35" s="16">
        <f>IF('Gyms &amp; Studios'!O5="","",'Gyms &amp; Studios'!O5)</f>
        <v/>
      </c>
      <c r="O35" s="17">
        <f>IF('Gyms &amp; Studios'!P5="","",'Gyms &amp; Studios'!P5)</f>
        <v/>
      </c>
      <c r="P35" s="17">
        <f>IF('Gyms &amp; Studios'!Q5="","",'Gyms &amp; Studios'!Q5)</f>
        <v/>
      </c>
      <c r="Q35" s="15">
        <f>IF('Gyms &amp; Studios'!R5="","",'Gyms &amp; Studios'!R5)</f>
        <v/>
      </c>
      <c r="R35" s="19">
        <f>IF('Gyms &amp; Studios'!S5="","",'Gyms &amp; Studios'!S5)</f>
        <v/>
      </c>
      <c r="S35" s="16">
        <f>IF('Gyms &amp; Studios'!T5="","",'Gyms &amp; Studios'!T5)</f>
        <v/>
      </c>
      <c r="T35" s="15">
        <f>IF('Gyms &amp; Studios'!U5="","",'Gyms &amp; Studios'!U5)</f>
        <v/>
      </c>
      <c r="U35" s="17">
        <f>IF('Gyms &amp; Studios'!V5="","",'Gyms &amp; Studios'!V5)</f>
        <v/>
      </c>
      <c r="V35" s="15">
        <f>IF('Gyms &amp; Studios'!W5="","",'Gyms &amp; Studios'!W5)</f>
        <v/>
      </c>
      <c r="W35" s="17">
        <f>IF('Gyms &amp; Studios'!X5="","",'Gyms &amp; Studios'!X5)</f>
        <v/>
      </c>
      <c r="X35" s="17">
        <f>IF('Gyms &amp; Studios'!Y5="","",'Gyms &amp; Studios'!Y5)</f>
        <v/>
      </c>
      <c r="Y35" s="20">
        <f>IF('Gyms &amp; Studios'!Z5="","",'Gyms &amp; Studios'!Z5)</f>
        <v/>
      </c>
      <c r="Z35" s="21">
        <f>IF('Gyms &amp; Studios'!AA5="","",'Gyms &amp; Studios'!AA5)</f>
        <v/>
      </c>
      <c r="AA35" s="20">
        <f>IF('Gyms &amp; Studios'!AB5="","",'Gyms &amp; Studios'!AB5)</f>
        <v/>
      </c>
      <c r="AB35" s="16">
        <f>IF('Gyms &amp; Studios'!AC5="","",'Gyms &amp; Studios'!AC5)</f>
        <v/>
      </c>
      <c r="AC35" s="16">
        <f>IF('Gyms &amp; Studios'!AD5="","",'Gyms &amp; Studios'!AD5)</f>
        <v/>
      </c>
      <c r="AD35" s="16">
        <f>IF('Gyms &amp; Studios'!AE5="","",'Gyms &amp; Studios'!AE5)</f>
        <v/>
      </c>
      <c r="AE35" s="16">
        <f>IF('Gyms &amp; Studios'!AF5="","",'Gyms &amp; Studios'!AF5)</f>
        <v/>
      </c>
      <c r="AF35" s="16">
        <f>IF('Gyms &amp; Studios'!AG5="","",'Gyms &amp; Studios'!AG5)</f>
        <v/>
      </c>
      <c r="AG35" s="17">
        <f>IF('Gyms &amp; Studios'!AH5="","",'Gyms &amp; Studios'!AH5)</f>
        <v/>
      </c>
      <c r="AH35" s="17">
        <f>IF('Gyms &amp; Studios'!AI5="","",'Gyms &amp; Studios'!AI5)</f>
        <v/>
      </c>
      <c r="AI35" s="17">
        <f>IF('Gyms &amp; Studios'!AJ5="","",'Gyms &amp; Studios'!AJ5)</f>
        <v/>
      </c>
      <c r="AJ35" s="17">
        <f>IF('Gyms &amp; Studios'!AK5="","",'Gyms &amp; Studios'!AK5)</f>
        <v/>
      </c>
      <c r="AK35" s="16">
        <f>IF('Gyms &amp; Studios'!AL5="","",'Gyms &amp; Studios'!AL5)</f>
        <v/>
      </c>
      <c r="AL35" s="18">
        <f>IF(V35="","",V35+ROW()/100000)</f>
        <v/>
      </c>
    </row>
    <row r="36" ht="18" customHeight="1">
      <c r="A36" s="22">
        <f>IF('Gyms &amp; Studios'!B6="","","Gyms &amp; Studios")</f>
        <v/>
      </c>
      <c r="B36" s="22">
        <f>IF('Gyms &amp; Studios'!B6="","",'Gyms &amp; Studios'!B6)</f>
        <v/>
      </c>
      <c r="C36" s="23">
        <f>IF('Gyms &amp; Studios'!D6="","",'Gyms &amp; Studios'!D6)</f>
        <v/>
      </c>
      <c r="D36" s="22">
        <f>IF('Gyms &amp; Studios'!E6="","",'Gyms &amp; Studios'!E6)</f>
        <v/>
      </c>
      <c r="E36" s="23">
        <f>IF('Gyms &amp; Studios'!F6="","",'Gyms &amp; Studios'!F6)</f>
        <v/>
      </c>
      <c r="F36" s="23">
        <f>IF('Gyms &amp; Studios'!G6="","",'Gyms &amp; Studios'!G6)</f>
        <v/>
      </c>
      <c r="G36" s="23">
        <f>IF('Gyms &amp; Studios'!H6="","",'Gyms &amp; Studios'!H6)</f>
        <v/>
      </c>
      <c r="H36" s="22">
        <f>IF('Gyms &amp; Studios'!I6="","",'Gyms &amp; Studios'!I6)</f>
        <v/>
      </c>
      <c r="I36" s="23">
        <f>IF('Gyms &amp; Studios'!J6="","",'Gyms &amp; Studios'!J6)</f>
        <v/>
      </c>
      <c r="J36" s="22">
        <f>IF('Gyms &amp; Studios'!K6="","",'Gyms &amp; Studios'!K6)</f>
        <v/>
      </c>
      <c r="K36" s="23">
        <f>IF('Gyms &amp; Studios'!L6="","",'Gyms &amp; Studios'!L6)</f>
        <v/>
      </c>
      <c r="L36" s="22">
        <f>IF('Gyms &amp; Studios'!M6="","",'Gyms &amp; Studios'!M6)</f>
        <v/>
      </c>
      <c r="M36" s="23">
        <f>IF('Gyms &amp; Studios'!N6="","",'Gyms &amp; Studios'!N6)</f>
        <v/>
      </c>
      <c r="N36" s="22">
        <f>IF('Gyms &amp; Studios'!O6="","",'Gyms &amp; Studios'!O6)</f>
        <v/>
      </c>
      <c r="O36" s="23">
        <f>IF('Gyms &amp; Studios'!P6="","",'Gyms &amp; Studios'!P6)</f>
        <v/>
      </c>
      <c r="P36" s="23">
        <f>IF('Gyms &amp; Studios'!Q6="","",'Gyms &amp; Studios'!Q6)</f>
        <v/>
      </c>
      <c r="Q36" s="24">
        <f>IF('Gyms &amp; Studios'!R6="","",'Gyms &amp; Studios'!R6)</f>
        <v/>
      </c>
      <c r="R36" s="25">
        <f>IF('Gyms &amp; Studios'!S6="","",'Gyms &amp; Studios'!S6)</f>
        <v/>
      </c>
      <c r="S36" s="22">
        <f>IF('Gyms &amp; Studios'!T6="","",'Gyms &amp; Studios'!T6)</f>
        <v/>
      </c>
      <c r="T36" s="24">
        <f>IF('Gyms &amp; Studios'!U6="","",'Gyms &amp; Studios'!U6)</f>
        <v/>
      </c>
      <c r="U36" s="23">
        <f>IF('Gyms &amp; Studios'!V6="","",'Gyms &amp; Studios'!V6)</f>
        <v/>
      </c>
      <c r="V36" s="24">
        <f>IF('Gyms &amp; Studios'!W6="","",'Gyms &amp; Studios'!W6)</f>
        <v/>
      </c>
      <c r="W36" s="23">
        <f>IF('Gyms &amp; Studios'!X6="","",'Gyms &amp; Studios'!X6)</f>
        <v/>
      </c>
      <c r="X36" s="23">
        <f>IF('Gyms &amp; Studios'!Y6="","",'Gyms &amp; Studios'!Y6)</f>
        <v/>
      </c>
      <c r="Y36" s="26">
        <f>IF('Gyms &amp; Studios'!Z6="","",'Gyms &amp; Studios'!Z6)</f>
        <v/>
      </c>
      <c r="Z36" s="27">
        <f>IF('Gyms &amp; Studios'!AA6="","",'Gyms &amp; Studios'!AA6)</f>
        <v/>
      </c>
      <c r="AA36" s="26">
        <f>IF('Gyms &amp; Studios'!AB6="","",'Gyms &amp; Studios'!AB6)</f>
        <v/>
      </c>
      <c r="AB36" s="22">
        <f>IF('Gyms &amp; Studios'!AC6="","",'Gyms &amp; Studios'!AC6)</f>
        <v/>
      </c>
      <c r="AC36" s="22">
        <f>IF('Gyms &amp; Studios'!AD6="","",'Gyms &amp; Studios'!AD6)</f>
        <v/>
      </c>
      <c r="AD36" s="22">
        <f>IF('Gyms &amp; Studios'!AE6="","",'Gyms &amp; Studios'!AE6)</f>
        <v/>
      </c>
      <c r="AE36" s="22">
        <f>IF('Gyms &amp; Studios'!AF6="","",'Gyms &amp; Studios'!AF6)</f>
        <v/>
      </c>
      <c r="AF36" s="22">
        <f>IF('Gyms &amp; Studios'!AG6="","",'Gyms &amp; Studios'!AG6)</f>
        <v/>
      </c>
      <c r="AG36" s="23">
        <f>IF('Gyms &amp; Studios'!AH6="","",'Gyms &amp; Studios'!AH6)</f>
        <v/>
      </c>
      <c r="AH36" s="23">
        <f>IF('Gyms &amp; Studios'!AI6="","",'Gyms &amp; Studios'!AI6)</f>
        <v/>
      </c>
      <c r="AI36" s="23">
        <f>IF('Gyms &amp; Studios'!AJ6="","",'Gyms &amp; Studios'!AJ6)</f>
        <v/>
      </c>
      <c r="AJ36" s="23">
        <f>IF('Gyms &amp; Studios'!AK6="","",'Gyms &amp; Studios'!AK6)</f>
        <v/>
      </c>
      <c r="AK36" s="22">
        <f>IF('Gyms &amp; Studios'!AL6="","",'Gyms &amp; Studios'!AL6)</f>
        <v/>
      </c>
      <c r="AL36" s="18">
        <f>IF(V36="","",V36+ROW()/100000)</f>
        <v/>
      </c>
    </row>
    <row r="37" ht="18" customHeight="1">
      <c r="A37" s="16">
        <f>IF('Gyms &amp; Studios'!B7="","","Gyms &amp; Studios")</f>
        <v/>
      </c>
      <c r="B37" s="16">
        <f>IF('Gyms &amp; Studios'!B7="","",'Gyms &amp; Studios'!B7)</f>
        <v/>
      </c>
      <c r="C37" s="17">
        <f>IF('Gyms &amp; Studios'!D7="","",'Gyms &amp; Studios'!D7)</f>
        <v/>
      </c>
      <c r="D37" s="16">
        <f>IF('Gyms &amp; Studios'!E7="","",'Gyms &amp; Studios'!E7)</f>
        <v/>
      </c>
      <c r="E37" s="17">
        <f>IF('Gyms &amp; Studios'!F7="","",'Gyms &amp; Studios'!F7)</f>
        <v/>
      </c>
      <c r="F37" s="17">
        <f>IF('Gyms &amp; Studios'!G7="","",'Gyms &amp; Studios'!G7)</f>
        <v/>
      </c>
      <c r="G37" s="17">
        <f>IF('Gyms &amp; Studios'!H7="","",'Gyms &amp; Studios'!H7)</f>
        <v/>
      </c>
      <c r="H37" s="16">
        <f>IF('Gyms &amp; Studios'!I7="","",'Gyms &amp; Studios'!I7)</f>
        <v/>
      </c>
      <c r="I37" s="17">
        <f>IF('Gyms &amp; Studios'!J7="","",'Gyms &amp; Studios'!J7)</f>
        <v/>
      </c>
      <c r="J37" s="16">
        <f>IF('Gyms &amp; Studios'!K7="","",'Gyms &amp; Studios'!K7)</f>
        <v/>
      </c>
      <c r="K37" s="17">
        <f>IF('Gyms &amp; Studios'!L7="","",'Gyms &amp; Studios'!L7)</f>
        <v/>
      </c>
      <c r="L37" s="16">
        <f>IF('Gyms &amp; Studios'!M7="","",'Gyms &amp; Studios'!M7)</f>
        <v/>
      </c>
      <c r="M37" s="17">
        <f>IF('Gyms &amp; Studios'!N7="","",'Gyms &amp; Studios'!N7)</f>
        <v/>
      </c>
      <c r="N37" s="16">
        <f>IF('Gyms &amp; Studios'!O7="","",'Gyms &amp; Studios'!O7)</f>
        <v/>
      </c>
      <c r="O37" s="17">
        <f>IF('Gyms &amp; Studios'!P7="","",'Gyms &amp; Studios'!P7)</f>
        <v/>
      </c>
      <c r="P37" s="17">
        <f>IF('Gyms &amp; Studios'!Q7="","",'Gyms &amp; Studios'!Q7)</f>
        <v/>
      </c>
      <c r="Q37" s="15">
        <f>IF('Gyms &amp; Studios'!R7="","",'Gyms &amp; Studios'!R7)</f>
        <v/>
      </c>
      <c r="R37" s="19">
        <f>IF('Gyms &amp; Studios'!S7="","",'Gyms &amp; Studios'!S7)</f>
        <v/>
      </c>
      <c r="S37" s="16">
        <f>IF('Gyms &amp; Studios'!T7="","",'Gyms &amp; Studios'!T7)</f>
        <v/>
      </c>
      <c r="T37" s="15">
        <f>IF('Gyms &amp; Studios'!U7="","",'Gyms &amp; Studios'!U7)</f>
        <v/>
      </c>
      <c r="U37" s="17">
        <f>IF('Gyms &amp; Studios'!V7="","",'Gyms &amp; Studios'!V7)</f>
        <v/>
      </c>
      <c r="V37" s="15">
        <f>IF('Gyms &amp; Studios'!W7="","",'Gyms &amp; Studios'!W7)</f>
        <v/>
      </c>
      <c r="W37" s="17">
        <f>IF('Gyms &amp; Studios'!X7="","",'Gyms &amp; Studios'!X7)</f>
        <v/>
      </c>
      <c r="X37" s="17">
        <f>IF('Gyms &amp; Studios'!Y7="","",'Gyms &amp; Studios'!Y7)</f>
        <v/>
      </c>
      <c r="Y37" s="20">
        <f>IF('Gyms &amp; Studios'!Z7="","",'Gyms &amp; Studios'!Z7)</f>
        <v/>
      </c>
      <c r="Z37" s="21">
        <f>IF('Gyms &amp; Studios'!AA7="","",'Gyms &amp; Studios'!AA7)</f>
        <v/>
      </c>
      <c r="AA37" s="20">
        <f>IF('Gyms &amp; Studios'!AB7="","",'Gyms &amp; Studios'!AB7)</f>
        <v/>
      </c>
      <c r="AB37" s="16">
        <f>IF('Gyms &amp; Studios'!AC7="","",'Gyms &amp; Studios'!AC7)</f>
        <v/>
      </c>
      <c r="AC37" s="16">
        <f>IF('Gyms &amp; Studios'!AD7="","",'Gyms &amp; Studios'!AD7)</f>
        <v/>
      </c>
      <c r="AD37" s="16">
        <f>IF('Gyms &amp; Studios'!AE7="","",'Gyms &amp; Studios'!AE7)</f>
        <v/>
      </c>
      <c r="AE37" s="16">
        <f>IF('Gyms &amp; Studios'!AF7="","",'Gyms &amp; Studios'!AF7)</f>
        <v/>
      </c>
      <c r="AF37" s="16">
        <f>IF('Gyms &amp; Studios'!AG7="","",'Gyms &amp; Studios'!AG7)</f>
        <v/>
      </c>
      <c r="AG37" s="17">
        <f>IF('Gyms &amp; Studios'!AH7="","",'Gyms &amp; Studios'!AH7)</f>
        <v/>
      </c>
      <c r="AH37" s="17">
        <f>IF('Gyms &amp; Studios'!AI7="","",'Gyms &amp; Studios'!AI7)</f>
        <v/>
      </c>
      <c r="AI37" s="17">
        <f>IF('Gyms &amp; Studios'!AJ7="","",'Gyms &amp; Studios'!AJ7)</f>
        <v/>
      </c>
      <c r="AJ37" s="17">
        <f>IF('Gyms &amp; Studios'!AK7="","",'Gyms &amp; Studios'!AK7)</f>
        <v/>
      </c>
      <c r="AK37" s="16">
        <f>IF('Gyms &amp; Studios'!AL7="","",'Gyms &amp; Studios'!AL7)</f>
        <v/>
      </c>
      <c r="AL37" s="18">
        <f>IF(V37="","",V37+ROW()/100000)</f>
        <v/>
      </c>
    </row>
    <row r="38" ht="18" customHeight="1">
      <c r="A38" s="22">
        <f>IF('Gyms &amp; Studios'!B8="","","Gyms &amp; Studios")</f>
        <v/>
      </c>
      <c r="B38" s="22">
        <f>IF('Gyms &amp; Studios'!B8="","",'Gyms &amp; Studios'!B8)</f>
        <v/>
      </c>
      <c r="C38" s="23">
        <f>IF('Gyms &amp; Studios'!D8="","",'Gyms &amp; Studios'!D8)</f>
        <v/>
      </c>
      <c r="D38" s="22">
        <f>IF('Gyms &amp; Studios'!E8="","",'Gyms &amp; Studios'!E8)</f>
        <v/>
      </c>
      <c r="E38" s="23">
        <f>IF('Gyms &amp; Studios'!F8="","",'Gyms &amp; Studios'!F8)</f>
        <v/>
      </c>
      <c r="F38" s="23">
        <f>IF('Gyms &amp; Studios'!G8="","",'Gyms &amp; Studios'!G8)</f>
        <v/>
      </c>
      <c r="G38" s="23">
        <f>IF('Gyms &amp; Studios'!H8="","",'Gyms &amp; Studios'!H8)</f>
        <v/>
      </c>
      <c r="H38" s="22">
        <f>IF('Gyms &amp; Studios'!I8="","",'Gyms &amp; Studios'!I8)</f>
        <v/>
      </c>
      <c r="I38" s="23">
        <f>IF('Gyms &amp; Studios'!J8="","",'Gyms &amp; Studios'!J8)</f>
        <v/>
      </c>
      <c r="J38" s="22">
        <f>IF('Gyms &amp; Studios'!K8="","",'Gyms &amp; Studios'!K8)</f>
        <v/>
      </c>
      <c r="K38" s="23">
        <f>IF('Gyms &amp; Studios'!L8="","",'Gyms &amp; Studios'!L8)</f>
        <v/>
      </c>
      <c r="L38" s="22">
        <f>IF('Gyms &amp; Studios'!M8="","",'Gyms &amp; Studios'!M8)</f>
        <v/>
      </c>
      <c r="M38" s="23">
        <f>IF('Gyms &amp; Studios'!N8="","",'Gyms &amp; Studios'!N8)</f>
        <v/>
      </c>
      <c r="N38" s="22">
        <f>IF('Gyms &amp; Studios'!O8="","",'Gyms &amp; Studios'!O8)</f>
        <v/>
      </c>
      <c r="O38" s="23">
        <f>IF('Gyms &amp; Studios'!P8="","",'Gyms &amp; Studios'!P8)</f>
        <v/>
      </c>
      <c r="P38" s="23">
        <f>IF('Gyms &amp; Studios'!Q8="","",'Gyms &amp; Studios'!Q8)</f>
        <v/>
      </c>
      <c r="Q38" s="24">
        <f>IF('Gyms &amp; Studios'!R8="","",'Gyms &amp; Studios'!R8)</f>
        <v/>
      </c>
      <c r="R38" s="25">
        <f>IF('Gyms &amp; Studios'!S8="","",'Gyms &amp; Studios'!S8)</f>
        <v/>
      </c>
      <c r="S38" s="22">
        <f>IF('Gyms &amp; Studios'!T8="","",'Gyms &amp; Studios'!T8)</f>
        <v/>
      </c>
      <c r="T38" s="24">
        <f>IF('Gyms &amp; Studios'!U8="","",'Gyms &amp; Studios'!U8)</f>
        <v/>
      </c>
      <c r="U38" s="23">
        <f>IF('Gyms &amp; Studios'!V8="","",'Gyms &amp; Studios'!V8)</f>
        <v/>
      </c>
      <c r="V38" s="24">
        <f>IF('Gyms &amp; Studios'!W8="","",'Gyms &amp; Studios'!W8)</f>
        <v/>
      </c>
      <c r="W38" s="23">
        <f>IF('Gyms &amp; Studios'!X8="","",'Gyms &amp; Studios'!X8)</f>
        <v/>
      </c>
      <c r="X38" s="23">
        <f>IF('Gyms &amp; Studios'!Y8="","",'Gyms &amp; Studios'!Y8)</f>
        <v/>
      </c>
      <c r="Y38" s="26">
        <f>IF('Gyms &amp; Studios'!Z8="","",'Gyms &amp; Studios'!Z8)</f>
        <v/>
      </c>
      <c r="Z38" s="27">
        <f>IF('Gyms &amp; Studios'!AA8="","",'Gyms &amp; Studios'!AA8)</f>
        <v/>
      </c>
      <c r="AA38" s="26">
        <f>IF('Gyms &amp; Studios'!AB8="","",'Gyms &amp; Studios'!AB8)</f>
        <v/>
      </c>
      <c r="AB38" s="22">
        <f>IF('Gyms &amp; Studios'!AC8="","",'Gyms &amp; Studios'!AC8)</f>
        <v/>
      </c>
      <c r="AC38" s="22">
        <f>IF('Gyms &amp; Studios'!AD8="","",'Gyms &amp; Studios'!AD8)</f>
        <v/>
      </c>
      <c r="AD38" s="22">
        <f>IF('Gyms &amp; Studios'!AE8="","",'Gyms &amp; Studios'!AE8)</f>
        <v/>
      </c>
      <c r="AE38" s="22">
        <f>IF('Gyms &amp; Studios'!AF8="","",'Gyms &amp; Studios'!AF8)</f>
        <v/>
      </c>
      <c r="AF38" s="22">
        <f>IF('Gyms &amp; Studios'!AG8="","",'Gyms &amp; Studios'!AG8)</f>
        <v/>
      </c>
      <c r="AG38" s="23">
        <f>IF('Gyms &amp; Studios'!AH8="","",'Gyms &amp; Studios'!AH8)</f>
        <v/>
      </c>
      <c r="AH38" s="23">
        <f>IF('Gyms &amp; Studios'!AI8="","",'Gyms &amp; Studios'!AI8)</f>
        <v/>
      </c>
      <c r="AI38" s="23">
        <f>IF('Gyms &amp; Studios'!AJ8="","",'Gyms &amp; Studios'!AJ8)</f>
        <v/>
      </c>
      <c r="AJ38" s="23">
        <f>IF('Gyms &amp; Studios'!AK8="","",'Gyms &amp; Studios'!AK8)</f>
        <v/>
      </c>
      <c r="AK38" s="22">
        <f>IF('Gyms &amp; Studios'!AL8="","",'Gyms &amp; Studios'!AL8)</f>
        <v/>
      </c>
      <c r="AL38" s="18">
        <f>IF(V38="","",V38+ROW()/100000)</f>
        <v/>
      </c>
    </row>
    <row r="39" ht="18" customHeight="1">
      <c r="A39" s="16">
        <f>IF('Gyms &amp; Studios'!B9="","","Gyms &amp; Studios")</f>
        <v/>
      </c>
      <c r="B39" s="16">
        <f>IF('Gyms &amp; Studios'!B9="","",'Gyms &amp; Studios'!B9)</f>
        <v/>
      </c>
      <c r="C39" s="17">
        <f>IF('Gyms &amp; Studios'!D9="","",'Gyms &amp; Studios'!D9)</f>
        <v/>
      </c>
      <c r="D39" s="16">
        <f>IF('Gyms &amp; Studios'!E9="","",'Gyms &amp; Studios'!E9)</f>
        <v/>
      </c>
      <c r="E39" s="17">
        <f>IF('Gyms &amp; Studios'!F9="","",'Gyms &amp; Studios'!F9)</f>
        <v/>
      </c>
      <c r="F39" s="17">
        <f>IF('Gyms &amp; Studios'!G9="","",'Gyms &amp; Studios'!G9)</f>
        <v/>
      </c>
      <c r="G39" s="17">
        <f>IF('Gyms &amp; Studios'!H9="","",'Gyms &amp; Studios'!H9)</f>
        <v/>
      </c>
      <c r="H39" s="16">
        <f>IF('Gyms &amp; Studios'!I9="","",'Gyms &amp; Studios'!I9)</f>
        <v/>
      </c>
      <c r="I39" s="17">
        <f>IF('Gyms &amp; Studios'!J9="","",'Gyms &amp; Studios'!J9)</f>
        <v/>
      </c>
      <c r="J39" s="16">
        <f>IF('Gyms &amp; Studios'!K9="","",'Gyms &amp; Studios'!K9)</f>
        <v/>
      </c>
      <c r="K39" s="17">
        <f>IF('Gyms &amp; Studios'!L9="","",'Gyms &amp; Studios'!L9)</f>
        <v/>
      </c>
      <c r="L39" s="16">
        <f>IF('Gyms &amp; Studios'!M9="","",'Gyms &amp; Studios'!M9)</f>
        <v/>
      </c>
      <c r="M39" s="17">
        <f>IF('Gyms &amp; Studios'!N9="","",'Gyms &amp; Studios'!N9)</f>
        <v/>
      </c>
      <c r="N39" s="16">
        <f>IF('Gyms &amp; Studios'!O9="","",'Gyms &amp; Studios'!O9)</f>
        <v/>
      </c>
      <c r="O39" s="17">
        <f>IF('Gyms &amp; Studios'!P9="","",'Gyms &amp; Studios'!P9)</f>
        <v/>
      </c>
      <c r="P39" s="17">
        <f>IF('Gyms &amp; Studios'!Q9="","",'Gyms &amp; Studios'!Q9)</f>
        <v/>
      </c>
      <c r="Q39" s="15">
        <f>IF('Gyms &amp; Studios'!R9="","",'Gyms &amp; Studios'!R9)</f>
        <v/>
      </c>
      <c r="R39" s="19">
        <f>IF('Gyms &amp; Studios'!S9="","",'Gyms &amp; Studios'!S9)</f>
        <v/>
      </c>
      <c r="S39" s="16">
        <f>IF('Gyms &amp; Studios'!T9="","",'Gyms &amp; Studios'!T9)</f>
        <v/>
      </c>
      <c r="T39" s="15">
        <f>IF('Gyms &amp; Studios'!U9="","",'Gyms &amp; Studios'!U9)</f>
        <v/>
      </c>
      <c r="U39" s="17">
        <f>IF('Gyms &amp; Studios'!V9="","",'Gyms &amp; Studios'!V9)</f>
        <v/>
      </c>
      <c r="V39" s="15">
        <f>IF('Gyms &amp; Studios'!W9="","",'Gyms &amp; Studios'!W9)</f>
        <v/>
      </c>
      <c r="W39" s="17">
        <f>IF('Gyms &amp; Studios'!X9="","",'Gyms &amp; Studios'!X9)</f>
        <v/>
      </c>
      <c r="X39" s="17">
        <f>IF('Gyms &amp; Studios'!Y9="","",'Gyms &amp; Studios'!Y9)</f>
        <v/>
      </c>
      <c r="Y39" s="20">
        <f>IF('Gyms &amp; Studios'!Z9="","",'Gyms &amp; Studios'!Z9)</f>
        <v/>
      </c>
      <c r="Z39" s="21">
        <f>IF('Gyms &amp; Studios'!AA9="","",'Gyms &amp; Studios'!AA9)</f>
        <v/>
      </c>
      <c r="AA39" s="20">
        <f>IF('Gyms &amp; Studios'!AB9="","",'Gyms &amp; Studios'!AB9)</f>
        <v/>
      </c>
      <c r="AB39" s="16">
        <f>IF('Gyms &amp; Studios'!AC9="","",'Gyms &amp; Studios'!AC9)</f>
        <v/>
      </c>
      <c r="AC39" s="16">
        <f>IF('Gyms &amp; Studios'!AD9="","",'Gyms &amp; Studios'!AD9)</f>
        <v/>
      </c>
      <c r="AD39" s="16">
        <f>IF('Gyms &amp; Studios'!AE9="","",'Gyms &amp; Studios'!AE9)</f>
        <v/>
      </c>
      <c r="AE39" s="16">
        <f>IF('Gyms &amp; Studios'!AF9="","",'Gyms &amp; Studios'!AF9)</f>
        <v/>
      </c>
      <c r="AF39" s="16">
        <f>IF('Gyms &amp; Studios'!AG9="","",'Gyms &amp; Studios'!AG9)</f>
        <v/>
      </c>
      <c r="AG39" s="17">
        <f>IF('Gyms &amp; Studios'!AH9="","",'Gyms &amp; Studios'!AH9)</f>
        <v/>
      </c>
      <c r="AH39" s="17">
        <f>IF('Gyms &amp; Studios'!AI9="","",'Gyms &amp; Studios'!AI9)</f>
        <v/>
      </c>
      <c r="AI39" s="17">
        <f>IF('Gyms &amp; Studios'!AJ9="","",'Gyms &amp; Studios'!AJ9)</f>
        <v/>
      </c>
      <c r="AJ39" s="17">
        <f>IF('Gyms &amp; Studios'!AK9="","",'Gyms &amp; Studios'!AK9)</f>
        <v/>
      </c>
      <c r="AK39" s="16">
        <f>IF('Gyms &amp; Studios'!AL9="","",'Gyms &amp; Studios'!AL9)</f>
        <v/>
      </c>
      <c r="AL39" s="18">
        <f>IF(V39="","",V39+ROW()/100000)</f>
        <v/>
      </c>
    </row>
    <row r="40" ht="18" customHeight="1">
      <c r="A40" s="22">
        <f>IF('Gyms &amp; Studios'!B10="","","Gyms &amp; Studios")</f>
        <v/>
      </c>
      <c r="B40" s="22">
        <f>IF('Gyms &amp; Studios'!B10="","",'Gyms &amp; Studios'!B10)</f>
        <v/>
      </c>
      <c r="C40" s="23">
        <f>IF('Gyms &amp; Studios'!D10="","",'Gyms &amp; Studios'!D10)</f>
        <v/>
      </c>
      <c r="D40" s="22">
        <f>IF('Gyms &amp; Studios'!E10="","",'Gyms &amp; Studios'!E10)</f>
        <v/>
      </c>
      <c r="E40" s="23">
        <f>IF('Gyms &amp; Studios'!F10="","",'Gyms &amp; Studios'!F10)</f>
        <v/>
      </c>
      <c r="F40" s="23">
        <f>IF('Gyms &amp; Studios'!G10="","",'Gyms &amp; Studios'!G10)</f>
        <v/>
      </c>
      <c r="G40" s="23">
        <f>IF('Gyms &amp; Studios'!H10="","",'Gyms &amp; Studios'!H10)</f>
        <v/>
      </c>
      <c r="H40" s="22">
        <f>IF('Gyms &amp; Studios'!I10="","",'Gyms &amp; Studios'!I10)</f>
        <v/>
      </c>
      <c r="I40" s="23">
        <f>IF('Gyms &amp; Studios'!J10="","",'Gyms &amp; Studios'!J10)</f>
        <v/>
      </c>
      <c r="J40" s="22">
        <f>IF('Gyms &amp; Studios'!K10="","",'Gyms &amp; Studios'!K10)</f>
        <v/>
      </c>
      <c r="K40" s="23">
        <f>IF('Gyms &amp; Studios'!L10="","",'Gyms &amp; Studios'!L10)</f>
        <v/>
      </c>
      <c r="L40" s="22">
        <f>IF('Gyms &amp; Studios'!M10="","",'Gyms &amp; Studios'!M10)</f>
        <v/>
      </c>
      <c r="M40" s="23">
        <f>IF('Gyms &amp; Studios'!N10="","",'Gyms &amp; Studios'!N10)</f>
        <v/>
      </c>
      <c r="N40" s="22">
        <f>IF('Gyms &amp; Studios'!O10="","",'Gyms &amp; Studios'!O10)</f>
        <v/>
      </c>
      <c r="O40" s="23">
        <f>IF('Gyms &amp; Studios'!P10="","",'Gyms &amp; Studios'!P10)</f>
        <v/>
      </c>
      <c r="P40" s="23">
        <f>IF('Gyms &amp; Studios'!Q10="","",'Gyms &amp; Studios'!Q10)</f>
        <v/>
      </c>
      <c r="Q40" s="24">
        <f>IF('Gyms &amp; Studios'!R10="","",'Gyms &amp; Studios'!R10)</f>
        <v/>
      </c>
      <c r="R40" s="25">
        <f>IF('Gyms &amp; Studios'!S10="","",'Gyms &amp; Studios'!S10)</f>
        <v/>
      </c>
      <c r="S40" s="22">
        <f>IF('Gyms &amp; Studios'!T10="","",'Gyms &amp; Studios'!T10)</f>
        <v/>
      </c>
      <c r="T40" s="24">
        <f>IF('Gyms &amp; Studios'!U10="","",'Gyms &amp; Studios'!U10)</f>
        <v/>
      </c>
      <c r="U40" s="23">
        <f>IF('Gyms &amp; Studios'!V10="","",'Gyms &amp; Studios'!V10)</f>
        <v/>
      </c>
      <c r="V40" s="24">
        <f>IF('Gyms &amp; Studios'!W10="","",'Gyms &amp; Studios'!W10)</f>
        <v/>
      </c>
      <c r="W40" s="23">
        <f>IF('Gyms &amp; Studios'!X10="","",'Gyms &amp; Studios'!X10)</f>
        <v/>
      </c>
      <c r="X40" s="23">
        <f>IF('Gyms &amp; Studios'!Y10="","",'Gyms &amp; Studios'!Y10)</f>
        <v/>
      </c>
      <c r="Y40" s="26">
        <f>IF('Gyms &amp; Studios'!Z10="","",'Gyms &amp; Studios'!Z10)</f>
        <v/>
      </c>
      <c r="Z40" s="27">
        <f>IF('Gyms &amp; Studios'!AA10="","",'Gyms &amp; Studios'!AA10)</f>
        <v/>
      </c>
      <c r="AA40" s="26">
        <f>IF('Gyms &amp; Studios'!AB10="","",'Gyms &amp; Studios'!AB10)</f>
        <v/>
      </c>
      <c r="AB40" s="22">
        <f>IF('Gyms &amp; Studios'!AC10="","",'Gyms &amp; Studios'!AC10)</f>
        <v/>
      </c>
      <c r="AC40" s="22">
        <f>IF('Gyms &amp; Studios'!AD10="","",'Gyms &amp; Studios'!AD10)</f>
        <v/>
      </c>
      <c r="AD40" s="22">
        <f>IF('Gyms &amp; Studios'!AE10="","",'Gyms &amp; Studios'!AE10)</f>
        <v/>
      </c>
      <c r="AE40" s="22">
        <f>IF('Gyms &amp; Studios'!AF10="","",'Gyms &amp; Studios'!AF10)</f>
        <v/>
      </c>
      <c r="AF40" s="22">
        <f>IF('Gyms &amp; Studios'!AG10="","",'Gyms &amp; Studios'!AG10)</f>
        <v/>
      </c>
      <c r="AG40" s="23">
        <f>IF('Gyms &amp; Studios'!AH10="","",'Gyms &amp; Studios'!AH10)</f>
        <v/>
      </c>
      <c r="AH40" s="23">
        <f>IF('Gyms &amp; Studios'!AI10="","",'Gyms &amp; Studios'!AI10)</f>
        <v/>
      </c>
      <c r="AI40" s="23">
        <f>IF('Gyms &amp; Studios'!AJ10="","",'Gyms &amp; Studios'!AJ10)</f>
        <v/>
      </c>
      <c r="AJ40" s="23">
        <f>IF('Gyms &amp; Studios'!AK10="","",'Gyms &amp; Studios'!AK10)</f>
        <v/>
      </c>
      <c r="AK40" s="22">
        <f>IF('Gyms &amp; Studios'!AL10="","",'Gyms &amp; Studios'!AL10)</f>
        <v/>
      </c>
      <c r="AL40" s="18">
        <f>IF(V40="","",V40+ROW()/100000)</f>
        <v/>
      </c>
    </row>
    <row r="41" ht="18" customHeight="1">
      <c r="A41" s="16">
        <f>IF('Gyms &amp; Studios'!B11="","","Gyms &amp; Studios")</f>
        <v/>
      </c>
      <c r="B41" s="16">
        <f>IF('Gyms &amp; Studios'!B11="","",'Gyms &amp; Studios'!B11)</f>
        <v/>
      </c>
      <c r="C41" s="17">
        <f>IF('Gyms &amp; Studios'!D11="","",'Gyms &amp; Studios'!D11)</f>
        <v/>
      </c>
      <c r="D41" s="16">
        <f>IF('Gyms &amp; Studios'!E11="","",'Gyms &amp; Studios'!E11)</f>
        <v/>
      </c>
      <c r="E41" s="17">
        <f>IF('Gyms &amp; Studios'!F11="","",'Gyms &amp; Studios'!F11)</f>
        <v/>
      </c>
      <c r="F41" s="17">
        <f>IF('Gyms &amp; Studios'!G11="","",'Gyms &amp; Studios'!G11)</f>
        <v/>
      </c>
      <c r="G41" s="17">
        <f>IF('Gyms &amp; Studios'!H11="","",'Gyms &amp; Studios'!H11)</f>
        <v/>
      </c>
      <c r="H41" s="16">
        <f>IF('Gyms &amp; Studios'!I11="","",'Gyms &amp; Studios'!I11)</f>
        <v/>
      </c>
      <c r="I41" s="17">
        <f>IF('Gyms &amp; Studios'!J11="","",'Gyms &amp; Studios'!J11)</f>
        <v/>
      </c>
      <c r="J41" s="16">
        <f>IF('Gyms &amp; Studios'!K11="","",'Gyms &amp; Studios'!K11)</f>
        <v/>
      </c>
      <c r="K41" s="17">
        <f>IF('Gyms &amp; Studios'!L11="","",'Gyms &amp; Studios'!L11)</f>
        <v/>
      </c>
      <c r="L41" s="16">
        <f>IF('Gyms &amp; Studios'!M11="","",'Gyms &amp; Studios'!M11)</f>
        <v/>
      </c>
      <c r="M41" s="17">
        <f>IF('Gyms &amp; Studios'!N11="","",'Gyms &amp; Studios'!N11)</f>
        <v/>
      </c>
      <c r="N41" s="16">
        <f>IF('Gyms &amp; Studios'!O11="","",'Gyms &amp; Studios'!O11)</f>
        <v/>
      </c>
      <c r="O41" s="17">
        <f>IF('Gyms &amp; Studios'!P11="","",'Gyms &amp; Studios'!P11)</f>
        <v/>
      </c>
      <c r="P41" s="17">
        <f>IF('Gyms &amp; Studios'!Q11="","",'Gyms &amp; Studios'!Q11)</f>
        <v/>
      </c>
      <c r="Q41" s="15">
        <f>IF('Gyms &amp; Studios'!R11="","",'Gyms &amp; Studios'!R11)</f>
        <v/>
      </c>
      <c r="R41" s="19">
        <f>IF('Gyms &amp; Studios'!S11="","",'Gyms &amp; Studios'!S11)</f>
        <v/>
      </c>
      <c r="S41" s="16">
        <f>IF('Gyms &amp; Studios'!T11="","",'Gyms &amp; Studios'!T11)</f>
        <v/>
      </c>
      <c r="T41" s="15">
        <f>IF('Gyms &amp; Studios'!U11="","",'Gyms &amp; Studios'!U11)</f>
        <v/>
      </c>
      <c r="U41" s="17">
        <f>IF('Gyms &amp; Studios'!V11="","",'Gyms &amp; Studios'!V11)</f>
        <v/>
      </c>
      <c r="V41" s="15">
        <f>IF('Gyms &amp; Studios'!W11="","",'Gyms &amp; Studios'!W11)</f>
        <v/>
      </c>
      <c r="W41" s="17">
        <f>IF('Gyms &amp; Studios'!X11="","",'Gyms &amp; Studios'!X11)</f>
        <v/>
      </c>
      <c r="X41" s="17">
        <f>IF('Gyms &amp; Studios'!Y11="","",'Gyms &amp; Studios'!Y11)</f>
        <v/>
      </c>
      <c r="Y41" s="20">
        <f>IF('Gyms &amp; Studios'!Z11="","",'Gyms &amp; Studios'!Z11)</f>
        <v/>
      </c>
      <c r="Z41" s="21">
        <f>IF('Gyms &amp; Studios'!AA11="","",'Gyms &amp; Studios'!AA11)</f>
        <v/>
      </c>
      <c r="AA41" s="20">
        <f>IF('Gyms &amp; Studios'!AB11="","",'Gyms &amp; Studios'!AB11)</f>
        <v/>
      </c>
      <c r="AB41" s="16">
        <f>IF('Gyms &amp; Studios'!AC11="","",'Gyms &amp; Studios'!AC11)</f>
        <v/>
      </c>
      <c r="AC41" s="16">
        <f>IF('Gyms &amp; Studios'!AD11="","",'Gyms &amp; Studios'!AD11)</f>
        <v/>
      </c>
      <c r="AD41" s="16">
        <f>IF('Gyms &amp; Studios'!AE11="","",'Gyms &amp; Studios'!AE11)</f>
        <v/>
      </c>
      <c r="AE41" s="16">
        <f>IF('Gyms &amp; Studios'!AF11="","",'Gyms &amp; Studios'!AF11)</f>
        <v/>
      </c>
      <c r="AF41" s="16">
        <f>IF('Gyms &amp; Studios'!AG11="","",'Gyms &amp; Studios'!AG11)</f>
        <v/>
      </c>
      <c r="AG41" s="17">
        <f>IF('Gyms &amp; Studios'!AH11="","",'Gyms &amp; Studios'!AH11)</f>
        <v/>
      </c>
      <c r="AH41" s="17">
        <f>IF('Gyms &amp; Studios'!AI11="","",'Gyms &amp; Studios'!AI11)</f>
        <v/>
      </c>
      <c r="AI41" s="17">
        <f>IF('Gyms &amp; Studios'!AJ11="","",'Gyms &amp; Studios'!AJ11)</f>
        <v/>
      </c>
      <c r="AJ41" s="17">
        <f>IF('Gyms &amp; Studios'!AK11="","",'Gyms &amp; Studios'!AK11)</f>
        <v/>
      </c>
      <c r="AK41" s="16">
        <f>IF('Gyms &amp; Studios'!AL11="","",'Gyms &amp; Studios'!AL11)</f>
        <v/>
      </c>
      <c r="AL41" s="18">
        <f>IF(V41="","",V41+ROW()/100000)</f>
        <v/>
      </c>
    </row>
    <row r="42" ht="18" customHeight="1">
      <c r="A42" s="22">
        <f>IF('Gyms &amp; Studios'!B12="","","Gyms &amp; Studios")</f>
        <v/>
      </c>
      <c r="B42" s="22">
        <f>IF('Gyms &amp; Studios'!B12="","",'Gyms &amp; Studios'!B12)</f>
        <v/>
      </c>
      <c r="C42" s="23">
        <f>IF('Gyms &amp; Studios'!D12="","",'Gyms &amp; Studios'!D12)</f>
        <v/>
      </c>
      <c r="D42" s="22">
        <f>IF('Gyms &amp; Studios'!E12="","",'Gyms &amp; Studios'!E12)</f>
        <v/>
      </c>
      <c r="E42" s="23">
        <f>IF('Gyms &amp; Studios'!F12="","",'Gyms &amp; Studios'!F12)</f>
        <v/>
      </c>
      <c r="F42" s="23">
        <f>IF('Gyms &amp; Studios'!G12="","",'Gyms &amp; Studios'!G12)</f>
        <v/>
      </c>
      <c r="G42" s="23">
        <f>IF('Gyms &amp; Studios'!H12="","",'Gyms &amp; Studios'!H12)</f>
        <v/>
      </c>
      <c r="H42" s="22">
        <f>IF('Gyms &amp; Studios'!I12="","",'Gyms &amp; Studios'!I12)</f>
        <v/>
      </c>
      <c r="I42" s="23">
        <f>IF('Gyms &amp; Studios'!J12="","",'Gyms &amp; Studios'!J12)</f>
        <v/>
      </c>
      <c r="J42" s="22">
        <f>IF('Gyms &amp; Studios'!K12="","",'Gyms &amp; Studios'!K12)</f>
        <v/>
      </c>
      <c r="K42" s="23">
        <f>IF('Gyms &amp; Studios'!L12="","",'Gyms &amp; Studios'!L12)</f>
        <v/>
      </c>
      <c r="L42" s="22">
        <f>IF('Gyms &amp; Studios'!M12="","",'Gyms &amp; Studios'!M12)</f>
        <v/>
      </c>
      <c r="M42" s="23">
        <f>IF('Gyms &amp; Studios'!N12="","",'Gyms &amp; Studios'!N12)</f>
        <v/>
      </c>
      <c r="N42" s="22">
        <f>IF('Gyms &amp; Studios'!O12="","",'Gyms &amp; Studios'!O12)</f>
        <v/>
      </c>
      <c r="O42" s="23">
        <f>IF('Gyms &amp; Studios'!P12="","",'Gyms &amp; Studios'!P12)</f>
        <v/>
      </c>
      <c r="P42" s="23">
        <f>IF('Gyms &amp; Studios'!Q12="","",'Gyms &amp; Studios'!Q12)</f>
        <v/>
      </c>
      <c r="Q42" s="24">
        <f>IF('Gyms &amp; Studios'!R12="","",'Gyms &amp; Studios'!R12)</f>
        <v/>
      </c>
      <c r="R42" s="25">
        <f>IF('Gyms &amp; Studios'!S12="","",'Gyms &amp; Studios'!S12)</f>
        <v/>
      </c>
      <c r="S42" s="22">
        <f>IF('Gyms &amp; Studios'!T12="","",'Gyms &amp; Studios'!T12)</f>
        <v/>
      </c>
      <c r="T42" s="24">
        <f>IF('Gyms &amp; Studios'!U12="","",'Gyms &amp; Studios'!U12)</f>
        <v/>
      </c>
      <c r="U42" s="23">
        <f>IF('Gyms &amp; Studios'!V12="","",'Gyms &amp; Studios'!V12)</f>
        <v/>
      </c>
      <c r="V42" s="24">
        <f>IF('Gyms &amp; Studios'!W12="","",'Gyms &amp; Studios'!W12)</f>
        <v/>
      </c>
      <c r="W42" s="23">
        <f>IF('Gyms &amp; Studios'!X12="","",'Gyms &amp; Studios'!X12)</f>
        <v/>
      </c>
      <c r="X42" s="23">
        <f>IF('Gyms &amp; Studios'!Y12="","",'Gyms &amp; Studios'!Y12)</f>
        <v/>
      </c>
      <c r="Y42" s="26">
        <f>IF('Gyms &amp; Studios'!Z12="","",'Gyms &amp; Studios'!Z12)</f>
        <v/>
      </c>
      <c r="Z42" s="27">
        <f>IF('Gyms &amp; Studios'!AA12="","",'Gyms &amp; Studios'!AA12)</f>
        <v/>
      </c>
      <c r="AA42" s="26">
        <f>IF('Gyms &amp; Studios'!AB12="","",'Gyms &amp; Studios'!AB12)</f>
        <v/>
      </c>
      <c r="AB42" s="22">
        <f>IF('Gyms &amp; Studios'!AC12="","",'Gyms &amp; Studios'!AC12)</f>
        <v/>
      </c>
      <c r="AC42" s="22">
        <f>IF('Gyms &amp; Studios'!AD12="","",'Gyms &amp; Studios'!AD12)</f>
        <v/>
      </c>
      <c r="AD42" s="22">
        <f>IF('Gyms &amp; Studios'!AE12="","",'Gyms &amp; Studios'!AE12)</f>
        <v/>
      </c>
      <c r="AE42" s="22">
        <f>IF('Gyms &amp; Studios'!AF12="","",'Gyms &amp; Studios'!AF12)</f>
        <v/>
      </c>
      <c r="AF42" s="22">
        <f>IF('Gyms &amp; Studios'!AG12="","",'Gyms &amp; Studios'!AG12)</f>
        <v/>
      </c>
      <c r="AG42" s="23">
        <f>IF('Gyms &amp; Studios'!AH12="","",'Gyms &amp; Studios'!AH12)</f>
        <v/>
      </c>
      <c r="AH42" s="23">
        <f>IF('Gyms &amp; Studios'!AI12="","",'Gyms &amp; Studios'!AI12)</f>
        <v/>
      </c>
      <c r="AI42" s="23">
        <f>IF('Gyms &amp; Studios'!AJ12="","",'Gyms &amp; Studios'!AJ12)</f>
        <v/>
      </c>
      <c r="AJ42" s="23">
        <f>IF('Gyms &amp; Studios'!AK12="","",'Gyms &amp; Studios'!AK12)</f>
        <v/>
      </c>
      <c r="AK42" s="22">
        <f>IF('Gyms &amp; Studios'!AL12="","",'Gyms &amp; Studios'!AL12)</f>
        <v/>
      </c>
      <c r="AL42" s="18">
        <f>IF(V42="","",V42+ROW()/100000)</f>
        <v/>
      </c>
    </row>
    <row r="43" ht="18" customHeight="1">
      <c r="A43" s="16">
        <f>IF('Gyms &amp; Studios'!B13="","","Gyms &amp; Studios")</f>
        <v/>
      </c>
      <c r="B43" s="16">
        <f>IF('Gyms &amp; Studios'!B13="","",'Gyms &amp; Studios'!B13)</f>
        <v/>
      </c>
      <c r="C43" s="17">
        <f>IF('Gyms &amp; Studios'!D13="","",'Gyms &amp; Studios'!D13)</f>
        <v/>
      </c>
      <c r="D43" s="16">
        <f>IF('Gyms &amp; Studios'!E13="","",'Gyms &amp; Studios'!E13)</f>
        <v/>
      </c>
      <c r="E43" s="17">
        <f>IF('Gyms &amp; Studios'!F13="","",'Gyms &amp; Studios'!F13)</f>
        <v/>
      </c>
      <c r="F43" s="17">
        <f>IF('Gyms &amp; Studios'!G13="","",'Gyms &amp; Studios'!G13)</f>
        <v/>
      </c>
      <c r="G43" s="17">
        <f>IF('Gyms &amp; Studios'!H13="","",'Gyms &amp; Studios'!H13)</f>
        <v/>
      </c>
      <c r="H43" s="16">
        <f>IF('Gyms &amp; Studios'!I13="","",'Gyms &amp; Studios'!I13)</f>
        <v/>
      </c>
      <c r="I43" s="17">
        <f>IF('Gyms &amp; Studios'!J13="","",'Gyms &amp; Studios'!J13)</f>
        <v/>
      </c>
      <c r="J43" s="16">
        <f>IF('Gyms &amp; Studios'!K13="","",'Gyms &amp; Studios'!K13)</f>
        <v/>
      </c>
      <c r="K43" s="17">
        <f>IF('Gyms &amp; Studios'!L13="","",'Gyms &amp; Studios'!L13)</f>
        <v/>
      </c>
      <c r="L43" s="16">
        <f>IF('Gyms &amp; Studios'!M13="","",'Gyms &amp; Studios'!M13)</f>
        <v/>
      </c>
      <c r="M43" s="17">
        <f>IF('Gyms &amp; Studios'!N13="","",'Gyms &amp; Studios'!N13)</f>
        <v/>
      </c>
      <c r="N43" s="16">
        <f>IF('Gyms &amp; Studios'!O13="","",'Gyms &amp; Studios'!O13)</f>
        <v/>
      </c>
      <c r="O43" s="17">
        <f>IF('Gyms &amp; Studios'!P13="","",'Gyms &amp; Studios'!P13)</f>
        <v/>
      </c>
      <c r="P43" s="17">
        <f>IF('Gyms &amp; Studios'!Q13="","",'Gyms &amp; Studios'!Q13)</f>
        <v/>
      </c>
      <c r="Q43" s="15">
        <f>IF('Gyms &amp; Studios'!R13="","",'Gyms &amp; Studios'!R13)</f>
        <v/>
      </c>
      <c r="R43" s="19">
        <f>IF('Gyms &amp; Studios'!S13="","",'Gyms &amp; Studios'!S13)</f>
        <v/>
      </c>
      <c r="S43" s="16">
        <f>IF('Gyms &amp; Studios'!T13="","",'Gyms &amp; Studios'!T13)</f>
        <v/>
      </c>
      <c r="T43" s="15">
        <f>IF('Gyms &amp; Studios'!U13="","",'Gyms &amp; Studios'!U13)</f>
        <v/>
      </c>
      <c r="U43" s="17">
        <f>IF('Gyms &amp; Studios'!V13="","",'Gyms &amp; Studios'!V13)</f>
        <v/>
      </c>
      <c r="V43" s="15">
        <f>IF('Gyms &amp; Studios'!W13="","",'Gyms &amp; Studios'!W13)</f>
        <v/>
      </c>
      <c r="W43" s="17">
        <f>IF('Gyms &amp; Studios'!X13="","",'Gyms &amp; Studios'!X13)</f>
        <v/>
      </c>
      <c r="X43" s="17">
        <f>IF('Gyms &amp; Studios'!Y13="","",'Gyms &amp; Studios'!Y13)</f>
        <v/>
      </c>
      <c r="Y43" s="20">
        <f>IF('Gyms &amp; Studios'!Z13="","",'Gyms &amp; Studios'!Z13)</f>
        <v/>
      </c>
      <c r="Z43" s="21">
        <f>IF('Gyms &amp; Studios'!AA13="","",'Gyms &amp; Studios'!AA13)</f>
        <v/>
      </c>
      <c r="AA43" s="20">
        <f>IF('Gyms &amp; Studios'!AB13="","",'Gyms &amp; Studios'!AB13)</f>
        <v/>
      </c>
      <c r="AB43" s="16">
        <f>IF('Gyms &amp; Studios'!AC13="","",'Gyms &amp; Studios'!AC13)</f>
        <v/>
      </c>
      <c r="AC43" s="16">
        <f>IF('Gyms &amp; Studios'!AD13="","",'Gyms &amp; Studios'!AD13)</f>
        <v/>
      </c>
      <c r="AD43" s="16">
        <f>IF('Gyms &amp; Studios'!AE13="","",'Gyms &amp; Studios'!AE13)</f>
        <v/>
      </c>
      <c r="AE43" s="16">
        <f>IF('Gyms &amp; Studios'!AF13="","",'Gyms &amp; Studios'!AF13)</f>
        <v/>
      </c>
      <c r="AF43" s="16">
        <f>IF('Gyms &amp; Studios'!AG13="","",'Gyms &amp; Studios'!AG13)</f>
        <v/>
      </c>
      <c r="AG43" s="17">
        <f>IF('Gyms &amp; Studios'!AH13="","",'Gyms &amp; Studios'!AH13)</f>
        <v/>
      </c>
      <c r="AH43" s="17">
        <f>IF('Gyms &amp; Studios'!AI13="","",'Gyms &amp; Studios'!AI13)</f>
        <v/>
      </c>
      <c r="AI43" s="17">
        <f>IF('Gyms &amp; Studios'!AJ13="","",'Gyms &amp; Studios'!AJ13)</f>
        <v/>
      </c>
      <c r="AJ43" s="17">
        <f>IF('Gyms &amp; Studios'!AK13="","",'Gyms &amp; Studios'!AK13)</f>
        <v/>
      </c>
      <c r="AK43" s="16">
        <f>IF('Gyms &amp; Studios'!AL13="","",'Gyms &amp; Studios'!AL13)</f>
        <v/>
      </c>
      <c r="AL43" s="18">
        <f>IF(V43="","",V43+ROW()/100000)</f>
        <v/>
      </c>
    </row>
    <row r="44" ht="18" customHeight="1">
      <c r="A44" s="22">
        <f>IF('Gyms &amp; Studios'!B14="","","Gyms &amp; Studios")</f>
        <v/>
      </c>
      <c r="B44" s="22">
        <f>IF('Gyms &amp; Studios'!B14="","",'Gyms &amp; Studios'!B14)</f>
        <v/>
      </c>
      <c r="C44" s="23">
        <f>IF('Gyms &amp; Studios'!D14="","",'Gyms &amp; Studios'!D14)</f>
        <v/>
      </c>
      <c r="D44" s="22">
        <f>IF('Gyms &amp; Studios'!E14="","",'Gyms &amp; Studios'!E14)</f>
        <v/>
      </c>
      <c r="E44" s="23">
        <f>IF('Gyms &amp; Studios'!F14="","",'Gyms &amp; Studios'!F14)</f>
        <v/>
      </c>
      <c r="F44" s="23">
        <f>IF('Gyms &amp; Studios'!G14="","",'Gyms &amp; Studios'!G14)</f>
        <v/>
      </c>
      <c r="G44" s="23">
        <f>IF('Gyms &amp; Studios'!H14="","",'Gyms &amp; Studios'!H14)</f>
        <v/>
      </c>
      <c r="H44" s="22">
        <f>IF('Gyms &amp; Studios'!I14="","",'Gyms &amp; Studios'!I14)</f>
        <v/>
      </c>
      <c r="I44" s="23">
        <f>IF('Gyms &amp; Studios'!J14="","",'Gyms &amp; Studios'!J14)</f>
        <v/>
      </c>
      <c r="J44" s="22">
        <f>IF('Gyms &amp; Studios'!K14="","",'Gyms &amp; Studios'!K14)</f>
        <v/>
      </c>
      <c r="K44" s="23">
        <f>IF('Gyms &amp; Studios'!L14="","",'Gyms &amp; Studios'!L14)</f>
        <v/>
      </c>
      <c r="L44" s="22">
        <f>IF('Gyms &amp; Studios'!M14="","",'Gyms &amp; Studios'!M14)</f>
        <v/>
      </c>
      <c r="M44" s="23">
        <f>IF('Gyms &amp; Studios'!N14="","",'Gyms &amp; Studios'!N14)</f>
        <v/>
      </c>
      <c r="N44" s="22">
        <f>IF('Gyms &amp; Studios'!O14="","",'Gyms &amp; Studios'!O14)</f>
        <v/>
      </c>
      <c r="O44" s="23">
        <f>IF('Gyms &amp; Studios'!P14="","",'Gyms &amp; Studios'!P14)</f>
        <v/>
      </c>
      <c r="P44" s="23">
        <f>IF('Gyms &amp; Studios'!Q14="","",'Gyms &amp; Studios'!Q14)</f>
        <v/>
      </c>
      <c r="Q44" s="24">
        <f>IF('Gyms &amp; Studios'!R14="","",'Gyms &amp; Studios'!R14)</f>
        <v/>
      </c>
      <c r="R44" s="25">
        <f>IF('Gyms &amp; Studios'!S14="","",'Gyms &amp; Studios'!S14)</f>
        <v/>
      </c>
      <c r="S44" s="22">
        <f>IF('Gyms &amp; Studios'!T14="","",'Gyms &amp; Studios'!T14)</f>
        <v/>
      </c>
      <c r="T44" s="24">
        <f>IF('Gyms &amp; Studios'!U14="","",'Gyms &amp; Studios'!U14)</f>
        <v/>
      </c>
      <c r="U44" s="23">
        <f>IF('Gyms &amp; Studios'!V14="","",'Gyms &amp; Studios'!V14)</f>
        <v/>
      </c>
      <c r="V44" s="24">
        <f>IF('Gyms &amp; Studios'!W14="","",'Gyms &amp; Studios'!W14)</f>
        <v/>
      </c>
      <c r="W44" s="23">
        <f>IF('Gyms &amp; Studios'!X14="","",'Gyms &amp; Studios'!X14)</f>
        <v/>
      </c>
      <c r="X44" s="23">
        <f>IF('Gyms &amp; Studios'!Y14="","",'Gyms &amp; Studios'!Y14)</f>
        <v/>
      </c>
      <c r="Y44" s="26">
        <f>IF('Gyms &amp; Studios'!Z14="","",'Gyms &amp; Studios'!Z14)</f>
        <v/>
      </c>
      <c r="Z44" s="27">
        <f>IF('Gyms &amp; Studios'!AA14="","",'Gyms &amp; Studios'!AA14)</f>
        <v/>
      </c>
      <c r="AA44" s="26">
        <f>IF('Gyms &amp; Studios'!AB14="","",'Gyms &amp; Studios'!AB14)</f>
        <v/>
      </c>
      <c r="AB44" s="22">
        <f>IF('Gyms &amp; Studios'!AC14="","",'Gyms &amp; Studios'!AC14)</f>
        <v/>
      </c>
      <c r="AC44" s="22">
        <f>IF('Gyms &amp; Studios'!AD14="","",'Gyms &amp; Studios'!AD14)</f>
        <v/>
      </c>
      <c r="AD44" s="22">
        <f>IF('Gyms &amp; Studios'!AE14="","",'Gyms &amp; Studios'!AE14)</f>
        <v/>
      </c>
      <c r="AE44" s="22">
        <f>IF('Gyms &amp; Studios'!AF14="","",'Gyms &amp; Studios'!AF14)</f>
        <v/>
      </c>
      <c r="AF44" s="22">
        <f>IF('Gyms &amp; Studios'!AG14="","",'Gyms &amp; Studios'!AG14)</f>
        <v/>
      </c>
      <c r="AG44" s="23">
        <f>IF('Gyms &amp; Studios'!AH14="","",'Gyms &amp; Studios'!AH14)</f>
        <v/>
      </c>
      <c r="AH44" s="23">
        <f>IF('Gyms &amp; Studios'!AI14="","",'Gyms &amp; Studios'!AI14)</f>
        <v/>
      </c>
      <c r="AI44" s="23">
        <f>IF('Gyms &amp; Studios'!AJ14="","",'Gyms &amp; Studios'!AJ14)</f>
        <v/>
      </c>
      <c r="AJ44" s="23">
        <f>IF('Gyms &amp; Studios'!AK14="","",'Gyms &amp; Studios'!AK14)</f>
        <v/>
      </c>
      <c r="AK44" s="22">
        <f>IF('Gyms &amp; Studios'!AL14="","",'Gyms &amp; Studios'!AL14)</f>
        <v/>
      </c>
      <c r="AL44" s="18">
        <f>IF(V44="","",V44+ROW()/100000)</f>
        <v/>
      </c>
    </row>
    <row r="45" ht="18" customHeight="1">
      <c r="A45" s="16">
        <f>IF('Gyms &amp; Studios'!B15="","","Gyms &amp; Studios")</f>
        <v/>
      </c>
      <c r="B45" s="16">
        <f>IF('Gyms &amp; Studios'!B15="","",'Gyms &amp; Studios'!B15)</f>
        <v/>
      </c>
      <c r="C45" s="17">
        <f>IF('Gyms &amp; Studios'!D15="","",'Gyms &amp; Studios'!D15)</f>
        <v/>
      </c>
      <c r="D45" s="16">
        <f>IF('Gyms &amp; Studios'!E15="","",'Gyms &amp; Studios'!E15)</f>
        <v/>
      </c>
      <c r="E45" s="17">
        <f>IF('Gyms &amp; Studios'!F15="","",'Gyms &amp; Studios'!F15)</f>
        <v/>
      </c>
      <c r="F45" s="17">
        <f>IF('Gyms &amp; Studios'!G15="","",'Gyms &amp; Studios'!G15)</f>
        <v/>
      </c>
      <c r="G45" s="17">
        <f>IF('Gyms &amp; Studios'!H15="","",'Gyms &amp; Studios'!H15)</f>
        <v/>
      </c>
      <c r="H45" s="16">
        <f>IF('Gyms &amp; Studios'!I15="","",'Gyms &amp; Studios'!I15)</f>
        <v/>
      </c>
      <c r="I45" s="17">
        <f>IF('Gyms &amp; Studios'!J15="","",'Gyms &amp; Studios'!J15)</f>
        <v/>
      </c>
      <c r="J45" s="16">
        <f>IF('Gyms &amp; Studios'!K15="","",'Gyms &amp; Studios'!K15)</f>
        <v/>
      </c>
      <c r="K45" s="17">
        <f>IF('Gyms &amp; Studios'!L15="","",'Gyms &amp; Studios'!L15)</f>
        <v/>
      </c>
      <c r="L45" s="16">
        <f>IF('Gyms &amp; Studios'!M15="","",'Gyms &amp; Studios'!M15)</f>
        <v/>
      </c>
      <c r="M45" s="17">
        <f>IF('Gyms &amp; Studios'!N15="","",'Gyms &amp; Studios'!N15)</f>
        <v/>
      </c>
      <c r="N45" s="16">
        <f>IF('Gyms &amp; Studios'!O15="","",'Gyms &amp; Studios'!O15)</f>
        <v/>
      </c>
      <c r="O45" s="17">
        <f>IF('Gyms &amp; Studios'!P15="","",'Gyms &amp; Studios'!P15)</f>
        <v/>
      </c>
      <c r="P45" s="17">
        <f>IF('Gyms &amp; Studios'!Q15="","",'Gyms &amp; Studios'!Q15)</f>
        <v/>
      </c>
      <c r="Q45" s="15">
        <f>IF('Gyms &amp; Studios'!R15="","",'Gyms &amp; Studios'!R15)</f>
        <v/>
      </c>
      <c r="R45" s="19">
        <f>IF('Gyms &amp; Studios'!S15="","",'Gyms &amp; Studios'!S15)</f>
        <v/>
      </c>
      <c r="S45" s="16">
        <f>IF('Gyms &amp; Studios'!T15="","",'Gyms &amp; Studios'!T15)</f>
        <v/>
      </c>
      <c r="T45" s="15">
        <f>IF('Gyms &amp; Studios'!U15="","",'Gyms &amp; Studios'!U15)</f>
        <v/>
      </c>
      <c r="U45" s="17">
        <f>IF('Gyms &amp; Studios'!V15="","",'Gyms &amp; Studios'!V15)</f>
        <v/>
      </c>
      <c r="V45" s="15">
        <f>IF('Gyms &amp; Studios'!W15="","",'Gyms &amp; Studios'!W15)</f>
        <v/>
      </c>
      <c r="W45" s="17">
        <f>IF('Gyms &amp; Studios'!X15="","",'Gyms &amp; Studios'!X15)</f>
        <v/>
      </c>
      <c r="X45" s="17">
        <f>IF('Gyms &amp; Studios'!Y15="","",'Gyms &amp; Studios'!Y15)</f>
        <v/>
      </c>
      <c r="Y45" s="20">
        <f>IF('Gyms &amp; Studios'!Z15="","",'Gyms &amp; Studios'!Z15)</f>
        <v/>
      </c>
      <c r="Z45" s="21">
        <f>IF('Gyms &amp; Studios'!AA15="","",'Gyms &amp; Studios'!AA15)</f>
        <v/>
      </c>
      <c r="AA45" s="20">
        <f>IF('Gyms &amp; Studios'!AB15="","",'Gyms &amp; Studios'!AB15)</f>
        <v/>
      </c>
      <c r="AB45" s="16">
        <f>IF('Gyms &amp; Studios'!AC15="","",'Gyms &amp; Studios'!AC15)</f>
        <v/>
      </c>
      <c r="AC45" s="16">
        <f>IF('Gyms &amp; Studios'!AD15="","",'Gyms &amp; Studios'!AD15)</f>
        <v/>
      </c>
      <c r="AD45" s="16">
        <f>IF('Gyms &amp; Studios'!AE15="","",'Gyms &amp; Studios'!AE15)</f>
        <v/>
      </c>
      <c r="AE45" s="16">
        <f>IF('Gyms &amp; Studios'!AF15="","",'Gyms &amp; Studios'!AF15)</f>
        <v/>
      </c>
      <c r="AF45" s="16">
        <f>IF('Gyms &amp; Studios'!AG15="","",'Gyms &amp; Studios'!AG15)</f>
        <v/>
      </c>
      <c r="AG45" s="17">
        <f>IF('Gyms &amp; Studios'!AH15="","",'Gyms &amp; Studios'!AH15)</f>
        <v/>
      </c>
      <c r="AH45" s="17">
        <f>IF('Gyms &amp; Studios'!AI15="","",'Gyms &amp; Studios'!AI15)</f>
        <v/>
      </c>
      <c r="AI45" s="17">
        <f>IF('Gyms &amp; Studios'!AJ15="","",'Gyms &amp; Studios'!AJ15)</f>
        <v/>
      </c>
      <c r="AJ45" s="17">
        <f>IF('Gyms &amp; Studios'!AK15="","",'Gyms &amp; Studios'!AK15)</f>
        <v/>
      </c>
      <c r="AK45" s="16">
        <f>IF('Gyms &amp; Studios'!AL15="","",'Gyms &amp; Studios'!AL15)</f>
        <v/>
      </c>
      <c r="AL45" s="18">
        <f>IF(V45="","",V45+ROW()/100000)</f>
        <v/>
      </c>
    </row>
    <row r="46" ht="18" customHeight="1">
      <c r="A46" s="22">
        <f>IF('Gyms &amp; Studios'!B16="","","Gyms &amp; Studios")</f>
        <v/>
      </c>
      <c r="B46" s="22">
        <f>IF('Gyms &amp; Studios'!B16="","",'Gyms &amp; Studios'!B16)</f>
        <v/>
      </c>
      <c r="C46" s="23">
        <f>IF('Gyms &amp; Studios'!D16="","",'Gyms &amp; Studios'!D16)</f>
        <v/>
      </c>
      <c r="D46" s="22">
        <f>IF('Gyms &amp; Studios'!E16="","",'Gyms &amp; Studios'!E16)</f>
        <v/>
      </c>
      <c r="E46" s="23">
        <f>IF('Gyms &amp; Studios'!F16="","",'Gyms &amp; Studios'!F16)</f>
        <v/>
      </c>
      <c r="F46" s="23">
        <f>IF('Gyms &amp; Studios'!G16="","",'Gyms &amp; Studios'!G16)</f>
        <v/>
      </c>
      <c r="G46" s="23">
        <f>IF('Gyms &amp; Studios'!H16="","",'Gyms &amp; Studios'!H16)</f>
        <v/>
      </c>
      <c r="H46" s="22">
        <f>IF('Gyms &amp; Studios'!I16="","",'Gyms &amp; Studios'!I16)</f>
        <v/>
      </c>
      <c r="I46" s="23">
        <f>IF('Gyms &amp; Studios'!J16="","",'Gyms &amp; Studios'!J16)</f>
        <v/>
      </c>
      <c r="J46" s="22">
        <f>IF('Gyms &amp; Studios'!K16="","",'Gyms &amp; Studios'!K16)</f>
        <v/>
      </c>
      <c r="K46" s="23">
        <f>IF('Gyms &amp; Studios'!L16="","",'Gyms &amp; Studios'!L16)</f>
        <v/>
      </c>
      <c r="L46" s="22">
        <f>IF('Gyms &amp; Studios'!M16="","",'Gyms &amp; Studios'!M16)</f>
        <v/>
      </c>
      <c r="M46" s="23">
        <f>IF('Gyms &amp; Studios'!N16="","",'Gyms &amp; Studios'!N16)</f>
        <v/>
      </c>
      <c r="N46" s="22">
        <f>IF('Gyms &amp; Studios'!O16="","",'Gyms &amp; Studios'!O16)</f>
        <v/>
      </c>
      <c r="O46" s="23">
        <f>IF('Gyms &amp; Studios'!P16="","",'Gyms &amp; Studios'!P16)</f>
        <v/>
      </c>
      <c r="P46" s="23">
        <f>IF('Gyms &amp; Studios'!Q16="","",'Gyms &amp; Studios'!Q16)</f>
        <v/>
      </c>
      <c r="Q46" s="24">
        <f>IF('Gyms &amp; Studios'!R16="","",'Gyms &amp; Studios'!R16)</f>
        <v/>
      </c>
      <c r="R46" s="25">
        <f>IF('Gyms &amp; Studios'!S16="","",'Gyms &amp; Studios'!S16)</f>
        <v/>
      </c>
      <c r="S46" s="22">
        <f>IF('Gyms &amp; Studios'!T16="","",'Gyms &amp; Studios'!T16)</f>
        <v/>
      </c>
      <c r="T46" s="24">
        <f>IF('Gyms &amp; Studios'!U16="","",'Gyms &amp; Studios'!U16)</f>
        <v/>
      </c>
      <c r="U46" s="23">
        <f>IF('Gyms &amp; Studios'!V16="","",'Gyms &amp; Studios'!V16)</f>
        <v/>
      </c>
      <c r="V46" s="24">
        <f>IF('Gyms &amp; Studios'!W16="","",'Gyms &amp; Studios'!W16)</f>
        <v/>
      </c>
      <c r="W46" s="23">
        <f>IF('Gyms &amp; Studios'!X16="","",'Gyms &amp; Studios'!X16)</f>
        <v/>
      </c>
      <c r="X46" s="23">
        <f>IF('Gyms &amp; Studios'!Y16="","",'Gyms &amp; Studios'!Y16)</f>
        <v/>
      </c>
      <c r="Y46" s="26">
        <f>IF('Gyms &amp; Studios'!Z16="","",'Gyms &amp; Studios'!Z16)</f>
        <v/>
      </c>
      <c r="Z46" s="27">
        <f>IF('Gyms &amp; Studios'!AA16="","",'Gyms &amp; Studios'!AA16)</f>
        <v/>
      </c>
      <c r="AA46" s="26">
        <f>IF('Gyms &amp; Studios'!AB16="","",'Gyms &amp; Studios'!AB16)</f>
        <v/>
      </c>
      <c r="AB46" s="22">
        <f>IF('Gyms &amp; Studios'!AC16="","",'Gyms &amp; Studios'!AC16)</f>
        <v/>
      </c>
      <c r="AC46" s="22">
        <f>IF('Gyms &amp; Studios'!AD16="","",'Gyms &amp; Studios'!AD16)</f>
        <v/>
      </c>
      <c r="AD46" s="22">
        <f>IF('Gyms &amp; Studios'!AE16="","",'Gyms &amp; Studios'!AE16)</f>
        <v/>
      </c>
      <c r="AE46" s="22">
        <f>IF('Gyms &amp; Studios'!AF16="","",'Gyms &amp; Studios'!AF16)</f>
        <v/>
      </c>
      <c r="AF46" s="22">
        <f>IF('Gyms &amp; Studios'!AG16="","",'Gyms &amp; Studios'!AG16)</f>
        <v/>
      </c>
      <c r="AG46" s="23">
        <f>IF('Gyms &amp; Studios'!AH16="","",'Gyms &amp; Studios'!AH16)</f>
        <v/>
      </c>
      <c r="AH46" s="23">
        <f>IF('Gyms &amp; Studios'!AI16="","",'Gyms &amp; Studios'!AI16)</f>
        <v/>
      </c>
      <c r="AI46" s="23">
        <f>IF('Gyms &amp; Studios'!AJ16="","",'Gyms &amp; Studios'!AJ16)</f>
        <v/>
      </c>
      <c r="AJ46" s="23">
        <f>IF('Gyms &amp; Studios'!AK16="","",'Gyms &amp; Studios'!AK16)</f>
        <v/>
      </c>
      <c r="AK46" s="22">
        <f>IF('Gyms &amp; Studios'!AL16="","",'Gyms &amp; Studios'!AL16)</f>
        <v/>
      </c>
      <c r="AL46" s="18">
        <f>IF(V46="","",V46+ROW()/100000)</f>
        <v/>
      </c>
    </row>
    <row r="47" ht="18" customHeight="1">
      <c r="A47" s="16">
        <f>IF('Gyms &amp; Studios'!B17="","","Gyms &amp; Studios")</f>
        <v/>
      </c>
      <c r="B47" s="16">
        <f>IF('Gyms &amp; Studios'!B17="","",'Gyms &amp; Studios'!B17)</f>
        <v/>
      </c>
      <c r="C47" s="17">
        <f>IF('Gyms &amp; Studios'!D17="","",'Gyms &amp; Studios'!D17)</f>
        <v/>
      </c>
      <c r="D47" s="16">
        <f>IF('Gyms &amp; Studios'!E17="","",'Gyms &amp; Studios'!E17)</f>
        <v/>
      </c>
      <c r="E47" s="17">
        <f>IF('Gyms &amp; Studios'!F17="","",'Gyms &amp; Studios'!F17)</f>
        <v/>
      </c>
      <c r="F47" s="17">
        <f>IF('Gyms &amp; Studios'!G17="","",'Gyms &amp; Studios'!G17)</f>
        <v/>
      </c>
      <c r="G47" s="17">
        <f>IF('Gyms &amp; Studios'!H17="","",'Gyms &amp; Studios'!H17)</f>
        <v/>
      </c>
      <c r="H47" s="16">
        <f>IF('Gyms &amp; Studios'!I17="","",'Gyms &amp; Studios'!I17)</f>
        <v/>
      </c>
      <c r="I47" s="17">
        <f>IF('Gyms &amp; Studios'!J17="","",'Gyms &amp; Studios'!J17)</f>
        <v/>
      </c>
      <c r="J47" s="16">
        <f>IF('Gyms &amp; Studios'!K17="","",'Gyms &amp; Studios'!K17)</f>
        <v/>
      </c>
      <c r="K47" s="17">
        <f>IF('Gyms &amp; Studios'!L17="","",'Gyms &amp; Studios'!L17)</f>
        <v/>
      </c>
      <c r="L47" s="16">
        <f>IF('Gyms &amp; Studios'!M17="","",'Gyms &amp; Studios'!M17)</f>
        <v/>
      </c>
      <c r="M47" s="17">
        <f>IF('Gyms &amp; Studios'!N17="","",'Gyms &amp; Studios'!N17)</f>
        <v/>
      </c>
      <c r="N47" s="16">
        <f>IF('Gyms &amp; Studios'!O17="","",'Gyms &amp; Studios'!O17)</f>
        <v/>
      </c>
      <c r="O47" s="17">
        <f>IF('Gyms &amp; Studios'!P17="","",'Gyms &amp; Studios'!P17)</f>
        <v/>
      </c>
      <c r="P47" s="17">
        <f>IF('Gyms &amp; Studios'!Q17="","",'Gyms &amp; Studios'!Q17)</f>
        <v/>
      </c>
      <c r="Q47" s="15">
        <f>IF('Gyms &amp; Studios'!R17="","",'Gyms &amp; Studios'!R17)</f>
        <v/>
      </c>
      <c r="R47" s="19">
        <f>IF('Gyms &amp; Studios'!S17="","",'Gyms &amp; Studios'!S17)</f>
        <v/>
      </c>
      <c r="S47" s="16">
        <f>IF('Gyms &amp; Studios'!T17="","",'Gyms &amp; Studios'!T17)</f>
        <v/>
      </c>
      <c r="T47" s="15">
        <f>IF('Gyms &amp; Studios'!U17="","",'Gyms &amp; Studios'!U17)</f>
        <v/>
      </c>
      <c r="U47" s="17">
        <f>IF('Gyms &amp; Studios'!V17="","",'Gyms &amp; Studios'!V17)</f>
        <v/>
      </c>
      <c r="V47" s="15">
        <f>IF('Gyms &amp; Studios'!W17="","",'Gyms &amp; Studios'!W17)</f>
        <v/>
      </c>
      <c r="W47" s="17">
        <f>IF('Gyms &amp; Studios'!X17="","",'Gyms &amp; Studios'!X17)</f>
        <v/>
      </c>
      <c r="X47" s="17">
        <f>IF('Gyms &amp; Studios'!Y17="","",'Gyms &amp; Studios'!Y17)</f>
        <v/>
      </c>
      <c r="Y47" s="20">
        <f>IF('Gyms &amp; Studios'!Z17="","",'Gyms &amp; Studios'!Z17)</f>
        <v/>
      </c>
      <c r="Z47" s="21">
        <f>IF('Gyms &amp; Studios'!AA17="","",'Gyms &amp; Studios'!AA17)</f>
        <v/>
      </c>
      <c r="AA47" s="20">
        <f>IF('Gyms &amp; Studios'!AB17="","",'Gyms &amp; Studios'!AB17)</f>
        <v/>
      </c>
      <c r="AB47" s="16">
        <f>IF('Gyms &amp; Studios'!AC17="","",'Gyms &amp; Studios'!AC17)</f>
        <v/>
      </c>
      <c r="AC47" s="16">
        <f>IF('Gyms &amp; Studios'!AD17="","",'Gyms &amp; Studios'!AD17)</f>
        <v/>
      </c>
      <c r="AD47" s="16">
        <f>IF('Gyms &amp; Studios'!AE17="","",'Gyms &amp; Studios'!AE17)</f>
        <v/>
      </c>
      <c r="AE47" s="16">
        <f>IF('Gyms &amp; Studios'!AF17="","",'Gyms &amp; Studios'!AF17)</f>
        <v/>
      </c>
      <c r="AF47" s="16">
        <f>IF('Gyms &amp; Studios'!AG17="","",'Gyms &amp; Studios'!AG17)</f>
        <v/>
      </c>
      <c r="AG47" s="17">
        <f>IF('Gyms &amp; Studios'!AH17="","",'Gyms &amp; Studios'!AH17)</f>
        <v/>
      </c>
      <c r="AH47" s="17">
        <f>IF('Gyms &amp; Studios'!AI17="","",'Gyms &amp; Studios'!AI17)</f>
        <v/>
      </c>
      <c r="AI47" s="17">
        <f>IF('Gyms &amp; Studios'!AJ17="","",'Gyms &amp; Studios'!AJ17)</f>
        <v/>
      </c>
      <c r="AJ47" s="17">
        <f>IF('Gyms &amp; Studios'!AK17="","",'Gyms &amp; Studios'!AK17)</f>
        <v/>
      </c>
      <c r="AK47" s="16">
        <f>IF('Gyms &amp; Studios'!AL17="","",'Gyms &amp; Studios'!AL17)</f>
        <v/>
      </c>
      <c r="AL47" s="18">
        <f>IF(V47="","",V47+ROW()/100000)</f>
        <v/>
      </c>
    </row>
    <row r="48" ht="18" customHeight="1">
      <c r="A48" s="22">
        <f>IF('Gyms &amp; Studios'!B18="","","Gyms &amp; Studios")</f>
        <v/>
      </c>
      <c r="B48" s="22">
        <f>IF('Gyms &amp; Studios'!B18="","",'Gyms &amp; Studios'!B18)</f>
        <v/>
      </c>
      <c r="C48" s="23">
        <f>IF('Gyms &amp; Studios'!D18="","",'Gyms &amp; Studios'!D18)</f>
        <v/>
      </c>
      <c r="D48" s="22">
        <f>IF('Gyms &amp; Studios'!E18="","",'Gyms &amp; Studios'!E18)</f>
        <v/>
      </c>
      <c r="E48" s="23">
        <f>IF('Gyms &amp; Studios'!F18="","",'Gyms &amp; Studios'!F18)</f>
        <v/>
      </c>
      <c r="F48" s="23">
        <f>IF('Gyms &amp; Studios'!G18="","",'Gyms &amp; Studios'!G18)</f>
        <v/>
      </c>
      <c r="G48" s="23">
        <f>IF('Gyms &amp; Studios'!H18="","",'Gyms &amp; Studios'!H18)</f>
        <v/>
      </c>
      <c r="H48" s="22">
        <f>IF('Gyms &amp; Studios'!I18="","",'Gyms &amp; Studios'!I18)</f>
        <v/>
      </c>
      <c r="I48" s="23">
        <f>IF('Gyms &amp; Studios'!J18="","",'Gyms &amp; Studios'!J18)</f>
        <v/>
      </c>
      <c r="J48" s="22">
        <f>IF('Gyms &amp; Studios'!K18="","",'Gyms &amp; Studios'!K18)</f>
        <v/>
      </c>
      <c r="K48" s="23">
        <f>IF('Gyms &amp; Studios'!L18="","",'Gyms &amp; Studios'!L18)</f>
        <v/>
      </c>
      <c r="L48" s="22">
        <f>IF('Gyms &amp; Studios'!M18="","",'Gyms &amp; Studios'!M18)</f>
        <v/>
      </c>
      <c r="M48" s="23">
        <f>IF('Gyms &amp; Studios'!N18="","",'Gyms &amp; Studios'!N18)</f>
        <v/>
      </c>
      <c r="N48" s="22">
        <f>IF('Gyms &amp; Studios'!O18="","",'Gyms &amp; Studios'!O18)</f>
        <v/>
      </c>
      <c r="O48" s="23">
        <f>IF('Gyms &amp; Studios'!P18="","",'Gyms &amp; Studios'!P18)</f>
        <v/>
      </c>
      <c r="P48" s="23">
        <f>IF('Gyms &amp; Studios'!Q18="","",'Gyms &amp; Studios'!Q18)</f>
        <v/>
      </c>
      <c r="Q48" s="24">
        <f>IF('Gyms &amp; Studios'!R18="","",'Gyms &amp; Studios'!R18)</f>
        <v/>
      </c>
      <c r="R48" s="25">
        <f>IF('Gyms &amp; Studios'!S18="","",'Gyms &amp; Studios'!S18)</f>
        <v/>
      </c>
      <c r="S48" s="22">
        <f>IF('Gyms &amp; Studios'!T18="","",'Gyms &amp; Studios'!T18)</f>
        <v/>
      </c>
      <c r="T48" s="24">
        <f>IF('Gyms &amp; Studios'!U18="","",'Gyms &amp; Studios'!U18)</f>
        <v/>
      </c>
      <c r="U48" s="23">
        <f>IF('Gyms &amp; Studios'!V18="","",'Gyms &amp; Studios'!V18)</f>
        <v/>
      </c>
      <c r="V48" s="24">
        <f>IF('Gyms &amp; Studios'!W18="","",'Gyms &amp; Studios'!W18)</f>
        <v/>
      </c>
      <c r="W48" s="23">
        <f>IF('Gyms &amp; Studios'!X18="","",'Gyms &amp; Studios'!X18)</f>
        <v/>
      </c>
      <c r="X48" s="23">
        <f>IF('Gyms &amp; Studios'!Y18="","",'Gyms &amp; Studios'!Y18)</f>
        <v/>
      </c>
      <c r="Y48" s="26">
        <f>IF('Gyms &amp; Studios'!Z18="","",'Gyms &amp; Studios'!Z18)</f>
        <v/>
      </c>
      <c r="Z48" s="27">
        <f>IF('Gyms &amp; Studios'!AA18="","",'Gyms &amp; Studios'!AA18)</f>
        <v/>
      </c>
      <c r="AA48" s="26">
        <f>IF('Gyms &amp; Studios'!AB18="","",'Gyms &amp; Studios'!AB18)</f>
        <v/>
      </c>
      <c r="AB48" s="22">
        <f>IF('Gyms &amp; Studios'!AC18="","",'Gyms &amp; Studios'!AC18)</f>
        <v/>
      </c>
      <c r="AC48" s="22">
        <f>IF('Gyms &amp; Studios'!AD18="","",'Gyms &amp; Studios'!AD18)</f>
        <v/>
      </c>
      <c r="AD48" s="22">
        <f>IF('Gyms &amp; Studios'!AE18="","",'Gyms &amp; Studios'!AE18)</f>
        <v/>
      </c>
      <c r="AE48" s="22">
        <f>IF('Gyms &amp; Studios'!AF18="","",'Gyms &amp; Studios'!AF18)</f>
        <v/>
      </c>
      <c r="AF48" s="22">
        <f>IF('Gyms &amp; Studios'!AG18="","",'Gyms &amp; Studios'!AG18)</f>
        <v/>
      </c>
      <c r="AG48" s="23">
        <f>IF('Gyms &amp; Studios'!AH18="","",'Gyms &amp; Studios'!AH18)</f>
        <v/>
      </c>
      <c r="AH48" s="23">
        <f>IF('Gyms &amp; Studios'!AI18="","",'Gyms &amp; Studios'!AI18)</f>
        <v/>
      </c>
      <c r="AI48" s="23">
        <f>IF('Gyms &amp; Studios'!AJ18="","",'Gyms &amp; Studios'!AJ18)</f>
        <v/>
      </c>
      <c r="AJ48" s="23">
        <f>IF('Gyms &amp; Studios'!AK18="","",'Gyms &amp; Studios'!AK18)</f>
        <v/>
      </c>
      <c r="AK48" s="22">
        <f>IF('Gyms &amp; Studios'!AL18="","",'Gyms &amp; Studios'!AL18)</f>
        <v/>
      </c>
      <c r="AL48" s="18">
        <f>IF(V48="","",V48+ROW()/100000)</f>
        <v/>
      </c>
    </row>
    <row r="49" ht="18" customHeight="1">
      <c r="A49" s="16">
        <f>IF('Gyms &amp; Studios'!B19="","","Gyms &amp; Studios")</f>
        <v/>
      </c>
      <c r="B49" s="16">
        <f>IF('Gyms &amp; Studios'!B19="","",'Gyms &amp; Studios'!B19)</f>
        <v/>
      </c>
      <c r="C49" s="17">
        <f>IF('Gyms &amp; Studios'!D19="","",'Gyms &amp; Studios'!D19)</f>
        <v/>
      </c>
      <c r="D49" s="16">
        <f>IF('Gyms &amp; Studios'!E19="","",'Gyms &amp; Studios'!E19)</f>
        <v/>
      </c>
      <c r="E49" s="17">
        <f>IF('Gyms &amp; Studios'!F19="","",'Gyms &amp; Studios'!F19)</f>
        <v/>
      </c>
      <c r="F49" s="17">
        <f>IF('Gyms &amp; Studios'!G19="","",'Gyms &amp; Studios'!G19)</f>
        <v/>
      </c>
      <c r="G49" s="17">
        <f>IF('Gyms &amp; Studios'!H19="","",'Gyms &amp; Studios'!H19)</f>
        <v/>
      </c>
      <c r="H49" s="16">
        <f>IF('Gyms &amp; Studios'!I19="","",'Gyms &amp; Studios'!I19)</f>
        <v/>
      </c>
      <c r="I49" s="17">
        <f>IF('Gyms &amp; Studios'!J19="","",'Gyms &amp; Studios'!J19)</f>
        <v/>
      </c>
      <c r="J49" s="16">
        <f>IF('Gyms &amp; Studios'!K19="","",'Gyms &amp; Studios'!K19)</f>
        <v/>
      </c>
      <c r="K49" s="17">
        <f>IF('Gyms &amp; Studios'!L19="","",'Gyms &amp; Studios'!L19)</f>
        <v/>
      </c>
      <c r="L49" s="16">
        <f>IF('Gyms &amp; Studios'!M19="","",'Gyms &amp; Studios'!M19)</f>
        <v/>
      </c>
      <c r="M49" s="17">
        <f>IF('Gyms &amp; Studios'!N19="","",'Gyms &amp; Studios'!N19)</f>
        <v/>
      </c>
      <c r="N49" s="16">
        <f>IF('Gyms &amp; Studios'!O19="","",'Gyms &amp; Studios'!O19)</f>
        <v/>
      </c>
      <c r="O49" s="17">
        <f>IF('Gyms &amp; Studios'!P19="","",'Gyms &amp; Studios'!P19)</f>
        <v/>
      </c>
      <c r="P49" s="17">
        <f>IF('Gyms &amp; Studios'!Q19="","",'Gyms &amp; Studios'!Q19)</f>
        <v/>
      </c>
      <c r="Q49" s="15">
        <f>IF('Gyms &amp; Studios'!R19="","",'Gyms &amp; Studios'!R19)</f>
        <v/>
      </c>
      <c r="R49" s="19">
        <f>IF('Gyms &amp; Studios'!S19="","",'Gyms &amp; Studios'!S19)</f>
        <v/>
      </c>
      <c r="S49" s="16">
        <f>IF('Gyms &amp; Studios'!T19="","",'Gyms &amp; Studios'!T19)</f>
        <v/>
      </c>
      <c r="T49" s="15">
        <f>IF('Gyms &amp; Studios'!U19="","",'Gyms &amp; Studios'!U19)</f>
        <v/>
      </c>
      <c r="U49" s="17">
        <f>IF('Gyms &amp; Studios'!V19="","",'Gyms &amp; Studios'!V19)</f>
        <v/>
      </c>
      <c r="V49" s="15">
        <f>IF('Gyms &amp; Studios'!W19="","",'Gyms &amp; Studios'!W19)</f>
        <v/>
      </c>
      <c r="W49" s="17">
        <f>IF('Gyms &amp; Studios'!X19="","",'Gyms &amp; Studios'!X19)</f>
        <v/>
      </c>
      <c r="X49" s="17">
        <f>IF('Gyms &amp; Studios'!Y19="","",'Gyms &amp; Studios'!Y19)</f>
        <v/>
      </c>
      <c r="Y49" s="20">
        <f>IF('Gyms &amp; Studios'!Z19="","",'Gyms &amp; Studios'!Z19)</f>
        <v/>
      </c>
      <c r="Z49" s="21">
        <f>IF('Gyms &amp; Studios'!AA19="","",'Gyms &amp; Studios'!AA19)</f>
        <v/>
      </c>
      <c r="AA49" s="20">
        <f>IF('Gyms &amp; Studios'!AB19="","",'Gyms &amp; Studios'!AB19)</f>
        <v/>
      </c>
      <c r="AB49" s="16">
        <f>IF('Gyms &amp; Studios'!AC19="","",'Gyms &amp; Studios'!AC19)</f>
        <v/>
      </c>
      <c r="AC49" s="16">
        <f>IF('Gyms &amp; Studios'!AD19="","",'Gyms &amp; Studios'!AD19)</f>
        <v/>
      </c>
      <c r="AD49" s="16">
        <f>IF('Gyms &amp; Studios'!AE19="","",'Gyms &amp; Studios'!AE19)</f>
        <v/>
      </c>
      <c r="AE49" s="16">
        <f>IF('Gyms &amp; Studios'!AF19="","",'Gyms &amp; Studios'!AF19)</f>
        <v/>
      </c>
      <c r="AF49" s="16">
        <f>IF('Gyms &amp; Studios'!AG19="","",'Gyms &amp; Studios'!AG19)</f>
        <v/>
      </c>
      <c r="AG49" s="17">
        <f>IF('Gyms &amp; Studios'!AH19="","",'Gyms &amp; Studios'!AH19)</f>
        <v/>
      </c>
      <c r="AH49" s="17">
        <f>IF('Gyms &amp; Studios'!AI19="","",'Gyms &amp; Studios'!AI19)</f>
        <v/>
      </c>
      <c r="AI49" s="17">
        <f>IF('Gyms &amp; Studios'!AJ19="","",'Gyms &amp; Studios'!AJ19)</f>
        <v/>
      </c>
      <c r="AJ49" s="17">
        <f>IF('Gyms &amp; Studios'!AK19="","",'Gyms &amp; Studios'!AK19)</f>
        <v/>
      </c>
      <c r="AK49" s="16">
        <f>IF('Gyms &amp; Studios'!AL19="","",'Gyms &amp; Studios'!AL19)</f>
        <v/>
      </c>
      <c r="AL49" s="18">
        <f>IF(V49="","",V49+ROW()/100000)</f>
        <v/>
      </c>
    </row>
    <row r="50" ht="18" customHeight="1">
      <c r="A50" s="22">
        <f>IF('Gyms &amp; Studios'!B20="","","Gyms &amp; Studios")</f>
        <v/>
      </c>
      <c r="B50" s="22">
        <f>IF('Gyms &amp; Studios'!B20="","",'Gyms &amp; Studios'!B20)</f>
        <v/>
      </c>
      <c r="C50" s="23">
        <f>IF('Gyms &amp; Studios'!D20="","",'Gyms &amp; Studios'!D20)</f>
        <v/>
      </c>
      <c r="D50" s="22">
        <f>IF('Gyms &amp; Studios'!E20="","",'Gyms &amp; Studios'!E20)</f>
        <v/>
      </c>
      <c r="E50" s="23">
        <f>IF('Gyms &amp; Studios'!F20="","",'Gyms &amp; Studios'!F20)</f>
        <v/>
      </c>
      <c r="F50" s="23">
        <f>IF('Gyms &amp; Studios'!G20="","",'Gyms &amp; Studios'!G20)</f>
        <v/>
      </c>
      <c r="G50" s="23">
        <f>IF('Gyms &amp; Studios'!H20="","",'Gyms &amp; Studios'!H20)</f>
        <v/>
      </c>
      <c r="H50" s="22">
        <f>IF('Gyms &amp; Studios'!I20="","",'Gyms &amp; Studios'!I20)</f>
        <v/>
      </c>
      <c r="I50" s="23">
        <f>IF('Gyms &amp; Studios'!J20="","",'Gyms &amp; Studios'!J20)</f>
        <v/>
      </c>
      <c r="J50" s="22">
        <f>IF('Gyms &amp; Studios'!K20="","",'Gyms &amp; Studios'!K20)</f>
        <v/>
      </c>
      <c r="K50" s="23">
        <f>IF('Gyms &amp; Studios'!L20="","",'Gyms &amp; Studios'!L20)</f>
        <v/>
      </c>
      <c r="L50" s="22">
        <f>IF('Gyms &amp; Studios'!M20="","",'Gyms &amp; Studios'!M20)</f>
        <v/>
      </c>
      <c r="M50" s="23">
        <f>IF('Gyms &amp; Studios'!N20="","",'Gyms &amp; Studios'!N20)</f>
        <v/>
      </c>
      <c r="N50" s="22">
        <f>IF('Gyms &amp; Studios'!O20="","",'Gyms &amp; Studios'!O20)</f>
        <v/>
      </c>
      <c r="O50" s="23">
        <f>IF('Gyms &amp; Studios'!P20="","",'Gyms &amp; Studios'!P20)</f>
        <v/>
      </c>
      <c r="P50" s="23">
        <f>IF('Gyms &amp; Studios'!Q20="","",'Gyms &amp; Studios'!Q20)</f>
        <v/>
      </c>
      <c r="Q50" s="24">
        <f>IF('Gyms &amp; Studios'!R20="","",'Gyms &amp; Studios'!R20)</f>
        <v/>
      </c>
      <c r="R50" s="25">
        <f>IF('Gyms &amp; Studios'!S20="","",'Gyms &amp; Studios'!S20)</f>
        <v/>
      </c>
      <c r="S50" s="22">
        <f>IF('Gyms &amp; Studios'!T20="","",'Gyms &amp; Studios'!T20)</f>
        <v/>
      </c>
      <c r="T50" s="24">
        <f>IF('Gyms &amp; Studios'!U20="","",'Gyms &amp; Studios'!U20)</f>
        <v/>
      </c>
      <c r="U50" s="23">
        <f>IF('Gyms &amp; Studios'!V20="","",'Gyms &amp; Studios'!V20)</f>
        <v/>
      </c>
      <c r="V50" s="24">
        <f>IF('Gyms &amp; Studios'!W20="","",'Gyms &amp; Studios'!W20)</f>
        <v/>
      </c>
      <c r="W50" s="23">
        <f>IF('Gyms &amp; Studios'!X20="","",'Gyms &amp; Studios'!X20)</f>
        <v/>
      </c>
      <c r="X50" s="23">
        <f>IF('Gyms &amp; Studios'!Y20="","",'Gyms &amp; Studios'!Y20)</f>
        <v/>
      </c>
      <c r="Y50" s="26">
        <f>IF('Gyms &amp; Studios'!Z20="","",'Gyms &amp; Studios'!Z20)</f>
        <v/>
      </c>
      <c r="Z50" s="27">
        <f>IF('Gyms &amp; Studios'!AA20="","",'Gyms &amp; Studios'!AA20)</f>
        <v/>
      </c>
      <c r="AA50" s="26">
        <f>IF('Gyms &amp; Studios'!AB20="","",'Gyms &amp; Studios'!AB20)</f>
        <v/>
      </c>
      <c r="AB50" s="22">
        <f>IF('Gyms &amp; Studios'!AC20="","",'Gyms &amp; Studios'!AC20)</f>
        <v/>
      </c>
      <c r="AC50" s="22">
        <f>IF('Gyms &amp; Studios'!AD20="","",'Gyms &amp; Studios'!AD20)</f>
        <v/>
      </c>
      <c r="AD50" s="22">
        <f>IF('Gyms &amp; Studios'!AE20="","",'Gyms &amp; Studios'!AE20)</f>
        <v/>
      </c>
      <c r="AE50" s="22">
        <f>IF('Gyms &amp; Studios'!AF20="","",'Gyms &amp; Studios'!AF20)</f>
        <v/>
      </c>
      <c r="AF50" s="22">
        <f>IF('Gyms &amp; Studios'!AG20="","",'Gyms &amp; Studios'!AG20)</f>
        <v/>
      </c>
      <c r="AG50" s="23">
        <f>IF('Gyms &amp; Studios'!AH20="","",'Gyms &amp; Studios'!AH20)</f>
        <v/>
      </c>
      <c r="AH50" s="23">
        <f>IF('Gyms &amp; Studios'!AI20="","",'Gyms &amp; Studios'!AI20)</f>
        <v/>
      </c>
      <c r="AI50" s="23">
        <f>IF('Gyms &amp; Studios'!AJ20="","",'Gyms &amp; Studios'!AJ20)</f>
        <v/>
      </c>
      <c r="AJ50" s="23">
        <f>IF('Gyms &amp; Studios'!AK20="","",'Gyms &amp; Studios'!AK20)</f>
        <v/>
      </c>
      <c r="AK50" s="22">
        <f>IF('Gyms &amp; Studios'!AL20="","",'Gyms &amp; Studios'!AL20)</f>
        <v/>
      </c>
      <c r="AL50" s="18">
        <f>IF(V50="","",V50+ROW()/100000)</f>
        <v/>
      </c>
    </row>
    <row r="51" ht="18" customHeight="1">
      <c r="A51" s="16">
        <f>IF('Gyms &amp; Studios'!B21="","","Gyms &amp; Studios")</f>
        <v/>
      </c>
      <c r="B51" s="16">
        <f>IF('Gyms &amp; Studios'!B21="","",'Gyms &amp; Studios'!B21)</f>
        <v/>
      </c>
      <c r="C51" s="17">
        <f>IF('Gyms &amp; Studios'!D21="","",'Gyms &amp; Studios'!D21)</f>
        <v/>
      </c>
      <c r="D51" s="16">
        <f>IF('Gyms &amp; Studios'!E21="","",'Gyms &amp; Studios'!E21)</f>
        <v/>
      </c>
      <c r="E51" s="17">
        <f>IF('Gyms &amp; Studios'!F21="","",'Gyms &amp; Studios'!F21)</f>
        <v/>
      </c>
      <c r="F51" s="17">
        <f>IF('Gyms &amp; Studios'!G21="","",'Gyms &amp; Studios'!G21)</f>
        <v/>
      </c>
      <c r="G51" s="17">
        <f>IF('Gyms &amp; Studios'!H21="","",'Gyms &amp; Studios'!H21)</f>
        <v/>
      </c>
      <c r="H51" s="16">
        <f>IF('Gyms &amp; Studios'!I21="","",'Gyms &amp; Studios'!I21)</f>
        <v/>
      </c>
      <c r="I51" s="17">
        <f>IF('Gyms &amp; Studios'!J21="","",'Gyms &amp; Studios'!J21)</f>
        <v/>
      </c>
      <c r="J51" s="16">
        <f>IF('Gyms &amp; Studios'!K21="","",'Gyms &amp; Studios'!K21)</f>
        <v/>
      </c>
      <c r="K51" s="17">
        <f>IF('Gyms &amp; Studios'!L21="","",'Gyms &amp; Studios'!L21)</f>
        <v/>
      </c>
      <c r="L51" s="16">
        <f>IF('Gyms &amp; Studios'!M21="","",'Gyms &amp; Studios'!M21)</f>
        <v/>
      </c>
      <c r="M51" s="17">
        <f>IF('Gyms &amp; Studios'!N21="","",'Gyms &amp; Studios'!N21)</f>
        <v/>
      </c>
      <c r="N51" s="16">
        <f>IF('Gyms &amp; Studios'!O21="","",'Gyms &amp; Studios'!O21)</f>
        <v/>
      </c>
      <c r="O51" s="17">
        <f>IF('Gyms &amp; Studios'!P21="","",'Gyms &amp; Studios'!P21)</f>
        <v/>
      </c>
      <c r="P51" s="17">
        <f>IF('Gyms &amp; Studios'!Q21="","",'Gyms &amp; Studios'!Q21)</f>
        <v/>
      </c>
      <c r="Q51" s="15">
        <f>IF('Gyms &amp; Studios'!R21="","",'Gyms &amp; Studios'!R21)</f>
        <v/>
      </c>
      <c r="R51" s="19">
        <f>IF('Gyms &amp; Studios'!S21="","",'Gyms &amp; Studios'!S21)</f>
        <v/>
      </c>
      <c r="S51" s="16">
        <f>IF('Gyms &amp; Studios'!T21="","",'Gyms &amp; Studios'!T21)</f>
        <v/>
      </c>
      <c r="T51" s="15">
        <f>IF('Gyms &amp; Studios'!U21="","",'Gyms &amp; Studios'!U21)</f>
        <v/>
      </c>
      <c r="U51" s="17">
        <f>IF('Gyms &amp; Studios'!V21="","",'Gyms &amp; Studios'!V21)</f>
        <v/>
      </c>
      <c r="V51" s="15">
        <f>IF('Gyms &amp; Studios'!W21="","",'Gyms &amp; Studios'!W21)</f>
        <v/>
      </c>
      <c r="W51" s="17">
        <f>IF('Gyms &amp; Studios'!X21="","",'Gyms &amp; Studios'!X21)</f>
        <v/>
      </c>
      <c r="X51" s="17">
        <f>IF('Gyms &amp; Studios'!Y21="","",'Gyms &amp; Studios'!Y21)</f>
        <v/>
      </c>
      <c r="Y51" s="20">
        <f>IF('Gyms &amp; Studios'!Z21="","",'Gyms &amp; Studios'!Z21)</f>
        <v/>
      </c>
      <c r="Z51" s="21">
        <f>IF('Gyms &amp; Studios'!AA21="","",'Gyms &amp; Studios'!AA21)</f>
        <v/>
      </c>
      <c r="AA51" s="20">
        <f>IF('Gyms &amp; Studios'!AB21="","",'Gyms &amp; Studios'!AB21)</f>
        <v/>
      </c>
      <c r="AB51" s="16">
        <f>IF('Gyms &amp; Studios'!AC21="","",'Gyms &amp; Studios'!AC21)</f>
        <v/>
      </c>
      <c r="AC51" s="16">
        <f>IF('Gyms &amp; Studios'!AD21="","",'Gyms &amp; Studios'!AD21)</f>
        <v/>
      </c>
      <c r="AD51" s="16">
        <f>IF('Gyms &amp; Studios'!AE21="","",'Gyms &amp; Studios'!AE21)</f>
        <v/>
      </c>
      <c r="AE51" s="16">
        <f>IF('Gyms &amp; Studios'!AF21="","",'Gyms &amp; Studios'!AF21)</f>
        <v/>
      </c>
      <c r="AF51" s="16">
        <f>IF('Gyms &amp; Studios'!AG21="","",'Gyms &amp; Studios'!AG21)</f>
        <v/>
      </c>
      <c r="AG51" s="17">
        <f>IF('Gyms &amp; Studios'!AH21="","",'Gyms &amp; Studios'!AH21)</f>
        <v/>
      </c>
      <c r="AH51" s="17">
        <f>IF('Gyms &amp; Studios'!AI21="","",'Gyms &amp; Studios'!AI21)</f>
        <v/>
      </c>
      <c r="AI51" s="17">
        <f>IF('Gyms &amp; Studios'!AJ21="","",'Gyms &amp; Studios'!AJ21)</f>
        <v/>
      </c>
      <c r="AJ51" s="17">
        <f>IF('Gyms &amp; Studios'!AK21="","",'Gyms &amp; Studios'!AK21)</f>
        <v/>
      </c>
      <c r="AK51" s="16">
        <f>IF('Gyms &amp; Studios'!AL21="","",'Gyms &amp; Studios'!AL21)</f>
        <v/>
      </c>
      <c r="AL51" s="18">
        <f>IF(V51="","",V51+ROW()/100000)</f>
        <v/>
      </c>
    </row>
    <row r="52" ht="18" customHeight="1">
      <c r="A52" s="22">
        <f>IF('Gyms &amp; Studios'!B22="","","Gyms &amp; Studios")</f>
        <v/>
      </c>
      <c r="B52" s="22">
        <f>IF('Gyms &amp; Studios'!B22="","",'Gyms &amp; Studios'!B22)</f>
        <v/>
      </c>
      <c r="C52" s="23">
        <f>IF('Gyms &amp; Studios'!D22="","",'Gyms &amp; Studios'!D22)</f>
        <v/>
      </c>
      <c r="D52" s="22">
        <f>IF('Gyms &amp; Studios'!E22="","",'Gyms &amp; Studios'!E22)</f>
        <v/>
      </c>
      <c r="E52" s="23">
        <f>IF('Gyms &amp; Studios'!F22="","",'Gyms &amp; Studios'!F22)</f>
        <v/>
      </c>
      <c r="F52" s="23">
        <f>IF('Gyms &amp; Studios'!G22="","",'Gyms &amp; Studios'!G22)</f>
        <v/>
      </c>
      <c r="G52" s="23">
        <f>IF('Gyms &amp; Studios'!H22="","",'Gyms &amp; Studios'!H22)</f>
        <v/>
      </c>
      <c r="H52" s="22">
        <f>IF('Gyms &amp; Studios'!I22="","",'Gyms &amp; Studios'!I22)</f>
        <v/>
      </c>
      <c r="I52" s="23">
        <f>IF('Gyms &amp; Studios'!J22="","",'Gyms &amp; Studios'!J22)</f>
        <v/>
      </c>
      <c r="J52" s="22">
        <f>IF('Gyms &amp; Studios'!K22="","",'Gyms &amp; Studios'!K22)</f>
        <v/>
      </c>
      <c r="K52" s="23">
        <f>IF('Gyms &amp; Studios'!L22="","",'Gyms &amp; Studios'!L22)</f>
        <v/>
      </c>
      <c r="L52" s="22">
        <f>IF('Gyms &amp; Studios'!M22="","",'Gyms &amp; Studios'!M22)</f>
        <v/>
      </c>
      <c r="M52" s="23">
        <f>IF('Gyms &amp; Studios'!N22="","",'Gyms &amp; Studios'!N22)</f>
        <v/>
      </c>
      <c r="N52" s="22">
        <f>IF('Gyms &amp; Studios'!O22="","",'Gyms &amp; Studios'!O22)</f>
        <v/>
      </c>
      <c r="O52" s="23">
        <f>IF('Gyms &amp; Studios'!P22="","",'Gyms &amp; Studios'!P22)</f>
        <v/>
      </c>
      <c r="P52" s="23">
        <f>IF('Gyms &amp; Studios'!Q22="","",'Gyms &amp; Studios'!Q22)</f>
        <v/>
      </c>
      <c r="Q52" s="24">
        <f>IF('Gyms &amp; Studios'!R22="","",'Gyms &amp; Studios'!R22)</f>
        <v/>
      </c>
      <c r="R52" s="25">
        <f>IF('Gyms &amp; Studios'!S22="","",'Gyms &amp; Studios'!S22)</f>
        <v/>
      </c>
      <c r="S52" s="22">
        <f>IF('Gyms &amp; Studios'!T22="","",'Gyms &amp; Studios'!T22)</f>
        <v/>
      </c>
      <c r="T52" s="24">
        <f>IF('Gyms &amp; Studios'!U22="","",'Gyms &amp; Studios'!U22)</f>
        <v/>
      </c>
      <c r="U52" s="23">
        <f>IF('Gyms &amp; Studios'!V22="","",'Gyms &amp; Studios'!V22)</f>
        <v/>
      </c>
      <c r="V52" s="24">
        <f>IF('Gyms &amp; Studios'!W22="","",'Gyms &amp; Studios'!W22)</f>
        <v/>
      </c>
      <c r="W52" s="23">
        <f>IF('Gyms &amp; Studios'!X22="","",'Gyms &amp; Studios'!X22)</f>
        <v/>
      </c>
      <c r="X52" s="23">
        <f>IF('Gyms &amp; Studios'!Y22="","",'Gyms &amp; Studios'!Y22)</f>
        <v/>
      </c>
      <c r="Y52" s="26">
        <f>IF('Gyms &amp; Studios'!Z22="","",'Gyms &amp; Studios'!Z22)</f>
        <v/>
      </c>
      <c r="Z52" s="27">
        <f>IF('Gyms &amp; Studios'!AA22="","",'Gyms &amp; Studios'!AA22)</f>
        <v/>
      </c>
      <c r="AA52" s="26">
        <f>IF('Gyms &amp; Studios'!AB22="","",'Gyms &amp; Studios'!AB22)</f>
        <v/>
      </c>
      <c r="AB52" s="22">
        <f>IF('Gyms &amp; Studios'!AC22="","",'Gyms &amp; Studios'!AC22)</f>
        <v/>
      </c>
      <c r="AC52" s="22">
        <f>IF('Gyms &amp; Studios'!AD22="","",'Gyms &amp; Studios'!AD22)</f>
        <v/>
      </c>
      <c r="AD52" s="22">
        <f>IF('Gyms &amp; Studios'!AE22="","",'Gyms &amp; Studios'!AE22)</f>
        <v/>
      </c>
      <c r="AE52" s="22">
        <f>IF('Gyms &amp; Studios'!AF22="","",'Gyms &amp; Studios'!AF22)</f>
        <v/>
      </c>
      <c r="AF52" s="22">
        <f>IF('Gyms &amp; Studios'!AG22="","",'Gyms &amp; Studios'!AG22)</f>
        <v/>
      </c>
      <c r="AG52" s="23">
        <f>IF('Gyms &amp; Studios'!AH22="","",'Gyms &amp; Studios'!AH22)</f>
        <v/>
      </c>
      <c r="AH52" s="23">
        <f>IF('Gyms &amp; Studios'!AI22="","",'Gyms &amp; Studios'!AI22)</f>
        <v/>
      </c>
      <c r="AI52" s="23">
        <f>IF('Gyms &amp; Studios'!AJ22="","",'Gyms &amp; Studios'!AJ22)</f>
        <v/>
      </c>
      <c r="AJ52" s="23">
        <f>IF('Gyms &amp; Studios'!AK22="","",'Gyms &amp; Studios'!AK22)</f>
        <v/>
      </c>
      <c r="AK52" s="22">
        <f>IF('Gyms &amp; Studios'!AL22="","",'Gyms &amp; Studios'!AL22)</f>
        <v/>
      </c>
      <c r="AL52" s="18">
        <f>IF(V52="","",V52+ROW()/100000)</f>
        <v/>
      </c>
    </row>
    <row r="53" ht="18" customHeight="1">
      <c r="A53" s="16">
        <f>IF('Gyms &amp; Studios'!B23="","","Gyms &amp; Studios")</f>
        <v/>
      </c>
      <c r="B53" s="16">
        <f>IF('Gyms &amp; Studios'!B23="","",'Gyms &amp; Studios'!B23)</f>
        <v/>
      </c>
      <c r="C53" s="17">
        <f>IF('Gyms &amp; Studios'!D23="","",'Gyms &amp; Studios'!D23)</f>
        <v/>
      </c>
      <c r="D53" s="16">
        <f>IF('Gyms &amp; Studios'!E23="","",'Gyms &amp; Studios'!E23)</f>
        <v/>
      </c>
      <c r="E53" s="17">
        <f>IF('Gyms &amp; Studios'!F23="","",'Gyms &amp; Studios'!F23)</f>
        <v/>
      </c>
      <c r="F53" s="17">
        <f>IF('Gyms &amp; Studios'!G23="","",'Gyms &amp; Studios'!G23)</f>
        <v/>
      </c>
      <c r="G53" s="17">
        <f>IF('Gyms &amp; Studios'!H23="","",'Gyms &amp; Studios'!H23)</f>
        <v/>
      </c>
      <c r="H53" s="16">
        <f>IF('Gyms &amp; Studios'!I23="","",'Gyms &amp; Studios'!I23)</f>
        <v/>
      </c>
      <c r="I53" s="17">
        <f>IF('Gyms &amp; Studios'!J23="","",'Gyms &amp; Studios'!J23)</f>
        <v/>
      </c>
      <c r="J53" s="16">
        <f>IF('Gyms &amp; Studios'!K23="","",'Gyms &amp; Studios'!K23)</f>
        <v/>
      </c>
      <c r="K53" s="17">
        <f>IF('Gyms &amp; Studios'!L23="","",'Gyms &amp; Studios'!L23)</f>
        <v/>
      </c>
      <c r="L53" s="16">
        <f>IF('Gyms &amp; Studios'!M23="","",'Gyms &amp; Studios'!M23)</f>
        <v/>
      </c>
      <c r="M53" s="17">
        <f>IF('Gyms &amp; Studios'!N23="","",'Gyms &amp; Studios'!N23)</f>
        <v/>
      </c>
      <c r="N53" s="16">
        <f>IF('Gyms &amp; Studios'!O23="","",'Gyms &amp; Studios'!O23)</f>
        <v/>
      </c>
      <c r="O53" s="17">
        <f>IF('Gyms &amp; Studios'!P23="","",'Gyms &amp; Studios'!P23)</f>
        <v/>
      </c>
      <c r="P53" s="17">
        <f>IF('Gyms &amp; Studios'!Q23="","",'Gyms &amp; Studios'!Q23)</f>
        <v/>
      </c>
      <c r="Q53" s="15">
        <f>IF('Gyms &amp; Studios'!R23="","",'Gyms &amp; Studios'!R23)</f>
        <v/>
      </c>
      <c r="R53" s="19">
        <f>IF('Gyms &amp; Studios'!S23="","",'Gyms &amp; Studios'!S23)</f>
        <v/>
      </c>
      <c r="S53" s="16">
        <f>IF('Gyms &amp; Studios'!T23="","",'Gyms &amp; Studios'!T23)</f>
        <v/>
      </c>
      <c r="T53" s="15">
        <f>IF('Gyms &amp; Studios'!U23="","",'Gyms &amp; Studios'!U23)</f>
        <v/>
      </c>
      <c r="U53" s="17">
        <f>IF('Gyms &amp; Studios'!V23="","",'Gyms &amp; Studios'!V23)</f>
        <v/>
      </c>
      <c r="V53" s="15">
        <f>IF('Gyms &amp; Studios'!W23="","",'Gyms &amp; Studios'!W23)</f>
        <v/>
      </c>
      <c r="W53" s="17">
        <f>IF('Gyms &amp; Studios'!X23="","",'Gyms &amp; Studios'!X23)</f>
        <v/>
      </c>
      <c r="X53" s="17">
        <f>IF('Gyms &amp; Studios'!Y23="","",'Gyms &amp; Studios'!Y23)</f>
        <v/>
      </c>
      <c r="Y53" s="20">
        <f>IF('Gyms &amp; Studios'!Z23="","",'Gyms &amp; Studios'!Z23)</f>
        <v/>
      </c>
      <c r="Z53" s="21">
        <f>IF('Gyms &amp; Studios'!AA23="","",'Gyms &amp; Studios'!AA23)</f>
        <v/>
      </c>
      <c r="AA53" s="20">
        <f>IF('Gyms &amp; Studios'!AB23="","",'Gyms &amp; Studios'!AB23)</f>
        <v/>
      </c>
      <c r="AB53" s="16">
        <f>IF('Gyms &amp; Studios'!AC23="","",'Gyms &amp; Studios'!AC23)</f>
        <v/>
      </c>
      <c r="AC53" s="16">
        <f>IF('Gyms &amp; Studios'!AD23="","",'Gyms &amp; Studios'!AD23)</f>
        <v/>
      </c>
      <c r="AD53" s="16">
        <f>IF('Gyms &amp; Studios'!AE23="","",'Gyms &amp; Studios'!AE23)</f>
        <v/>
      </c>
      <c r="AE53" s="16">
        <f>IF('Gyms &amp; Studios'!AF23="","",'Gyms &amp; Studios'!AF23)</f>
        <v/>
      </c>
      <c r="AF53" s="16">
        <f>IF('Gyms &amp; Studios'!AG23="","",'Gyms &amp; Studios'!AG23)</f>
        <v/>
      </c>
      <c r="AG53" s="17">
        <f>IF('Gyms &amp; Studios'!AH23="","",'Gyms &amp; Studios'!AH23)</f>
        <v/>
      </c>
      <c r="AH53" s="17">
        <f>IF('Gyms &amp; Studios'!AI23="","",'Gyms &amp; Studios'!AI23)</f>
        <v/>
      </c>
      <c r="AI53" s="17">
        <f>IF('Gyms &amp; Studios'!AJ23="","",'Gyms &amp; Studios'!AJ23)</f>
        <v/>
      </c>
      <c r="AJ53" s="17">
        <f>IF('Gyms &amp; Studios'!AK23="","",'Gyms &amp; Studios'!AK23)</f>
        <v/>
      </c>
      <c r="AK53" s="16">
        <f>IF('Gyms &amp; Studios'!AL23="","",'Gyms &amp; Studios'!AL23)</f>
        <v/>
      </c>
      <c r="AL53" s="18">
        <f>IF(V53="","",V53+ROW()/100000)</f>
        <v/>
      </c>
    </row>
    <row r="54" ht="18" customHeight="1">
      <c r="A54" s="22">
        <f>IF('Gyms &amp; Studios'!B24="","","Gyms &amp; Studios")</f>
        <v/>
      </c>
      <c r="B54" s="22">
        <f>IF('Gyms &amp; Studios'!B24="","",'Gyms &amp; Studios'!B24)</f>
        <v/>
      </c>
      <c r="C54" s="23">
        <f>IF('Gyms &amp; Studios'!D24="","",'Gyms &amp; Studios'!D24)</f>
        <v/>
      </c>
      <c r="D54" s="22">
        <f>IF('Gyms &amp; Studios'!E24="","",'Gyms &amp; Studios'!E24)</f>
        <v/>
      </c>
      <c r="E54" s="23">
        <f>IF('Gyms &amp; Studios'!F24="","",'Gyms &amp; Studios'!F24)</f>
        <v/>
      </c>
      <c r="F54" s="23">
        <f>IF('Gyms &amp; Studios'!G24="","",'Gyms &amp; Studios'!G24)</f>
        <v/>
      </c>
      <c r="G54" s="23">
        <f>IF('Gyms &amp; Studios'!H24="","",'Gyms &amp; Studios'!H24)</f>
        <v/>
      </c>
      <c r="H54" s="22">
        <f>IF('Gyms &amp; Studios'!I24="","",'Gyms &amp; Studios'!I24)</f>
        <v/>
      </c>
      <c r="I54" s="23">
        <f>IF('Gyms &amp; Studios'!J24="","",'Gyms &amp; Studios'!J24)</f>
        <v/>
      </c>
      <c r="J54" s="22">
        <f>IF('Gyms &amp; Studios'!K24="","",'Gyms &amp; Studios'!K24)</f>
        <v/>
      </c>
      <c r="K54" s="23">
        <f>IF('Gyms &amp; Studios'!L24="","",'Gyms &amp; Studios'!L24)</f>
        <v/>
      </c>
      <c r="L54" s="22">
        <f>IF('Gyms &amp; Studios'!M24="","",'Gyms &amp; Studios'!M24)</f>
        <v/>
      </c>
      <c r="M54" s="23">
        <f>IF('Gyms &amp; Studios'!N24="","",'Gyms &amp; Studios'!N24)</f>
        <v/>
      </c>
      <c r="N54" s="22">
        <f>IF('Gyms &amp; Studios'!O24="","",'Gyms &amp; Studios'!O24)</f>
        <v/>
      </c>
      <c r="O54" s="23">
        <f>IF('Gyms &amp; Studios'!P24="","",'Gyms &amp; Studios'!P24)</f>
        <v/>
      </c>
      <c r="P54" s="23">
        <f>IF('Gyms &amp; Studios'!Q24="","",'Gyms &amp; Studios'!Q24)</f>
        <v/>
      </c>
      <c r="Q54" s="24">
        <f>IF('Gyms &amp; Studios'!R24="","",'Gyms &amp; Studios'!R24)</f>
        <v/>
      </c>
      <c r="R54" s="25">
        <f>IF('Gyms &amp; Studios'!S24="","",'Gyms &amp; Studios'!S24)</f>
        <v/>
      </c>
      <c r="S54" s="22">
        <f>IF('Gyms &amp; Studios'!T24="","",'Gyms &amp; Studios'!T24)</f>
        <v/>
      </c>
      <c r="T54" s="24">
        <f>IF('Gyms &amp; Studios'!U24="","",'Gyms &amp; Studios'!U24)</f>
        <v/>
      </c>
      <c r="U54" s="23">
        <f>IF('Gyms &amp; Studios'!V24="","",'Gyms &amp; Studios'!V24)</f>
        <v/>
      </c>
      <c r="V54" s="24">
        <f>IF('Gyms &amp; Studios'!W24="","",'Gyms &amp; Studios'!W24)</f>
        <v/>
      </c>
      <c r="W54" s="23">
        <f>IF('Gyms &amp; Studios'!X24="","",'Gyms &amp; Studios'!X24)</f>
        <v/>
      </c>
      <c r="X54" s="23">
        <f>IF('Gyms &amp; Studios'!Y24="","",'Gyms &amp; Studios'!Y24)</f>
        <v/>
      </c>
      <c r="Y54" s="26">
        <f>IF('Gyms &amp; Studios'!Z24="","",'Gyms &amp; Studios'!Z24)</f>
        <v/>
      </c>
      <c r="Z54" s="27">
        <f>IF('Gyms &amp; Studios'!AA24="","",'Gyms &amp; Studios'!AA24)</f>
        <v/>
      </c>
      <c r="AA54" s="26">
        <f>IF('Gyms &amp; Studios'!AB24="","",'Gyms &amp; Studios'!AB24)</f>
        <v/>
      </c>
      <c r="AB54" s="22">
        <f>IF('Gyms &amp; Studios'!AC24="","",'Gyms &amp; Studios'!AC24)</f>
        <v/>
      </c>
      <c r="AC54" s="22">
        <f>IF('Gyms &amp; Studios'!AD24="","",'Gyms &amp; Studios'!AD24)</f>
        <v/>
      </c>
      <c r="AD54" s="22">
        <f>IF('Gyms &amp; Studios'!AE24="","",'Gyms &amp; Studios'!AE24)</f>
        <v/>
      </c>
      <c r="AE54" s="22">
        <f>IF('Gyms &amp; Studios'!AF24="","",'Gyms &amp; Studios'!AF24)</f>
        <v/>
      </c>
      <c r="AF54" s="22">
        <f>IF('Gyms &amp; Studios'!AG24="","",'Gyms &amp; Studios'!AG24)</f>
        <v/>
      </c>
      <c r="AG54" s="23">
        <f>IF('Gyms &amp; Studios'!AH24="","",'Gyms &amp; Studios'!AH24)</f>
        <v/>
      </c>
      <c r="AH54" s="23">
        <f>IF('Gyms &amp; Studios'!AI24="","",'Gyms &amp; Studios'!AI24)</f>
        <v/>
      </c>
      <c r="AI54" s="23">
        <f>IF('Gyms &amp; Studios'!AJ24="","",'Gyms &amp; Studios'!AJ24)</f>
        <v/>
      </c>
      <c r="AJ54" s="23">
        <f>IF('Gyms &amp; Studios'!AK24="","",'Gyms &amp; Studios'!AK24)</f>
        <v/>
      </c>
      <c r="AK54" s="22">
        <f>IF('Gyms &amp; Studios'!AL24="","",'Gyms &amp; Studios'!AL24)</f>
        <v/>
      </c>
      <c r="AL54" s="18">
        <f>IF(V54="","",V54+ROW()/100000)</f>
        <v/>
      </c>
    </row>
    <row r="55" ht="18" customHeight="1">
      <c r="A55" s="16">
        <f>IF('Gyms &amp; Studios'!B25="","","Gyms &amp; Studios")</f>
        <v/>
      </c>
      <c r="B55" s="16">
        <f>IF('Gyms &amp; Studios'!B25="","",'Gyms &amp; Studios'!B25)</f>
        <v/>
      </c>
      <c r="C55" s="17">
        <f>IF('Gyms &amp; Studios'!D25="","",'Gyms &amp; Studios'!D25)</f>
        <v/>
      </c>
      <c r="D55" s="16">
        <f>IF('Gyms &amp; Studios'!E25="","",'Gyms &amp; Studios'!E25)</f>
        <v/>
      </c>
      <c r="E55" s="17">
        <f>IF('Gyms &amp; Studios'!F25="","",'Gyms &amp; Studios'!F25)</f>
        <v/>
      </c>
      <c r="F55" s="17">
        <f>IF('Gyms &amp; Studios'!G25="","",'Gyms &amp; Studios'!G25)</f>
        <v/>
      </c>
      <c r="G55" s="17">
        <f>IF('Gyms &amp; Studios'!H25="","",'Gyms &amp; Studios'!H25)</f>
        <v/>
      </c>
      <c r="H55" s="16">
        <f>IF('Gyms &amp; Studios'!I25="","",'Gyms &amp; Studios'!I25)</f>
        <v/>
      </c>
      <c r="I55" s="17">
        <f>IF('Gyms &amp; Studios'!J25="","",'Gyms &amp; Studios'!J25)</f>
        <v/>
      </c>
      <c r="J55" s="16">
        <f>IF('Gyms &amp; Studios'!K25="","",'Gyms &amp; Studios'!K25)</f>
        <v/>
      </c>
      <c r="K55" s="17">
        <f>IF('Gyms &amp; Studios'!L25="","",'Gyms &amp; Studios'!L25)</f>
        <v/>
      </c>
      <c r="L55" s="16">
        <f>IF('Gyms &amp; Studios'!M25="","",'Gyms &amp; Studios'!M25)</f>
        <v/>
      </c>
      <c r="M55" s="17">
        <f>IF('Gyms &amp; Studios'!N25="","",'Gyms &amp; Studios'!N25)</f>
        <v/>
      </c>
      <c r="N55" s="16">
        <f>IF('Gyms &amp; Studios'!O25="","",'Gyms &amp; Studios'!O25)</f>
        <v/>
      </c>
      <c r="O55" s="17">
        <f>IF('Gyms &amp; Studios'!P25="","",'Gyms &amp; Studios'!P25)</f>
        <v/>
      </c>
      <c r="P55" s="17">
        <f>IF('Gyms &amp; Studios'!Q25="","",'Gyms &amp; Studios'!Q25)</f>
        <v/>
      </c>
      <c r="Q55" s="15">
        <f>IF('Gyms &amp; Studios'!R25="","",'Gyms &amp; Studios'!R25)</f>
        <v/>
      </c>
      <c r="R55" s="19">
        <f>IF('Gyms &amp; Studios'!S25="","",'Gyms &amp; Studios'!S25)</f>
        <v/>
      </c>
      <c r="S55" s="16">
        <f>IF('Gyms &amp; Studios'!T25="","",'Gyms &amp; Studios'!T25)</f>
        <v/>
      </c>
      <c r="T55" s="15">
        <f>IF('Gyms &amp; Studios'!U25="","",'Gyms &amp; Studios'!U25)</f>
        <v/>
      </c>
      <c r="U55" s="17">
        <f>IF('Gyms &amp; Studios'!V25="","",'Gyms &amp; Studios'!V25)</f>
        <v/>
      </c>
      <c r="V55" s="15">
        <f>IF('Gyms &amp; Studios'!W25="","",'Gyms &amp; Studios'!W25)</f>
        <v/>
      </c>
      <c r="W55" s="17">
        <f>IF('Gyms &amp; Studios'!X25="","",'Gyms &amp; Studios'!X25)</f>
        <v/>
      </c>
      <c r="X55" s="17">
        <f>IF('Gyms &amp; Studios'!Y25="","",'Gyms &amp; Studios'!Y25)</f>
        <v/>
      </c>
      <c r="Y55" s="20">
        <f>IF('Gyms &amp; Studios'!Z25="","",'Gyms &amp; Studios'!Z25)</f>
        <v/>
      </c>
      <c r="Z55" s="21">
        <f>IF('Gyms &amp; Studios'!AA25="","",'Gyms &amp; Studios'!AA25)</f>
        <v/>
      </c>
      <c r="AA55" s="20">
        <f>IF('Gyms &amp; Studios'!AB25="","",'Gyms &amp; Studios'!AB25)</f>
        <v/>
      </c>
      <c r="AB55" s="16">
        <f>IF('Gyms &amp; Studios'!AC25="","",'Gyms &amp; Studios'!AC25)</f>
        <v/>
      </c>
      <c r="AC55" s="16">
        <f>IF('Gyms &amp; Studios'!AD25="","",'Gyms &amp; Studios'!AD25)</f>
        <v/>
      </c>
      <c r="AD55" s="16">
        <f>IF('Gyms &amp; Studios'!AE25="","",'Gyms &amp; Studios'!AE25)</f>
        <v/>
      </c>
      <c r="AE55" s="16">
        <f>IF('Gyms &amp; Studios'!AF25="","",'Gyms &amp; Studios'!AF25)</f>
        <v/>
      </c>
      <c r="AF55" s="16">
        <f>IF('Gyms &amp; Studios'!AG25="","",'Gyms &amp; Studios'!AG25)</f>
        <v/>
      </c>
      <c r="AG55" s="17">
        <f>IF('Gyms &amp; Studios'!AH25="","",'Gyms &amp; Studios'!AH25)</f>
        <v/>
      </c>
      <c r="AH55" s="17">
        <f>IF('Gyms &amp; Studios'!AI25="","",'Gyms &amp; Studios'!AI25)</f>
        <v/>
      </c>
      <c r="AI55" s="17">
        <f>IF('Gyms &amp; Studios'!AJ25="","",'Gyms &amp; Studios'!AJ25)</f>
        <v/>
      </c>
      <c r="AJ55" s="17">
        <f>IF('Gyms &amp; Studios'!AK25="","",'Gyms &amp; Studios'!AK25)</f>
        <v/>
      </c>
      <c r="AK55" s="16">
        <f>IF('Gyms &amp; Studios'!AL25="","",'Gyms &amp; Studios'!AL25)</f>
        <v/>
      </c>
      <c r="AL55" s="18">
        <f>IF(V55="","",V55+ROW()/100000)</f>
        <v/>
      </c>
    </row>
    <row r="56" ht="18" customHeight="1">
      <c r="A56" s="22">
        <f>IF('Gyms &amp; Studios'!B26="","","Gyms &amp; Studios")</f>
        <v/>
      </c>
      <c r="B56" s="22">
        <f>IF('Gyms &amp; Studios'!B26="","",'Gyms &amp; Studios'!B26)</f>
        <v/>
      </c>
      <c r="C56" s="23">
        <f>IF('Gyms &amp; Studios'!D26="","",'Gyms &amp; Studios'!D26)</f>
        <v/>
      </c>
      <c r="D56" s="22">
        <f>IF('Gyms &amp; Studios'!E26="","",'Gyms &amp; Studios'!E26)</f>
        <v/>
      </c>
      <c r="E56" s="23">
        <f>IF('Gyms &amp; Studios'!F26="","",'Gyms &amp; Studios'!F26)</f>
        <v/>
      </c>
      <c r="F56" s="23">
        <f>IF('Gyms &amp; Studios'!G26="","",'Gyms &amp; Studios'!G26)</f>
        <v/>
      </c>
      <c r="G56" s="23">
        <f>IF('Gyms &amp; Studios'!H26="","",'Gyms &amp; Studios'!H26)</f>
        <v/>
      </c>
      <c r="H56" s="22">
        <f>IF('Gyms &amp; Studios'!I26="","",'Gyms &amp; Studios'!I26)</f>
        <v/>
      </c>
      <c r="I56" s="23">
        <f>IF('Gyms &amp; Studios'!J26="","",'Gyms &amp; Studios'!J26)</f>
        <v/>
      </c>
      <c r="J56" s="22">
        <f>IF('Gyms &amp; Studios'!K26="","",'Gyms &amp; Studios'!K26)</f>
        <v/>
      </c>
      <c r="K56" s="23">
        <f>IF('Gyms &amp; Studios'!L26="","",'Gyms &amp; Studios'!L26)</f>
        <v/>
      </c>
      <c r="L56" s="22">
        <f>IF('Gyms &amp; Studios'!M26="","",'Gyms &amp; Studios'!M26)</f>
        <v/>
      </c>
      <c r="M56" s="23">
        <f>IF('Gyms &amp; Studios'!N26="","",'Gyms &amp; Studios'!N26)</f>
        <v/>
      </c>
      <c r="N56" s="22">
        <f>IF('Gyms &amp; Studios'!O26="","",'Gyms &amp; Studios'!O26)</f>
        <v/>
      </c>
      <c r="O56" s="23">
        <f>IF('Gyms &amp; Studios'!P26="","",'Gyms &amp; Studios'!P26)</f>
        <v/>
      </c>
      <c r="P56" s="23">
        <f>IF('Gyms &amp; Studios'!Q26="","",'Gyms &amp; Studios'!Q26)</f>
        <v/>
      </c>
      <c r="Q56" s="24">
        <f>IF('Gyms &amp; Studios'!R26="","",'Gyms &amp; Studios'!R26)</f>
        <v/>
      </c>
      <c r="R56" s="25">
        <f>IF('Gyms &amp; Studios'!S26="","",'Gyms &amp; Studios'!S26)</f>
        <v/>
      </c>
      <c r="S56" s="22">
        <f>IF('Gyms &amp; Studios'!T26="","",'Gyms &amp; Studios'!T26)</f>
        <v/>
      </c>
      <c r="T56" s="24">
        <f>IF('Gyms &amp; Studios'!U26="","",'Gyms &amp; Studios'!U26)</f>
        <v/>
      </c>
      <c r="U56" s="23">
        <f>IF('Gyms &amp; Studios'!V26="","",'Gyms &amp; Studios'!V26)</f>
        <v/>
      </c>
      <c r="V56" s="24">
        <f>IF('Gyms &amp; Studios'!W26="","",'Gyms &amp; Studios'!W26)</f>
        <v/>
      </c>
      <c r="W56" s="23">
        <f>IF('Gyms &amp; Studios'!X26="","",'Gyms &amp; Studios'!X26)</f>
        <v/>
      </c>
      <c r="X56" s="23">
        <f>IF('Gyms &amp; Studios'!Y26="","",'Gyms &amp; Studios'!Y26)</f>
        <v/>
      </c>
      <c r="Y56" s="26">
        <f>IF('Gyms &amp; Studios'!Z26="","",'Gyms &amp; Studios'!Z26)</f>
        <v/>
      </c>
      <c r="Z56" s="27">
        <f>IF('Gyms &amp; Studios'!AA26="","",'Gyms &amp; Studios'!AA26)</f>
        <v/>
      </c>
      <c r="AA56" s="26">
        <f>IF('Gyms &amp; Studios'!AB26="","",'Gyms &amp; Studios'!AB26)</f>
        <v/>
      </c>
      <c r="AB56" s="22">
        <f>IF('Gyms &amp; Studios'!AC26="","",'Gyms &amp; Studios'!AC26)</f>
        <v/>
      </c>
      <c r="AC56" s="22">
        <f>IF('Gyms &amp; Studios'!AD26="","",'Gyms &amp; Studios'!AD26)</f>
        <v/>
      </c>
      <c r="AD56" s="22">
        <f>IF('Gyms &amp; Studios'!AE26="","",'Gyms &amp; Studios'!AE26)</f>
        <v/>
      </c>
      <c r="AE56" s="22">
        <f>IF('Gyms &amp; Studios'!AF26="","",'Gyms &amp; Studios'!AF26)</f>
        <v/>
      </c>
      <c r="AF56" s="22">
        <f>IF('Gyms &amp; Studios'!AG26="","",'Gyms &amp; Studios'!AG26)</f>
        <v/>
      </c>
      <c r="AG56" s="23">
        <f>IF('Gyms &amp; Studios'!AH26="","",'Gyms &amp; Studios'!AH26)</f>
        <v/>
      </c>
      <c r="AH56" s="23">
        <f>IF('Gyms &amp; Studios'!AI26="","",'Gyms &amp; Studios'!AI26)</f>
        <v/>
      </c>
      <c r="AI56" s="23">
        <f>IF('Gyms &amp; Studios'!AJ26="","",'Gyms &amp; Studios'!AJ26)</f>
        <v/>
      </c>
      <c r="AJ56" s="23">
        <f>IF('Gyms &amp; Studios'!AK26="","",'Gyms &amp; Studios'!AK26)</f>
        <v/>
      </c>
      <c r="AK56" s="22">
        <f>IF('Gyms &amp; Studios'!AL26="","",'Gyms &amp; Studios'!AL26)</f>
        <v/>
      </c>
      <c r="AL56" s="18">
        <f>IF(V56="","",V56+ROW()/100000)</f>
        <v/>
      </c>
    </row>
    <row r="57" ht="18" customHeight="1">
      <c r="A57" s="16">
        <f>IF('Gyms &amp; Studios'!B27="","","Gyms &amp; Studios")</f>
        <v/>
      </c>
      <c r="B57" s="16">
        <f>IF('Gyms &amp; Studios'!B27="","",'Gyms &amp; Studios'!B27)</f>
        <v/>
      </c>
      <c r="C57" s="17">
        <f>IF('Gyms &amp; Studios'!D27="","",'Gyms &amp; Studios'!D27)</f>
        <v/>
      </c>
      <c r="D57" s="16">
        <f>IF('Gyms &amp; Studios'!E27="","",'Gyms &amp; Studios'!E27)</f>
        <v/>
      </c>
      <c r="E57" s="17">
        <f>IF('Gyms &amp; Studios'!F27="","",'Gyms &amp; Studios'!F27)</f>
        <v/>
      </c>
      <c r="F57" s="17">
        <f>IF('Gyms &amp; Studios'!G27="","",'Gyms &amp; Studios'!G27)</f>
        <v/>
      </c>
      <c r="G57" s="17">
        <f>IF('Gyms &amp; Studios'!H27="","",'Gyms &amp; Studios'!H27)</f>
        <v/>
      </c>
      <c r="H57" s="16">
        <f>IF('Gyms &amp; Studios'!I27="","",'Gyms &amp; Studios'!I27)</f>
        <v/>
      </c>
      <c r="I57" s="17">
        <f>IF('Gyms &amp; Studios'!J27="","",'Gyms &amp; Studios'!J27)</f>
        <v/>
      </c>
      <c r="J57" s="16">
        <f>IF('Gyms &amp; Studios'!K27="","",'Gyms &amp; Studios'!K27)</f>
        <v/>
      </c>
      <c r="K57" s="17">
        <f>IF('Gyms &amp; Studios'!L27="","",'Gyms &amp; Studios'!L27)</f>
        <v/>
      </c>
      <c r="L57" s="16">
        <f>IF('Gyms &amp; Studios'!M27="","",'Gyms &amp; Studios'!M27)</f>
        <v/>
      </c>
      <c r="M57" s="17">
        <f>IF('Gyms &amp; Studios'!N27="","",'Gyms &amp; Studios'!N27)</f>
        <v/>
      </c>
      <c r="N57" s="16">
        <f>IF('Gyms &amp; Studios'!O27="","",'Gyms &amp; Studios'!O27)</f>
        <v/>
      </c>
      <c r="O57" s="17">
        <f>IF('Gyms &amp; Studios'!P27="","",'Gyms &amp; Studios'!P27)</f>
        <v/>
      </c>
      <c r="P57" s="17">
        <f>IF('Gyms &amp; Studios'!Q27="","",'Gyms &amp; Studios'!Q27)</f>
        <v/>
      </c>
      <c r="Q57" s="15">
        <f>IF('Gyms &amp; Studios'!R27="","",'Gyms &amp; Studios'!R27)</f>
        <v/>
      </c>
      <c r="R57" s="19">
        <f>IF('Gyms &amp; Studios'!S27="","",'Gyms &amp; Studios'!S27)</f>
        <v/>
      </c>
      <c r="S57" s="16">
        <f>IF('Gyms &amp; Studios'!T27="","",'Gyms &amp; Studios'!T27)</f>
        <v/>
      </c>
      <c r="T57" s="15">
        <f>IF('Gyms &amp; Studios'!U27="","",'Gyms &amp; Studios'!U27)</f>
        <v/>
      </c>
      <c r="U57" s="17">
        <f>IF('Gyms &amp; Studios'!V27="","",'Gyms &amp; Studios'!V27)</f>
        <v/>
      </c>
      <c r="V57" s="15">
        <f>IF('Gyms &amp; Studios'!W27="","",'Gyms &amp; Studios'!W27)</f>
        <v/>
      </c>
      <c r="W57" s="17">
        <f>IF('Gyms &amp; Studios'!X27="","",'Gyms &amp; Studios'!X27)</f>
        <v/>
      </c>
      <c r="X57" s="17">
        <f>IF('Gyms &amp; Studios'!Y27="","",'Gyms &amp; Studios'!Y27)</f>
        <v/>
      </c>
      <c r="Y57" s="20">
        <f>IF('Gyms &amp; Studios'!Z27="","",'Gyms &amp; Studios'!Z27)</f>
        <v/>
      </c>
      <c r="Z57" s="21">
        <f>IF('Gyms &amp; Studios'!AA27="","",'Gyms &amp; Studios'!AA27)</f>
        <v/>
      </c>
      <c r="AA57" s="20">
        <f>IF('Gyms &amp; Studios'!AB27="","",'Gyms &amp; Studios'!AB27)</f>
        <v/>
      </c>
      <c r="AB57" s="16">
        <f>IF('Gyms &amp; Studios'!AC27="","",'Gyms &amp; Studios'!AC27)</f>
        <v/>
      </c>
      <c r="AC57" s="16">
        <f>IF('Gyms &amp; Studios'!AD27="","",'Gyms &amp; Studios'!AD27)</f>
        <v/>
      </c>
      <c r="AD57" s="16">
        <f>IF('Gyms &amp; Studios'!AE27="","",'Gyms &amp; Studios'!AE27)</f>
        <v/>
      </c>
      <c r="AE57" s="16">
        <f>IF('Gyms &amp; Studios'!AF27="","",'Gyms &amp; Studios'!AF27)</f>
        <v/>
      </c>
      <c r="AF57" s="16">
        <f>IF('Gyms &amp; Studios'!AG27="","",'Gyms &amp; Studios'!AG27)</f>
        <v/>
      </c>
      <c r="AG57" s="17">
        <f>IF('Gyms &amp; Studios'!AH27="","",'Gyms &amp; Studios'!AH27)</f>
        <v/>
      </c>
      <c r="AH57" s="17">
        <f>IF('Gyms &amp; Studios'!AI27="","",'Gyms &amp; Studios'!AI27)</f>
        <v/>
      </c>
      <c r="AI57" s="17">
        <f>IF('Gyms &amp; Studios'!AJ27="","",'Gyms &amp; Studios'!AJ27)</f>
        <v/>
      </c>
      <c r="AJ57" s="17">
        <f>IF('Gyms &amp; Studios'!AK27="","",'Gyms &amp; Studios'!AK27)</f>
        <v/>
      </c>
      <c r="AK57" s="16">
        <f>IF('Gyms &amp; Studios'!AL27="","",'Gyms &amp; Studios'!AL27)</f>
        <v/>
      </c>
      <c r="AL57" s="18">
        <f>IF(V57="","",V57+ROW()/100000)</f>
        <v/>
      </c>
    </row>
    <row r="58" ht="18" customHeight="1">
      <c r="A58" s="22">
        <f>IF('Gyms &amp; Studios'!B28="","","Gyms &amp; Studios")</f>
        <v/>
      </c>
      <c r="B58" s="22">
        <f>IF('Gyms &amp; Studios'!B28="","",'Gyms &amp; Studios'!B28)</f>
        <v/>
      </c>
      <c r="C58" s="23">
        <f>IF('Gyms &amp; Studios'!D28="","",'Gyms &amp; Studios'!D28)</f>
        <v/>
      </c>
      <c r="D58" s="22">
        <f>IF('Gyms &amp; Studios'!E28="","",'Gyms &amp; Studios'!E28)</f>
        <v/>
      </c>
      <c r="E58" s="23">
        <f>IF('Gyms &amp; Studios'!F28="","",'Gyms &amp; Studios'!F28)</f>
        <v/>
      </c>
      <c r="F58" s="23">
        <f>IF('Gyms &amp; Studios'!G28="","",'Gyms &amp; Studios'!G28)</f>
        <v/>
      </c>
      <c r="G58" s="23">
        <f>IF('Gyms &amp; Studios'!H28="","",'Gyms &amp; Studios'!H28)</f>
        <v/>
      </c>
      <c r="H58" s="22">
        <f>IF('Gyms &amp; Studios'!I28="","",'Gyms &amp; Studios'!I28)</f>
        <v/>
      </c>
      <c r="I58" s="23">
        <f>IF('Gyms &amp; Studios'!J28="","",'Gyms &amp; Studios'!J28)</f>
        <v/>
      </c>
      <c r="J58" s="22">
        <f>IF('Gyms &amp; Studios'!K28="","",'Gyms &amp; Studios'!K28)</f>
        <v/>
      </c>
      <c r="K58" s="23">
        <f>IF('Gyms &amp; Studios'!L28="","",'Gyms &amp; Studios'!L28)</f>
        <v/>
      </c>
      <c r="L58" s="22">
        <f>IF('Gyms &amp; Studios'!M28="","",'Gyms &amp; Studios'!M28)</f>
        <v/>
      </c>
      <c r="M58" s="23">
        <f>IF('Gyms &amp; Studios'!N28="","",'Gyms &amp; Studios'!N28)</f>
        <v/>
      </c>
      <c r="N58" s="22">
        <f>IF('Gyms &amp; Studios'!O28="","",'Gyms &amp; Studios'!O28)</f>
        <v/>
      </c>
      <c r="O58" s="23">
        <f>IF('Gyms &amp; Studios'!P28="","",'Gyms &amp; Studios'!P28)</f>
        <v/>
      </c>
      <c r="P58" s="23">
        <f>IF('Gyms &amp; Studios'!Q28="","",'Gyms &amp; Studios'!Q28)</f>
        <v/>
      </c>
      <c r="Q58" s="24">
        <f>IF('Gyms &amp; Studios'!R28="","",'Gyms &amp; Studios'!R28)</f>
        <v/>
      </c>
      <c r="R58" s="25">
        <f>IF('Gyms &amp; Studios'!S28="","",'Gyms &amp; Studios'!S28)</f>
        <v/>
      </c>
      <c r="S58" s="22">
        <f>IF('Gyms &amp; Studios'!T28="","",'Gyms &amp; Studios'!T28)</f>
        <v/>
      </c>
      <c r="T58" s="24">
        <f>IF('Gyms &amp; Studios'!U28="","",'Gyms &amp; Studios'!U28)</f>
        <v/>
      </c>
      <c r="U58" s="23">
        <f>IF('Gyms &amp; Studios'!V28="","",'Gyms &amp; Studios'!V28)</f>
        <v/>
      </c>
      <c r="V58" s="24">
        <f>IF('Gyms &amp; Studios'!W28="","",'Gyms &amp; Studios'!W28)</f>
        <v/>
      </c>
      <c r="W58" s="23">
        <f>IF('Gyms &amp; Studios'!X28="","",'Gyms &amp; Studios'!X28)</f>
        <v/>
      </c>
      <c r="X58" s="23">
        <f>IF('Gyms &amp; Studios'!Y28="","",'Gyms &amp; Studios'!Y28)</f>
        <v/>
      </c>
      <c r="Y58" s="26">
        <f>IF('Gyms &amp; Studios'!Z28="","",'Gyms &amp; Studios'!Z28)</f>
        <v/>
      </c>
      <c r="Z58" s="27">
        <f>IF('Gyms &amp; Studios'!AA28="","",'Gyms &amp; Studios'!AA28)</f>
        <v/>
      </c>
      <c r="AA58" s="26">
        <f>IF('Gyms &amp; Studios'!AB28="","",'Gyms &amp; Studios'!AB28)</f>
        <v/>
      </c>
      <c r="AB58" s="22">
        <f>IF('Gyms &amp; Studios'!AC28="","",'Gyms &amp; Studios'!AC28)</f>
        <v/>
      </c>
      <c r="AC58" s="22">
        <f>IF('Gyms &amp; Studios'!AD28="","",'Gyms &amp; Studios'!AD28)</f>
        <v/>
      </c>
      <c r="AD58" s="22">
        <f>IF('Gyms &amp; Studios'!AE28="","",'Gyms &amp; Studios'!AE28)</f>
        <v/>
      </c>
      <c r="AE58" s="22">
        <f>IF('Gyms &amp; Studios'!AF28="","",'Gyms &amp; Studios'!AF28)</f>
        <v/>
      </c>
      <c r="AF58" s="22">
        <f>IF('Gyms &amp; Studios'!AG28="","",'Gyms &amp; Studios'!AG28)</f>
        <v/>
      </c>
      <c r="AG58" s="23">
        <f>IF('Gyms &amp; Studios'!AH28="","",'Gyms &amp; Studios'!AH28)</f>
        <v/>
      </c>
      <c r="AH58" s="23">
        <f>IF('Gyms &amp; Studios'!AI28="","",'Gyms &amp; Studios'!AI28)</f>
        <v/>
      </c>
      <c r="AI58" s="23">
        <f>IF('Gyms &amp; Studios'!AJ28="","",'Gyms &amp; Studios'!AJ28)</f>
        <v/>
      </c>
      <c r="AJ58" s="23">
        <f>IF('Gyms &amp; Studios'!AK28="","",'Gyms &amp; Studios'!AK28)</f>
        <v/>
      </c>
      <c r="AK58" s="22">
        <f>IF('Gyms &amp; Studios'!AL28="","",'Gyms &amp; Studios'!AL28)</f>
        <v/>
      </c>
      <c r="AL58" s="18">
        <f>IF(V58="","",V58+ROW()/100000)</f>
        <v/>
      </c>
    </row>
    <row r="59" ht="18" customHeight="1">
      <c r="A59" s="16">
        <f>IF('Gyms &amp; Studios'!B29="","","Gyms &amp; Studios")</f>
        <v/>
      </c>
      <c r="B59" s="16">
        <f>IF('Gyms &amp; Studios'!B29="","",'Gyms &amp; Studios'!B29)</f>
        <v/>
      </c>
      <c r="C59" s="17">
        <f>IF('Gyms &amp; Studios'!D29="","",'Gyms &amp; Studios'!D29)</f>
        <v/>
      </c>
      <c r="D59" s="16">
        <f>IF('Gyms &amp; Studios'!E29="","",'Gyms &amp; Studios'!E29)</f>
        <v/>
      </c>
      <c r="E59" s="17">
        <f>IF('Gyms &amp; Studios'!F29="","",'Gyms &amp; Studios'!F29)</f>
        <v/>
      </c>
      <c r="F59" s="17">
        <f>IF('Gyms &amp; Studios'!G29="","",'Gyms &amp; Studios'!G29)</f>
        <v/>
      </c>
      <c r="G59" s="17">
        <f>IF('Gyms &amp; Studios'!H29="","",'Gyms &amp; Studios'!H29)</f>
        <v/>
      </c>
      <c r="H59" s="16">
        <f>IF('Gyms &amp; Studios'!I29="","",'Gyms &amp; Studios'!I29)</f>
        <v/>
      </c>
      <c r="I59" s="17">
        <f>IF('Gyms &amp; Studios'!J29="","",'Gyms &amp; Studios'!J29)</f>
        <v/>
      </c>
      <c r="J59" s="16">
        <f>IF('Gyms &amp; Studios'!K29="","",'Gyms &amp; Studios'!K29)</f>
        <v/>
      </c>
      <c r="K59" s="17">
        <f>IF('Gyms &amp; Studios'!L29="","",'Gyms &amp; Studios'!L29)</f>
        <v/>
      </c>
      <c r="L59" s="16">
        <f>IF('Gyms &amp; Studios'!M29="","",'Gyms &amp; Studios'!M29)</f>
        <v/>
      </c>
      <c r="M59" s="17">
        <f>IF('Gyms &amp; Studios'!N29="","",'Gyms &amp; Studios'!N29)</f>
        <v/>
      </c>
      <c r="N59" s="16">
        <f>IF('Gyms &amp; Studios'!O29="","",'Gyms &amp; Studios'!O29)</f>
        <v/>
      </c>
      <c r="O59" s="17">
        <f>IF('Gyms &amp; Studios'!P29="","",'Gyms &amp; Studios'!P29)</f>
        <v/>
      </c>
      <c r="P59" s="17">
        <f>IF('Gyms &amp; Studios'!Q29="","",'Gyms &amp; Studios'!Q29)</f>
        <v/>
      </c>
      <c r="Q59" s="15">
        <f>IF('Gyms &amp; Studios'!R29="","",'Gyms &amp; Studios'!R29)</f>
        <v/>
      </c>
      <c r="R59" s="19">
        <f>IF('Gyms &amp; Studios'!S29="","",'Gyms &amp; Studios'!S29)</f>
        <v/>
      </c>
      <c r="S59" s="16">
        <f>IF('Gyms &amp; Studios'!T29="","",'Gyms &amp; Studios'!T29)</f>
        <v/>
      </c>
      <c r="T59" s="15">
        <f>IF('Gyms &amp; Studios'!U29="","",'Gyms &amp; Studios'!U29)</f>
        <v/>
      </c>
      <c r="U59" s="17">
        <f>IF('Gyms &amp; Studios'!V29="","",'Gyms &amp; Studios'!V29)</f>
        <v/>
      </c>
      <c r="V59" s="15">
        <f>IF('Gyms &amp; Studios'!W29="","",'Gyms &amp; Studios'!W29)</f>
        <v/>
      </c>
      <c r="W59" s="17">
        <f>IF('Gyms &amp; Studios'!X29="","",'Gyms &amp; Studios'!X29)</f>
        <v/>
      </c>
      <c r="X59" s="17">
        <f>IF('Gyms &amp; Studios'!Y29="","",'Gyms &amp; Studios'!Y29)</f>
        <v/>
      </c>
      <c r="Y59" s="20">
        <f>IF('Gyms &amp; Studios'!Z29="","",'Gyms &amp; Studios'!Z29)</f>
        <v/>
      </c>
      <c r="Z59" s="21">
        <f>IF('Gyms &amp; Studios'!AA29="","",'Gyms &amp; Studios'!AA29)</f>
        <v/>
      </c>
      <c r="AA59" s="20">
        <f>IF('Gyms &amp; Studios'!AB29="","",'Gyms &amp; Studios'!AB29)</f>
        <v/>
      </c>
      <c r="AB59" s="16">
        <f>IF('Gyms &amp; Studios'!AC29="","",'Gyms &amp; Studios'!AC29)</f>
        <v/>
      </c>
      <c r="AC59" s="16">
        <f>IF('Gyms &amp; Studios'!AD29="","",'Gyms &amp; Studios'!AD29)</f>
        <v/>
      </c>
      <c r="AD59" s="16">
        <f>IF('Gyms &amp; Studios'!AE29="","",'Gyms &amp; Studios'!AE29)</f>
        <v/>
      </c>
      <c r="AE59" s="16">
        <f>IF('Gyms &amp; Studios'!AF29="","",'Gyms &amp; Studios'!AF29)</f>
        <v/>
      </c>
      <c r="AF59" s="16">
        <f>IF('Gyms &amp; Studios'!AG29="","",'Gyms &amp; Studios'!AG29)</f>
        <v/>
      </c>
      <c r="AG59" s="17">
        <f>IF('Gyms &amp; Studios'!AH29="","",'Gyms &amp; Studios'!AH29)</f>
        <v/>
      </c>
      <c r="AH59" s="17">
        <f>IF('Gyms &amp; Studios'!AI29="","",'Gyms &amp; Studios'!AI29)</f>
        <v/>
      </c>
      <c r="AI59" s="17">
        <f>IF('Gyms &amp; Studios'!AJ29="","",'Gyms &amp; Studios'!AJ29)</f>
        <v/>
      </c>
      <c r="AJ59" s="17">
        <f>IF('Gyms &amp; Studios'!AK29="","",'Gyms &amp; Studios'!AK29)</f>
        <v/>
      </c>
      <c r="AK59" s="16">
        <f>IF('Gyms &amp; Studios'!AL29="","",'Gyms &amp; Studios'!AL29)</f>
        <v/>
      </c>
      <c r="AL59" s="18">
        <f>IF(V59="","",V59+ROW()/100000)</f>
        <v/>
      </c>
    </row>
    <row r="60" ht="18" customHeight="1">
      <c r="A60" s="22">
        <f>IF('Gyms &amp; Studios'!B30="","","Gyms &amp; Studios")</f>
        <v/>
      </c>
      <c r="B60" s="22">
        <f>IF('Gyms &amp; Studios'!B30="","",'Gyms &amp; Studios'!B30)</f>
        <v/>
      </c>
      <c r="C60" s="23">
        <f>IF('Gyms &amp; Studios'!D30="","",'Gyms &amp; Studios'!D30)</f>
        <v/>
      </c>
      <c r="D60" s="22">
        <f>IF('Gyms &amp; Studios'!E30="","",'Gyms &amp; Studios'!E30)</f>
        <v/>
      </c>
      <c r="E60" s="23">
        <f>IF('Gyms &amp; Studios'!F30="","",'Gyms &amp; Studios'!F30)</f>
        <v/>
      </c>
      <c r="F60" s="23">
        <f>IF('Gyms &amp; Studios'!G30="","",'Gyms &amp; Studios'!G30)</f>
        <v/>
      </c>
      <c r="G60" s="23">
        <f>IF('Gyms &amp; Studios'!H30="","",'Gyms &amp; Studios'!H30)</f>
        <v/>
      </c>
      <c r="H60" s="22">
        <f>IF('Gyms &amp; Studios'!I30="","",'Gyms &amp; Studios'!I30)</f>
        <v/>
      </c>
      <c r="I60" s="23">
        <f>IF('Gyms &amp; Studios'!J30="","",'Gyms &amp; Studios'!J30)</f>
        <v/>
      </c>
      <c r="J60" s="22">
        <f>IF('Gyms &amp; Studios'!K30="","",'Gyms &amp; Studios'!K30)</f>
        <v/>
      </c>
      <c r="K60" s="23">
        <f>IF('Gyms &amp; Studios'!L30="","",'Gyms &amp; Studios'!L30)</f>
        <v/>
      </c>
      <c r="L60" s="22">
        <f>IF('Gyms &amp; Studios'!M30="","",'Gyms &amp; Studios'!M30)</f>
        <v/>
      </c>
      <c r="M60" s="23">
        <f>IF('Gyms &amp; Studios'!N30="","",'Gyms &amp; Studios'!N30)</f>
        <v/>
      </c>
      <c r="N60" s="22">
        <f>IF('Gyms &amp; Studios'!O30="","",'Gyms &amp; Studios'!O30)</f>
        <v/>
      </c>
      <c r="O60" s="23">
        <f>IF('Gyms &amp; Studios'!P30="","",'Gyms &amp; Studios'!P30)</f>
        <v/>
      </c>
      <c r="P60" s="23">
        <f>IF('Gyms &amp; Studios'!Q30="","",'Gyms &amp; Studios'!Q30)</f>
        <v/>
      </c>
      <c r="Q60" s="24">
        <f>IF('Gyms &amp; Studios'!R30="","",'Gyms &amp; Studios'!R30)</f>
        <v/>
      </c>
      <c r="R60" s="25">
        <f>IF('Gyms &amp; Studios'!S30="","",'Gyms &amp; Studios'!S30)</f>
        <v/>
      </c>
      <c r="S60" s="22">
        <f>IF('Gyms &amp; Studios'!T30="","",'Gyms &amp; Studios'!T30)</f>
        <v/>
      </c>
      <c r="T60" s="24">
        <f>IF('Gyms &amp; Studios'!U30="","",'Gyms &amp; Studios'!U30)</f>
        <v/>
      </c>
      <c r="U60" s="23">
        <f>IF('Gyms &amp; Studios'!V30="","",'Gyms &amp; Studios'!V30)</f>
        <v/>
      </c>
      <c r="V60" s="24">
        <f>IF('Gyms &amp; Studios'!W30="","",'Gyms &amp; Studios'!W30)</f>
        <v/>
      </c>
      <c r="W60" s="23">
        <f>IF('Gyms &amp; Studios'!X30="","",'Gyms &amp; Studios'!X30)</f>
        <v/>
      </c>
      <c r="X60" s="23">
        <f>IF('Gyms &amp; Studios'!Y30="","",'Gyms &amp; Studios'!Y30)</f>
        <v/>
      </c>
      <c r="Y60" s="26">
        <f>IF('Gyms &amp; Studios'!Z30="","",'Gyms &amp; Studios'!Z30)</f>
        <v/>
      </c>
      <c r="Z60" s="27">
        <f>IF('Gyms &amp; Studios'!AA30="","",'Gyms &amp; Studios'!AA30)</f>
        <v/>
      </c>
      <c r="AA60" s="26">
        <f>IF('Gyms &amp; Studios'!AB30="","",'Gyms &amp; Studios'!AB30)</f>
        <v/>
      </c>
      <c r="AB60" s="22">
        <f>IF('Gyms &amp; Studios'!AC30="","",'Gyms &amp; Studios'!AC30)</f>
        <v/>
      </c>
      <c r="AC60" s="22">
        <f>IF('Gyms &amp; Studios'!AD30="","",'Gyms &amp; Studios'!AD30)</f>
        <v/>
      </c>
      <c r="AD60" s="22">
        <f>IF('Gyms &amp; Studios'!AE30="","",'Gyms &amp; Studios'!AE30)</f>
        <v/>
      </c>
      <c r="AE60" s="22">
        <f>IF('Gyms &amp; Studios'!AF30="","",'Gyms &amp; Studios'!AF30)</f>
        <v/>
      </c>
      <c r="AF60" s="22">
        <f>IF('Gyms &amp; Studios'!AG30="","",'Gyms &amp; Studios'!AG30)</f>
        <v/>
      </c>
      <c r="AG60" s="23">
        <f>IF('Gyms &amp; Studios'!AH30="","",'Gyms &amp; Studios'!AH30)</f>
        <v/>
      </c>
      <c r="AH60" s="23">
        <f>IF('Gyms &amp; Studios'!AI30="","",'Gyms &amp; Studios'!AI30)</f>
        <v/>
      </c>
      <c r="AI60" s="23">
        <f>IF('Gyms &amp; Studios'!AJ30="","",'Gyms &amp; Studios'!AJ30)</f>
        <v/>
      </c>
      <c r="AJ60" s="23">
        <f>IF('Gyms &amp; Studios'!AK30="","",'Gyms &amp; Studios'!AK30)</f>
        <v/>
      </c>
      <c r="AK60" s="22">
        <f>IF('Gyms &amp; Studios'!AL30="","",'Gyms &amp; Studios'!AL30)</f>
        <v/>
      </c>
      <c r="AL60" s="18">
        <f>IF(V60="","",V60+ROW()/100000)</f>
        <v/>
      </c>
    </row>
    <row r="61" ht="18" customHeight="1">
      <c r="A61" s="16">
        <f>IF('Gyms &amp; Studios'!B31="","","Gyms &amp; Studios")</f>
        <v/>
      </c>
      <c r="B61" s="16">
        <f>IF('Gyms &amp; Studios'!B31="","",'Gyms &amp; Studios'!B31)</f>
        <v/>
      </c>
      <c r="C61" s="17">
        <f>IF('Gyms &amp; Studios'!D31="","",'Gyms &amp; Studios'!D31)</f>
        <v/>
      </c>
      <c r="D61" s="16">
        <f>IF('Gyms &amp; Studios'!E31="","",'Gyms &amp; Studios'!E31)</f>
        <v/>
      </c>
      <c r="E61" s="17">
        <f>IF('Gyms &amp; Studios'!F31="","",'Gyms &amp; Studios'!F31)</f>
        <v/>
      </c>
      <c r="F61" s="17">
        <f>IF('Gyms &amp; Studios'!G31="","",'Gyms &amp; Studios'!G31)</f>
        <v/>
      </c>
      <c r="G61" s="17">
        <f>IF('Gyms &amp; Studios'!H31="","",'Gyms &amp; Studios'!H31)</f>
        <v/>
      </c>
      <c r="H61" s="16">
        <f>IF('Gyms &amp; Studios'!I31="","",'Gyms &amp; Studios'!I31)</f>
        <v/>
      </c>
      <c r="I61" s="17">
        <f>IF('Gyms &amp; Studios'!J31="","",'Gyms &amp; Studios'!J31)</f>
        <v/>
      </c>
      <c r="J61" s="16">
        <f>IF('Gyms &amp; Studios'!K31="","",'Gyms &amp; Studios'!K31)</f>
        <v/>
      </c>
      <c r="K61" s="17">
        <f>IF('Gyms &amp; Studios'!L31="","",'Gyms &amp; Studios'!L31)</f>
        <v/>
      </c>
      <c r="L61" s="16">
        <f>IF('Gyms &amp; Studios'!M31="","",'Gyms &amp; Studios'!M31)</f>
        <v/>
      </c>
      <c r="M61" s="17">
        <f>IF('Gyms &amp; Studios'!N31="","",'Gyms &amp; Studios'!N31)</f>
        <v/>
      </c>
      <c r="N61" s="16">
        <f>IF('Gyms &amp; Studios'!O31="","",'Gyms &amp; Studios'!O31)</f>
        <v/>
      </c>
      <c r="O61" s="17">
        <f>IF('Gyms &amp; Studios'!P31="","",'Gyms &amp; Studios'!P31)</f>
        <v/>
      </c>
      <c r="P61" s="17">
        <f>IF('Gyms &amp; Studios'!Q31="","",'Gyms &amp; Studios'!Q31)</f>
        <v/>
      </c>
      <c r="Q61" s="15">
        <f>IF('Gyms &amp; Studios'!R31="","",'Gyms &amp; Studios'!R31)</f>
        <v/>
      </c>
      <c r="R61" s="19">
        <f>IF('Gyms &amp; Studios'!S31="","",'Gyms &amp; Studios'!S31)</f>
        <v/>
      </c>
      <c r="S61" s="16">
        <f>IF('Gyms &amp; Studios'!T31="","",'Gyms &amp; Studios'!T31)</f>
        <v/>
      </c>
      <c r="T61" s="15">
        <f>IF('Gyms &amp; Studios'!U31="","",'Gyms &amp; Studios'!U31)</f>
        <v/>
      </c>
      <c r="U61" s="17">
        <f>IF('Gyms &amp; Studios'!V31="","",'Gyms &amp; Studios'!V31)</f>
        <v/>
      </c>
      <c r="V61" s="15">
        <f>IF('Gyms &amp; Studios'!W31="","",'Gyms &amp; Studios'!W31)</f>
        <v/>
      </c>
      <c r="W61" s="17">
        <f>IF('Gyms &amp; Studios'!X31="","",'Gyms &amp; Studios'!X31)</f>
        <v/>
      </c>
      <c r="X61" s="17">
        <f>IF('Gyms &amp; Studios'!Y31="","",'Gyms &amp; Studios'!Y31)</f>
        <v/>
      </c>
      <c r="Y61" s="20">
        <f>IF('Gyms &amp; Studios'!Z31="","",'Gyms &amp; Studios'!Z31)</f>
        <v/>
      </c>
      <c r="Z61" s="21">
        <f>IF('Gyms &amp; Studios'!AA31="","",'Gyms &amp; Studios'!AA31)</f>
        <v/>
      </c>
      <c r="AA61" s="20">
        <f>IF('Gyms &amp; Studios'!AB31="","",'Gyms &amp; Studios'!AB31)</f>
        <v/>
      </c>
      <c r="AB61" s="16">
        <f>IF('Gyms &amp; Studios'!AC31="","",'Gyms &amp; Studios'!AC31)</f>
        <v/>
      </c>
      <c r="AC61" s="16">
        <f>IF('Gyms &amp; Studios'!AD31="","",'Gyms &amp; Studios'!AD31)</f>
        <v/>
      </c>
      <c r="AD61" s="16">
        <f>IF('Gyms &amp; Studios'!AE31="","",'Gyms &amp; Studios'!AE31)</f>
        <v/>
      </c>
      <c r="AE61" s="16">
        <f>IF('Gyms &amp; Studios'!AF31="","",'Gyms &amp; Studios'!AF31)</f>
        <v/>
      </c>
      <c r="AF61" s="16">
        <f>IF('Gyms &amp; Studios'!AG31="","",'Gyms &amp; Studios'!AG31)</f>
        <v/>
      </c>
      <c r="AG61" s="17">
        <f>IF('Gyms &amp; Studios'!AH31="","",'Gyms &amp; Studios'!AH31)</f>
        <v/>
      </c>
      <c r="AH61" s="17">
        <f>IF('Gyms &amp; Studios'!AI31="","",'Gyms &amp; Studios'!AI31)</f>
        <v/>
      </c>
      <c r="AI61" s="17">
        <f>IF('Gyms &amp; Studios'!AJ31="","",'Gyms &amp; Studios'!AJ31)</f>
        <v/>
      </c>
      <c r="AJ61" s="17">
        <f>IF('Gyms &amp; Studios'!AK31="","",'Gyms &amp; Studios'!AK31)</f>
        <v/>
      </c>
      <c r="AK61" s="16">
        <f>IF('Gyms &amp; Studios'!AL31="","",'Gyms &amp; Studios'!AL31)</f>
        <v/>
      </c>
      <c r="AL61" s="18">
        <f>IF(V61="","",V61+ROW()/100000)</f>
        <v/>
      </c>
    </row>
    <row r="62" ht="18" customHeight="1">
      <c r="A62" s="22">
        <f>IF('Gyms &amp; Studios'!B32="","","Gyms &amp; Studios")</f>
        <v/>
      </c>
      <c r="B62" s="22">
        <f>IF('Gyms &amp; Studios'!B32="","",'Gyms &amp; Studios'!B32)</f>
        <v/>
      </c>
      <c r="C62" s="23">
        <f>IF('Gyms &amp; Studios'!D32="","",'Gyms &amp; Studios'!D32)</f>
        <v/>
      </c>
      <c r="D62" s="22">
        <f>IF('Gyms &amp; Studios'!E32="","",'Gyms &amp; Studios'!E32)</f>
        <v/>
      </c>
      <c r="E62" s="23">
        <f>IF('Gyms &amp; Studios'!F32="","",'Gyms &amp; Studios'!F32)</f>
        <v/>
      </c>
      <c r="F62" s="23">
        <f>IF('Gyms &amp; Studios'!G32="","",'Gyms &amp; Studios'!G32)</f>
        <v/>
      </c>
      <c r="G62" s="23">
        <f>IF('Gyms &amp; Studios'!H32="","",'Gyms &amp; Studios'!H32)</f>
        <v/>
      </c>
      <c r="H62" s="22">
        <f>IF('Gyms &amp; Studios'!I32="","",'Gyms &amp; Studios'!I32)</f>
        <v/>
      </c>
      <c r="I62" s="23">
        <f>IF('Gyms &amp; Studios'!J32="","",'Gyms &amp; Studios'!J32)</f>
        <v/>
      </c>
      <c r="J62" s="22">
        <f>IF('Gyms &amp; Studios'!K32="","",'Gyms &amp; Studios'!K32)</f>
        <v/>
      </c>
      <c r="K62" s="23">
        <f>IF('Gyms &amp; Studios'!L32="","",'Gyms &amp; Studios'!L32)</f>
        <v/>
      </c>
      <c r="L62" s="22">
        <f>IF('Gyms &amp; Studios'!M32="","",'Gyms &amp; Studios'!M32)</f>
        <v/>
      </c>
      <c r="M62" s="23">
        <f>IF('Gyms &amp; Studios'!N32="","",'Gyms &amp; Studios'!N32)</f>
        <v/>
      </c>
      <c r="N62" s="22">
        <f>IF('Gyms &amp; Studios'!O32="","",'Gyms &amp; Studios'!O32)</f>
        <v/>
      </c>
      <c r="O62" s="23">
        <f>IF('Gyms &amp; Studios'!P32="","",'Gyms &amp; Studios'!P32)</f>
        <v/>
      </c>
      <c r="P62" s="23">
        <f>IF('Gyms &amp; Studios'!Q32="","",'Gyms &amp; Studios'!Q32)</f>
        <v/>
      </c>
      <c r="Q62" s="24">
        <f>IF('Gyms &amp; Studios'!R32="","",'Gyms &amp; Studios'!R32)</f>
        <v/>
      </c>
      <c r="R62" s="25">
        <f>IF('Gyms &amp; Studios'!S32="","",'Gyms &amp; Studios'!S32)</f>
        <v/>
      </c>
      <c r="S62" s="22">
        <f>IF('Gyms &amp; Studios'!T32="","",'Gyms &amp; Studios'!T32)</f>
        <v/>
      </c>
      <c r="T62" s="24">
        <f>IF('Gyms &amp; Studios'!U32="","",'Gyms &amp; Studios'!U32)</f>
        <v/>
      </c>
      <c r="U62" s="23">
        <f>IF('Gyms &amp; Studios'!V32="","",'Gyms &amp; Studios'!V32)</f>
        <v/>
      </c>
      <c r="V62" s="24">
        <f>IF('Gyms &amp; Studios'!W32="","",'Gyms &amp; Studios'!W32)</f>
        <v/>
      </c>
      <c r="W62" s="23">
        <f>IF('Gyms &amp; Studios'!X32="","",'Gyms &amp; Studios'!X32)</f>
        <v/>
      </c>
      <c r="X62" s="23">
        <f>IF('Gyms &amp; Studios'!Y32="","",'Gyms &amp; Studios'!Y32)</f>
        <v/>
      </c>
      <c r="Y62" s="26">
        <f>IF('Gyms &amp; Studios'!Z32="","",'Gyms &amp; Studios'!Z32)</f>
        <v/>
      </c>
      <c r="Z62" s="27">
        <f>IF('Gyms &amp; Studios'!AA32="","",'Gyms &amp; Studios'!AA32)</f>
        <v/>
      </c>
      <c r="AA62" s="26">
        <f>IF('Gyms &amp; Studios'!AB32="","",'Gyms &amp; Studios'!AB32)</f>
        <v/>
      </c>
      <c r="AB62" s="22">
        <f>IF('Gyms &amp; Studios'!AC32="","",'Gyms &amp; Studios'!AC32)</f>
        <v/>
      </c>
      <c r="AC62" s="22">
        <f>IF('Gyms &amp; Studios'!AD32="","",'Gyms &amp; Studios'!AD32)</f>
        <v/>
      </c>
      <c r="AD62" s="22">
        <f>IF('Gyms &amp; Studios'!AE32="","",'Gyms &amp; Studios'!AE32)</f>
        <v/>
      </c>
      <c r="AE62" s="22">
        <f>IF('Gyms &amp; Studios'!AF32="","",'Gyms &amp; Studios'!AF32)</f>
        <v/>
      </c>
      <c r="AF62" s="22">
        <f>IF('Gyms &amp; Studios'!AG32="","",'Gyms &amp; Studios'!AG32)</f>
        <v/>
      </c>
      <c r="AG62" s="23">
        <f>IF('Gyms &amp; Studios'!AH32="","",'Gyms &amp; Studios'!AH32)</f>
        <v/>
      </c>
      <c r="AH62" s="23">
        <f>IF('Gyms &amp; Studios'!AI32="","",'Gyms &amp; Studios'!AI32)</f>
        <v/>
      </c>
      <c r="AI62" s="23">
        <f>IF('Gyms &amp; Studios'!AJ32="","",'Gyms &amp; Studios'!AJ32)</f>
        <v/>
      </c>
      <c r="AJ62" s="23">
        <f>IF('Gyms &amp; Studios'!AK32="","",'Gyms &amp; Studios'!AK32)</f>
        <v/>
      </c>
      <c r="AK62" s="22">
        <f>IF('Gyms &amp; Studios'!AL32="","",'Gyms &amp; Studios'!AL32)</f>
        <v/>
      </c>
      <c r="AL62" s="18">
        <f>IF(V62="","",V62+ROW()/100000)</f>
        <v/>
      </c>
    </row>
    <row r="63" ht="18" customHeight="1">
      <c r="A63" s="16">
        <f>IF('Events &amp; Festivals'!B3="","","Events &amp; Festivals")</f>
        <v/>
      </c>
      <c r="B63" s="16">
        <f>IF('Events &amp; Festivals'!B3="","",'Events &amp; Festivals'!B3)</f>
        <v/>
      </c>
      <c r="C63" s="17">
        <f>IF('Events &amp; Festivals'!D3="","",'Events &amp; Festivals'!D3)</f>
        <v/>
      </c>
      <c r="D63" s="16">
        <f>IF('Events &amp; Festivals'!E3="","",'Events &amp; Festivals'!E3)</f>
        <v/>
      </c>
      <c r="E63" s="17">
        <f>IF('Events &amp; Festivals'!F3="","",'Events &amp; Festivals'!F3)</f>
        <v/>
      </c>
      <c r="F63" s="17">
        <f>IF('Events &amp; Festivals'!G3="","",'Events &amp; Festivals'!G3)</f>
        <v/>
      </c>
      <c r="G63" s="17">
        <f>IF('Events &amp; Festivals'!H3="","",'Events &amp; Festivals'!H3)</f>
        <v/>
      </c>
      <c r="H63" s="16">
        <f>IF('Events &amp; Festivals'!I3="","",'Events &amp; Festivals'!I3)</f>
        <v/>
      </c>
      <c r="I63" s="17">
        <f>IF('Events &amp; Festivals'!J3="","",'Events &amp; Festivals'!J3)</f>
        <v/>
      </c>
      <c r="J63" s="16">
        <f>IF('Events &amp; Festivals'!K3="","",'Events &amp; Festivals'!K3)</f>
        <v/>
      </c>
      <c r="K63" s="17">
        <f>IF('Events &amp; Festivals'!L3="","",'Events &amp; Festivals'!L3)</f>
        <v/>
      </c>
      <c r="L63" s="16">
        <f>IF('Events &amp; Festivals'!M3="","",'Events &amp; Festivals'!M3)</f>
        <v/>
      </c>
      <c r="M63" s="17">
        <f>IF('Events &amp; Festivals'!N3="","",'Events &amp; Festivals'!N3)</f>
        <v/>
      </c>
      <c r="N63" s="16">
        <f>IF('Events &amp; Festivals'!O3="","",'Events &amp; Festivals'!O3)</f>
        <v/>
      </c>
      <c r="O63" s="17">
        <f>IF('Events &amp; Festivals'!P3="","",'Events &amp; Festivals'!P3)</f>
        <v/>
      </c>
      <c r="P63" s="17">
        <f>IF('Events &amp; Festivals'!Q3="","",'Events &amp; Festivals'!Q3)</f>
        <v/>
      </c>
      <c r="Q63" s="15">
        <f>IF('Events &amp; Festivals'!R3="","",'Events &amp; Festivals'!R3)</f>
        <v/>
      </c>
      <c r="R63" s="19">
        <f>IF('Events &amp; Festivals'!S3="","",'Events &amp; Festivals'!S3)</f>
        <v/>
      </c>
      <c r="S63" s="16">
        <f>IF('Events &amp; Festivals'!T3="","",'Events &amp; Festivals'!T3)</f>
        <v/>
      </c>
      <c r="T63" s="15">
        <f>IF('Events &amp; Festivals'!U3="","",'Events &amp; Festivals'!U3)</f>
        <v/>
      </c>
      <c r="U63" s="17">
        <f>IF('Events &amp; Festivals'!V3="","",'Events &amp; Festivals'!V3)</f>
        <v/>
      </c>
      <c r="V63" s="15">
        <f>IF('Events &amp; Festivals'!W3="","",'Events &amp; Festivals'!W3)</f>
        <v/>
      </c>
      <c r="W63" s="17">
        <f>IF('Events &amp; Festivals'!X3="","",'Events &amp; Festivals'!X3)</f>
        <v/>
      </c>
      <c r="X63" s="17">
        <f>IF('Events &amp; Festivals'!Y3="","",'Events &amp; Festivals'!Y3)</f>
        <v/>
      </c>
      <c r="Y63" s="20">
        <f>IF('Events &amp; Festivals'!Z3="","",'Events &amp; Festivals'!Z3)</f>
        <v/>
      </c>
      <c r="Z63" s="21">
        <f>IF('Events &amp; Festivals'!AA3="","",'Events &amp; Festivals'!AA3)</f>
        <v/>
      </c>
      <c r="AA63" s="20">
        <f>IF('Events &amp; Festivals'!AB3="","",'Events &amp; Festivals'!AB3)</f>
        <v/>
      </c>
      <c r="AB63" s="16">
        <f>IF('Events &amp; Festivals'!AC3="","",'Events &amp; Festivals'!AC3)</f>
        <v/>
      </c>
      <c r="AC63" s="16">
        <f>IF('Events &amp; Festivals'!AD3="","",'Events &amp; Festivals'!AD3)</f>
        <v/>
      </c>
      <c r="AD63" s="16">
        <f>IF('Events &amp; Festivals'!AE3="","",'Events &amp; Festivals'!AE3)</f>
        <v/>
      </c>
      <c r="AE63" s="16">
        <f>IF('Events &amp; Festivals'!AF3="","",'Events &amp; Festivals'!AF3)</f>
        <v/>
      </c>
      <c r="AF63" s="16">
        <f>IF('Events &amp; Festivals'!AG3="","",'Events &amp; Festivals'!AG3)</f>
        <v/>
      </c>
      <c r="AG63" s="17">
        <f>IF('Events &amp; Festivals'!AH3="","",'Events &amp; Festivals'!AH3)</f>
        <v/>
      </c>
      <c r="AH63" s="17">
        <f>IF('Events &amp; Festivals'!AI3="","",'Events &amp; Festivals'!AI3)</f>
        <v/>
      </c>
      <c r="AI63" s="17">
        <f>IF('Events &amp; Festivals'!AJ3="","",'Events &amp; Festivals'!AJ3)</f>
        <v/>
      </c>
      <c r="AJ63" s="17">
        <f>IF('Events &amp; Festivals'!AK3="","",'Events &amp; Festivals'!AK3)</f>
        <v/>
      </c>
      <c r="AK63" s="16">
        <f>IF('Events &amp; Festivals'!AL3="","",'Events &amp; Festivals'!AL3)</f>
        <v/>
      </c>
      <c r="AL63" s="18">
        <f>IF(V63="","",V63+ROW()/100000)</f>
        <v/>
      </c>
    </row>
    <row r="64" ht="18" customHeight="1">
      <c r="A64" s="22">
        <f>IF('Events &amp; Festivals'!B4="","","Events &amp; Festivals")</f>
        <v/>
      </c>
      <c r="B64" s="22">
        <f>IF('Events &amp; Festivals'!B4="","",'Events &amp; Festivals'!B4)</f>
        <v/>
      </c>
      <c r="C64" s="23">
        <f>IF('Events &amp; Festivals'!D4="","",'Events &amp; Festivals'!D4)</f>
        <v/>
      </c>
      <c r="D64" s="22">
        <f>IF('Events &amp; Festivals'!E4="","",'Events &amp; Festivals'!E4)</f>
        <v/>
      </c>
      <c r="E64" s="23">
        <f>IF('Events &amp; Festivals'!F4="","",'Events &amp; Festivals'!F4)</f>
        <v/>
      </c>
      <c r="F64" s="23">
        <f>IF('Events &amp; Festivals'!G4="","",'Events &amp; Festivals'!G4)</f>
        <v/>
      </c>
      <c r="G64" s="23">
        <f>IF('Events &amp; Festivals'!H4="","",'Events &amp; Festivals'!H4)</f>
        <v/>
      </c>
      <c r="H64" s="22">
        <f>IF('Events &amp; Festivals'!I4="","",'Events &amp; Festivals'!I4)</f>
        <v/>
      </c>
      <c r="I64" s="23">
        <f>IF('Events &amp; Festivals'!J4="","",'Events &amp; Festivals'!J4)</f>
        <v/>
      </c>
      <c r="J64" s="22">
        <f>IF('Events &amp; Festivals'!K4="","",'Events &amp; Festivals'!K4)</f>
        <v/>
      </c>
      <c r="K64" s="23">
        <f>IF('Events &amp; Festivals'!L4="","",'Events &amp; Festivals'!L4)</f>
        <v/>
      </c>
      <c r="L64" s="22">
        <f>IF('Events &amp; Festivals'!M4="","",'Events &amp; Festivals'!M4)</f>
        <v/>
      </c>
      <c r="M64" s="23">
        <f>IF('Events &amp; Festivals'!N4="","",'Events &amp; Festivals'!N4)</f>
        <v/>
      </c>
      <c r="N64" s="22">
        <f>IF('Events &amp; Festivals'!O4="","",'Events &amp; Festivals'!O4)</f>
        <v/>
      </c>
      <c r="O64" s="23">
        <f>IF('Events &amp; Festivals'!P4="","",'Events &amp; Festivals'!P4)</f>
        <v/>
      </c>
      <c r="P64" s="23">
        <f>IF('Events &amp; Festivals'!Q4="","",'Events &amp; Festivals'!Q4)</f>
        <v/>
      </c>
      <c r="Q64" s="24">
        <f>IF('Events &amp; Festivals'!R4="","",'Events &amp; Festivals'!R4)</f>
        <v/>
      </c>
      <c r="R64" s="25">
        <f>IF('Events &amp; Festivals'!S4="","",'Events &amp; Festivals'!S4)</f>
        <v/>
      </c>
      <c r="S64" s="22">
        <f>IF('Events &amp; Festivals'!T4="","",'Events &amp; Festivals'!T4)</f>
        <v/>
      </c>
      <c r="T64" s="24">
        <f>IF('Events &amp; Festivals'!U4="","",'Events &amp; Festivals'!U4)</f>
        <v/>
      </c>
      <c r="U64" s="23">
        <f>IF('Events &amp; Festivals'!V4="","",'Events &amp; Festivals'!V4)</f>
        <v/>
      </c>
      <c r="V64" s="24">
        <f>IF('Events &amp; Festivals'!W4="","",'Events &amp; Festivals'!W4)</f>
        <v/>
      </c>
      <c r="W64" s="23">
        <f>IF('Events &amp; Festivals'!X4="","",'Events &amp; Festivals'!X4)</f>
        <v/>
      </c>
      <c r="X64" s="23">
        <f>IF('Events &amp; Festivals'!Y4="","",'Events &amp; Festivals'!Y4)</f>
        <v/>
      </c>
      <c r="Y64" s="26">
        <f>IF('Events &amp; Festivals'!Z4="","",'Events &amp; Festivals'!Z4)</f>
        <v/>
      </c>
      <c r="Z64" s="27">
        <f>IF('Events &amp; Festivals'!AA4="","",'Events &amp; Festivals'!AA4)</f>
        <v/>
      </c>
      <c r="AA64" s="26">
        <f>IF('Events &amp; Festivals'!AB4="","",'Events &amp; Festivals'!AB4)</f>
        <v/>
      </c>
      <c r="AB64" s="22">
        <f>IF('Events &amp; Festivals'!AC4="","",'Events &amp; Festivals'!AC4)</f>
        <v/>
      </c>
      <c r="AC64" s="22">
        <f>IF('Events &amp; Festivals'!AD4="","",'Events &amp; Festivals'!AD4)</f>
        <v/>
      </c>
      <c r="AD64" s="22">
        <f>IF('Events &amp; Festivals'!AE4="","",'Events &amp; Festivals'!AE4)</f>
        <v/>
      </c>
      <c r="AE64" s="22">
        <f>IF('Events &amp; Festivals'!AF4="","",'Events &amp; Festivals'!AF4)</f>
        <v/>
      </c>
      <c r="AF64" s="22">
        <f>IF('Events &amp; Festivals'!AG4="","",'Events &amp; Festivals'!AG4)</f>
        <v/>
      </c>
      <c r="AG64" s="23">
        <f>IF('Events &amp; Festivals'!AH4="","",'Events &amp; Festivals'!AH4)</f>
        <v/>
      </c>
      <c r="AH64" s="23">
        <f>IF('Events &amp; Festivals'!AI4="","",'Events &amp; Festivals'!AI4)</f>
        <v/>
      </c>
      <c r="AI64" s="23">
        <f>IF('Events &amp; Festivals'!AJ4="","",'Events &amp; Festivals'!AJ4)</f>
        <v/>
      </c>
      <c r="AJ64" s="23">
        <f>IF('Events &amp; Festivals'!AK4="","",'Events &amp; Festivals'!AK4)</f>
        <v/>
      </c>
      <c r="AK64" s="22">
        <f>IF('Events &amp; Festivals'!AL4="","",'Events &amp; Festivals'!AL4)</f>
        <v/>
      </c>
      <c r="AL64" s="18">
        <f>IF(V64="","",V64+ROW()/100000)</f>
        <v/>
      </c>
    </row>
    <row r="65" ht="18" customHeight="1">
      <c r="A65" s="16">
        <f>IF('Events &amp; Festivals'!B5="","","Events &amp; Festivals")</f>
        <v/>
      </c>
      <c r="B65" s="16">
        <f>IF('Events &amp; Festivals'!B5="","",'Events &amp; Festivals'!B5)</f>
        <v/>
      </c>
      <c r="C65" s="17">
        <f>IF('Events &amp; Festivals'!D5="","",'Events &amp; Festivals'!D5)</f>
        <v/>
      </c>
      <c r="D65" s="16">
        <f>IF('Events &amp; Festivals'!E5="","",'Events &amp; Festivals'!E5)</f>
        <v/>
      </c>
      <c r="E65" s="17">
        <f>IF('Events &amp; Festivals'!F5="","",'Events &amp; Festivals'!F5)</f>
        <v/>
      </c>
      <c r="F65" s="17">
        <f>IF('Events &amp; Festivals'!G5="","",'Events &amp; Festivals'!G5)</f>
        <v/>
      </c>
      <c r="G65" s="17">
        <f>IF('Events &amp; Festivals'!H5="","",'Events &amp; Festivals'!H5)</f>
        <v/>
      </c>
      <c r="H65" s="16">
        <f>IF('Events &amp; Festivals'!I5="","",'Events &amp; Festivals'!I5)</f>
        <v/>
      </c>
      <c r="I65" s="17">
        <f>IF('Events &amp; Festivals'!J5="","",'Events &amp; Festivals'!J5)</f>
        <v/>
      </c>
      <c r="J65" s="16">
        <f>IF('Events &amp; Festivals'!K5="","",'Events &amp; Festivals'!K5)</f>
        <v/>
      </c>
      <c r="K65" s="17">
        <f>IF('Events &amp; Festivals'!L5="","",'Events &amp; Festivals'!L5)</f>
        <v/>
      </c>
      <c r="L65" s="16">
        <f>IF('Events &amp; Festivals'!M5="","",'Events &amp; Festivals'!M5)</f>
        <v/>
      </c>
      <c r="M65" s="17">
        <f>IF('Events &amp; Festivals'!N5="","",'Events &amp; Festivals'!N5)</f>
        <v/>
      </c>
      <c r="N65" s="16">
        <f>IF('Events &amp; Festivals'!O5="","",'Events &amp; Festivals'!O5)</f>
        <v/>
      </c>
      <c r="O65" s="17">
        <f>IF('Events &amp; Festivals'!P5="","",'Events &amp; Festivals'!P5)</f>
        <v/>
      </c>
      <c r="P65" s="17">
        <f>IF('Events &amp; Festivals'!Q5="","",'Events &amp; Festivals'!Q5)</f>
        <v/>
      </c>
      <c r="Q65" s="15">
        <f>IF('Events &amp; Festivals'!R5="","",'Events &amp; Festivals'!R5)</f>
        <v/>
      </c>
      <c r="R65" s="19">
        <f>IF('Events &amp; Festivals'!S5="","",'Events &amp; Festivals'!S5)</f>
        <v/>
      </c>
      <c r="S65" s="16">
        <f>IF('Events &amp; Festivals'!T5="","",'Events &amp; Festivals'!T5)</f>
        <v/>
      </c>
      <c r="T65" s="15">
        <f>IF('Events &amp; Festivals'!U5="","",'Events &amp; Festivals'!U5)</f>
        <v/>
      </c>
      <c r="U65" s="17">
        <f>IF('Events &amp; Festivals'!V5="","",'Events &amp; Festivals'!V5)</f>
        <v/>
      </c>
      <c r="V65" s="15">
        <f>IF('Events &amp; Festivals'!W5="","",'Events &amp; Festivals'!W5)</f>
        <v/>
      </c>
      <c r="W65" s="17">
        <f>IF('Events &amp; Festivals'!X5="","",'Events &amp; Festivals'!X5)</f>
        <v/>
      </c>
      <c r="X65" s="17">
        <f>IF('Events &amp; Festivals'!Y5="","",'Events &amp; Festivals'!Y5)</f>
        <v/>
      </c>
      <c r="Y65" s="20">
        <f>IF('Events &amp; Festivals'!Z5="","",'Events &amp; Festivals'!Z5)</f>
        <v/>
      </c>
      <c r="Z65" s="21">
        <f>IF('Events &amp; Festivals'!AA5="","",'Events &amp; Festivals'!AA5)</f>
        <v/>
      </c>
      <c r="AA65" s="20">
        <f>IF('Events &amp; Festivals'!AB5="","",'Events &amp; Festivals'!AB5)</f>
        <v/>
      </c>
      <c r="AB65" s="16">
        <f>IF('Events &amp; Festivals'!AC5="","",'Events &amp; Festivals'!AC5)</f>
        <v/>
      </c>
      <c r="AC65" s="16">
        <f>IF('Events &amp; Festivals'!AD5="","",'Events &amp; Festivals'!AD5)</f>
        <v/>
      </c>
      <c r="AD65" s="16">
        <f>IF('Events &amp; Festivals'!AE5="","",'Events &amp; Festivals'!AE5)</f>
        <v/>
      </c>
      <c r="AE65" s="16">
        <f>IF('Events &amp; Festivals'!AF5="","",'Events &amp; Festivals'!AF5)</f>
        <v/>
      </c>
      <c r="AF65" s="16">
        <f>IF('Events &amp; Festivals'!AG5="","",'Events &amp; Festivals'!AG5)</f>
        <v/>
      </c>
      <c r="AG65" s="17">
        <f>IF('Events &amp; Festivals'!AH5="","",'Events &amp; Festivals'!AH5)</f>
        <v/>
      </c>
      <c r="AH65" s="17">
        <f>IF('Events &amp; Festivals'!AI5="","",'Events &amp; Festivals'!AI5)</f>
        <v/>
      </c>
      <c r="AI65" s="17">
        <f>IF('Events &amp; Festivals'!AJ5="","",'Events &amp; Festivals'!AJ5)</f>
        <v/>
      </c>
      <c r="AJ65" s="17">
        <f>IF('Events &amp; Festivals'!AK5="","",'Events &amp; Festivals'!AK5)</f>
        <v/>
      </c>
      <c r="AK65" s="16">
        <f>IF('Events &amp; Festivals'!AL5="","",'Events &amp; Festivals'!AL5)</f>
        <v/>
      </c>
      <c r="AL65" s="18">
        <f>IF(V65="","",V65+ROW()/100000)</f>
        <v/>
      </c>
    </row>
    <row r="66" ht="18" customHeight="1">
      <c r="A66" s="22">
        <f>IF('Events &amp; Festivals'!B6="","","Events &amp; Festivals")</f>
        <v/>
      </c>
      <c r="B66" s="22">
        <f>IF('Events &amp; Festivals'!B6="","",'Events &amp; Festivals'!B6)</f>
        <v/>
      </c>
      <c r="C66" s="23">
        <f>IF('Events &amp; Festivals'!D6="","",'Events &amp; Festivals'!D6)</f>
        <v/>
      </c>
      <c r="D66" s="22">
        <f>IF('Events &amp; Festivals'!E6="","",'Events &amp; Festivals'!E6)</f>
        <v/>
      </c>
      <c r="E66" s="23">
        <f>IF('Events &amp; Festivals'!F6="","",'Events &amp; Festivals'!F6)</f>
        <v/>
      </c>
      <c r="F66" s="23">
        <f>IF('Events &amp; Festivals'!G6="","",'Events &amp; Festivals'!G6)</f>
        <v/>
      </c>
      <c r="G66" s="23">
        <f>IF('Events &amp; Festivals'!H6="","",'Events &amp; Festivals'!H6)</f>
        <v/>
      </c>
      <c r="H66" s="22">
        <f>IF('Events &amp; Festivals'!I6="","",'Events &amp; Festivals'!I6)</f>
        <v/>
      </c>
      <c r="I66" s="23">
        <f>IF('Events &amp; Festivals'!J6="","",'Events &amp; Festivals'!J6)</f>
        <v/>
      </c>
      <c r="J66" s="22">
        <f>IF('Events &amp; Festivals'!K6="","",'Events &amp; Festivals'!K6)</f>
        <v/>
      </c>
      <c r="K66" s="23">
        <f>IF('Events &amp; Festivals'!L6="","",'Events &amp; Festivals'!L6)</f>
        <v/>
      </c>
      <c r="L66" s="22">
        <f>IF('Events &amp; Festivals'!M6="","",'Events &amp; Festivals'!M6)</f>
        <v/>
      </c>
      <c r="M66" s="23">
        <f>IF('Events &amp; Festivals'!N6="","",'Events &amp; Festivals'!N6)</f>
        <v/>
      </c>
      <c r="N66" s="22">
        <f>IF('Events &amp; Festivals'!O6="","",'Events &amp; Festivals'!O6)</f>
        <v/>
      </c>
      <c r="O66" s="23">
        <f>IF('Events &amp; Festivals'!P6="","",'Events &amp; Festivals'!P6)</f>
        <v/>
      </c>
      <c r="P66" s="23">
        <f>IF('Events &amp; Festivals'!Q6="","",'Events &amp; Festivals'!Q6)</f>
        <v/>
      </c>
      <c r="Q66" s="24">
        <f>IF('Events &amp; Festivals'!R6="","",'Events &amp; Festivals'!R6)</f>
        <v/>
      </c>
      <c r="R66" s="25">
        <f>IF('Events &amp; Festivals'!S6="","",'Events &amp; Festivals'!S6)</f>
        <v/>
      </c>
      <c r="S66" s="22">
        <f>IF('Events &amp; Festivals'!T6="","",'Events &amp; Festivals'!T6)</f>
        <v/>
      </c>
      <c r="T66" s="24">
        <f>IF('Events &amp; Festivals'!U6="","",'Events &amp; Festivals'!U6)</f>
        <v/>
      </c>
      <c r="U66" s="23">
        <f>IF('Events &amp; Festivals'!V6="","",'Events &amp; Festivals'!V6)</f>
        <v/>
      </c>
      <c r="V66" s="24">
        <f>IF('Events &amp; Festivals'!W6="","",'Events &amp; Festivals'!W6)</f>
        <v/>
      </c>
      <c r="W66" s="23">
        <f>IF('Events &amp; Festivals'!X6="","",'Events &amp; Festivals'!X6)</f>
        <v/>
      </c>
      <c r="X66" s="23">
        <f>IF('Events &amp; Festivals'!Y6="","",'Events &amp; Festivals'!Y6)</f>
        <v/>
      </c>
      <c r="Y66" s="26">
        <f>IF('Events &amp; Festivals'!Z6="","",'Events &amp; Festivals'!Z6)</f>
        <v/>
      </c>
      <c r="Z66" s="27">
        <f>IF('Events &amp; Festivals'!AA6="","",'Events &amp; Festivals'!AA6)</f>
        <v/>
      </c>
      <c r="AA66" s="26">
        <f>IF('Events &amp; Festivals'!AB6="","",'Events &amp; Festivals'!AB6)</f>
        <v/>
      </c>
      <c r="AB66" s="22">
        <f>IF('Events &amp; Festivals'!AC6="","",'Events &amp; Festivals'!AC6)</f>
        <v/>
      </c>
      <c r="AC66" s="22">
        <f>IF('Events &amp; Festivals'!AD6="","",'Events &amp; Festivals'!AD6)</f>
        <v/>
      </c>
      <c r="AD66" s="22">
        <f>IF('Events &amp; Festivals'!AE6="","",'Events &amp; Festivals'!AE6)</f>
        <v/>
      </c>
      <c r="AE66" s="22">
        <f>IF('Events &amp; Festivals'!AF6="","",'Events &amp; Festivals'!AF6)</f>
        <v/>
      </c>
      <c r="AF66" s="22">
        <f>IF('Events &amp; Festivals'!AG6="","",'Events &amp; Festivals'!AG6)</f>
        <v/>
      </c>
      <c r="AG66" s="23">
        <f>IF('Events &amp; Festivals'!AH6="","",'Events &amp; Festivals'!AH6)</f>
        <v/>
      </c>
      <c r="AH66" s="23">
        <f>IF('Events &amp; Festivals'!AI6="","",'Events &amp; Festivals'!AI6)</f>
        <v/>
      </c>
      <c r="AI66" s="23">
        <f>IF('Events &amp; Festivals'!AJ6="","",'Events &amp; Festivals'!AJ6)</f>
        <v/>
      </c>
      <c r="AJ66" s="23">
        <f>IF('Events &amp; Festivals'!AK6="","",'Events &amp; Festivals'!AK6)</f>
        <v/>
      </c>
      <c r="AK66" s="22">
        <f>IF('Events &amp; Festivals'!AL6="","",'Events &amp; Festivals'!AL6)</f>
        <v/>
      </c>
      <c r="AL66" s="18">
        <f>IF(V66="","",V66+ROW()/100000)</f>
        <v/>
      </c>
    </row>
    <row r="67" ht="18" customHeight="1">
      <c r="A67" s="16">
        <f>IF('Events &amp; Festivals'!B7="","","Events &amp; Festivals")</f>
        <v/>
      </c>
      <c r="B67" s="16">
        <f>IF('Events &amp; Festivals'!B7="","",'Events &amp; Festivals'!B7)</f>
        <v/>
      </c>
      <c r="C67" s="17">
        <f>IF('Events &amp; Festivals'!D7="","",'Events &amp; Festivals'!D7)</f>
        <v/>
      </c>
      <c r="D67" s="16">
        <f>IF('Events &amp; Festivals'!E7="","",'Events &amp; Festivals'!E7)</f>
        <v/>
      </c>
      <c r="E67" s="17">
        <f>IF('Events &amp; Festivals'!F7="","",'Events &amp; Festivals'!F7)</f>
        <v/>
      </c>
      <c r="F67" s="17">
        <f>IF('Events &amp; Festivals'!G7="","",'Events &amp; Festivals'!G7)</f>
        <v/>
      </c>
      <c r="G67" s="17">
        <f>IF('Events &amp; Festivals'!H7="","",'Events &amp; Festivals'!H7)</f>
        <v/>
      </c>
      <c r="H67" s="16">
        <f>IF('Events &amp; Festivals'!I7="","",'Events &amp; Festivals'!I7)</f>
        <v/>
      </c>
      <c r="I67" s="17">
        <f>IF('Events &amp; Festivals'!J7="","",'Events &amp; Festivals'!J7)</f>
        <v/>
      </c>
      <c r="J67" s="16">
        <f>IF('Events &amp; Festivals'!K7="","",'Events &amp; Festivals'!K7)</f>
        <v/>
      </c>
      <c r="K67" s="17">
        <f>IF('Events &amp; Festivals'!L7="","",'Events &amp; Festivals'!L7)</f>
        <v/>
      </c>
      <c r="L67" s="16">
        <f>IF('Events &amp; Festivals'!M7="","",'Events &amp; Festivals'!M7)</f>
        <v/>
      </c>
      <c r="M67" s="17">
        <f>IF('Events &amp; Festivals'!N7="","",'Events &amp; Festivals'!N7)</f>
        <v/>
      </c>
      <c r="N67" s="16">
        <f>IF('Events &amp; Festivals'!O7="","",'Events &amp; Festivals'!O7)</f>
        <v/>
      </c>
      <c r="O67" s="17">
        <f>IF('Events &amp; Festivals'!P7="","",'Events &amp; Festivals'!P7)</f>
        <v/>
      </c>
      <c r="P67" s="17">
        <f>IF('Events &amp; Festivals'!Q7="","",'Events &amp; Festivals'!Q7)</f>
        <v/>
      </c>
      <c r="Q67" s="15">
        <f>IF('Events &amp; Festivals'!R7="","",'Events &amp; Festivals'!R7)</f>
        <v/>
      </c>
      <c r="R67" s="19">
        <f>IF('Events &amp; Festivals'!S7="","",'Events &amp; Festivals'!S7)</f>
        <v/>
      </c>
      <c r="S67" s="16">
        <f>IF('Events &amp; Festivals'!T7="","",'Events &amp; Festivals'!T7)</f>
        <v/>
      </c>
      <c r="T67" s="15">
        <f>IF('Events &amp; Festivals'!U7="","",'Events &amp; Festivals'!U7)</f>
        <v/>
      </c>
      <c r="U67" s="17">
        <f>IF('Events &amp; Festivals'!V7="","",'Events &amp; Festivals'!V7)</f>
        <v/>
      </c>
      <c r="V67" s="15">
        <f>IF('Events &amp; Festivals'!W7="","",'Events &amp; Festivals'!W7)</f>
        <v/>
      </c>
      <c r="W67" s="17">
        <f>IF('Events &amp; Festivals'!X7="","",'Events &amp; Festivals'!X7)</f>
        <v/>
      </c>
      <c r="X67" s="17">
        <f>IF('Events &amp; Festivals'!Y7="","",'Events &amp; Festivals'!Y7)</f>
        <v/>
      </c>
      <c r="Y67" s="20">
        <f>IF('Events &amp; Festivals'!Z7="","",'Events &amp; Festivals'!Z7)</f>
        <v/>
      </c>
      <c r="Z67" s="21">
        <f>IF('Events &amp; Festivals'!AA7="","",'Events &amp; Festivals'!AA7)</f>
        <v/>
      </c>
      <c r="AA67" s="20">
        <f>IF('Events &amp; Festivals'!AB7="","",'Events &amp; Festivals'!AB7)</f>
        <v/>
      </c>
      <c r="AB67" s="16">
        <f>IF('Events &amp; Festivals'!AC7="","",'Events &amp; Festivals'!AC7)</f>
        <v/>
      </c>
      <c r="AC67" s="16">
        <f>IF('Events &amp; Festivals'!AD7="","",'Events &amp; Festivals'!AD7)</f>
        <v/>
      </c>
      <c r="AD67" s="16">
        <f>IF('Events &amp; Festivals'!AE7="","",'Events &amp; Festivals'!AE7)</f>
        <v/>
      </c>
      <c r="AE67" s="16">
        <f>IF('Events &amp; Festivals'!AF7="","",'Events &amp; Festivals'!AF7)</f>
        <v/>
      </c>
      <c r="AF67" s="16">
        <f>IF('Events &amp; Festivals'!AG7="","",'Events &amp; Festivals'!AG7)</f>
        <v/>
      </c>
      <c r="AG67" s="17">
        <f>IF('Events &amp; Festivals'!AH7="","",'Events &amp; Festivals'!AH7)</f>
        <v/>
      </c>
      <c r="AH67" s="17">
        <f>IF('Events &amp; Festivals'!AI7="","",'Events &amp; Festivals'!AI7)</f>
        <v/>
      </c>
      <c r="AI67" s="17">
        <f>IF('Events &amp; Festivals'!AJ7="","",'Events &amp; Festivals'!AJ7)</f>
        <v/>
      </c>
      <c r="AJ67" s="17">
        <f>IF('Events &amp; Festivals'!AK7="","",'Events &amp; Festivals'!AK7)</f>
        <v/>
      </c>
      <c r="AK67" s="16">
        <f>IF('Events &amp; Festivals'!AL7="","",'Events &amp; Festivals'!AL7)</f>
        <v/>
      </c>
      <c r="AL67" s="18">
        <f>IF(V67="","",V67+ROW()/100000)</f>
        <v/>
      </c>
    </row>
    <row r="68" ht="18" customHeight="1">
      <c r="A68" s="22">
        <f>IF('Events &amp; Festivals'!B8="","","Events &amp; Festivals")</f>
        <v/>
      </c>
      <c r="B68" s="22">
        <f>IF('Events &amp; Festivals'!B8="","",'Events &amp; Festivals'!B8)</f>
        <v/>
      </c>
      <c r="C68" s="23">
        <f>IF('Events &amp; Festivals'!D8="","",'Events &amp; Festivals'!D8)</f>
        <v/>
      </c>
      <c r="D68" s="22">
        <f>IF('Events &amp; Festivals'!E8="","",'Events &amp; Festivals'!E8)</f>
        <v/>
      </c>
      <c r="E68" s="23">
        <f>IF('Events &amp; Festivals'!F8="","",'Events &amp; Festivals'!F8)</f>
        <v/>
      </c>
      <c r="F68" s="23">
        <f>IF('Events &amp; Festivals'!G8="","",'Events &amp; Festivals'!G8)</f>
        <v/>
      </c>
      <c r="G68" s="23">
        <f>IF('Events &amp; Festivals'!H8="","",'Events &amp; Festivals'!H8)</f>
        <v/>
      </c>
      <c r="H68" s="22">
        <f>IF('Events &amp; Festivals'!I8="","",'Events &amp; Festivals'!I8)</f>
        <v/>
      </c>
      <c r="I68" s="23">
        <f>IF('Events &amp; Festivals'!J8="","",'Events &amp; Festivals'!J8)</f>
        <v/>
      </c>
      <c r="J68" s="22">
        <f>IF('Events &amp; Festivals'!K8="","",'Events &amp; Festivals'!K8)</f>
        <v/>
      </c>
      <c r="K68" s="23">
        <f>IF('Events &amp; Festivals'!L8="","",'Events &amp; Festivals'!L8)</f>
        <v/>
      </c>
      <c r="L68" s="22">
        <f>IF('Events &amp; Festivals'!M8="","",'Events &amp; Festivals'!M8)</f>
        <v/>
      </c>
      <c r="M68" s="23">
        <f>IF('Events &amp; Festivals'!N8="","",'Events &amp; Festivals'!N8)</f>
        <v/>
      </c>
      <c r="N68" s="22">
        <f>IF('Events &amp; Festivals'!O8="","",'Events &amp; Festivals'!O8)</f>
        <v/>
      </c>
      <c r="O68" s="23">
        <f>IF('Events &amp; Festivals'!P8="","",'Events &amp; Festivals'!P8)</f>
        <v/>
      </c>
      <c r="P68" s="23">
        <f>IF('Events &amp; Festivals'!Q8="","",'Events &amp; Festivals'!Q8)</f>
        <v/>
      </c>
      <c r="Q68" s="24">
        <f>IF('Events &amp; Festivals'!R8="","",'Events &amp; Festivals'!R8)</f>
        <v/>
      </c>
      <c r="R68" s="25">
        <f>IF('Events &amp; Festivals'!S8="","",'Events &amp; Festivals'!S8)</f>
        <v/>
      </c>
      <c r="S68" s="22">
        <f>IF('Events &amp; Festivals'!T8="","",'Events &amp; Festivals'!T8)</f>
        <v/>
      </c>
      <c r="T68" s="24">
        <f>IF('Events &amp; Festivals'!U8="","",'Events &amp; Festivals'!U8)</f>
        <v/>
      </c>
      <c r="U68" s="23">
        <f>IF('Events &amp; Festivals'!V8="","",'Events &amp; Festivals'!V8)</f>
        <v/>
      </c>
      <c r="V68" s="24">
        <f>IF('Events &amp; Festivals'!W8="","",'Events &amp; Festivals'!W8)</f>
        <v/>
      </c>
      <c r="W68" s="23">
        <f>IF('Events &amp; Festivals'!X8="","",'Events &amp; Festivals'!X8)</f>
        <v/>
      </c>
      <c r="X68" s="23">
        <f>IF('Events &amp; Festivals'!Y8="","",'Events &amp; Festivals'!Y8)</f>
        <v/>
      </c>
      <c r="Y68" s="26">
        <f>IF('Events &amp; Festivals'!Z8="","",'Events &amp; Festivals'!Z8)</f>
        <v/>
      </c>
      <c r="Z68" s="27">
        <f>IF('Events &amp; Festivals'!AA8="","",'Events &amp; Festivals'!AA8)</f>
        <v/>
      </c>
      <c r="AA68" s="26">
        <f>IF('Events &amp; Festivals'!AB8="","",'Events &amp; Festivals'!AB8)</f>
        <v/>
      </c>
      <c r="AB68" s="22">
        <f>IF('Events &amp; Festivals'!AC8="","",'Events &amp; Festivals'!AC8)</f>
        <v/>
      </c>
      <c r="AC68" s="22">
        <f>IF('Events &amp; Festivals'!AD8="","",'Events &amp; Festivals'!AD8)</f>
        <v/>
      </c>
      <c r="AD68" s="22">
        <f>IF('Events &amp; Festivals'!AE8="","",'Events &amp; Festivals'!AE8)</f>
        <v/>
      </c>
      <c r="AE68" s="22">
        <f>IF('Events &amp; Festivals'!AF8="","",'Events &amp; Festivals'!AF8)</f>
        <v/>
      </c>
      <c r="AF68" s="22">
        <f>IF('Events &amp; Festivals'!AG8="","",'Events &amp; Festivals'!AG8)</f>
        <v/>
      </c>
      <c r="AG68" s="23">
        <f>IF('Events &amp; Festivals'!AH8="","",'Events &amp; Festivals'!AH8)</f>
        <v/>
      </c>
      <c r="AH68" s="23">
        <f>IF('Events &amp; Festivals'!AI8="","",'Events &amp; Festivals'!AI8)</f>
        <v/>
      </c>
      <c r="AI68" s="23">
        <f>IF('Events &amp; Festivals'!AJ8="","",'Events &amp; Festivals'!AJ8)</f>
        <v/>
      </c>
      <c r="AJ68" s="23">
        <f>IF('Events &amp; Festivals'!AK8="","",'Events &amp; Festivals'!AK8)</f>
        <v/>
      </c>
      <c r="AK68" s="22">
        <f>IF('Events &amp; Festivals'!AL8="","",'Events &amp; Festivals'!AL8)</f>
        <v/>
      </c>
      <c r="AL68" s="18">
        <f>IF(V68="","",V68+ROW()/100000)</f>
        <v/>
      </c>
    </row>
    <row r="69" ht="18" customHeight="1">
      <c r="A69" s="16">
        <f>IF('Events &amp; Festivals'!B9="","","Events &amp; Festivals")</f>
        <v/>
      </c>
      <c r="B69" s="16">
        <f>IF('Events &amp; Festivals'!B9="","",'Events &amp; Festivals'!B9)</f>
        <v/>
      </c>
      <c r="C69" s="17">
        <f>IF('Events &amp; Festivals'!D9="","",'Events &amp; Festivals'!D9)</f>
        <v/>
      </c>
      <c r="D69" s="16">
        <f>IF('Events &amp; Festivals'!E9="","",'Events &amp; Festivals'!E9)</f>
        <v/>
      </c>
      <c r="E69" s="17">
        <f>IF('Events &amp; Festivals'!F9="","",'Events &amp; Festivals'!F9)</f>
        <v/>
      </c>
      <c r="F69" s="17">
        <f>IF('Events &amp; Festivals'!G9="","",'Events &amp; Festivals'!G9)</f>
        <v/>
      </c>
      <c r="G69" s="17">
        <f>IF('Events &amp; Festivals'!H9="","",'Events &amp; Festivals'!H9)</f>
        <v/>
      </c>
      <c r="H69" s="16">
        <f>IF('Events &amp; Festivals'!I9="","",'Events &amp; Festivals'!I9)</f>
        <v/>
      </c>
      <c r="I69" s="17">
        <f>IF('Events &amp; Festivals'!J9="","",'Events &amp; Festivals'!J9)</f>
        <v/>
      </c>
      <c r="J69" s="16">
        <f>IF('Events &amp; Festivals'!K9="","",'Events &amp; Festivals'!K9)</f>
        <v/>
      </c>
      <c r="K69" s="17">
        <f>IF('Events &amp; Festivals'!L9="","",'Events &amp; Festivals'!L9)</f>
        <v/>
      </c>
      <c r="L69" s="16">
        <f>IF('Events &amp; Festivals'!M9="","",'Events &amp; Festivals'!M9)</f>
        <v/>
      </c>
      <c r="M69" s="17">
        <f>IF('Events &amp; Festivals'!N9="","",'Events &amp; Festivals'!N9)</f>
        <v/>
      </c>
      <c r="N69" s="16">
        <f>IF('Events &amp; Festivals'!O9="","",'Events &amp; Festivals'!O9)</f>
        <v/>
      </c>
      <c r="O69" s="17">
        <f>IF('Events &amp; Festivals'!P9="","",'Events &amp; Festivals'!P9)</f>
        <v/>
      </c>
      <c r="P69" s="17">
        <f>IF('Events &amp; Festivals'!Q9="","",'Events &amp; Festivals'!Q9)</f>
        <v/>
      </c>
      <c r="Q69" s="15">
        <f>IF('Events &amp; Festivals'!R9="","",'Events &amp; Festivals'!R9)</f>
        <v/>
      </c>
      <c r="R69" s="19">
        <f>IF('Events &amp; Festivals'!S9="","",'Events &amp; Festivals'!S9)</f>
        <v/>
      </c>
      <c r="S69" s="16">
        <f>IF('Events &amp; Festivals'!T9="","",'Events &amp; Festivals'!T9)</f>
        <v/>
      </c>
      <c r="T69" s="15">
        <f>IF('Events &amp; Festivals'!U9="","",'Events &amp; Festivals'!U9)</f>
        <v/>
      </c>
      <c r="U69" s="17">
        <f>IF('Events &amp; Festivals'!V9="","",'Events &amp; Festivals'!V9)</f>
        <v/>
      </c>
      <c r="V69" s="15">
        <f>IF('Events &amp; Festivals'!W9="","",'Events &amp; Festivals'!W9)</f>
        <v/>
      </c>
      <c r="W69" s="17">
        <f>IF('Events &amp; Festivals'!X9="","",'Events &amp; Festivals'!X9)</f>
        <v/>
      </c>
      <c r="X69" s="17">
        <f>IF('Events &amp; Festivals'!Y9="","",'Events &amp; Festivals'!Y9)</f>
        <v/>
      </c>
      <c r="Y69" s="20">
        <f>IF('Events &amp; Festivals'!Z9="","",'Events &amp; Festivals'!Z9)</f>
        <v/>
      </c>
      <c r="Z69" s="21">
        <f>IF('Events &amp; Festivals'!AA9="","",'Events &amp; Festivals'!AA9)</f>
        <v/>
      </c>
      <c r="AA69" s="20">
        <f>IF('Events &amp; Festivals'!AB9="","",'Events &amp; Festivals'!AB9)</f>
        <v/>
      </c>
      <c r="AB69" s="16">
        <f>IF('Events &amp; Festivals'!AC9="","",'Events &amp; Festivals'!AC9)</f>
        <v/>
      </c>
      <c r="AC69" s="16">
        <f>IF('Events &amp; Festivals'!AD9="","",'Events &amp; Festivals'!AD9)</f>
        <v/>
      </c>
      <c r="AD69" s="16">
        <f>IF('Events &amp; Festivals'!AE9="","",'Events &amp; Festivals'!AE9)</f>
        <v/>
      </c>
      <c r="AE69" s="16">
        <f>IF('Events &amp; Festivals'!AF9="","",'Events &amp; Festivals'!AF9)</f>
        <v/>
      </c>
      <c r="AF69" s="16">
        <f>IF('Events &amp; Festivals'!AG9="","",'Events &amp; Festivals'!AG9)</f>
        <v/>
      </c>
      <c r="AG69" s="17">
        <f>IF('Events &amp; Festivals'!AH9="","",'Events &amp; Festivals'!AH9)</f>
        <v/>
      </c>
      <c r="AH69" s="17">
        <f>IF('Events &amp; Festivals'!AI9="","",'Events &amp; Festivals'!AI9)</f>
        <v/>
      </c>
      <c r="AI69" s="17">
        <f>IF('Events &amp; Festivals'!AJ9="","",'Events &amp; Festivals'!AJ9)</f>
        <v/>
      </c>
      <c r="AJ69" s="17">
        <f>IF('Events &amp; Festivals'!AK9="","",'Events &amp; Festivals'!AK9)</f>
        <v/>
      </c>
      <c r="AK69" s="16">
        <f>IF('Events &amp; Festivals'!AL9="","",'Events &amp; Festivals'!AL9)</f>
        <v/>
      </c>
      <c r="AL69" s="18">
        <f>IF(V69="","",V69+ROW()/100000)</f>
        <v/>
      </c>
    </row>
    <row r="70" ht="18" customHeight="1">
      <c r="A70" s="22">
        <f>IF('Events &amp; Festivals'!B10="","","Events &amp; Festivals")</f>
        <v/>
      </c>
      <c r="B70" s="22">
        <f>IF('Events &amp; Festivals'!B10="","",'Events &amp; Festivals'!B10)</f>
        <v/>
      </c>
      <c r="C70" s="23">
        <f>IF('Events &amp; Festivals'!D10="","",'Events &amp; Festivals'!D10)</f>
        <v/>
      </c>
      <c r="D70" s="22">
        <f>IF('Events &amp; Festivals'!E10="","",'Events &amp; Festivals'!E10)</f>
        <v/>
      </c>
      <c r="E70" s="23">
        <f>IF('Events &amp; Festivals'!F10="","",'Events &amp; Festivals'!F10)</f>
        <v/>
      </c>
      <c r="F70" s="23">
        <f>IF('Events &amp; Festivals'!G10="","",'Events &amp; Festivals'!G10)</f>
        <v/>
      </c>
      <c r="G70" s="23">
        <f>IF('Events &amp; Festivals'!H10="","",'Events &amp; Festivals'!H10)</f>
        <v/>
      </c>
      <c r="H70" s="22">
        <f>IF('Events &amp; Festivals'!I10="","",'Events &amp; Festivals'!I10)</f>
        <v/>
      </c>
      <c r="I70" s="23">
        <f>IF('Events &amp; Festivals'!J10="","",'Events &amp; Festivals'!J10)</f>
        <v/>
      </c>
      <c r="J70" s="22">
        <f>IF('Events &amp; Festivals'!K10="","",'Events &amp; Festivals'!K10)</f>
        <v/>
      </c>
      <c r="K70" s="23">
        <f>IF('Events &amp; Festivals'!L10="","",'Events &amp; Festivals'!L10)</f>
        <v/>
      </c>
      <c r="L70" s="22">
        <f>IF('Events &amp; Festivals'!M10="","",'Events &amp; Festivals'!M10)</f>
        <v/>
      </c>
      <c r="M70" s="23">
        <f>IF('Events &amp; Festivals'!N10="","",'Events &amp; Festivals'!N10)</f>
        <v/>
      </c>
      <c r="N70" s="22">
        <f>IF('Events &amp; Festivals'!O10="","",'Events &amp; Festivals'!O10)</f>
        <v/>
      </c>
      <c r="O70" s="23">
        <f>IF('Events &amp; Festivals'!P10="","",'Events &amp; Festivals'!P10)</f>
        <v/>
      </c>
      <c r="P70" s="23">
        <f>IF('Events &amp; Festivals'!Q10="","",'Events &amp; Festivals'!Q10)</f>
        <v/>
      </c>
      <c r="Q70" s="24">
        <f>IF('Events &amp; Festivals'!R10="","",'Events &amp; Festivals'!R10)</f>
        <v/>
      </c>
      <c r="R70" s="25">
        <f>IF('Events &amp; Festivals'!S10="","",'Events &amp; Festivals'!S10)</f>
        <v/>
      </c>
      <c r="S70" s="22">
        <f>IF('Events &amp; Festivals'!T10="","",'Events &amp; Festivals'!T10)</f>
        <v/>
      </c>
      <c r="T70" s="24">
        <f>IF('Events &amp; Festivals'!U10="","",'Events &amp; Festivals'!U10)</f>
        <v/>
      </c>
      <c r="U70" s="23">
        <f>IF('Events &amp; Festivals'!V10="","",'Events &amp; Festivals'!V10)</f>
        <v/>
      </c>
      <c r="V70" s="24">
        <f>IF('Events &amp; Festivals'!W10="","",'Events &amp; Festivals'!W10)</f>
        <v/>
      </c>
      <c r="W70" s="23">
        <f>IF('Events &amp; Festivals'!X10="","",'Events &amp; Festivals'!X10)</f>
        <v/>
      </c>
      <c r="X70" s="23">
        <f>IF('Events &amp; Festivals'!Y10="","",'Events &amp; Festivals'!Y10)</f>
        <v/>
      </c>
      <c r="Y70" s="26">
        <f>IF('Events &amp; Festivals'!Z10="","",'Events &amp; Festivals'!Z10)</f>
        <v/>
      </c>
      <c r="Z70" s="27">
        <f>IF('Events &amp; Festivals'!AA10="","",'Events &amp; Festivals'!AA10)</f>
        <v/>
      </c>
      <c r="AA70" s="26">
        <f>IF('Events &amp; Festivals'!AB10="","",'Events &amp; Festivals'!AB10)</f>
        <v/>
      </c>
      <c r="AB70" s="22">
        <f>IF('Events &amp; Festivals'!AC10="","",'Events &amp; Festivals'!AC10)</f>
        <v/>
      </c>
      <c r="AC70" s="22">
        <f>IF('Events &amp; Festivals'!AD10="","",'Events &amp; Festivals'!AD10)</f>
        <v/>
      </c>
      <c r="AD70" s="22">
        <f>IF('Events &amp; Festivals'!AE10="","",'Events &amp; Festivals'!AE10)</f>
        <v/>
      </c>
      <c r="AE70" s="22">
        <f>IF('Events &amp; Festivals'!AF10="","",'Events &amp; Festivals'!AF10)</f>
        <v/>
      </c>
      <c r="AF70" s="22">
        <f>IF('Events &amp; Festivals'!AG10="","",'Events &amp; Festivals'!AG10)</f>
        <v/>
      </c>
      <c r="AG70" s="23">
        <f>IF('Events &amp; Festivals'!AH10="","",'Events &amp; Festivals'!AH10)</f>
        <v/>
      </c>
      <c r="AH70" s="23">
        <f>IF('Events &amp; Festivals'!AI10="","",'Events &amp; Festivals'!AI10)</f>
        <v/>
      </c>
      <c r="AI70" s="23">
        <f>IF('Events &amp; Festivals'!AJ10="","",'Events &amp; Festivals'!AJ10)</f>
        <v/>
      </c>
      <c r="AJ70" s="23">
        <f>IF('Events &amp; Festivals'!AK10="","",'Events &amp; Festivals'!AK10)</f>
        <v/>
      </c>
      <c r="AK70" s="22">
        <f>IF('Events &amp; Festivals'!AL10="","",'Events &amp; Festivals'!AL10)</f>
        <v/>
      </c>
      <c r="AL70" s="18">
        <f>IF(V70="","",V70+ROW()/100000)</f>
        <v/>
      </c>
    </row>
    <row r="71" ht="18" customHeight="1">
      <c r="A71" s="16">
        <f>IF('Events &amp; Festivals'!B11="","","Events &amp; Festivals")</f>
        <v/>
      </c>
      <c r="B71" s="16">
        <f>IF('Events &amp; Festivals'!B11="","",'Events &amp; Festivals'!B11)</f>
        <v/>
      </c>
      <c r="C71" s="17">
        <f>IF('Events &amp; Festivals'!D11="","",'Events &amp; Festivals'!D11)</f>
        <v/>
      </c>
      <c r="D71" s="16">
        <f>IF('Events &amp; Festivals'!E11="","",'Events &amp; Festivals'!E11)</f>
        <v/>
      </c>
      <c r="E71" s="17">
        <f>IF('Events &amp; Festivals'!F11="","",'Events &amp; Festivals'!F11)</f>
        <v/>
      </c>
      <c r="F71" s="17">
        <f>IF('Events &amp; Festivals'!G11="","",'Events &amp; Festivals'!G11)</f>
        <v/>
      </c>
      <c r="G71" s="17">
        <f>IF('Events &amp; Festivals'!H11="","",'Events &amp; Festivals'!H11)</f>
        <v/>
      </c>
      <c r="H71" s="16">
        <f>IF('Events &amp; Festivals'!I11="","",'Events &amp; Festivals'!I11)</f>
        <v/>
      </c>
      <c r="I71" s="17">
        <f>IF('Events &amp; Festivals'!J11="","",'Events &amp; Festivals'!J11)</f>
        <v/>
      </c>
      <c r="J71" s="16">
        <f>IF('Events &amp; Festivals'!K11="","",'Events &amp; Festivals'!K11)</f>
        <v/>
      </c>
      <c r="K71" s="17">
        <f>IF('Events &amp; Festivals'!L11="","",'Events &amp; Festivals'!L11)</f>
        <v/>
      </c>
      <c r="L71" s="16">
        <f>IF('Events &amp; Festivals'!M11="","",'Events &amp; Festivals'!M11)</f>
        <v/>
      </c>
      <c r="M71" s="17">
        <f>IF('Events &amp; Festivals'!N11="","",'Events &amp; Festivals'!N11)</f>
        <v/>
      </c>
      <c r="N71" s="16">
        <f>IF('Events &amp; Festivals'!O11="","",'Events &amp; Festivals'!O11)</f>
        <v/>
      </c>
      <c r="O71" s="17">
        <f>IF('Events &amp; Festivals'!P11="","",'Events &amp; Festivals'!P11)</f>
        <v/>
      </c>
      <c r="P71" s="17">
        <f>IF('Events &amp; Festivals'!Q11="","",'Events &amp; Festivals'!Q11)</f>
        <v/>
      </c>
      <c r="Q71" s="15">
        <f>IF('Events &amp; Festivals'!R11="","",'Events &amp; Festivals'!R11)</f>
        <v/>
      </c>
      <c r="R71" s="19">
        <f>IF('Events &amp; Festivals'!S11="","",'Events &amp; Festivals'!S11)</f>
        <v/>
      </c>
      <c r="S71" s="16">
        <f>IF('Events &amp; Festivals'!T11="","",'Events &amp; Festivals'!T11)</f>
        <v/>
      </c>
      <c r="T71" s="15">
        <f>IF('Events &amp; Festivals'!U11="","",'Events &amp; Festivals'!U11)</f>
        <v/>
      </c>
      <c r="U71" s="17">
        <f>IF('Events &amp; Festivals'!V11="","",'Events &amp; Festivals'!V11)</f>
        <v/>
      </c>
      <c r="V71" s="15">
        <f>IF('Events &amp; Festivals'!W11="","",'Events &amp; Festivals'!W11)</f>
        <v/>
      </c>
      <c r="W71" s="17">
        <f>IF('Events &amp; Festivals'!X11="","",'Events &amp; Festivals'!X11)</f>
        <v/>
      </c>
      <c r="X71" s="17">
        <f>IF('Events &amp; Festivals'!Y11="","",'Events &amp; Festivals'!Y11)</f>
        <v/>
      </c>
      <c r="Y71" s="20">
        <f>IF('Events &amp; Festivals'!Z11="","",'Events &amp; Festivals'!Z11)</f>
        <v/>
      </c>
      <c r="Z71" s="21">
        <f>IF('Events &amp; Festivals'!AA11="","",'Events &amp; Festivals'!AA11)</f>
        <v/>
      </c>
      <c r="AA71" s="20">
        <f>IF('Events &amp; Festivals'!AB11="","",'Events &amp; Festivals'!AB11)</f>
        <v/>
      </c>
      <c r="AB71" s="16">
        <f>IF('Events &amp; Festivals'!AC11="","",'Events &amp; Festivals'!AC11)</f>
        <v/>
      </c>
      <c r="AC71" s="16">
        <f>IF('Events &amp; Festivals'!AD11="","",'Events &amp; Festivals'!AD11)</f>
        <v/>
      </c>
      <c r="AD71" s="16">
        <f>IF('Events &amp; Festivals'!AE11="","",'Events &amp; Festivals'!AE11)</f>
        <v/>
      </c>
      <c r="AE71" s="16">
        <f>IF('Events &amp; Festivals'!AF11="","",'Events &amp; Festivals'!AF11)</f>
        <v/>
      </c>
      <c r="AF71" s="16">
        <f>IF('Events &amp; Festivals'!AG11="","",'Events &amp; Festivals'!AG11)</f>
        <v/>
      </c>
      <c r="AG71" s="17">
        <f>IF('Events &amp; Festivals'!AH11="","",'Events &amp; Festivals'!AH11)</f>
        <v/>
      </c>
      <c r="AH71" s="17">
        <f>IF('Events &amp; Festivals'!AI11="","",'Events &amp; Festivals'!AI11)</f>
        <v/>
      </c>
      <c r="AI71" s="17">
        <f>IF('Events &amp; Festivals'!AJ11="","",'Events &amp; Festivals'!AJ11)</f>
        <v/>
      </c>
      <c r="AJ71" s="17">
        <f>IF('Events &amp; Festivals'!AK11="","",'Events &amp; Festivals'!AK11)</f>
        <v/>
      </c>
      <c r="AK71" s="16">
        <f>IF('Events &amp; Festivals'!AL11="","",'Events &amp; Festivals'!AL11)</f>
        <v/>
      </c>
      <c r="AL71" s="18">
        <f>IF(V71="","",V71+ROW()/100000)</f>
        <v/>
      </c>
    </row>
    <row r="72" ht="18" customHeight="1">
      <c r="A72" s="22">
        <f>IF('Events &amp; Festivals'!B12="","","Events &amp; Festivals")</f>
        <v/>
      </c>
      <c r="B72" s="22">
        <f>IF('Events &amp; Festivals'!B12="","",'Events &amp; Festivals'!B12)</f>
        <v/>
      </c>
      <c r="C72" s="23">
        <f>IF('Events &amp; Festivals'!D12="","",'Events &amp; Festivals'!D12)</f>
        <v/>
      </c>
      <c r="D72" s="22">
        <f>IF('Events &amp; Festivals'!E12="","",'Events &amp; Festivals'!E12)</f>
        <v/>
      </c>
      <c r="E72" s="23">
        <f>IF('Events &amp; Festivals'!F12="","",'Events &amp; Festivals'!F12)</f>
        <v/>
      </c>
      <c r="F72" s="23">
        <f>IF('Events &amp; Festivals'!G12="","",'Events &amp; Festivals'!G12)</f>
        <v/>
      </c>
      <c r="G72" s="23">
        <f>IF('Events &amp; Festivals'!H12="","",'Events &amp; Festivals'!H12)</f>
        <v/>
      </c>
      <c r="H72" s="22">
        <f>IF('Events &amp; Festivals'!I12="","",'Events &amp; Festivals'!I12)</f>
        <v/>
      </c>
      <c r="I72" s="23">
        <f>IF('Events &amp; Festivals'!J12="","",'Events &amp; Festivals'!J12)</f>
        <v/>
      </c>
      <c r="J72" s="22">
        <f>IF('Events &amp; Festivals'!K12="","",'Events &amp; Festivals'!K12)</f>
        <v/>
      </c>
      <c r="K72" s="23">
        <f>IF('Events &amp; Festivals'!L12="","",'Events &amp; Festivals'!L12)</f>
        <v/>
      </c>
      <c r="L72" s="22">
        <f>IF('Events &amp; Festivals'!M12="","",'Events &amp; Festivals'!M12)</f>
        <v/>
      </c>
      <c r="M72" s="23">
        <f>IF('Events &amp; Festivals'!N12="","",'Events &amp; Festivals'!N12)</f>
        <v/>
      </c>
      <c r="N72" s="22">
        <f>IF('Events &amp; Festivals'!O12="","",'Events &amp; Festivals'!O12)</f>
        <v/>
      </c>
      <c r="O72" s="23">
        <f>IF('Events &amp; Festivals'!P12="","",'Events &amp; Festivals'!P12)</f>
        <v/>
      </c>
      <c r="P72" s="23">
        <f>IF('Events &amp; Festivals'!Q12="","",'Events &amp; Festivals'!Q12)</f>
        <v/>
      </c>
      <c r="Q72" s="24">
        <f>IF('Events &amp; Festivals'!R12="","",'Events &amp; Festivals'!R12)</f>
        <v/>
      </c>
      <c r="R72" s="25">
        <f>IF('Events &amp; Festivals'!S12="","",'Events &amp; Festivals'!S12)</f>
        <v/>
      </c>
      <c r="S72" s="22">
        <f>IF('Events &amp; Festivals'!T12="","",'Events &amp; Festivals'!T12)</f>
        <v/>
      </c>
      <c r="T72" s="24">
        <f>IF('Events &amp; Festivals'!U12="","",'Events &amp; Festivals'!U12)</f>
        <v/>
      </c>
      <c r="U72" s="23">
        <f>IF('Events &amp; Festivals'!V12="","",'Events &amp; Festivals'!V12)</f>
        <v/>
      </c>
      <c r="V72" s="24">
        <f>IF('Events &amp; Festivals'!W12="","",'Events &amp; Festivals'!W12)</f>
        <v/>
      </c>
      <c r="W72" s="23">
        <f>IF('Events &amp; Festivals'!X12="","",'Events &amp; Festivals'!X12)</f>
        <v/>
      </c>
      <c r="X72" s="23">
        <f>IF('Events &amp; Festivals'!Y12="","",'Events &amp; Festivals'!Y12)</f>
        <v/>
      </c>
      <c r="Y72" s="26">
        <f>IF('Events &amp; Festivals'!Z12="","",'Events &amp; Festivals'!Z12)</f>
        <v/>
      </c>
      <c r="Z72" s="27">
        <f>IF('Events &amp; Festivals'!AA12="","",'Events &amp; Festivals'!AA12)</f>
        <v/>
      </c>
      <c r="AA72" s="26">
        <f>IF('Events &amp; Festivals'!AB12="","",'Events &amp; Festivals'!AB12)</f>
        <v/>
      </c>
      <c r="AB72" s="22">
        <f>IF('Events &amp; Festivals'!AC12="","",'Events &amp; Festivals'!AC12)</f>
        <v/>
      </c>
      <c r="AC72" s="22">
        <f>IF('Events &amp; Festivals'!AD12="","",'Events &amp; Festivals'!AD12)</f>
        <v/>
      </c>
      <c r="AD72" s="22">
        <f>IF('Events &amp; Festivals'!AE12="","",'Events &amp; Festivals'!AE12)</f>
        <v/>
      </c>
      <c r="AE72" s="22">
        <f>IF('Events &amp; Festivals'!AF12="","",'Events &amp; Festivals'!AF12)</f>
        <v/>
      </c>
      <c r="AF72" s="22">
        <f>IF('Events &amp; Festivals'!AG12="","",'Events &amp; Festivals'!AG12)</f>
        <v/>
      </c>
      <c r="AG72" s="23">
        <f>IF('Events &amp; Festivals'!AH12="","",'Events &amp; Festivals'!AH12)</f>
        <v/>
      </c>
      <c r="AH72" s="23">
        <f>IF('Events &amp; Festivals'!AI12="","",'Events &amp; Festivals'!AI12)</f>
        <v/>
      </c>
      <c r="AI72" s="23">
        <f>IF('Events &amp; Festivals'!AJ12="","",'Events &amp; Festivals'!AJ12)</f>
        <v/>
      </c>
      <c r="AJ72" s="23">
        <f>IF('Events &amp; Festivals'!AK12="","",'Events &amp; Festivals'!AK12)</f>
        <v/>
      </c>
      <c r="AK72" s="22">
        <f>IF('Events &amp; Festivals'!AL12="","",'Events &amp; Festivals'!AL12)</f>
        <v/>
      </c>
      <c r="AL72" s="18">
        <f>IF(V72="","",V72+ROW()/100000)</f>
        <v/>
      </c>
    </row>
    <row r="73" ht="18" customHeight="1">
      <c r="A73" s="16">
        <f>IF('Events &amp; Festivals'!B13="","","Events &amp; Festivals")</f>
        <v/>
      </c>
      <c r="B73" s="16">
        <f>IF('Events &amp; Festivals'!B13="","",'Events &amp; Festivals'!B13)</f>
        <v/>
      </c>
      <c r="C73" s="17">
        <f>IF('Events &amp; Festivals'!D13="","",'Events &amp; Festivals'!D13)</f>
        <v/>
      </c>
      <c r="D73" s="16">
        <f>IF('Events &amp; Festivals'!E13="","",'Events &amp; Festivals'!E13)</f>
        <v/>
      </c>
      <c r="E73" s="17">
        <f>IF('Events &amp; Festivals'!F13="","",'Events &amp; Festivals'!F13)</f>
        <v/>
      </c>
      <c r="F73" s="17">
        <f>IF('Events &amp; Festivals'!G13="","",'Events &amp; Festivals'!G13)</f>
        <v/>
      </c>
      <c r="G73" s="17">
        <f>IF('Events &amp; Festivals'!H13="","",'Events &amp; Festivals'!H13)</f>
        <v/>
      </c>
      <c r="H73" s="16">
        <f>IF('Events &amp; Festivals'!I13="","",'Events &amp; Festivals'!I13)</f>
        <v/>
      </c>
      <c r="I73" s="17">
        <f>IF('Events &amp; Festivals'!J13="","",'Events &amp; Festivals'!J13)</f>
        <v/>
      </c>
      <c r="J73" s="16">
        <f>IF('Events &amp; Festivals'!K13="","",'Events &amp; Festivals'!K13)</f>
        <v/>
      </c>
      <c r="K73" s="17">
        <f>IF('Events &amp; Festivals'!L13="","",'Events &amp; Festivals'!L13)</f>
        <v/>
      </c>
      <c r="L73" s="16">
        <f>IF('Events &amp; Festivals'!M13="","",'Events &amp; Festivals'!M13)</f>
        <v/>
      </c>
      <c r="M73" s="17">
        <f>IF('Events &amp; Festivals'!N13="","",'Events &amp; Festivals'!N13)</f>
        <v/>
      </c>
      <c r="N73" s="16">
        <f>IF('Events &amp; Festivals'!O13="","",'Events &amp; Festivals'!O13)</f>
        <v/>
      </c>
      <c r="O73" s="17">
        <f>IF('Events &amp; Festivals'!P13="","",'Events &amp; Festivals'!P13)</f>
        <v/>
      </c>
      <c r="P73" s="17">
        <f>IF('Events &amp; Festivals'!Q13="","",'Events &amp; Festivals'!Q13)</f>
        <v/>
      </c>
      <c r="Q73" s="15">
        <f>IF('Events &amp; Festivals'!R13="","",'Events &amp; Festivals'!R13)</f>
        <v/>
      </c>
      <c r="R73" s="19">
        <f>IF('Events &amp; Festivals'!S13="","",'Events &amp; Festivals'!S13)</f>
        <v/>
      </c>
      <c r="S73" s="16">
        <f>IF('Events &amp; Festivals'!T13="","",'Events &amp; Festivals'!T13)</f>
        <v/>
      </c>
      <c r="T73" s="15">
        <f>IF('Events &amp; Festivals'!U13="","",'Events &amp; Festivals'!U13)</f>
        <v/>
      </c>
      <c r="U73" s="17">
        <f>IF('Events &amp; Festivals'!V13="","",'Events &amp; Festivals'!V13)</f>
        <v/>
      </c>
      <c r="V73" s="15">
        <f>IF('Events &amp; Festivals'!W13="","",'Events &amp; Festivals'!W13)</f>
        <v/>
      </c>
      <c r="W73" s="17">
        <f>IF('Events &amp; Festivals'!X13="","",'Events &amp; Festivals'!X13)</f>
        <v/>
      </c>
      <c r="X73" s="17">
        <f>IF('Events &amp; Festivals'!Y13="","",'Events &amp; Festivals'!Y13)</f>
        <v/>
      </c>
      <c r="Y73" s="20">
        <f>IF('Events &amp; Festivals'!Z13="","",'Events &amp; Festivals'!Z13)</f>
        <v/>
      </c>
      <c r="Z73" s="21">
        <f>IF('Events &amp; Festivals'!AA13="","",'Events &amp; Festivals'!AA13)</f>
        <v/>
      </c>
      <c r="AA73" s="20">
        <f>IF('Events &amp; Festivals'!AB13="","",'Events &amp; Festivals'!AB13)</f>
        <v/>
      </c>
      <c r="AB73" s="16">
        <f>IF('Events &amp; Festivals'!AC13="","",'Events &amp; Festivals'!AC13)</f>
        <v/>
      </c>
      <c r="AC73" s="16">
        <f>IF('Events &amp; Festivals'!AD13="","",'Events &amp; Festivals'!AD13)</f>
        <v/>
      </c>
      <c r="AD73" s="16">
        <f>IF('Events &amp; Festivals'!AE13="","",'Events &amp; Festivals'!AE13)</f>
        <v/>
      </c>
      <c r="AE73" s="16">
        <f>IF('Events &amp; Festivals'!AF13="","",'Events &amp; Festivals'!AF13)</f>
        <v/>
      </c>
      <c r="AF73" s="16">
        <f>IF('Events &amp; Festivals'!AG13="","",'Events &amp; Festivals'!AG13)</f>
        <v/>
      </c>
      <c r="AG73" s="17">
        <f>IF('Events &amp; Festivals'!AH13="","",'Events &amp; Festivals'!AH13)</f>
        <v/>
      </c>
      <c r="AH73" s="17">
        <f>IF('Events &amp; Festivals'!AI13="","",'Events &amp; Festivals'!AI13)</f>
        <v/>
      </c>
      <c r="AI73" s="17">
        <f>IF('Events &amp; Festivals'!AJ13="","",'Events &amp; Festivals'!AJ13)</f>
        <v/>
      </c>
      <c r="AJ73" s="17">
        <f>IF('Events &amp; Festivals'!AK13="","",'Events &amp; Festivals'!AK13)</f>
        <v/>
      </c>
      <c r="AK73" s="16">
        <f>IF('Events &amp; Festivals'!AL13="","",'Events &amp; Festivals'!AL13)</f>
        <v/>
      </c>
      <c r="AL73" s="18">
        <f>IF(V73="","",V73+ROW()/100000)</f>
        <v/>
      </c>
    </row>
    <row r="74" ht="18" customHeight="1">
      <c r="A74" s="22">
        <f>IF('Events &amp; Festivals'!B14="","","Events &amp; Festivals")</f>
        <v/>
      </c>
      <c r="B74" s="22">
        <f>IF('Events &amp; Festivals'!B14="","",'Events &amp; Festivals'!B14)</f>
        <v/>
      </c>
      <c r="C74" s="23">
        <f>IF('Events &amp; Festivals'!D14="","",'Events &amp; Festivals'!D14)</f>
        <v/>
      </c>
      <c r="D74" s="22">
        <f>IF('Events &amp; Festivals'!E14="","",'Events &amp; Festivals'!E14)</f>
        <v/>
      </c>
      <c r="E74" s="23">
        <f>IF('Events &amp; Festivals'!F14="","",'Events &amp; Festivals'!F14)</f>
        <v/>
      </c>
      <c r="F74" s="23">
        <f>IF('Events &amp; Festivals'!G14="","",'Events &amp; Festivals'!G14)</f>
        <v/>
      </c>
      <c r="G74" s="23">
        <f>IF('Events &amp; Festivals'!H14="","",'Events &amp; Festivals'!H14)</f>
        <v/>
      </c>
      <c r="H74" s="22">
        <f>IF('Events &amp; Festivals'!I14="","",'Events &amp; Festivals'!I14)</f>
        <v/>
      </c>
      <c r="I74" s="23">
        <f>IF('Events &amp; Festivals'!J14="","",'Events &amp; Festivals'!J14)</f>
        <v/>
      </c>
      <c r="J74" s="22">
        <f>IF('Events &amp; Festivals'!K14="","",'Events &amp; Festivals'!K14)</f>
        <v/>
      </c>
      <c r="K74" s="23">
        <f>IF('Events &amp; Festivals'!L14="","",'Events &amp; Festivals'!L14)</f>
        <v/>
      </c>
      <c r="L74" s="22">
        <f>IF('Events &amp; Festivals'!M14="","",'Events &amp; Festivals'!M14)</f>
        <v/>
      </c>
      <c r="M74" s="23">
        <f>IF('Events &amp; Festivals'!N14="","",'Events &amp; Festivals'!N14)</f>
        <v/>
      </c>
      <c r="N74" s="22">
        <f>IF('Events &amp; Festivals'!O14="","",'Events &amp; Festivals'!O14)</f>
        <v/>
      </c>
      <c r="O74" s="23">
        <f>IF('Events &amp; Festivals'!P14="","",'Events &amp; Festivals'!P14)</f>
        <v/>
      </c>
      <c r="P74" s="23">
        <f>IF('Events &amp; Festivals'!Q14="","",'Events &amp; Festivals'!Q14)</f>
        <v/>
      </c>
      <c r="Q74" s="24">
        <f>IF('Events &amp; Festivals'!R14="","",'Events &amp; Festivals'!R14)</f>
        <v/>
      </c>
      <c r="R74" s="25">
        <f>IF('Events &amp; Festivals'!S14="","",'Events &amp; Festivals'!S14)</f>
        <v/>
      </c>
      <c r="S74" s="22">
        <f>IF('Events &amp; Festivals'!T14="","",'Events &amp; Festivals'!T14)</f>
        <v/>
      </c>
      <c r="T74" s="24">
        <f>IF('Events &amp; Festivals'!U14="","",'Events &amp; Festivals'!U14)</f>
        <v/>
      </c>
      <c r="U74" s="23">
        <f>IF('Events &amp; Festivals'!V14="","",'Events &amp; Festivals'!V14)</f>
        <v/>
      </c>
      <c r="V74" s="24">
        <f>IF('Events &amp; Festivals'!W14="","",'Events &amp; Festivals'!W14)</f>
        <v/>
      </c>
      <c r="W74" s="23">
        <f>IF('Events &amp; Festivals'!X14="","",'Events &amp; Festivals'!X14)</f>
        <v/>
      </c>
      <c r="X74" s="23">
        <f>IF('Events &amp; Festivals'!Y14="","",'Events &amp; Festivals'!Y14)</f>
        <v/>
      </c>
      <c r="Y74" s="26">
        <f>IF('Events &amp; Festivals'!Z14="","",'Events &amp; Festivals'!Z14)</f>
        <v/>
      </c>
      <c r="Z74" s="27">
        <f>IF('Events &amp; Festivals'!AA14="","",'Events &amp; Festivals'!AA14)</f>
        <v/>
      </c>
      <c r="AA74" s="26">
        <f>IF('Events &amp; Festivals'!AB14="","",'Events &amp; Festivals'!AB14)</f>
        <v/>
      </c>
      <c r="AB74" s="22">
        <f>IF('Events &amp; Festivals'!AC14="","",'Events &amp; Festivals'!AC14)</f>
        <v/>
      </c>
      <c r="AC74" s="22">
        <f>IF('Events &amp; Festivals'!AD14="","",'Events &amp; Festivals'!AD14)</f>
        <v/>
      </c>
      <c r="AD74" s="22">
        <f>IF('Events &amp; Festivals'!AE14="","",'Events &amp; Festivals'!AE14)</f>
        <v/>
      </c>
      <c r="AE74" s="22">
        <f>IF('Events &amp; Festivals'!AF14="","",'Events &amp; Festivals'!AF14)</f>
        <v/>
      </c>
      <c r="AF74" s="22">
        <f>IF('Events &amp; Festivals'!AG14="","",'Events &amp; Festivals'!AG14)</f>
        <v/>
      </c>
      <c r="AG74" s="23">
        <f>IF('Events &amp; Festivals'!AH14="","",'Events &amp; Festivals'!AH14)</f>
        <v/>
      </c>
      <c r="AH74" s="23">
        <f>IF('Events &amp; Festivals'!AI14="","",'Events &amp; Festivals'!AI14)</f>
        <v/>
      </c>
      <c r="AI74" s="23">
        <f>IF('Events &amp; Festivals'!AJ14="","",'Events &amp; Festivals'!AJ14)</f>
        <v/>
      </c>
      <c r="AJ74" s="23">
        <f>IF('Events &amp; Festivals'!AK14="","",'Events &amp; Festivals'!AK14)</f>
        <v/>
      </c>
      <c r="AK74" s="22">
        <f>IF('Events &amp; Festivals'!AL14="","",'Events &amp; Festivals'!AL14)</f>
        <v/>
      </c>
      <c r="AL74" s="18">
        <f>IF(V74="","",V74+ROW()/100000)</f>
        <v/>
      </c>
    </row>
    <row r="75" ht="18" customHeight="1">
      <c r="A75" s="16">
        <f>IF('Events &amp; Festivals'!B15="","","Events &amp; Festivals")</f>
        <v/>
      </c>
      <c r="B75" s="16">
        <f>IF('Events &amp; Festivals'!B15="","",'Events &amp; Festivals'!B15)</f>
        <v/>
      </c>
      <c r="C75" s="17">
        <f>IF('Events &amp; Festivals'!D15="","",'Events &amp; Festivals'!D15)</f>
        <v/>
      </c>
      <c r="D75" s="16">
        <f>IF('Events &amp; Festivals'!E15="","",'Events &amp; Festivals'!E15)</f>
        <v/>
      </c>
      <c r="E75" s="17">
        <f>IF('Events &amp; Festivals'!F15="","",'Events &amp; Festivals'!F15)</f>
        <v/>
      </c>
      <c r="F75" s="17">
        <f>IF('Events &amp; Festivals'!G15="","",'Events &amp; Festivals'!G15)</f>
        <v/>
      </c>
      <c r="G75" s="17">
        <f>IF('Events &amp; Festivals'!H15="","",'Events &amp; Festivals'!H15)</f>
        <v/>
      </c>
      <c r="H75" s="16">
        <f>IF('Events &amp; Festivals'!I15="","",'Events &amp; Festivals'!I15)</f>
        <v/>
      </c>
      <c r="I75" s="17">
        <f>IF('Events &amp; Festivals'!J15="","",'Events &amp; Festivals'!J15)</f>
        <v/>
      </c>
      <c r="J75" s="16">
        <f>IF('Events &amp; Festivals'!K15="","",'Events &amp; Festivals'!K15)</f>
        <v/>
      </c>
      <c r="K75" s="17">
        <f>IF('Events &amp; Festivals'!L15="","",'Events &amp; Festivals'!L15)</f>
        <v/>
      </c>
      <c r="L75" s="16">
        <f>IF('Events &amp; Festivals'!M15="","",'Events &amp; Festivals'!M15)</f>
        <v/>
      </c>
      <c r="M75" s="17">
        <f>IF('Events &amp; Festivals'!N15="","",'Events &amp; Festivals'!N15)</f>
        <v/>
      </c>
      <c r="N75" s="16">
        <f>IF('Events &amp; Festivals'!O15="","",'Events &amp; Festivals'!O15)</f>
        <v/>
      </c>
      <c r="O75" s="17">
        <f>IF('Events &amp; Festivals'!P15="","",'Events &amp; Festivals'!P15)</f>
        <v/>
      </c>
      <c r="P75" s="17">
        <f>IF('Events &amp; Festivals'!Q15="","",'Events &amp; Festivals'!Q15)</f>
        <v/>
      </c>
      <c r="Q75" s="15">
        <f>IF('Events &amp; Festivals'!R15="","",'Events &amp; Festivals'!R15)</f>
        <v/>
      </c>
      <c r="R75" s="19">
        <f>IF('Events &amp; Festivals'!S15="","",'Events &amp; Festivals'!S15)</f>
        <v/>
      </c>
      <c r="S75" s="16">
        <f>IF('Events &amp; Festivals'!T15="","",'Events &amp; Festivals'!T15)</f>
        <v/>
      </c>
      <c r="T75" s="15">
        <f>IF('Events &amp; Festivals'!U15="","",'Events &amp; Festivals'!U15)</f>
        <v/>
      </c>
      <c r="U75" s="17">
        <f>IF('Events &amp; Festivals'!V15="","",'Events &amp; Festivals'!V15)</f>
        <v/>
      </c>
      <c r="V75" s="15">
        <f>IF('Events &amp; Festivals'!W15="","",'Events &amp; Festivals'!W15)</f>
        <v/>
      </c>
      <c r="W75" s="17">
        <f>IF('Events &amp; Festivals'!X15="","",'Events &amp; Festivals'!X15)</f>
        <v/>
      </c>
      <c r="X75" s="17">
        <f>IF('Events &amp; Festivals'!Y15="","",'Events &amp; Festivals'!Y15)</f>
        <v/>
      </c>
      <c r="Y75" s="20">
        <f>IF('Events &amp; Festivals'!Z15="","",'Events &amp; Festivals'!Z15)</f>
        <v/>
      </c>
      <c r="Z75" s="21">
        <f>IF('Events &amp; Festivals'!AA15="","",'Events &amp; Festivals'!AA15)</f>
        <v/>
      </c>
      <c r="AA75" s="20">
        <f>IF('Events &amp; Festivals'!AB15="","",'Events &amp; Festivals'!AB15)</f>
        <v/>
      </c>
      <c r="AB75" s="16">
        <f>IF('Events &amp; Festivals'!AC15="","",'Events &amp; Festivals'!AC15)</f>
        <v/>
      </c>
      <c r="AC75" s="16">
        <f>IF('Events &amp; Festivals'!AD15="","",'Events &amp; Festivals'!AD15)</f>
        <v/>
      </c>
      <c r="AD75" s="16">
        <f>IF('Events &amp; Festivals'!AE15="","",'Events &amp; Festivals'!AE15)</f>
        <v/>
      </c>
      <c r="AE75" s="16">
        <f>IF('Events &amp; Festivals'!AF15="","",'Events &amp; Festivals'!AF15)</f>
        <v/>
      </c>
      <c r="AF75" s="16">
        <f>IF('Events &amp; Festivals'!AG15="","",'Events &amp; Festivals'!AG15)</f>
        <v/>
      </c>
      <c r="AG75" s="17">
        <f>IF('Events &amp; Festivals'!AH15="","",'Events &amp; Festivals'!AH15)</f>
        <v/>
      </c>
      <c r="AH75" s="17">
        <f>IF('Events &amp; Festivals'!AI15="","",'Events &amp; Festivals'!AI15)</f>
        <v/>
      </c>
      <c r="AI75" s="17">
        <f>IF('Events &amp; Festivals'!AJ15="","",'Events &amp; Festivals'!AJ15)</f>
        <v/>
      </c>
      <c r="AJ75" s="17">
        <f>IF('Events &amp; Festivals'!AK15="","",'Events &amp; Festivals'!AK15)</f>
        <v/>
      </c>
      <c r="AK75" s="16">
        <f>IF('Events &amp; Festivals'!AL15="","",'Events &amp; Festivals'!AL15)</f>
        <v/>
      </c>
      <c r="AL75" s="18">
        <f>IF(V75="","",V75+ROW()/100000)</f>
        <v/>
      </c>
    </row>
    <row r="76" ht="18" customHeight="1">
      <c r="A76" s="22">
        <f>IF('Events &amp; Festivals'!B16="","","Events &amp; Festivals")</f>
        <v/>
      </c>
      <c r="B76" s="22">
        <f>IF('Events &amp; Festivals'!B16="","",'Events &amp; Festivals'!B16)</f>
        <v/>
      </c>
      <c r="C76" s="23">
        <f>IF('Events &amp; Festivals'!D16="","",'Events &amp; Festivals'!D16)</f>
        <v/>
      </c>
      <c r="D76" s="22">
        <f>IF('Events &amp; Festivals'!E16="","",'Events &amp; Festivals'!E16)</f>
        <v/>
      </c>
      <c r="E76" s="23">
        <f>IF('Events &amp; Festivals'!F16="","",'Events &amp; Festivals'!F16)</f>
        <v/>
      </c>
      <c r="F76" s="23">
        <f>IF('Events &amp; Festivals'!G16="","",'Events &amp; Festivals'!G16)</f>
        <v/>
      </c>
      <c r="G76" s="23">
        <f>IF('Events &amp; Festivals'!H16="","",'Events &amp; Festivals'!H16)</f>
        <v/>
      </c>
      <c r="H76" s="22">
        <f>IF('Events &amp; Festivals'!I16="","",'Events &amp; Festivals'!I16)</f>
        <v/>
      </c>
      <c r="I76" s="23">
        <f>IF('Events &amp; Festivals'!J16="","",'Events &amp; Festivals'!J16)</f>
        <v/>
      </c>
      <c r="J76" s="22">
        <f>IF('Events &amp; Festivals'!K16="","",'Events &amp; Festivals'!K16)</f>
        <v/>
      </c>
      <c r="K76" s="23">
        <f>IF('Events &amp; Festivals'!L16="","",'Events &amp; Festivals'!L16)</f>
        <v/>
      </c>
      <c r="L76" s="22">
        <f>IF('Events &amp; Festivals'!M16="","",'Events &amp; Festivals'!M16)</f>
        <v/>
      </c>
      <c r="M76" s="23">
        <f>IF('Events &amp; Festivals'!N16="","",'Events &amp; Festivals'!N16)</f>
        <v/>
      </c>
      <c r="N76" s="22">
        <f>IF('Events &amp; Festivals'!O16="","",'Events &amp; Festivals'!O16)</f>
        <v/>
      </c>
      <c r="O76" s="23">
        <f>IF('Events &amp; Festivals'!P16="","",'Events &amp; Festivals'!P16)</f>
        <v/>
      </c>
      <c r="P76" s="23">
        <f>IF('Events &amp; Festivals'!Q16="","",'Events &amp; Festivals'!Q16)</f>
        <v/>
      </c>
      <c r="Q76" s="24">
        <f>IF('Events &amp; Festivals'!R16="","",'Events &amp; Festivals'!R16)</f>
        <v/>
      </c>
      <c r="R76" s="25">
        <f>IF('Events &amp; Festivals'!S16="","",'Events &amp; Festivals'!S16)</f>
        <v/>
      </c>
      <c r="S76" s="22">
        <f>IF('Events &amp; Festivals'!T16="","",'Events &amp; Festivals'!T16)</f>
        <v/>
      </c>
      <c r="T76" s="24">
        <f>IF('Events &amp; Festivals'!U16="","",'Events &amp; Festivals'!U16)</f>
        <v/>
      </c>
      <c r="U76" s="23">
        <f>IF('Events &amp; Festivals'!V16="","",'Events &amp; Festivals'!V16)</f>
        <v/>
      </c>
      <c r="V76" s="24">
        <f>IF('Events &amp; Festivals'!W16="","",'Events &amp; Festivals'!W16)</f>
        <v/>
      </c>
      <c r="W76" s="23">
        <f>IF('Events &amp; Festivals'!X16="","",'Events &amp; Festivals'!X16)</f>
        <v/>
      </c>
      <c r="X76" s="23">
        <f>IF('Events &amp; Festivals'!Y16="","",'Events &amp; Festivals'!Y16)</f>
        <v/>
      </c>
      <c r="Y76" s="26">
        <f>IF('Events &amp; Festivals'!Z16="","",'Events &amp; Festivals'!Z16)</f>
        <v/>
      </c>
      <c r="Z76" s="27">
        <f>IF('Events &amp; Festivals'!AA16="","",'Events &amp; Festivals'!AA16)</f>
        <v/>
      </c>
      <c r="AA76" s="26">
        <f>IF('Events &amp; Festivals'!AB16="","",'Events &amp; Festivals'!AB16)</f>
        <v/>
      </c>
      <c r="AB76" s="22">
        <f>IF('Events &amp; Festivals'!AC16="","",'Events &amp; Festivals'!AC16)</f>
        <v/>
      </c>
      <c r="AC76" s="22">
        <f>IF('Events &amp; Festivals'!AD16="","",'Events &amp; Festivals'!AD16)</f>
        <v/>
      </c>
      <c r="AD76" s="22">
        <f>IF('Events &amp; Festivals'!AE16="","",'Events &amp; Festivals'!AE16)</f>
        <v/>
      </c>
      <c r="AE76" s="22">
        <f>IF('Events &amp; Festivals'!AF16="","",'Events &amp; Festivals'!AF16)</f>
        <v/>
      </c>
      <c r="AF76" s="22">
        <f>IF('Events &amp; Festivals'!AG16="","",'Events &amp; Festivals'!AG16)</f>
        <v/>
      </c>
      <c r="AG76" s="23">
        <f>IF('Events &amp; Festivals'!AH16="","",'Events &amp; Festivals'!AH16)</f>
        <v/>
      </c>
      <c r="AH76" s="23">
        <f>IF('Events &amp; Festivals'!AI16="","",'Events &amp; Festivals'!AI16)</f>
        <v/>
      </c>
      <c r="AI76" s="23">
        <f>IF('Events &amp; Festivals'!AJ16="","",'Events &amp; Festivals'!AJ16)</f>
        <v/>
      </c>
      <c r="AJ76" s="23">
        <f>IF('Events &amp; Festivals'!AK16="","",'Events &amp; Festivals'!AK16)</f>
        <v/>
      </c>
      <c r="AK76" s="22">
        <f>IF('Events &amp; Festivals'!AL16="","",'Events &amp; Festivals'!AL16)</f>
        <v/>
      </c>
      <c r="AL76" s="18">
        <f>IF(V76="","",V76+ROW()/100000)</f>
        <v/>
      </c>
    </row>
    <row r="77" ht="18" customHeight="1">
      <c r="A77" s="16">
        <f>IF('Events &amp; Festivals'!B17="","","Events &amp; Festivals")</f>
        <v/>
      </c>
      <c r="B77" s="16">
        <f>IF('Events &amp; Festivals'!B17="","",'Events &amp; Festivals'!B17)</f>
        <v/>
      </c>
      <c r="C77" s="17">
        <f>IF('Events &amp; Festivals'!D17="","",'Events &amp; Festivals'!D17)</f>
        <v/>
      </c>
      <c r="D77" s="16">
        <f>IF('Events &amp; Festivals'!E17="","",'Events &amp; Festivals'!E17)</f>
        <v/>
      </c>
      <c r="E77" s="17">
        <f>IF('Events &amp; Festivals'!F17="","",'Events &amp; Festivals'!F17)</f>
        <v/>
      </c>
      <c r="F77" s="17">
        <f>IF('Events &amp; Festivals'!G17="","",'Events &amp; Festivals'!G17)</f>
        <v/>
      </c>
      <c r="G77" s="17">
        <f>IF('Events &amp; Festivals'!H17="","",'Events &amp; Festivals'!H17)</f>
        <v/>
      </c>
      <c r="H77" s="16">
        <f>IF('Events &amp; Festivals'!I17="","",'Events &amp; Festivals'!I17)</f>
        <v/>
      </c>
      <c r="I77" s="17">
        <f>IF('Events &amp; Festivals'!J17="","",'Events &amp; Festivals'!J17)</f>
        <v/>
      </c>
      <c r="J77" s="16">
        <f>IF('Events &amp; Festivals'!K17="","",'Events &amp; Festivals'!K17)</f>
        <v/>
      </c>
      <c r="K77" s="17">
        <f>IF('Events &amp; Festivals'!L17="","",'Events &amp; Festivals'!L17)</f>
        <v/>
      </c>
      <c r="L77" s="16">
        <f>IF('Events &amp; Festivals'!M17="","",'Events &amp; Festivals'!M17)</f>
        <v/>
      </c>
      <c r="M77" s="17">
        <f>IF('Events &amp; Festivals'!N17="","",'Events &amp; Festivals'!N17)</f>
        <v/>
      </c>
      <c r="N77" s="16">
        <f>IF('Events &amp; Festivals'!O17="","",'Events &amp; Festivals'!O17)</f>
        <v/>
      </c>
      <c r="O77" s="17">
        <f>IF('Events &amp; Festivals'!P17="","",'Events &amp; Festivals'!P17)</f>
        <v/>
      </c>
      <c r="P77" s="17">
        <f>IF('Events &amp; Festivals'!Q17="","",'Events &amp; Festivals'!Q17)</f>
        <v/>
      </c>
      <c r="Q77" s="15">
        <f>IF('Events &amp; Festivals'!R17="","",'Events &amp; Festivals'!R17)</f>
        <v/>
      </c>
      <c r="R77" s="19">
        <f>IF('Events &amp; Festivals'!S17="","",'Events &amp; Festivals'!S17)</f>
        <v/>
      </c>
      <c r="S77" s="16">
        <f>IF('Events &amp; Festivals'!T17="","",'Events &amp; Festivals'!T17)</f>
        <v/>
      </c>
      <c r="T77" s="15">
        <f>IF('Events &amp; Festivals'!U17="","",'Events &amp; Festivals'!U17)</f>
        <v/>
      </c>
      <c r="U77" s="17">
        <f>IF('Events &amp; Festivals'!V17="","",'Events &amp; Festivals'!V17)</f>
        <v/>
      </c>
      <c r="V77" s="15">
        <f>IF('Events &amp; Festivals'!W17="","",'Events &amp; Festivals'!W17)</f>
        <v/>
      </c>
      <c r="W77" s="17">
        <f>IF('Events &amp; Festivals'!X17="","",'Events &amp; Festivals'!X17)</f>
        <v/>
      </c>
      <c r="X77" s="17">
        <f>IF('Events &amp; Festivals'!Y17="","",'Events &amp; Festivals'!Y17)</f>
        <v/>
      </c>
      <c r="Y77" s="20">
        <f>IF('Events &amp; Festivals'!Z17="","",'Events &amp; Festivals'!Z17)</f>
        <v/>
      </c>
      <c r="Z77" s="21">
        <f>IF('Events &amp; Festivals'!AA17="","",'Events &amp; Festivals'!AA17)</f>
        <v/>
      </c>
      <c r="AA77" s="20">
        <f>IF('Events &amp; Festivals'!AB17="","",'Events &amp; Festivals'!AB17)</f>
        <v/>
      </c>
      <c r="AB77" s="16">
        <f>IF('Events &amp; Festivals'!AC17="","",'Events &amp; Festivals'!AC17)</f>
        <v/>
      </c>
      <c r="AC77" s="16">
        <f>IF('Events &amp; Festivals'!AD17="","",'Events &amp; Festivals'!AD17)</f>
        <v/>
      </c>
      <c r="AD77" s="16">
        <f>IF('Events &amp; Festivals'!AE17="","",'Events &amp; Festivals'!AE17)</f>
        <v/>
      </c>
      <c r="AE77" s="16">
        <f>IF('Events &amp; Festivals'!AF17="","",'Events &amp; Festivals'!AF17)</f>
        <v/>
      </c>
      <c r="AF77" s="16">
        <f>IF('Events &amp; Festivals'!AG17="","",'Events &amp; Festivals'!AG17)</f>
        <v/>
      </c>
      <c r="AG77" s="17">
        <f>IF('Events &amp; Festivals'!AH17="","",'Events &amp; Festivals'!AH17)</f>
        <v/>
      </c>
      <c r="AH77" s="17">
        <f>IF('Events &amp; Festivals'!AI17="","",'Events &amp; Festivals'!AI17)</f>
        <v/>
      </c>
      <c r="AI77" s="17">
        <f>IF('Events &amp; Festivals'!AJ17="","",'Events &amp; Festivals'!AJ17)</f>
        <v/>
      </c>
      <c r="AJ77" s="17">
        <f>IF('Events &amp; Festivals'!AK17="","",'Events &amp; Festivals'!AK17)</f>
        <v/>
      </c>
      <c r="AK77" s="16">
        <f>IF('Events &amp; Festivals'!AL17="","",'Events &amp; Festivals'!AL17)</f>
        <v/>
      </c>
      <c r="AL77" s="18">
        <f>IF(V77="","",V77+ROW()/100000)</f>
        <v/>
      </c>
    </row>
    <row r="78" ht="18" customHeight="1">
      <c r="A78" s="22">
        <f>IF('Events &amp; Festivals'!B18="","","Events &amp; Festivals")</f>
        <v/>
      </c>
      <c r="B78" s="22">
        <f>IF('Events &amp; Festivals'!B18="","",'Events &amp; Festivals'!B18)</f>
        <v/>
      </c>
      <c r="C78" s="23">
        <f>IF('Events &amp; Festivals'!D18="","",'Events &amp; Festivals'!D18)</f>
        <v/>
      </c>
      <c r="D78" s="22">
        <f>IF('Events &amp; Festivals'!E18="","",'Events &amp; Festivals'!E18)</f>
        <v/>
      </c>
      <c r="E78" s="23">
        <f>IF('Events &amp; Festivals'!F18="","",'Events &amp; Festivals'!F18)</f>
        <v/>
      </c>
      <c r="F78" s="23">
        <f>IF('Events &amp; Festivals'!G18="","",'Events &amp; Festivals'!G18)</f>
        <v/>
      </c>
      <c r="G78" s="23">
        <f>IF('Events &amp; Festivals'!H18="","",'Events &amp; Festivals'!H18)</f>
        <v/>
      </c>
      <c r="H78" s="22">
        <f>IF('Events &amp; Festivals'!I18="","",'Events &amp; Festivals'!I18)</f>
        <v/>
      </c>
      <c r="I78" s="23">
        <f>IF('Events &amp; Festivals'!J18="","",'Events &amp; Festivals'!J18)</f>
        <v/>
      </c>
      <c r="J78" s="22">
        <f>IF('Events &amp; Festivals'!K18="","",'Events &amp; Festivals'!K18)</f>
        <v/>
      </c>
      <c r="K78" s="23">
        <f>IF('Events &amp; Festivals'!L18="","",'Events &amp; Festivals'!L18)</f>
        <v/>
      </c>
      <c r="L78" s="22">
        <f>IF('Events &amp; Festivals'!M18="","",'Events &amp; Festivals'!M18)</f>
        <v/>
      </c>
      <c r="M78" s="23">
        <f>IF('Events &amp; Festivals'!N18="","",'Events &amp; Festivals'!N18)</f>
        <v/>
      </c>
      <c r="N78" s="22">
        <f>IF('Events &amp; Festivals'!O18="","",'Events &amp; Festivals'!O18)</f>
        <v/>
      </c>
      <c r="O78" s="23">
        <f>IF('Events &amp; Festivals'!P18="","",'Events &amp; Festivals'!P18)</f>
        <v/>
      </c>
      <c r="P78" s="23">
        <f>IF('Events &amp; Festivals'!Q18="","",'Events &amp; Festivals'!Q18)</f>
        <v/>
      </c>
      <c r="Q78" s="24">
        <f>IF('Events &amp; Festivals'!R18="","",'Events &amp; Festivals'!R18)</f>
        <v/>
      </c>
      <c r="R78" s="25">
        <f>IF('Events &amp; Festivals'!S18="","",'Events &amp; Festivals'!S18)</f>
        <v/>
      </c>
      <c r="S78" s="22">
        <f>IF('Events &amp; Festivals'!T18="","",'Events &amp; Festivals'!T18)</f>
        <v/>
      </c>
      <c r="T78" s="24">
        <f>IF('Events &amp; Festivals'!U18="","",'Events &amp; Festivals'!U18)</f>
        <v/>
      </c>
      <c r="U78" s="23">
        <f>IF('Events &amp; Festivals'!V18="","",'Events &amp; Festivals'!V18)</f>
        <v/>
      </c>
      <c r="V78" s="24">
        <f>IF('Events &amp; Festivals'!W18="","",'Events &amp; Festivals'!W18)</f>
        <v/>
      </c>
      <c r="W78" s="23">
        <f>IF('Events &amp; Festivals'!X18="","",'Events &amp; Festivals'!X18)</f>
        <v/>
      </c>
      <c r="X78" s="23">
        <f>IF('Events &amp; Festivals'!Y18="","",'Events &amp; Festivals'!Y18)</f>
        <v/>
      </c>
      <c r="Y78" s="26">
        <f>IF('Events &amp; Festivals'!Z18="","",'Events &amp; Festivals'!Z18)</f>
        <v/>
      </c>
      <c r="Z78" s="27">
        <f>IF('Events &amp; Festivals'!AA18="","",'Events &amp; Festivals'!AA18)</f>
        <v/>
      </c>
      <c r="AA78" s="26">
        <f>IF('Events &amp; Festivals'!AB18="","",'Events &amp; Festivals'!AB18)</f>
        <v/>
      </c>
      <c r="AB78" s="22">
        <f>IF('Events &amp; Festivals'!AC18="","",'Events &amp; Festivals'!AC18)</f>
        <v/>
      </c>
      <c r="AC78" s="22">
        <f>IF('Events &amp; Festivals'!AD18="","",'Events &amp; Festivals'!AD18)</f>
        <v/>
      </c>
      <c r="AD78" s="22">
        <f>IF('Events &amp; Festivals'!AE18="","",'Events &amp; Festivals'!AE18)</f>
        <v/>
      </c>
      <c r="AE78" s="22">
        <f>IF('Events &amp; Festivals'!AF18="","",'Events &amp; Festivals'!AF18)</f>
        <v/>
      </c>
      <c r="AF78" s="22">
        <f>IF('Events &amp; Festivals'!AG18="","",'Events &amp; Festivals'!AG18)</f>
        <v/>
      </c>
      <c r="AG78" s="23">
        <f>IF('Events &amp; Festivals'!AH18="","",'Events &amp; Festivals'!AH18)</f>
        <v/>
      </c>
      <c r="AH78" s="23">
        <f>IF('Events &amp; Festivals'!AI18="","",'Events &amp; Festivals'!AI18)</f>
        <v/>
      </c>
      <c r="AI78" s="23">
        <f>IF('Events &amp; Festivals'!AJ18="","",'Events &amp; Festivals'!AJ18)</f>
        <v/>
      </c>
      <c r="AJ78" s="23">
        <f>IF('Events &amp; Festivals'!AK18="","",'Events &amp; Festivals'!AK18)</f>
        <v/>
      </c>
      <c r="AK78" s="22">
        <f>IF('Events &amp; Festivals'!AL18="","",'Events &amp; Festivals'!AL18)</f>
        <v/>
      </c>
      <c r="AL78" s="18">
        <f>IF(V78="","",V78+ROW()/100000)</f>
        <v/>
      </c>
    </row>
    <row r="79" ht="18" customHeight="1">
      <c r="A79" s="16">
        <f>IF('Events &amp; Festivals'!B19="","","Events &amp; Festivals")</f>
        <v/>
      </c>
      <c r="B79" s="16">
        <f>IF('Events &amp; Festivals'!B19="","",'Events &amp; Festivals'!B19)</f>
        <v/>
      </c>
      <c r="C79" s="17">
        <f>IF('Events &amp; Festivals'!D19="","",'Events &amp; Festivals'!D19)</f>
        <v/>
      </c>
      <c r="D79" s="16">
        <f>IF('Events &amp; Festivals'!E19="","",'Events &amp; Festivals'!E19)</f>
        <v/>
      </c>
      <c r="E79" s="17">
        <f>IF('Events &amp; Festivals'!F19="","",'Events &amp; Festivals'!F19)</f>
        <v/>
      </c>
      <c r="F79" s="17">
        <f>IF('Events &amp; Festivals'!G19="","",'Events &amp; Festivals'!G19)</f>
        <v/>
      </c>
      <c r="G79" s="17">
        <f>IF('Events &amp; Festivals'!H19="","",'Events &amp; Festivals'!H19)</f>
        <v/>
      </c>
      <c r="H79" s="16">
        <f>IF('Events &amp; Festivals'!I19="","",'Events &amp; Festivals'!I19)</f>
        <v/>
      </c>
      <c r="I79" s="17">
        <f>IF('Events &amp; Festivals'!J19="","",'Events &amp; Festivals'!J19)</f>
        <v/>
      </c>
      <c r="J79" s="16">
        <f>IF('Events &amp; Festivals'!K19="","",'Events &amp; Festivals'!K19)</f>
        <v/>
      </c>
      <c r="K79" s="17">
        <f>IF('Events &amp; Festivals'!L19="","",'Events &amp; Festivals'!L19)</f>
        <v/>
      </c>
      <c r="L79" s="16">
        <f>IF('Events &amp; Festivals'!M19="","",'Events &amp; Festivals'!M19)</f>
        <v/>
      </c>
      <c r="M79" s="17">
        <f>IF('Events &amp; Festivals'!N19="","",'Events &amp; Festivals'!N19)</f>
        <v/>
      </c>
      <c r="N79" s="16">
        <f>IF('Events &amp; Festivals'!O19="","",'Events &amp; Festivals'!O19)</f>
        <v/>
      </c>
      <c r="O79" s="17">
        <f>IF('Events &amp; Festivals'!P19="","",'Events &amp; Festivals'!P19)</f>
        <v/>
      </c>
      <c r="P79" s="17">
        <f>IF('Events &amp; Festivals'!Q19="","",'Events &amp; Festivals'!Q19)</f>
        <v/>
      </c>
      <c r="Q79" s="15">
        <f>IF('Events &amp; Festivals'!R19="","",'Events &amp; Festivals'!R19)</f>
        <v/>
      </c>
      <c r="R79" s="19">
        <f>IF('Events &amp; Festivals'!S19="","",'Events &amp; Festivals'!S19)</f>
        <v/>
      </c>
      <c r="S79" s="16">
        <f>IF('Events &amp; Festivals'!T19="","",'Events &amp; Festivals'!T19)</f>
        <v/>
      </c>
      <c r="T79" s="15">
        <f>IF('Events &amp; Festivals'!U19="","",'Events &amp; Festivals'!U19)</f>
        <v/>
      </c>
      <c r="U79" s="17">
        <f>IF('Events &amp; Festivals'!V19="","",'Events &amp; Festivals'!V19)</f>
        <v/>
      </c>
      <c r="V79" s="15">
        <f>IF('Events &amp; Festivals'!W19="","",'Events &amp; Festivals'!W19)</f>
        <v/>
      </c>
      <c r="W79" s="17">
        <f>IF('Events &amp; Festivals'!X19="","",'Events &amp; Festivals'!X19)</f>
        <v/>
      </c>
      <c r="X79" s="17">
        <f>IF('Events &amp; Festivals'!Y19="","",'Events &amp; Festivals'!Y19)</f>
        <v/>
      </c>
      <c r="Y79" s="20">
        <f>IF('Events &amp; Festivals'!Z19="","",'Events &amp; Festivals'!Z19)</f>
        <v/>
      </c>
      <c r="Z79" s="21">
        <f>IF('Events &amp; Festivals'!AA19="","",'Events &amp; Festivals'!AA19)</f>
        <v/>
      </c>
      <c r="AA79" s="20">
        <f>IF('Events &amp; Festivals'!AB19="","",'Events &amp; Festivals'!AB19)</f>
        <v/>
      </c>
      <c r="AB79" s="16">
        <f>IF('Events &amp; Festivals'!AC19="","",'Events &amp; Festivals'!AC19)</f>
        <v/>
      </c>
      <c r="AC79" s="16">
        <f>IF('Events &amp; Festivals'!AD19="","",'Events &amp; Festivals'!AD19)</f>
        <v/>
      </c>
      <c r="AD79" s="16">
        <f>IF('Events &amp; Festivals'!AE19="","",'Events &amp; Festivals'!AE19)</f>
        <v/>
      </c>
      <c r="AE79" s="16">
        <f>IF('Events &amp; Festivals'!AF19="","",'Events &amp; Festivals'!AF19)</f>
        <v/>
      </c>
      <c r="AF79" s="16">
        <f>IF('Events &amp; Festivals'!AG19="","",'Events &amp; Festivals'!AG19)</f>
        <v/>
      </c>
      <c r="AG79" s="17">
        <f>IF('Events &amp; Festivals'!AH19="","",'Events &amp; Festivals'!AH19)</f>
        <v/>
      </c>
      <c r="AH79" s="17">
        <f>IF('Events &amp; Festivals'!AI19="","",'Events &amp; Festivals'!AI19)</f>
        <v/>
      </c>
      <c r="AI79" s="17">
        <f>IF('Events &amp; Festivals'!AJ19="","",'Events &amp; Festivals'!AJ19)</f>
        <v/>
      </c>
      <c r="AJ79" s="17">
        <f>IF('Events &amp; Festivals'!AK19="","",'Events &amp; Festivals'!AK19)</f>
        <v/>
      </c>
      <c r="AK79" s="16">
        <f>IF('Events &amp; Festivals'!AL19="","",'Events &amp; Festivals'!AL19)</f>
        <v/>
      </c>
      <c r="AL79" s="18">
        <f>IF(V79="","",V79+ROW()/100000)</f>
        <v/>
      </c>
    </row>
    <row r="80" ht="18" customHeight="1">
      <c r="A80" s="22">
        <f>IF('Events &amp; Festivals'!B20="","","Events &amp; Festivals")</f>
        <v/>
      </c>
      <c r="B80" s="22">
        <f>IF('Events &amp; Festivals'!B20="","",'Events &amp; Festivals'!B20)</f>
        <v/>
      </c>
      <c r="C80" s="23">
        <f>IF('Events &amp; Festivals'!D20="","",'Events &amp; Festivals'!D20)</f>
        <v/>
      </c>
      <c r="D80" s="22">
        <f>IF('Events &amp; Festivals'!E20="","",'Events &amp; Festivals'!E20)</f>
        <v/>
      </c>
      <c r="E80" s="23">
        <f>IF('Events &amp; Festivals'!F20="","",'Events &amp; Festivals'!F20)</f>
        <v/>
      </c>
      <c r="F80" s="23">
        <f>IF('Events &amp; Festivals'!G20="","",'Events &amp; Festivals'!G20)</f>
        <v/>
      </c>
      <c r="G80" s="23">
        <f>IF('Events &amp; Festivals'!H20="","",'Events &amp; Festivals'!H20)</f>
        <v/>
      </c>
      <c r="H80" s="22">
        <f>IF('Events &amp; Festivals'!I20="","",'Events &amp; Festivals'!I20)</f>
        <v/>
      </c>
      <c r="I80" s="23">
        <f>IF('Events &amp; Festivals'!J20="","",'Events &amp; Festivals'!J20)</f>
        <v/>
      </c>
      <c r="J80" s="22">
        <f>IF('Events &amp; Festivals'!K20="","",'Events &amp; Festivals'!K20)</f>
        <v/>
      </c>
      <c r="K80" s="23">
        <f>IF('Events &amp; Festivals'!L20="","",'Events &amp; Festivals'!L20)</f>
        <v/>
      </c>
      <c r="L80" s="22">
        <f>IF('Events &amp; Festivals'!M20="","",'Events &amp; Festivals'!M20)</f>
        <v/>
      </c>
      <c r="M80" s="23">
        <f>IF('Events &amp; Festivals'!N20="","",'Events &amp; Festivals'!N20)</f>
        <v/>
      </c>
      <c r="N80" s="22">
        <f>IF('Events &amp; Festivals'!O20="","",'Events &amp; Festivals'!O20)</f>
        <v/>
      </c>
      <c r="O80" s="23">
        <f>IF('Events &amp; Festivals'!P20="","",'Events &amp; Festivals'!P20)</f>
        <v/>
      </c>
      <c r="P80" s="23">
        <f>IF('Events &amp; Festivals'!Q20="","",'Events &amp; Festivals'!Q20)</f>
        <v/>
      </c>
      <c r="Q80" s="24">
        <f>IF('Events &amp; Festivals'!R20="","",'Events &amp; Festivals'!R20)</f>
        <v/>
      </c>
      <c r="R80" s="25">
        <f>IF('Events &amp; Festivals'!S20="","",'Events &amp; Festivals'!S20)</f>
        <v/>
      </c>
      <c r="S80" s="22">
        <f>IF('Events &amp; Festivals'!T20="","",'Events &amp; Festivals'!T20)</f>
        <v/>
      </c>
      <c r="T80" s="24">
        <f>IF('Events &amp; Festivals'!U20="","",'Events &amp; Festivals'!U20)</f>
        <v/>
      </c>
      <c r="U80" s="23">
        <f>IF('Events &amp; Festivals'!V20="","",'Events &amp; Festivals'!V20)</f>
        <v/>
      </c>
      <c r="V80" s="24">
        <f>IF('Events &amp; Festivals'!W20="","",'Events &amp; Festivals'!W20)</f>
        <v/>
      </c>
      <c r="W80" s="23">
        <f>IF('Events &amp; Festivals'!X20="","",'Events &amp; Festivals'!X20)</f>
        <v/>
      </c>
      <c r="X80" s="23">
        <f>IF('Events &amp; Festivals'!Y20="","",'Events &amp; Festivals'!Y20)</f>
        <v/>
      </c>
      <c r="Y80" s="26">
        <f>IF('Events &amp; Festivals'!Z20="","",'Events &amp; Festivals'!Z20)</f>
        <v/>
      </c>
      <c r="Z80" s="27">
        <f>IF('Events &amp; Festivals'!AA20="","",'Events &amp; Festivals'!AA20)</f>
        <v/>
      </c>
      <c r="AA80" s="26">
        <f>IF('Events &amp; Festivals'!AB20="","",'Events &amp; Festivals'!AB20)</f>
        <v/>
      </c>
      <c r="AB80" s="22">
        <f>IF('Events &amp; Festivals'!AC20="","",'Events &amp; Festivals'!AC20)</f>
        <v/>
      </c>
      <c r="AC80" s="22">
        <f>IF('Events &amp; Festivals'!AD20="","",'Events &amp; Festivals'!AD20)</f>
        <v/>
      </c>
      <c r="AD80" s="22">
        <f>IF('Events &amp; Festivals'!AE20="","",'Events &amp; Festivals'!AE20)</f>
        <v/>
      </c>
      <c r="AE80" s="22">
        <f>IF('Events &amp; Festivals'!AF20="","",'Events &amp; Festivals'!AF20)</f>
        <v/>
      </c>
      <c r="AF80" s="22">
        <f>IF('Events &amp; Festivals'!AG20="","",'Events &amp; Festivals'!AG20)</f>
        <v/>
      </c>
      <c r="AG80" s="23">
        <f>IF('Events &amp; Festivals'!AH20="","",'Events &amp; Festivals'!AH20)</f>
        <v/>
      </c>
      <c r="AH80" s="23">
        <f>IF('Events &amp; Festivals'!AI20="","",'Events &amp; Festivals'!AI20)</f>
        <v/>
      </c>
      <c r="AI80" s="23">
        <f>IF('Events &amp; Festivals'!AJ20="","",'Events &amp; Festivals'!AJ20)</f>
        <v/>
      </c>
      <c r="AJ80" s="23">
        <f>IF('Events &amp; Festivals'!AK20="","",'Events &amp; Festivals'!AK20)</f>
        <v/>
      </c>
      <c r="AK80" s="22">
        <f>IF('Events &amp; Festivals'!AL20="","",'Events &amp; Festivals'!AL20)</f>
        <v/>
      </c>
      <c r="AL80" s="18">
        <f>IF(V80="","",V80+ROW()/100000)</f>
        <v/>
      </c>
    </row>
    <row r="81" ht="18" customHeight="1">
      <c r="A81" s="16">
        <f>IF('Events &amp; Festivals'!B21="","","Events &amp; Festivals")</f>
        <v/>
      </c>
      <c r="B81" s="16">
        <f>IF('Events &amp; Festivals'!B21="","",'Events &amp; Festivals'!B21)</f>
        <v/>
      </c>
      <c r="C81" s="17">
        <f>IF('Events &amp; Festivals'!D21="","",'Events &amp; Festivals'!D21)</f>
        <v/>
      </c>
      <c r="D81" s="16">
        <f>IF('Events &amp; Festivals'!E21="","",'Events &amp; Festivals'!E21)</f>
        <v/>
      </c>
      <c r="E81" s="17">
        <f>IF('Events &amp; Festivals'!F21="","",'Events &amp; Festivals'!F21)</f>
        <v/>
      </c>
      <c r="F81" s="17">
        <f>IF('Events &amp; Festivals'!G21="","",'Events &amp; Festivals'!G21)</f>
        <v/>
      </c>
      <c r="G81" s="17">
        <f>IF('Events &amp; Festivals'!H21="","",'Events &amp; Festivals'!H21)</f>
        <v/>
      </c>
      <c r="H81" s="16">
        <f>IF('Events &amp; Festivals'!I21="","",'Events &amp; Festivals'!I21)</f>
        <v/>
      </c>
      <c r="I81" s="17">
        <f>IF('Events &amp; Festivals'!J21="","",'Events &amp; Festivals'!J21)</f>
        <v/>
      </c>
      <c r="J81" s="16">
        <f>IF('Events &amp; Festivals'!K21="","",'Events &amp; Festivals'!K21)</f>
        <v/>
      </c>
      <c r="K81" s="17">
        <f>IF('Events &amp; Festivals'!L21="","",'Events &amp; Festivals'!L21)</f>
        <v/>
      </c>
      <c r="L81" s="16">
        <f>IF('Events &amp; Festivals'!M21="","",'Events &amp; Festivals'!M21)</f>
        <v/>
      </c>
      <c r="M81" s="17">
        <f>IF('Events &amp; Festivals'!N21="","",'Events &amp; Festivals'!N21)</f>
        <v/>
      </c>
      <c r="N81" s="16">
        <f>IF('Events &amp; Festivals'!O21="","",'Events &amp; Festivals'!O21)</f>
        <v/>
      </c>
      <c r="O81" s="17">
        <f>IF('Events &amp; Festivals'!P21="","",'Events &amp; Festivals'!P21)</f>
        <v/>
      </c>
      <c r="P81" s="17">
        <f>IF('Events &amp; Festivals'!Q21="","",'Events &amp; Festivals'!Q21)</f>
        <v/>
      </c>
      <c r="Q81" s="15">
        <f>IF('Events &amp; Festivals'!R21="","",'Events &amp; Festivals'!R21)</f>
        <v/>
      </c>
      <c r="R81" s="19">
        <f>IF('Events &amp; Festivals'!S21="","",'Events &amp; Festivals'!S21)</f>
        <v/>
      </c>
      <c r="S81" s="16">
        <f>IF('Events &amp; Festivals'!T21="","",'Events &amp; Festivals'!T21)</f>
        <v/>
      </c>
      <c r="T81" s="15">
        <f>IF('Events &amp; Festivals'!U21="","",'Events &amp; Festivals'!U21)</f>
        <v/>
      </c>
      <c r="U81" s="17">
        <f>IF('Events &amp; Festivals'!V21="","",'Events &amp; Festivals'!V21)</f>
        <v/>
      </c>
      <c r="V81" s="15">
        <f>IF('Events &amp; Festivals'!W21="","",'Events &amp; Festivals'!W21)</f>
        <v/>
      </c>
      <c r="W81" s="17">
        <f>IF('Events &amp; Festivals'!X21="","",'Events &amp; Festivals'!X21)</f>
        <v/>
      </c>
      <c r="X81" s="17">
        <f>IF('Events &amp; Festivals'!Y21="","",'Events &amp; Festivals'!Y21)</f>
        <v/>
      </c>
      <c r="Y81" s="20">
        <f>IF('Events &amp; Festivals'!Z21="","",'Events &amp; Festivals'!Z21)</f>
        <v/>
      </c>
      <c r="Z81" s="21">
        <f>IF('Events &amp; Festivals'!AA21="","",'Events &amp; Festivals'!AA21)</f>
        <v/>
      </c>
      <c r="AA81" s="20">
        <f>IF('Events &amp; Festivals'!AB21="","",'Events &amp; Festivals'!AB21)</f>
        <v/>
      </c>
      <c r="AB81" s="16">
        <f>IF('Events &amp; Festivals'!AC21="","",'Events &amp; Festivals'!AC21)</f>
        <v/>
      </c>
      <c r="AC81" s="16">
        <f>IF('Events &amp; Festivals'!AD21="","",'Events &amp; Festivals'!AD21)</f>
        <v/>
      </c>
      <c r="AD81" s="16">
        <f>IF('Events &amp; Festivals'!AE21="","",'Events &amp; Festivals'!AE21)</f>
        <v/>
      </c>
      <c r="AE81" s="16">
        <f>IF('Events &amp; Festivals'!AF21="","",'Events &amp; Festivals'!AF21)</f>
        <v/>
      </c>
      <c r="AF81" s="16">
        <f>IF('Events &amp; Festivals'!AG21="","",'Events &amp; Festivals'!AG21)</f>
        <v/>
      </c>
      <c r="AG81" s="17">
        <f>IF('Events &amp; Festivals'!AH21="","",'Events &amp; Festivals'!AH21)</f>
        <v/>
      </c>
      <c r="AH81" s="17">
        <f>IF('Events &amp; Festivals'!AI21="","",'Events &amp; Festivals'!AI21)</f>
        <v/>
      </c>
      <c r="AI81" s="17">
        <f>IF('Events &amp; Festivals'!AJ21="","",'Events &amp; Festivals'!AJ21)</f>
        <v/>
      </c>
      <c r="AJ81" s="17">
        <f>IF('Events &amp; Festivals'!AK21="","",'Events &amp; Festivals'!AK21)</f>
        <v/>
      </c>
      <c r="AK81" s="16">
        <f>IF('Events &amp; Festivals'!AL21="","",'Events &amp; Festivals'!AL21)</f>
        <v/>
      </c>
      <c r="AL81" s="18">
        <f>IF(V81="","",V81+ROW()/100000)</f>
        <v/>
      </c>
    </row>
    <row r="82" ht="18" customHeight="1">
      <c r="A82" s="22">
        <f>IF('Events &amp; Festivals'!B22="","","Events &amp; Festivals")</f>
        <v/>
      </c>
      <c r="B82" s="22">
        <f>IF('Events &amp; Festivals'!B22="","",'Events &amp; Festivals'!B22)</f>
        <v/>
      </c>
      <c r="C82" s="23">
        <f>IF('Events &amp; Festivals'!D22="","",'Events &amp; Festivals'!D22)</f>
        <v/>
      </c>
      <c r="D82" s="22">
        <f>IF('Events &amp; Festivals'!E22="","",'Events &amp; Festivals'!E22)</f>
        <v/>
      </c>
      <c r="E82" s="23">
        <f>IF('Events &amp; Festivals'!F22="","",'Events &amp; Festivals'!F22)</f>
        <v/>
      </c>
      <c r="F82" s="23">
        <f>IF('Events &amp; Festivals'!G22="","",'Events &amp; Festivals'!G22)</f>
        <v/>
      </c>
      <c r="G82" s="23">
        <f>IF('Events &amp; Festivals'!H22="","",'Events &amp; Festivals'!H22)</f>
        <v/>
      </c>
      <c r="H82" s="22">
        <f>IF('Events &amp; Festivals'!I22="","",'Events &amp; Festivals'!I22)</f>
        <v/>
      </c>
      <c r="I82" s="23">
        <f>IF('Events &amp; Festivals'!J22="","",'Events &amp; Festivals'!J22)</f>
        <v/>
      </c>
      <c r="J82" s="22">
        <f>IF('Events &amp; Festivals'!K22="","",'Events &amp; Festivals'!K22)</f>
        <v/>
      </c>
      <c r="K82" s="23">
        <f>IF('Events &amp; Festivals'!L22="","",'Events &amp; Festivals'!L22)</f>
        <v/>
      </c>
      <c r="L82" s="22">
        <f>IF('Events &amp; Festivals'!M22="","",'Events &amp; Festivals'!M22)</f>
        <v/>
      </c>
      <c r="M82" s="23">
        <f>IF('Events &amp; Festivals'!N22="","",'Events &amp; Festivals'!N22)</f>
        <v/>
      </c>
      <c r="N82" s="22">
        <f>IF('Events &amp; Festivals'!O22="","",'Events &amp; Festivals'!O22)</f>
        <v/>
      </c>
      <c r="O82" s="23">
        <f>IF('Events &amp; Festivals'!P22="","",'Events &amp; Festivals'!P22)</f>
        <v/>
      </c>
      <c r="P82" s="23">
        <f>IF('Events &amp; Festivals'!Q22="","",'Events &amp; Festivals'!Q22)</f>
        <v/>
      </c>
      <c r="Q82" s="24">
        <f>IF('Events &amp; Festivals'!R22="","",'Events &amp; Festivals'!R22)</f>
        <v/>
      </c>
      <c r="R82" s="25">
        <f>IF('Events &amp; Festivals'!S22="","",'Events &amp; Festivals'!S22)</f>
        <v/>
      </c>
      <c r="S82" s="22">
        <f>IF('Events &amp; Festivals'!T22="","",'Events &amp; Festivals'!T22)</f>
        <v/>
      </c>
      <c r="T82" s="24">
        <f>IF('Events &amp; Festivals'!U22="","",'Events &amp; Festivals'!U22)</f>
        <v/>
      </c>
      <c r="U82" s="23">
        <f>IF('Events &amp; Festivals'!V22="","",'Events &amp; Festivals'!V22)</f>
        <v/>
      </c>
      <c r="V82" s="24">
        <f>IF('Events &amp; Festivals'!W22="","",'Events &amp; Festivals'!W22)</f>
        <v/>
      </c>
      <c r="W82" s="23">
        <f>IF('Events &amp; Festivals'!X22="","",'Events &amp; Festivals'!X22)</f>
        <v/>
      </c>
      <c r="X82" s="23">
        <f>IF('Events &amp; Festivals'!Y22="","",'Events &amp; Festivals'!Y22)</f>
        <v/>
      </c>
      <c r="Y82" s="26">
        <f>IF('Events &amp; Festivals'!Z22="","",'Events &amp; Festivals'!Z22)</f>
        <v/>
      </c>
      <c r="Z82" s="27">
        <f>IF('Events &amp; Festivals'!AA22="","",'Events &amp; Festivals'!AA22)</f>
        <v/>
      </c>
      <c r="AA82" s="26">
        <f>IF('Events &amp; Festivals'!AB22="","",'Events &amp; Festivals'!AB22)</f>
        <v/>
      </c>
      <c r="AB82" s="22">
        <f>IF('Events &amp; Festivals'!AC22="","",'Events &amp; Festivals'!AC22)</f>
        <v/>
      </c>
      <c r="AC82" s="22">
        <f>IF('Events &amp; Festivals'!AD22="","",'Events &amp; Festivals'!AD22)</f>
        <v/>
      </c>
      <c r="AD82" s="22">
        <f>IF('Events &amp; Festivals'!AE22="","",'Events &amp; Festivals'!AE22)</f>
        <v/>
      </c>
      <c r="AE82" s="22">
        <f>IF('Events &amp; Festivals'!AF22="","",'Events &amp; Festivals'!AF22)</f>
        <v/>
      </c>
      <c r="AF82" s="22">
        <f>IF('Events &amp; Festivals'!AG22="","",'Events &amp; Festivals'!AG22)</f>
        <v/>
      </c>
      <c r="AG82" s="23">
        <f>IF('Events &amp; Festivals'!AH22="","",'Events &amp; Festivals'!AH22)</f>
        <v/>
      </c>
      <c r="AH82" s="23">
        <f>IF('Events &amp; Festivals'!AI22="","",'Events &amp; Festivals'!AI22)</f>
        <v/>
      </c>
      <c r="AI82" s="23">
        <f>IF('Events &amp; Festivals'!AJ22="","",'Events &amp; Festivals'!AJ22)</f>
        <v/>
      </c>
      <c r="AJ82" s="23">
        <f>IF('Events &amp; Festivals'!AK22="","",'Events &amp; Festivals'!AK22)</f>
        <v/>
      </c>
      <c r="AK82" s="22">
        <f>IF('Events &amp; Festivals'!AL22="","",'Events &amp; Festivals'!AL22)</f>
        <v/>
      </c>
      <c r="AL82" s="18">
        <f>IF(V82="","",V82+ROW()/100000)</f>
        <v/>
      </c>
    </row>
    <row r="83" ht="18" customHeight="1">
      <c r="A83" s="16">
        <f>IF('Events &amp; Festivals'!B23="","","Events &amp; Festivals")</f>
        <v/>
      </c>
      <c r="B83" s="16">
        <f>IF('Events &amp; Festivals'!B23="","",'Events &amp; Festivals'!B23)</f>
        <v/>
      </c>
      <c r="C83" s="17">
        <f>IF('Events &amp; Festivals'!D23="","",'Events &amp; Festivals'!D23)</f>
        <v/>
      </c>
      <c r="D83" s="16">
        <f>IF('Events &amp; Festivals'!E23="","",'Events &amp; Festivals'!E23)</f>
        <v/>
      </c>
      <c r="E83" s="17">
        <f>IF('Events &amp; Festivals'!F23="","",'Events &amp; Festivals'!F23)</f>
        <v/>
      </c>
      <c r="F83" s="17">
        <f>IF('Events &amp; Festivals'!G23="","",'Events &amp; Festivals'!G23)</f>
        <v/>
      </c>
      <c r="G83" s="17">
        <f>IF('Events &amp; Festivals'!H23="","",'Events &amp; Festivals'!H23)</f>
        <v/>
      </c>
      <c r="H83" s="16">
        <f>IF('Events &amp; Festivals'!I23="","",'Events &amp; Festivals'!I23)</f>
        <v/>
      </c>
      <c r="I83" s="17">
        <f>IF('Events &amp; Festivals'!J23="","",'Events &amp; Festivals'!J23)</f>
        <v/>
      </c>
      <c r="J83" s="16">
        <f>IF('Events &amp; Festivals'!K23="","",'Events &amp; Festivals'!K23)</f>
        <v/>
      </c>
      <c r="K83" s="17">
        <f>IF('Events &amp; Festivals'!L23="","",'Events &amp; Festivals'!L23)</f>
        <v/>
      </c>
      <c r="L83" s="16">
        <f>IF('Events &amp; Festivals'!M23="","",'Events &amp; Festivals'!M23)</f>
        <v/>
      </c>
      <c r="M83" s="17">
        <f>IF('Events &amp; Festivals'!N23="","",'Events &amp; Festivals'!N23)</f>
        <v/>
      </c>
      <c r="N83" s="16">
        <f>IF('Events &amp; Festivals'!O23="","",'Events &amp; Festivals'!O23)</f>
        <v/>
      </c>
      <c r="O83" s="17">
        <f>IF('Events &amp; Festivals'!P23="","",'Events &amp; Festivals'!P23)</f>
        <v/>
      </c>
      <c r="P83" s="17">
        <f>IF('Events &amp; Festivals'!Q23="","",'Events &amp; Festivals'!Q23)</f>
        <v/>
      </c>
      <c r="Q83" s="15">
        <f>IF('Events &amp; Festivals'!R23="","",'Events &amp; Festivals'!R23)</f>
        <v/>
      </c>
      <c r="R83" s="19">
        <f>IF('Events &amp; Festivals'!S23="","",'Events &amp; Festivals'!S23)</f>
        <v/>
      </c>
      <c r="S83" s="16">
        <f>IF('Events &amp; Festivals'!T23="","",'Events &amp; Festivals'!T23)</f>
        <v/>
      </c>
      <c r="T83" s="15">
        <f>IF('Events &amp; Festivals'!U23="","",'Events &amp; Festivals'!U23)</f>
        <v/>
      </c>
      <c r="U83" s="17">
        <f>IF('Events &amp; Festivals'!V23="","",'Events &amp; Festivals'!V23)</f>
        <v/>
      </c>
      <c r="V83" s="15">
        <f>IF('Events &amp; Festivals'!W23="","",'Events &amp; Festivals'!W23)</f>
        <v/>
      </c>
      <c r="W83" s="17">
        <f>IF('Events &amp; Festivals'!X23="","",'Events &amp; Festivals'!X23)</f>
        <v/>
      </c>
      <c r="X83" s="17">
        <f>IF('Events &amp; Festivals'!Y23="","",'Events &amp; Festivals'!Y23)</f>
        <v/>
      </c>
      <c r="Y83" s="20">
        <f>IF('Events &amp; Festivals'!Z23="","",'Events &amp; Festivals'!Z23)</f>
        <v/>
      </c>
      <c r="Z83" s="21">
        <f>IF('Events &amp; Festivals'!AA23="","",'Events &amp; Festivals'!AA23)</f>
        <v/>
      </c>
      <c r="AA83" s="20">
        <f>IF('Events &amp; Festivals'!AB23="","",'Events &amp; Festivals'!AB23)</f>
        <v/>
      </c>
      <c r="AB83" s="16">
        <f>IF('Events &amp; Festivals'!AC23="","",'Events &amp; Festivals'!AC23)</f>
        <v/>
      </c>
      <c r="AC83" s="16">
        <f>IF('Events &amp; Festivals'!AD23="","",'Events &amp; Festivals'!AD23)</f>
        <v/>
      </c>
      <c r="AD83" s="16">
        <f>IF('Events &amp; Festivals'!AE23="","",'Events &amp; Festivals'!AE23)</f>
        <v/>
      </c>
      <c r="AE83" s="16">
        <f>IF('Events &amp; Festivals'!AF23="","",'Events &amp; Festivals'!AF23)</f>
        <v/>
      </c>
      <c r="AF83" s="16">
        <f>IF('Events &amp; Festivals'!AG23="","",'Events &amp; Festivals'!AG23)</f>
        <v/>
      </c>
      <c r="AG83" s="17">
        <f>IF('Events &amp; Festivals'!AH23="","",'Events &amp; Festivals'!AH23)</f>
        <v/>
      </c>
      <c r="AH83" s="17">
        <f>IF('Events &amp; Festivals'!AI23="","",'Events &amp; Festivals'!AI23)</f>
        <v/>
      </c>
      <c r="AI83" s="17">
        <f>IF('Events &amp; Festivals'!AJ23="","",'Events &amp; Festivals'!AJ23)</f>
        <v/>
      </c>
      <c r="AJ83" s="17">
        <f>IF('Events &amp; Festivals'!AK23="","",'Events &amp; Festivals'!AK23)</f>
        <v/>
      </c>
      <c r="AK83" s="16">
        <f>IF('Events &amp; Festivals'!AL23="","",'Events &amp; Festivals'!AL23)</f>
        <v/>
      </c>
      <c r="AL83" s="18">
        <f>IF(V83="","",V83+ROW()/100000)</f>
        <v/>
      </c>
    </row>
    <row r="84" ht="18" customHeight="1">
      <c r="A84" s="22">
        <f>IF('Events &amp; Festivals'!B24="","","Events &amp; Festivals")</f>
        <v/>
      </c>
      <c r="B84" s="22">
        <f>IF('Events &amp; Festivals'!B24="","",'Events &amp; Festivals'!B24)</f>
        <v/>
      </c>
      <c r="C84" s="23">
        <f>IF('Events &amp; Festivals'!D24="","",'Events &amp; Festivals'!D24)</f>
        <v/>
      </c>
      <c r="D84" s="22">
        <f>IF('Events &amp; Festivals'!E24="","",'Events &amp; Festivals'!E24)</f>
        <v/>
      </c>
      <c r="E84" s="23">
        <f>IF('Events &amp; Festivals'!F24="","",'Events &amp; Festivals'!F24)</f>
        <v/>
      </c>
      <c r="F84" s="23">
        <f>IF('Events &amp; Festivals'!G24="","",'Events &amp; Festivals'!G24)</f>
        <v/>
      </c>
      <c r="G84" s="23">
        <f>IF('Events &amp; Festivals'!H24="","",'Events &amp; Festivals'!H24)</f>
        <v/>
      </c>
      <c r="H84" s="22">
        <f>IF('Events &amp; Festivals'!I24="","",'Events &amp; Festivals'!I24)</f>
        <v/>
      </c>
      <c r="I84" s="23">
        <f>IF('Events &amp; Festivals'!J24="","",'Events &amp; Festivals'!J24)</f>
        <v/>
      </c>
      <c r="J84" s="22">
        <f>IF('Events &amp; Festivals'!K24="","",'Events &amp; Festivals'!K24)</f>
        <v/>
      </c>
      <c r="K84" s="23">
        <f>IF('Events &amp; Festivals'!L24="","",'Events &amp; Festivals'!L24)</f>
        <v/>
      </c>
      <c r="L84" s="22">
        <f>IF('Events &amp; Festivals'!M24="","",'Events &amp; Festivals'!M24)</f>
        <v/>
      </c>
      <c r="M84" s="23">
        <f>IF('Events &amp; Festivals'!N24="","",'Events &amp; Festivals'!N24)</f>
        <v/>
      </c>
      <c r="N84" s="22">
        <f>IF('Events &amp; Festivals'!O24="","",'Events &amp; Festivals'!O24)</f>
        <v/>
      </c>
      <c r="O84" s="23">
        <f>IF('Events &amp; Festivals'!P24="","",'Events &amp; Festivals'!P24)</f>
        <v/>
      </c>
      <c r="P84" s="23">
        <f>IF('Events &amp; Festivals'!Q24="","",'Events &amp; Festivals'!Q24)</f>
        <v/>
      </c>
      <c r="Q84" s="24">
        <f>IF('Events &amp; Festivals'!R24="","",'Events &amp; Festivals'!R24)</f>
        <v/>
      </c>
      <c r="R84" s="25">
        <f>IF('Events &amp; Festivals'!S24="","",'Events &amp; Festivals'!S24)</f>
        <v/>
      </c>
      <c r="S84" s="22">
        <f>IF('Events &amp; Festivals'!T24="","",'Events &amp; Festivals'!T24)</f>
        <v/>
      </c>
      <c r="T84" s="24">
        <f>IF('Events &amp; Festivals'!U24="","",'Events &amp; Festivals'!U24)</f>
        <v/>
      </c>
      <c r="U84" s="23">
        <f>IF('Events &amp; Festivals'!V24="","",'Events &amp; Festivals'!V24)</f>
        <v/>
      </c>
      <c r="V84" s="24">
        <f>IF('Events &amp; Festivals'!W24="","",'Events &amp; Festivals'!W24)</f>
        <v/>
      </c>
      <c r="W84" s="23">
        <f>IF('Events &amp; Festivals'!X24="","",'Events &amp; Festivals'!X24)</f>
        <v/>
      </c>
      <c r="X84" s="23">
        <f>IF('Events &amp; Festivals'!Y24="","",'Events &amp; Festivals'!Y24)</f>
        <v/>
      </c>
      <c r="Y84" s="26">
        <f>IF('Events &amp; Festivals'!Z24="","",'Events &amp; Festivals'!Z24)</f>
        <v/>
      </c>
      <c r="Z84" s="27">
        <f>IF('Events &amp; Festivals'!AA24="","",'Events &amp; Festivals'!AA24)</f>
        <v/>
      </c>
      <c r="AA84" s="26">
        <f>IF('Events &amp; Festivals'!AB24="","",'Events &amp; Festivals'!AB24)</f>
        <v/>
      </c>
      <c r="AB84" s="22">
        <f>IF('Events &amp; Festivals'!AC24="","",'Events &amp; Festivals'!AC24)</f>
        <v/>
      </c>
      <c r="AC84" s="22">
        <f>IF('Events &amp; Festivals'!AD24="","",'Events &amp; Festivals'!AD24)</f>
        <v/>
      </c>
      <c r="AD84" s="22">
        <f>IF('Events &amp; Festivals'!AE24="","",'Events &amp; Festivals'!AE24)</f>
        <v/>
      </c>
      <c r="AE84" s="22">
        <f>IF('Events &amp; Festivals'!AF24="","",'Events &amp; Festivals'!AF24)</f>
        <v/>
      </c>
      <c r="AF84" s="22">
        <f>IF('Events &amp; Festivals'!AG24="","",'Events &amp; Festivals'!AG24)</f>
        <v/>
      </c>
      <c r="AG84" s="23">
        <f>IF('Events &amp; Festivals'!AH24="","",'Events &amp; Festivals'!AH24)</f>
        <v/>
      </c>
      <c r="AH84" s="23">
        <f>IF('Events &amp; Festivals'!AI24="","",'Events &amp; Festivals'!AI24)</f>
        <v/>
      </c>
      <c r="AI84" s="23">
        <f>IF('Events &amp; Festivals'!AJ24="","",'Events &amp; Festivals'!AJ24)</f>
        <v/>
      </c>
      <c r="AJ84" s="23">
        <f>IF('Events &amp; Festivals'!AK24="","",'Events &amp; Festivals'!AK24)</f>
        <v/>
      </c>
      <c r="AK84" s="22">
        <f>IF('Events &amp; Festivals'!AL24="","",'Events &amp; Festivals'!AL24)</f>
        <v/>
      </c>
      <c r="AL84" s="18">
        <f>IF(V84="","",V84+ROW()/100000)</f>
        <v/>
      </c>
    </row>
    <row r="85" ht="18" customHeight="1">
      <c r="A85" s="16">
        <f>IF('Events &amp; Festivals'!B25="","","Events &amp; Festivals")</f>
        <v/>
      </c>
      <c r="B85" s="16">
        <f>IF('Events &amp; Festivals'!B25="","",'Events &amp; Festivals'!B25)</f>
        <v/>
      </c>
      <c r="C85" s="17">
        <f>IF('Events &amp; Festivals'!D25="","",'Events &amp; Festivals'!D25)</f>
        <v/>
      </c>
      <c r="D85" s="16">
        <f>IF('Events &amp; Festivals'!E25="","",'Events &amp; Festivals'!E25)</f>
        <v/>
      </c>
      <c r="E85" s="17">
        <f>IF('Events &amp; Festivals'!F25="","",'Events &amp; Festivals'!F25)</f>
        <v/>
      </c>
      <c r="F85" s="17">
        <f>IF('Events &amp; Festivals'!G25="","",'Events &amp; Festivals'!G25)</f>
        <v/>
      </c>
      <c r="G85" s="17">
        <f>IF('Events &amp; Festivals'!H25="","",'Events &amp; Festivals'!H25)</f>
        <v/>
      </c>
      <c r="H85" s="16">
        <f>IF('Events &amp; Festivals'!I25="","",'Events &amp; Festivals'!I25)</f>
        <v/>
      </c>
      <c r="I85" s="17">
        <f>IF('Events &amp; Festivals'!J25="","",'Events &amp; Festivals'!J25)</f>
        <v/>
      </c>
      <c r="J85" s="16">
        <f>IF('Events &amp; Festivals'!K25="","",'Events &amp; Festivals'!K25)</f>
        <v/>
      </c>
      <c r="K85" s="17">
        <f>IF('Events &amp; Festivals'!L25="","",'Events &amp; Festivals'!L25)</f>
        <v/>
      </c>
      <c r="L85" s="16">
        <f>IF('Events &amp; Festivals'!M25="","",'Events &amp; Festivals'!M25)</f>
        <v/>
      </c>
      <c r="M85" s="17">
        <f>IF('Events &amp; Festivals'!N25="","",'Events &amp; Festivals'!N25)</f>
        <v/>
      </c>
      <c r="N85" s="16">
        <f>IF('Events &amp; Festivals'!O25="","",'Events &amp; Festivals'!O25)</f>
        <v/>
      </c>
      <c r="O85" s="17">
        <f>IF('Events &amp; Festivals'!P25="","",'Events &amp; Festivals'!P25)</f>
        <v/>
      </c>
      <c r="P85" s="17">
        <f>IF('Events &amp; Festivals'!Q25="","",'Events &amp; Festivals'!Q25)</f>
        <v/>
      </c>
      <c r="Q85" s="15">
        <f>IF('Events &amp; Festivals'!R25="","",'Events &amp; Festivals'!R25)</f>
        <v/>
      </c>
      <c r="R85" s="19">
        <f>IF('Events &amp; Festivals'!S25="","",'Events &amp; Festivals'!S25)</f>
        <v/>
      </c>
      <c r="S85" s="16">
        <f>IF('Events &amp; Festivals'!T25="","",'Events &amp; Festivals'!T25)</f>
        <v/>
      </c>
      <c r="T85" s="15">
        <f>IF('Events &amp; Festivals'!U25="","",'Events &amp; Festivals'!U25)</f>
        <v/>
      </c>
      <c r="U85" s="17">
        <f>IF('Events &amp; Festivals'!V25="","",'Events &amp; Festivals'!V25)</f>
        <v/>
      </c>
      <c r="V85" s="15">
        <f>IF('Events &amp; Festivals'!W25="","",'Events &amp; Festivals'!W25)</f>
        <v/>
      </c>
      <c r="W85" s="17">
        <f>IF('Events &amp; Festivals'!X25="","",'Events &amp; Festivals'!X25)</f>
        <v/>
      </c>
      <c r="X85" s="17">
        <f>IF('Events &amp; Festivals'!Y25="","",'Events &amp; Festivals'!Y25)</f>
        <v/>
      </c>
      <c r="Y85" s="20">
        <f>IF('Events &amp; Festivals'!Z25="","",'Events &amp; Festivals'!Z25)</f>
        <v/>
      </c>
      <c r="Z85" s="21">
        <f>IF('Events &amp; Festivals'!AA25="","",'Events &amp; Festivals'!AA25)</f>
        <v/>
      </c>
      <c r="AA85" s="20">
        <f>IF('Events &amp; Festivals'!AB25="","",'Events &amp; Festivals'!AB25)</f>
        <v/>
      </c>
      <c r="AB85" s="16">
        <f>IF('Events &amp; Festivals'!AC25="","",'Events &amp; Festivals'!AC25)</f>
        <v/>
      </c>
      <c r="AC85" s="16">
        <f>IF('Events &amp; Festivals'!AD25="","",'Events &amp; Festivals'!AD25)</f>
        <v/>
      </c>
      <c r="AD85" s="16">
        <f>IF('Events &amp; Festivals'!AE25="","",'Events &amp; Festivals'!AE25)</f>
        <v/>
      </c>
      <c r="AE85" s="16">
        <f>IF('Events &amp; Festivals'!AF25="","",'Events &amp; Festivals'!AF25)</f>
        <v/>
      </c>
      <c r="AF85" s="16">
        <f>IF('Events &amp; Festivals'!AG25="","",'Events &amp; Festivals'!AG25)</f>
        <v/>
      </c>
      <c r="AG85" s="17">
        <f>IF('Events &amp; Festivals'!AH25="","",'Events &amp; Festivals'!AH25)</f>
        <v/>
      </c>
      <c r="AH85" s="17">
        <f>IF('Events &amp; Festivals'!AI25="","",'Events &amp; Festivals'!AI25)</f>
        <v/>
      </c>
      <c r="AI85" s="17">
        <f>IF('Events &amp; Festivals'!AJ25="","",'Events &amp; Festivals'!AJ25)</f>
        <v/>
      </c>
      <c r="AJ85" s="17">
        <f>IF('Events &amp; Festivals'!AK25="","",'Events &amp; Festivals'!AK25)</f>
        <v/>
      </c>
      <c r="AK85" s="16">
        <f>IF('Events &amp; Festivals'!AL25="","",'Events &amp; Festivals'!AL25)</f>
        <v/>
      </c>
      <c r="AL85" s="18">
        <f>IF(V85="","",V85+ROW()/100000)</f>
        <v/>
      </c>
    </row>
    <row r="86" ht="18" customHeight="1">
      <c r="A86" s="22">
        <f>IF('Events &amp; Festivals'!B26="","","Events &amp; Festivals")</f>
        <v/>
      </c>
      <c r="B86" s="22">
        <f>IF('Events &amp; Festivals'!B26="","",'Events &amp; Festivals'!B26)</f>
        <v/>
      </c>
      <c r="C86" s="23">
        <f>IF('Events &amp; Festivals'!D26="","",'Events &amp; Festivals'!D26)</f>
        <v/>
      </c>
      <c r="D86" s="22">
        <f>IF('Events &amp; Festivals'!E26="","",'Events &amp; Festivals'!E26)</f>
        <v/>
      </c>
      <c r="E86" s="23">
        <f>IF('Events &amp; Festivals'!F26="","",'Events &amp; Festivals'!F26)</f>
        <v/>
      </c>
      <c r="F86" s="23">
        <f>IF('Events &amp; Festivals'!G26="","",'Events &amp; Festivals'!G26)</f>
        <v/>
      </c>
      <c r="G86" s="23">
        <f>IF('Events &amp; Festivals'!H26="","",'Events &amp; Festivals'!H26)</f>
        <v/>
      </c>
      <c r="H86" s="22">
        <f>IF('Events &amp; Festivals'!I26="","",'Events &amp; Festivals'!I26)</f>
        <v/>
      </c>
      <c r="I86" s="23">
        <f>IF('Events &amp; Festivals'!J26="","",'Events &amp; Festivals'!J26)</f>
        <v/>
      </c>
      <c r="J86" s="22">
        <f>IF('Events &amp; Festivals'!K26="","",'Events &amp; Festivals'!K26)</f>
        <v/>
      </c>
      <c r="K86" s="23">
        <f>IF('Events &amp; Festivals'!L26="","",'Events &amp; Festivals'!L26)</f>
        <v/>
      </c>
      <c r="L86" s="22">
        <f>IF('Events &amp; Festivals'!M26="","",'Events &amp; Festivals'!M26)</f>
        <v/>
      </c>
      <c r="M86" s="23">
        <f>IF('Events &amp; Festivals'!N26="","",'Events &amp; Festivals'!N26)</f>
        <v/>
      </c>
      <c r="N86" s="22">
        <f>IF('Events &amp; Festivals'!O26="","",'Events &amp; Festivals'!O26)</f>
        <v/>
      </c>
      <c r="O86" s="23">
        <f>IF('Events &amp; Festivals'!P26="","",'Events &amp; Festivals'!P26)</f>
        <v/>
      </c>
      <c r="P86" s="23">
        <f>IF('Events &amp; Festivals'!Q26="","",'Events &amp; Festivals'!Q26)</f>
        <v/>
      </c>
      <c r="Q86" s="24">
        <f>IF('Events &amp; Festivals'!R26="","",'Events &amp; Festivals'!R26)</f>
        <v/>
      </c>
      <c r="R86" s="25">
        <f>IF('Events &amp; Festivals'!S26="","",'Events &amp; Festivals'!S26)</f>
        <v/>
      </c>
      <c r="S86" s="22">
        <f>IF('Events &amp; Festivals'!T26="","",'Events &amp; Festivals'!T26)</f>
        <v/>
      </c>
      <c r="T86" s="24">
        <f>IF('Events &amp; Festivals'!U26="","",'Events &amp; Festivals'!U26)</f>
        <v/>
      </c>
      <c r="U86" s="23">
        <f>IF('Events &amp; Festivals'!V26="","",'Events &amp; Festivals'!V26)</f>
        <v/>
      </c>
      <c r="V86" s="24">
        <f>IF('Events &amp; Festivals'!W26="","",'Events &amp; Festivals'!W26)</f>
        <v/>
      </c>
      <c r="W86" s="23">
        <f>IF('Events &amp; Festivals'!X26="","",'Events &amp; Festivals'!X26)</f>
        <v/>
      </c>
      <c r="X86" s="23">
        <f>IF('Events &amp; Festivals'!Y26="","",'Events &amp; Festivals'!Y26)</f>
        <v/>
      </c>
      <c r="Y86" s="26">
        <f>IF('Events &amp; Festivals'!Z26="","",'Events &amp; Festivals'!Z26)</f>
        <v/>
      </c>
      <c r="Z86" s="27">
        <f>IF('Events &amp; Festivals'!AA26="","",'Events &amp; Festivals'!AA26)</f>
        <v/>
      </c>
      <c r="AA86" s="26">
        <f>IF('Events &amp; Festivals'!AB26="","",'Events &amp; Festivals'!AB26)</f>
        <v/>
      </c>
      <c r="AB86" s="22">
        <f>IF('Events &amp; Festivals'!AC26="","",'Events &amp; Festivals'!AC26)</f>
        <v/>
      </c>
      <c r="AC86" s="22">
        <f>IF('Events &amp; Festivals'!AD26="","",'Events &amp; Festivals'!AD26)</f>
        <v/>
      </c>
      <c r="AD86" s="22">
        <f>IF('Events &amp; Festivals'!AE26="","",'Events &amp; Festivals'!AE26)</f>
        <v/>
      </c>
      <c r="AE86" s="22">
        <f>IF('Events &amp; Festivals'!AF26="","",'Events &amp; Festivals'!AF26)</f>
        <v/>
      </c>
      <c r="AF86" s="22">
        <f>IF('Events &amp; Festivals'!AG26="","",'Events &amp; Festivals'!AG26)</f>
        <v/>
      </c>
      <c r="AG86" s="23">
        <f>IF('Events &amp; Festivals'!AH26="","",'Events &amp; Festivals'!AH26)</f>
        <v/>
      </c>
      <c r="AH86" s="23">
        <f>IF('Events &amp; Festivals'!AI26="","",'Events &amp; Festivals'!AI26)</f>
        <v/>
      </c>
      <c r="AI86" s="23">
        <f>IF('Events &amp; Festivals'!AJ26="","",'Events &amp; Festivals'!AJ26)</f>
        <v/>
      </c>
      <c r="AJ86" s="23">
        <f>IF('Events &amp; Festivals'!AK26="","",'Events &amp; Festivals'!AK26)</f>
        <v/>
      </c>
      <c r="AK86" s="22">
        <f>IF('Events &amp; Festivals'!AL26="","",'Events &amp; Festivals'!AL26)</f>
        <v/>
      </c>
      <c r="AL86" s="18">
        <f>IF(V86="","",V86+ROW()/100000)</f>
        <v/>
      </c>
    </row>
    <row r="87" ht="18" customHeight="1">
      <c r="A87" s="16">
        <f>IF('Events &amp; Festivals'!B27="","","Events &amp; Festivals")</f>
        <v/>
      </c>
      <c r="B87" s="16">
        <f>IF('Events &amp; Festivals'!B27="","",'Events &amp; Festivals'!B27)</f>
        <v/>
      </c>
      <c r="C87" s="17">
        <f>IF('Events &amp; Festivals'!D27="","",'Events &amp; Festivals'!D27)</f>
        <v/>
      </c>
      <c r="D87" s="16">
        <f>IF('Events &amp; Festivals'!E27="","",'Events &amp; Festivals'!E27)</f>
        <v/>
      </c>
      <c r="E87" s="17">
        <f>IF('Events &amp; Festivals'!F27="","",'Events &amp; Festivals'!F27)</f>
        <v/>
      </c>
      <c r="F87" s="17">
        <f>IF('Events &amp; Festivals'!G27="","",'Events &amp; Festivals'!G27)</f>
        <v/>
      </c>
      <c r="G87" s="17">
        <f>IF('Events &amp; Festivals'!H27="","",'Events &amp; Festivals'!H27)</f>
        <v/>
      </c>
      <c r="H87" s="16">
        <f>IF('Events &amp; Festivals'!I27="","",'Events &amp; Festivals'!I27)</f>
        <v/>
      </c>
      <c r="I87" s="17">
        <f>IF('Events &amp; Festivals'!J27="","",'Events &amp; Festivals'!J27)</f>
        <v/>
      </c>
      <c r="J87" s="16">
        <f>IF('Events &amp; Festivals'!K27="","",'Events &amp; Festivals'!K27)</f>
        <v/>
      </c>
      <c r="K87" s="17">
        <f>IF('Events &amp; Festivals'!L27="","",'Events &amp; Festivals'!L27)</f>
        <v/>
      </c>
      <c r="L87" s="16">
        <f>IF('Events &amp; Festivals'!M27="","",'Events &amp; Festivals'!M27)</f>
        <v/>
      </c>
      <c r="M87" s="17">
        <f>IF('Events &amp; Festivals'!N27="","",'Events &amp; Festivals'!N27)</f>
        <v/>
      </c>
      <c r="N87" s="16">
        <f>IF('Events &amp; Festivals'!O27="","",'Events &amp; Festivals'!O27)</f>
        <v/>
      </c>
      <c r="O87" s="17">
        <f>IF('Events &amp; Festivals'!P27="","",'Events &amp; Festivals'!P27)</f>
        <v/>
      </c>
      <c r="P87" s="17">
        <f>IF('Events &amp; Festivals'!Q27="","",'Events &amp; Festivals'!Q27)</f>
        <v/>
      </c>
      <c r="Q87" s="15">
        <f>IF('Events &amp; Festivals'!R27="","",'Events &amp; Festivals'!R27)</f>
        <v/>
      </c>
      <c r="R87" s="19">
        <f>IF('Events &amp; Festivals'!S27="","",'Events &amp; Festivals'!S27)</f>
        <v/>
      </c>
      <c r="S87" s="16">
        <f>IF('Events &amp; Festivals'!T27="","",'Events &amp; Festivals'!T27)</f>
        <v/>
      </c>
      <c r="T87" s="15">
        <f>IF('Events &amp; Festivals'!U27="","",'Events &amp; Festivals'!U27)</f>
        <v/>
      </c>
      <c r="U87" s="17">
        <f>IF('Events &amp; Festivals'!V27="","",'Events &amp; Festivals'!V27)</f>
        <v/>
      </c>
      <c r="V87" s="15">
        <f>IF('Events &amp; Festivals'!W27="","",'Events &amp; Festivals'!W27)</f>
        <v/>
      </c>
      <c r="W87" s="17">
        <f>IF('Events &amp; Festivals'!X27="","",'Events &amp; Festivals'!X27)</f>
        <v/>
      </c>
      <c r="X87" s="17">
        <f>IF('Events &amp; Festivals'!Y27="","",'Events &amp; Festivals'!Y27)</f>
        <v/>
      </c>
      <c r="Y87" s="20">
        <f>IF('Events &amp; Festivals'!Z27="","",'Events &amp; Festivals'!Z27)</f>
        <v/>
      </c>
      <c r="Z87" s="21">
        <f>IF('Events &amp; Festivals'!AA27="","",'Events &amp; Festivals'!AA27)</f>
        <v/>
      </c>
      <c r="AA87" s="20">
        <f>IF('Events &amp; Festivals'!AB27="","",'Events &amp; Festivals'!AB27)</f>
        <v/>
      </c>
      <c r="AB87" s="16">
        <f>IF('Events &amp; Festivals'!AC27="","",'Events &amp; Festivals'!AC27)</f>
        <v/>
      </c>
      <c r="AC87" s="16">
        <f>IF('Events &amp; Festivals'!AD27="","",'Events &amp; Festivals'!AD27)</f>
        <v/>
      </c>
      <c r="AD87" s="16">
        <f>IF('Events &amp; Festivals'!AE27="","",'Events &amp; Festivals'!AE27)</f>
        <v/>
      </c>
      <c r="AE87" s="16">
        <f>IF('Events &amp; Festivals'!AF27="","",'Events &amp; Festivals'!AF27)</f>
        <v/>
      </c>
      <c r="AF87" s="16">
        <f>IF('Events &amp; Festivals'!AG27="","",'Events &amp; Festivals'!AG27)</f>
        <v/>
      </c>
      <c r="AG87" s="17">
        <f>IF('Events &amp; Festivals'!AH27="","",'Events &amp; Festivals'!AH27)</f>
        <v/>
      </c>
      <c r="AH87" s="17">
        <f>IF('Events &amp; Festivals'!AI27="","",'Events &amp; Festivals'!AI27)</f>
        <v/>
      </c>
      <c r="AI87" s="17">
        <f>IF('Events &amp; Festivals'!AJ27="","",'Events &amp; Festivals'!AJ27)</f>
        <v/>
      </c>
      <c r="AJ87" s="17">
        <f>IF('Events &amp; Festivals'!AK27="","",'Events &amp; Festivals'!AK27)</f>
        <v/>
      </c>
      <c r="AK87" s="16">
        <f>IF('Events &amp; Festivals'!AL27="","",'Events &amp; Festivals'!AL27)</f>
        <v/>
      </c>
      <c r="AL87" s="18">
        <f>IF(V87="","",V87+ROW()/100000)</f>
        <v/>
      </c>
    </row>
    <row r="88" ht="18" customHeight="1">
      <c r="A88" s="22">
        <f>IF('Events &amp; Festivals'!B28="","","Events &amp; Festivals")</f>
        <v/>
      </c>
      <c r="B88" s="22">
        <f>IF('Events &amp; Festivals'!B28="","",'Events &amp; Festivals'!B28)</f>
        <v/>
      </c>
      <c r="C88" s="23">
        <f>IF('Events &amp; Festivals'!D28="","",'Events &amp; Festivals'!D28)</f>
        <v/>
      </c>
      <c r="D88" s="22">
        <f>IF('Events &amp; Festivals'!E28="","",'Events &amp; Festivals'!E28)</f>
        <v/>
      </c>
      <c r="E88" s="23">
        <f>IF('Events &amp; Festivals'!F28="","",'Events &amp; Festivals'!F28)</f>
        <v/>
      </c>
      <c r="F88" s="23">
        <f>IF('Events &amp; Festivals'!G28="","",'Events &amp; Festivals'!G28)</f>
        <v/>
      </c>
      <c r="G88" s="23">
        <f>IF('Events &amp; Festivals'!H28="","",'Events &amp; Festivals'!H28)</f>
        <v/>
      </c>
      <c r="H88" s="22">
        <f>IF('Events &amp; Festivals'!I28="","",'Events &amp; Festivals'!I28)</f>
        <v/>
      </c>
      <c r="I88" s="23">
        <f>IF('Events &amp; Festivals'!J28="","",'Events &amp; Festivals'!J28)</f>
        <v/>
      </c>
      <c r="J88" s="22">
        <f>IF('Events &amp; Festivals'!K28="","",'Events &amp; Festivals'!K28)</f>
        <v/>
      </c>
      <c r="K88" s="23">
        <f>IF('Events &amp; Festivals'!L28="","",'Events &amp; Festivals'!L28)</f>
        <v/>
      </c>
      <c r="L88" s="22">
        <f>IF('Events &amp; Festivals'!M28="","",'Events &amp; Festivals'!M28)</f>
        <v/>
      </c>
      <c r="M88" s="23">
        <f>IF('Events &amp; Festivals'!N28="","",'Events &amp; Festivals'!N28)</f>
        <v/>
      </c>
      <c r="N88" s="22">
        <f>IF('Events &amp; Festivals'!O28="","",'Events &amp; Festivals'!O28)</f>
        <v/>
      </c>
      <c r="O88" s="23">
        <f>IF('Events &amp; Festivals'!P28="","",'Events &amp; Festivals'!P28)</f>
        <v/>
      </c>
      <c r="P88" s="23">
        <f>IF('Events &amp; Festivals'!Q28="","",'Events &amp; Festivals'!Q28)</f>
        <v/>
      </c>
      <c r="Q88" s="24">
        <f>IF('Events &amp; Festivals'!R28="","",'Events &amp; Festivals'!R28)</f>
        <v/>
      </c>
      <c r="R88" s="25">
        <f>IF('Events &amp; Festivals'!S28="","",'Events &amp; Festivals'!S28)</f>
        <v/>
      </c>
      <c r="S88" s="22">
        <f>IF('Events &amp; Festivals'!T28="","",'Events &amp; Festivals'!T28)</f>
        <v/>
      </c>
      <c r="T88" s="24">
        <f>IF('Events &amp; Festivals'!U28="","",'Events &amp; Festivals'!U28)</f>
        <v/>
      </c>
      <c r="U88" s="23">
        <f>IF('Events &amp; Festivals'!V28="","",'Events &amp; Festivals'!V28)</f>
        <v/>
      </c>
      <c r="V88" s="24">
        <f>IF('Events &amp; Festivals'!W28="","",'Events &amp; Festivals'!W28)</f>
        <v/>
      </c>
      <c r="W88" s="23">
        <f>IF('Events &amp; Festivals'!X28="","",'Events &amp; Festivals'!X28)</f>
        <v/>
      </c>
      <c r="X88" s="23">
        <f>IF('Events &amp; Festivals'!Y28="","",'Events &amp; Festivals'!Y28)</f>
        <v/>
      </c>
      <c r="Y88" s="26">
        <f>IF('Events &amp; Festivals'!Z28="","",'Events &amp; Festivals'!Z28)</f>
        <v/>
      </c>
      <c r="Z88" s="27">
        <f>IF('Events &amp; Festivals'!AA28="","",'Events &amp; Festivals'!AA28)</f>
        <v/>
      </c>
      <c r="AA88" s="26">
        <f>IF('Events &amp; Festivals'!AB28="","",'Events &amp; Festivals'!AB28)</f>
        <v/>
      </c>
      <c r="AB88" s="22">
        <f>IF('Events &amp; Festivals'!AC28="","",'Events &amp; Festivals'!AC28)</f>
        <v/>
      </c>
      <c r="AC88" s="22">
        <f>IF('Events &amp; Festivals'!AD28="","",'Events &amp; Festivals'!AD28)</f>
        <v/>
      </c>
      <c r="AD88" s="22">
        <f>IF('Events &amp; Festivals'!AE28="","",'Events &amp; Festivals'!AE28)</f>
        <v/>
      </c>
      <c r="AE88" s="22">
        <f>IF('Events &amp; Festivals'!AF28="","",'Events &amp; Festivals'!AF28)</f>
        <v/>
      </c>
      <c r="AF88" s="22">
        <f>IF('Events &amp; Festivals'!AG28="","",'Events &amp; Festivals'!AG28)</f>
        <v/>
      </c>
      <c r="AG88" s="23">
        <f>IF('Events &amp; Festivals'!AH28="","",'Events &amp; Festivals'!AH28)</f>
        <v/>
      </c>
      <c r="AH88" s="23">
        <f>IF('Events &amp; Festivals'!AI28="","",'Events &amp; Festivals'!AI28)</f>
        <v/>
      </c>
      <c r="AI88" s="23">
        <f>IF('Events &amp; Festivals'!AJ28="","",'Events &amp; Festivals'!AJ28)</f>
        <v/>
      </c>
      <c r="AJ88" s="23">
        <f>IF('Events &amp; Festivals'!AK28="","",'Events &amp; Festivals'!AK28)</f>
        <v/>
      </c>
      <c r="AK88" s="22">
        <f>IF('Events &amp; Festivals'!AL28="","",'Events &amp; Festivals'!AL28)</f>
        <v/>
      </c>
      <c r="AL88" s="18">
        <f>IF(V88="","",V88+ROW()/100000)</f>
        <v/>
      </c>
    </row>
    <row r="89" ht="18" customHeight="1">
      <c r="A89" s="16">
        <f>IF('Events &amp; Festivals'!B29="","","Events &amp; Festivals")</f>
        <v/>
      </c>
      <c r="B89" s="16">
        <f>IF('Events &amp; Festivals'!B29="","",'Events &amp; Festivals'!B29)</f>
        <v/>
      </c>
      <c r="C89" s="17">
        <f>IF('Events &amp; Festivals'!D29="","",'Events &amp; Festivals'!D29)</f>
        <v/>
      </c>
      <c r="D89" s="16">
        <f>IF('Events &amp; Festivals'!E29="","",'Events &amp; Festivals'!E29)</f>
        <v/>
      </c>
      <c r="E89" s="17">
        <f>IF('Events &amp; Festivals'!F29="","",'Events &amp; Festivals'!F29)</f>
        <v/>
      </c>
      <c r="F89" s="17">
        <f>IF('Events &amp; Festivals'!G29="","",'Events &amp; Festivals'!G29)</f>
        <v/>
      </c>
      <c r="G89" s="17">
        <f>IF('Events &amp; Festivals'!H29="","",'Events &amp; Festivals'!H29)</f>
        <v/>
      </c>
      <c r="H89" s="16">
        <f>IF('Events &amp; Festivals'!I29="","",'Events &amp; Festivals'!I29)</f>
        <v/>
      </c>
      <c r="I89" s="17">
        <f>IF('Events &amp; Festivals'!J29="","",'Events &amp; Festivals'!J29)</f>
        <v/>
      </c>
      <c r="J89" s="16">
        <f>IF('Events &amp; Festivals'!K29="","",'Events &amp; Festivals'!K29)</f>
        <v/>
      </c>
      <c r="K89" s="17">
        <f>IF('Events &amp; Festivals'!L29="","",'Events &amp; Festivals'!L29)</f>
        <v/>
      </c>
      <c r="L89" s="16">
        <f>IF('Events &amp; Festivals'!M29="","",'Events &amp; Festivals'!M29)</f>
        <v/>
      </c>
      <c r="M89" s="17">
        <f>IF('Events &amp; Festivals'!N29="","",'Events &amp; Festivals'!N29)</f>
        <v/>
      </c>
      <c r="N89" s="16">
        <f>IF('Events &amp; Festivals'!O29="","",'Events &amp; Festivals'!O29)</f>
        <v/>
      </c>
      <c r="O89" s="17">
        <f>IF('Events &amp; Festivals'!P29="","",'Events &amp; Festivals'!P29)</f>
        <v/>
      </c>
      <c r="P89" s="17">
        <f>IF('Events &amp; Festivals'!Q29="","",'Events &amp; Festivals'!Q29)</f>
        <v/>
      </c>
      <c r="Q89" s="15">
        <f>IF('Events &amp; Festivals'!R29="","",'Events &amp; Festivals'!R29)</f>
        <v/>
      </c>
      <c r="R89" s="19">
        <f>IF('Events &amp; Festivals'!S29="","",'Events &amp; Festivals'!S29)</f>
        <v/>
      </c>
      <c r="S89" s="16">
        <f>IF('Events &amp; Festivals'!T29="","",'Events &amp; Festivals'!T29)</f>
        <v/>
      </c>
      <c r="T89" s="15">
        <f>IF('Events &amp; Festivals'!U29="","",'Events &amp; Festivals'!U29)</f>
        <v/>
      </c>
      <c r="U89" s="17">
        <f>IF('Events &amp; Festivals'!V29="","",'Events &amp; Festivals'!V29)</f>
        <v/>
      </c>
      <c r="V89" s="15">
        <f>IF('Events &amp; Festivals'!W29="","",'Events &amp; Festivals'!W29)</f>
        <v/>
      </c>
      <c r="W89" s="17">
        <f>IF('Events &amp; Festivals'!X29="","",'Events &amp; Festivals'!X29)</f>
        <v/>
      </c>
      <c r="X89" s="17">
        <f>IF('Events &amp; Festivals'!Y29="","",'Events &amp; Festivals'!Y29)</f>
        <v/>
      </c>
      <c r="Y89" s="20">
        <f>IF('Events &amp; Festivals'!Z29="","",'Events &amp; Festivals'!Z29)</f>
        <v/>
      </c>
      <c r="Z89" s="21">
        <f>IF('Events &amp; Festivals'!AA29="","",'Events &amp; Festivals'!AA29)</f>
        <v/>
      </c>
      <c r="AA89" s="20">
        <f>IF('Events &amp; Festivals'!AB29="","",'Events &amp; Festivals'!AB29)</f>
        <v/>
      </c>
      <c r="AB89" s="16">
        <f>IF('Events &amp; Festivals'!AC29="","",'Events &amp; Festivals'!AC29)</f>
        <v/>
      </c>
      <c r="AC89" s="16">
        <f>IF('Events &amp; Festivals'!AD29="","",'Events &amp; Festivals'!AD29)</f>
        <v/>
      </c>
      <c r="AD89" s="16">
        <f>IF('Events &amp; Festivals'!AE29="","",'Events &amp; Festivals'!AE29)</f>
        <v/>
      </c>
      <c r="AE89" s="16">
        <f>IF('Events &amp; Festivals'!AF29="","",'Events &amp; Festivals'!AF29)</f>
        <v/>
      </c>
      <c r="AF89" s="16">
        <f>IF('Events &amp; Festivals'!AG29="","",'Events &amp; Festivals'!AG29)</f>
        <v/>
      </c>
      <c r="AG89" s="17">
        <f>IF('Events &amp; Festivals'!AH29="","",'Events &amp; Festivals'!AH29)</f>
        <v/>
      </c>
      <c r="AH89" s="17">
        <f>IF('Events &amp; Festivals'!AI29="","",'Events &amp; Festivals'!AI29)</f>
        <v/>
      </c>
      <c r="AI89" s="17">
        <f>IF('Events &amp; Festivals'!AJ29="","",'Events &amp; Festivals'!AJ29)</f>
        <v/>
      </c>
      <c r="AJ89" s="17">
        <f>IF('Events &amp; Festivals'!AK29="","",'Events &amp; Festivals'!AK29)</f>
        <v/>
      </c>
      <c r="AK89" s="16">
        <f>IF('Events &amp; Festivals'!AL29="","",'Events &amp; Festivals'!AL29)</f>
        <v/>
      </c>
      <c r="AL89" s="18">
        <f>IF(V89="","",V89+ROW()/100000)</f>
        <v/>
      </c>
    </row>
    <row r="90" ht="18" customHeight="1">
      <c r="A90" s="22">
        <f>IF('Events &amp; Festivals'!B30="","","Events &amp; Festivals")</f>
        <v/>
      </c>
      <c r="B90" s="22">
        <f>IF('Events &amp; Festivals'!B30="","",'Events &amp; Festivals'!B30)</f>
        <v/>
      </c>
      <c r="C90" s="23">
        <f>IF('Events &amp; Festivals'!D30="","",'Events &amp; Festivals'!D30)</f>
        <v/>
      </c>
      <c r="D90" s="22">
        <f>IF('Events &amp; Festivals'!E30="","",'Events &amp; Festivals'!E30)</f>
        <v/>
      </c>
      <c r="E90" s="23">
        <f>IF('Events &amp; Festivals'!F30="","",'Events &amp; Festivals'!F30)</f>
        <v/>
      </c>
      <c r="F90" s="23">
        <f>IF('Events &amp; Festivals'!G30="","",'Events &amp; Festivals'!G30)</f>
        <v/>
      </c>
      <c r="G90" s="23">
        <f>IF('Events &amp; Festivals'!H30="","",'Events &amp; Festivals'!H30)</f>
        <v/>
      </c>
      <c r="H90" s="22">
        <f>IF('Events &amp; Festivals'!I30="","",'Events &amp; Festivals'!I30)</f>
        <v/>
      </c>
      <c r="I90" s="23">
        <f>IF('Events &amp; Festivals'!J30="","",'Events &amp; Festivals'!J30)</f>
        <v/>
      </c>
      <c r="J90" s="22">
        <f>IF('Events &amp; Festivals'!K30="","",'Events &amp; Festivals'!K30)</f>
        <v/>
      </c>
      <c r="K90" s="23">
        <f>IF('Events &amp; Festivals'!L30="","",'Events &amp; Festivals'!L30)</f>
        <v/>
      </c>
      <c r="L90" s="22">
        <f>IF('Events &amp; Festivals'!M30="","",'Events &amp; Festivals'!M30)</f>
        <v/>
      </c>
      <c r="M90" s="23">
        <f>IF('Events &amp; Festivals'!N30="","",'Events &amp; Festivals'!N30)</f>
        <v/>
      </c>
      <c r="N90" s="22">
        <f>IF('Events &amp; Festivals'!O30="","",'Events &amp; Festivals'!O30)</f>
        <v/>
      </c>
      <c r="O90" s="23">
        <f>IF('Events &amp; Festivals'!P30="","",'Events &amp; Festivals'!P30)</f>
        <v/>
      </c>
      <c r="P90" s="23">
        <f>IF('Events &amp; Festivals'!Q30="","",'Events &amp; Festivals'!Q30)</f>
        <v/>
      </c>
      <c r="Q90" s="24">
        <f>IF('Events &amp; Festivals'!R30="","",'Events &amp; Festivals'!R30)</f>
        <v/>
      </c>
      <c r="R90" s="25">
        <f>IF('Events &amp; Festivals'!S30="","",'Events &amp; Festivals'!S30)</f>
        <v/>
      </c>
      <c r="S90" s="22">
        <f>IF('Events &amp; Festivals'!T30="","",'Events &amp; Festivals'!T30)</f>
        <v/>
      </c>
      <c r="T90" s="24">
        <f>IF('Events &amp; Festivals'!U30="","",'Events &amp; Festivals'!U30)</f>
        <v/>
      </c>
      <c r="U90" s="23">
        <f>IF('Events &amp; Festivals'!V30="","",'Events &amp; Festivals'!V30)</f>
        <v/>
      </c>
      <c r="V90" s="24">
        <f>IF('Events &amp; Festivals'!W30="","",'Events &amp; Festivals'!W30)</f>
        <v/>
      </c>
      <c r="W90" s="23">
        <f>IF('Events &amp; Festivals'!X30="","",'Events &amp; Festivals'!X30)</f>
        <v/>
      </c>
      <c r="X90" s="23">
        <f>IF('Events &amp; Festivals'!Y30="","",'Events &amp; Festivals'!Y30)</f>
        <v/>
      </c>
      <c r="Y90" s="26">
        <f>IF('Events &amp; Festivals'!Z30="","",'Events &amp; Festivals'!Z30)</f>
        <v/>
      </c>
      <c r="Z90" s="27">
        <f>IF('Events &amp; Festivals'!AA30="","",'Events &amp; Festivals'!AA30)</f>
        <v/>
      </c>
      <c r="AA90" s="26">
        <f>IF('Events &amp; Festivals'!AB30="","",'Events &amp; Festivals'!AB30)</f>
        <v/>
      </c>
      <c r="AB90" s="22">
        <f>IF('Events &amp; Festivals'!AC30="","",'Events &amp; Festivals'!AC30)</f>
        <v/>
      </c>
      <c r="AC90" s="22">
        <f>IF('Events &amp; Festivals'!AD30="","",'Events &amp; Festivals'!AD30)</f>
        <v/>
      </c>
      <c r="AD90" s="22">
        <f>IF('Events &amp; Festivals'!AE30="","",'Events &amp; Festivals'!AE30)</f>
        <v/>
      </c>
      <c r="AE90" s="22">
        <f>IF('Events &amp; Festivals'!AF30="","",'Events &amp; Festivals'!AF30)</f>
        <v/>
      </c>
      <c r="AF90" s="22">
        <f>IF('Events &amp; Festivals'!AG30="","",'Events &amp; Festivals'!AG30)</f>
        <v/>
      </c>
      <c r="AG90" s="23">
        <f>IF('Events &amp; Festivals'!AH30="","",'Events &amp; Festivals'!AH30)</f>
        <v/>
      </c>
      <c r="AH90" s="23">
        <f>IF('Events &amp; Festivals'!AI30="","",'Events &amp; Festivals'!AI30)</f>
        <v/>
      </c>
      <c r="AI90" s="23">
        <f>IF('Events &amp; Festivals'!AJ30="","",'Events &amp; Festivals'!AJ30)</f>
        <v/>
      </c>
      <c r="AJ90" s="23">
        <f>IF('Events &amp; Festivals'!AK30="","",'Events &amp; Festivals'!AK30)</f>
        <v/>
      </c>
      <c r="AK90" s="22">
        <f>IF('Events &amp; Festivals'!AL30="","",'Events &amp; Festivals'!AL30)</f>
        <v/>
      </c>
      <c r="AL90" s="18">
        <f>IF(V90="","",V90+ROW()/100000)</f>
        <v/>
      </c>
    </row>
    <row r="91" ht="18" customHeight="1">
      <c r="A91" s="16">
        <f>IF('Events &amp; Festivals'!B31="","","Events &amp; Festivals")</f>
        <v/>
      </c>
      <c r="B91" s="16">
        <f>IF('Events &amp; Festivals'!B31="","",'Events &amp; Festivals'!B31)</f>
        <v/>
      </c>
      <c r="C91" s="17">
        <f>IF('Events &amp; Festivals'!D31="","",'Events &amp; Festivals'!D31)</f>
        <v/>
      </c>
      <c r="D91" s="16">
        <f>IF('Events &amp; Festivals'!E31="","",'Events &amp; Festivals'!E31)</f>
        <v/>
      </c>
      <c r="E91" s="17">
        <f>IF('Events &amp; Festivals'!F31="","",'Events &amp; Festivals'!F31)</f>
        <v/>
      </c>
      <c r="F91" s="17">
        <f>IF('Events &amp; Festivals'!G31="","",'Events &amp; Festivals'!G31)</f>
        <v/>
      </c>
      <c r="G91" s="17">
        <f>IF('Events &amp; Festivals'!H31="","",'Events &amp; Festivals'!H31)</f>
        <v/>
      </c>
      <c r="H91" s="16">
        <f>IF('Events &amp; Festivals'!I31="","",'Events &amp; Festivals'!I31)</f>
        <v/>
      </c>
      <c r="I91" s="17">
        <f>IF('Events &amp; Festivals'!J31="","",'Events &amp; Festivals'!J31)</f>
        <v/>
      </c>
      <c r="J91" s="16">
        <f>IF('Events &amp; Festivals'!K31="","",'Events &amp; Festivals'!K31)</f>
        <v/>
      </c>
      <c r="K91" s="17">
        <f>IF('Events &amp; Festivals'!L31="","",'Events &amp; Festivals'!L31)</f>
        <v/>
      </c>
      <c r="L91" s="16">
        <f>IF('Events &amp; Festivals'!M31="","",'Events &amp; Festivals'!M31)</f>
        <v/>
      </c>
      <c r="M91" s="17">
        <f>IF('Events &amp; Festivals'!N31="","",'Events &amp; Festivals'!N31)</f>
        <v/>
      </c>
      <c r="N91" s="16">
        <f>IF('Events &amp; Festivals'!O31="","",'Events &amp; Festivals'!O31)</f>
        <v/>
      </c>
      <c r="O91" s="17">
        <f>IF('Events &amp; Festivals'!P31="","",'Events &amp; Festivals'!P31)</f>
        <v/>
      </c>
      <c r="P91" s="17">
        <f>IF('Events &amp; Festivals'!Q31="","",'Events &amp; Festivals'!Q31)</f>
        <v/>
      </c>
      <c r="Q91" s="15">
        <f>IF('Events &amp; Festivals'!R31="","",'Events &amp; Festivals'!R31)</f>
        <v/>
      </c>
      <c r="R91" s="19">
        <f>IF('Events &amp; Festivals'!S31="","",'Events &amp; Festivals'!S31)</f>
        <v/>
      </c>
      <c r="S91" s="16">
        <f>IF('Events &amp; Festivals'!T31="","",'Events &amp; Festivals'!T31)</f>
        <v/>
      </c>
      <c r="T91" s="15">
        <f>IF('Events &amp; Festivals'!U31="","",'Events &amp; Festivals'!U31)</f>
        <v/>
      </c>
      <c r="U91" s="17">
        <f>IF('Events &amp; Festivals'!V31="","",'Events &amp; Festivals'!V31)</f>
        <v/>
      </c>
      <c r="V91" s="15">
        <f>IF('Events &amp; Festivals'!W31="","",'Events &amp; Festivals'!W31)</f>
        <v/>
      </c>
      <c r="W91" s="17">
        <f>IF('Events &amp; Festivals'!X31="","",'Events &amp; Festivals'!X31)</f>
        <v/>
      </c>
      <c r="X91" s="17">
        <f>IF('Events &amp; Festivals'!Y31="","",'Events &amp; Festivals'!Y31)</f>
        <v/>
      </c>
      <c r="Y91" s="20">
        <f>IF('Events &amp; Festivals'!Z31="","",'Events &amp; Festivals'!Z31)</f>
        <v/>
      </c>
      <c r="Z91" s="21">
        <f>IF('Events &amp; Festivals'!AA31="","",'Events &amp; Festivals'!AA31)</f>
        <v/>
      </c>
      <c r="AA91" s="20">
        <f>IF('Events &amp; Festivals'!AB31="","",'Events &amp; Festivals'!AB31)</f>
        <v/>
      </c>
      <c r="AB91" s="16">
        <f>IF('Events &amp; Festivals'!AC31="","",'Events &amp; Festivals'!AC31)</f>
        <v/>
      </c>
      <c r="AC91" s="16">
        <f>IF('Events &amp; Festivals'!AD31="","",'Events &amp; Festivals'!AD31)</f>
        <v/>
      </c>
      <c r="AD91" s="16">
        <f>IF('Events &amp; Festivals'!AE31="","",'Events &amp; Festivals'!AE31)</f>
        <v/>
      </c>
      <c r="AE91" s="16">
        <f>IF('Events &amp; Festivals'!AF31="","",'Events &amp; Festivals'!AF31)</f>
        <v/>
      </c>
      <c r="AF91" s="16">
        <f>IF('Events &amp; Festivals'!AG31="","",'Events &amp; Festivals'!AG31)</f>
        <v/>
      </c>
      <c r="AG91" s="17">
        <f>IF('Events &amp; Festivals'!AH31="","",'Events &amp; Festivals'!AH31)</f>
        <v/>
      </c>
      <c r="AH91" s="17">
        <f>IF('Events &amp; Festivals'!AI31="","",'Events &amp; Festivals'!AI31)</f>
        <v/>
      </c>
      <c r="AI91" s="17">
        <f>IF('Events &amp; Festivals'!AJ31="","",'Events &amp; Festivals'!AJ31)</f>
        <v/>
      </c>
      <c r="AJ91" s="17">
        <f>IF('Events &amp; Festivals'!AK31="","",'Events &amp; Festivals'!AK31)</f>
        <v/>
      </c>
      <c r="AK91" s="16">
        <f>IF('Events &amp; Festivals'!AL31="","",'Events &amp; Festivals'!AL31)</f>
        <v/>
      </c>
      <c r="AL91" s="18">
        <f>IF(V91="","",V91+ROW()/100000)</f>
        <v/>
      </c>
    </row>
    <row r="92" ht="18" customHeight="1">
      <c r="A92" s="22">
        <f>IF('Events &amp; Festivals'!B32="","","Events &amp; Festivals")</f>
        <v/>
      </c>
      <c r="B92" s="22">
        <f>IF('Events &amp; Festivals'!B32="","",'Events &amp; Festivals'!B32)</f>
        <v/>
      </c>
      <c r="C92" s="23">
        <f>IF('Events &amp; Festivals'!D32="","",'Events &amp; Festivals'!D32)</f>
        <v/>
      </c>
      <c r="D92" s="22">
        <f>IF('Events &amp; Festivals'!E32="","",'Events &amp; Festivals'!E32)</f>
        <v/>
      </c>
      <c r="E92" s="23">
        <f>IF('Events &amp; Festivals'!F32="","",'Events &amp; Festivals'!F32)</f>
        <v/>
      </c>
      <c r="F92" s="23">
        <f>IF('Events &amp; Festivals'!G32="","",'Events &amp; Festivals'!G32)</f>
        <v/>
      </c>
      <c r="G92" s="23">
        <f>IF('Events &amp; Festivals'!H32="","",'Events &amp; Festivals'!H32)</f>
        <v/>
      </c>
      <c r="H92" s="22">
        <f>IF('Events &amp; Festivals'!I32="","",'Events &amp; Festivals'!I32)</f>
        <v/>
      </c>
      <c r="I92" s="23">
        <f>IF('Events &amp; Festivals'!J32="","",'Events &amp; Festivals'!J32)</f>
        <v/>
      </c>
      <c r="J92" s="22">
        <f>IF('Events &amp; Festivals'!K32="","",'Events &amp; Festivals'!K32)</f>
        <v/>
      </c>
      <c r="K92" s="23">
        <f>IF('Events &amp; Festivals'!L32="","",'Events &amp; Festivals'!L32)</f>
        <v/>
      </c>
      <c r="L92" s="22">
        <f>IF('Events &amp; Festivals'!M32="","",'Events &amp; Festivals'!M32)</f>
        <v/>
      </c>
      <c r="M92" s="23">
        <f>IF('Events &amp; Festivals'!N32="","",'Events &amp; Festivals'!N32)</f>
        <v/>
      </c>
      <c r="N92" s="22">
        <f>IF('Events &amp; Festivals'!O32="","",'Events &amp; Festivals'!O32)</f>
        <v/>
      </c>
      <c r="O92" s="23">
        <f>IF('Events &amp; Festivals'!P32="","",'Events &amp; Festivals'!P32)</f>
        <v/>
      </c>
      <c r="P92" s="23">
        <f>IF('Events &amp; Festivals'!Q32="","",'Events &amp; Festivals'!Q32)</f>
        <v/>
      </c>
      <c r="Q92" s="24">
        <f>IF('Events &amp; Festivals'!R32="","",'Events &amp; Festivals'!R32)</f>
        <v/>
      </c>
      <c r="R92" s="25">
        <f>IF('Events &amp; Festivals'!S32="","",'Events &amp; Festivals'!S32)</f>
        <v/>
      </c>
      <c r="S92" s="22">
        <f>IF('Events &amp; Festivals'!T32="","",'Events &amp; Festivals'!T32)</f>
        <v/>
      </c>
      <c r="T92" s="24">
        <f>IF('Events &amp; Festivals'!U32="","",'Events &amp; Festivals'!U32)</f>
        <v/>
      </c>
      <c r="U92" s="23">
        <f>IF('Events &amp; Festivals'!V32="","",'Events &amp; Festivals'!V32)</f>
        <v/>
      </c>
      <c r="V92" s="24">
        <f>IF('Events &amp; Festivals'!W32="","",'Events &amp; Festivals'!W32)</f>
        <v/>
      </c>
      <c r="W92" s="23">
        <f>IF('Events &amp; Festivals'!X32="","",'Events &amp; Festivals'!X32)</f>
        <v/>
      </c>
      <c r="X92" s="23">
        <f>IF('Events &amp; Festivals'!Y32="","",'Events &amp; Festivals'!Y32)</f>
        <v/>
      </c>
      <c r="Y92" s="26">
        <f>IF('Events &amp; Festivals'!Z32="","",'Events &amp; Festivals'!Z32)</f>
        <v/>
      </c>
      <c r="Z92" s="27">
        <f>IF('Events &amp; Festivals'!AA32="","",'Events &amp; Festivals'!AA32)</f>
        <v/>
      </c>
      <c r="AA92" s="26">
        <f>IF('Events &amp; Festivals'!AB32="","",'Events &amp; Festivals'!AB32)</f>
        <v/>
      </c>
      <c r="AB92" s="22">
        <f>IF('Events &amp; Festivals'!AC32="","",'Events &amp; Festivals'!AC32)</f>
        <v/>
      </c>
      <c r="AC92" s="22">
        <f>IF('Events &amp; Festivals'!AD32="","",'Events &amp; Festivals'!AD32)</f>
        <v/>
      </c>
      <c r="AD92" s="22">
        <f>IF('Events &amp; Festivals'!AE32="","",'Events &amp; Festivals'!AE32)</f>
        <v/>
      </c>
      <c r="AE92" s="22">
        <f>IF('Events &amp; Festivals'!AF32="","",'Events &amp; Festivals'!AF32)</f>
        <v/>
      </c>
      <c r="AF92" s="22">
        <f>IF('Events &amp; Festivals'!AG32="","",'Events &amp; Festivals'!AG32)</f>
        <v/>
      </c>
      <c r="AG92" s="23">
        <f>IF('Events &amp; Festivals'!AH32="","",'Events &amp; Festivals'!AH32)</f>
        <v/>
      </c>
      <c r="AH92" s="23">
        <f>IF('Events &amp; Festivals'!AI32="","",'Events &amp; Festivals'!AI32)</f>
        <v/>
      </c>
      <c r="AI92" s="23">
        <f>IF('Events &amp; Festivals'!AJ32="","",'Events &amp; Festivals'!AJ32)</f>
        <v/>
      </c>
      <c r="AJ92" s="23">
        <f>IF('Events &amp; Festivals'!AK32="","",'Events &amp; Festivals'!AK32)</f>
        <v/>
      </c>
      <c r="AK92" s="22">
        <f>IF('Events &amp; Festivals'!AL32="","",'Events &amp; Festivals'!AL32)</f>
        <v/>
      </c>
      <c r="AL92" s="18">
        <f>IF(V92="","",V92+ROW()/100000)</f>
        <v/>
      </c>
    </row>
    <row r="93" ht="18" customHeight="1">
      <c r="A93" s="16">
        <f>IF('Sports Teams &amp; Leagues'!B3="","","Sports Teams &amp; Leagues")</f>
        <v/>
      </c>
      <c r="B93" s="16">
        <f>IF('Sports Teams &amp; Leagues'!B3="","",'Sports Teams &amp; Leagues'!B3)</f>
        <v/>
      </c>
      <c r="C93" s="17">
        <f>IF('Sports Teams &amp; Leagues'!D3="","",'Sports Teams &amp; Leagues'!D3)</f>
        <v/>
      </c>
      <c r="D93" s="16">
        <f>IF('Sports Teams &amp; Leagues'!E3="","",'Sports Teams &amp; Leagues'!E3)</f>
        <v/>
      </c>
      <c r="E93" s="17">
        <f>IF('Sports Teams &amp; Leagues'!F3="","",'Sports Teams &amp; Leagues'!F3)</f>
        <v/>
      </c>
      <c r="F93" s="17">
        <f>IF('Sports Teams &amp; Leagues'!G3="","",'Sports Teams &amp; Leagues'!G3)</f>
        <v/>
      </c>
      <c r="G93" s="17">
        <f>IF('Sports Teams &amp; Leagues'!H3="","",'Sports Teams &amp; Leagues'!H3)</f>
        <v/>
      </c>
      <c r="H93" s="16">
        <f>IF('Sports Teams &amp; Leagues'!I3="","",'Sports Teams &amp; Leagues'!I3)</f>
        <v/>
      </c>
      <c r="I93" s="17">
        <f>IF('Sports Teams &amp; Leagues'!J3="","",'Sports Teams &amp; Leagues'!J3)</f>
        <v/>
      </c>
      <c r="J93" s="16">
        <f>IF('Sports Teams &amp; Leagues'!K3="","",'Sports Teams &amp; Leagues'!K3)</f>
        <v/>
      </c>
      <c r="K93" s="17">
        <f>IF('Sports Teams &amp; Leagues'!L3="","",'Sports Teams &amp; Leagues'!L3)</f>
        <v/>
      </c>
      <c r="L93" s="16">
        <f>IF('Sports Teams &amp; Leagues'!M3="","",'Sports Teams &amp; Leagues'!M3)</f>
        <v/>
      </c>
      <c r="M93" s="17">
        <f>IF('Sports Teams &amp; Leagues'!N3="","",'Sports Teams &amp; Leagues'!N3)</f>
        <v/>
      </c>
      <c r="N93" s="16">
        <f>IF('Sports Teams &amp; Leagues'!O3="","",'Sports Teams &amp; Leagues'!O3)</f>
        <v/>
      </c>
      <c r="O93" s="17">
        <f>IF('Sports Teams &amp; Leagues'!P3="","",'Sports Teams &amp; Leagues'!P3)</f>
        <v/>
      </c>
      <c r="P93" s="17">
        <f>IF('Sports Teams &amp; Leagues'!Q3="","",'Sports Teams &amp; Leagues'!Q3)</f>
        <v/>
      </c>
      <c r="Q93" s="15">
        <f>IF('Sports Teams &amp; Leagues'!R3="","",'Sports Teams &amp; Leagues'!R3)</f>
        <v/>
      </c>
      <c r="R93" s="19">
        <f>IF('Sports Teams &amp; Leagues'!S3="","",'Sports Teams &amp; Leagues'!S3)</f>
        <v/>
      </c>
      <c r="S93" s="16">
        <f>IF('Sports Teams &amp; Leagues'!T3="","",'Sports Teams &amp; Leagues'!T3)</f>
        <v/>
      </c>
      <c r="T93" s="15">
        <f>IF('Sports Teams &amp; Leagues'!U3="","",'Sports Teams &amp; Leagues'!U3)</f>
        <v/>
      </c>
      <c r="U93" s="17">
        <f>IF('Sports Teams &amp; Leagues'!V3="","",'Sports Teams &amp; Leagues'!V3)</f>
        <v/>
      </c>
      <c r="V93" s="15">
        <f>IF('Sports Teams &amp; Leagues'!W3="","",'Sports Teams &amp; Leagues'!W3)</f>
        <v/>
      </c>
      <c r="W93" s="17">
        <f>IF('Sports Teams &amp; Leagues'!X3="","",'Sports Teams &amp; Leagues'!X3)</f>
        <v/>
      </c>
      <c r="X93" s="17">
        <f>IF('Sports Teams &amp; Leagues'!Y3="","",'Sports Teams &amp; Leagues'!Y3)</f>
        <v/>
      </c>
      <c r="Y93" s="20">
        <f>IF('Sports Teams &amp; Leagues'!Z3="","",'Sports Teams &amp; Leagues'!Z3)</f>
        <v/>
      </c>
      <c r="Z93" s="21">
        <f>IF('Sports Teams &amp; Leagues'!AA3="","",'Sports Teams &amp; Leagues'!AA3)</f>
        <v/>
      </c>
      <c r="AA93" s="20">
        <f>IF('Sports Teams &amp; Leagues'!AB3="","",'Sports Teams &amp; Leagues'!AB3)</f>
        <v/>
      </c>
      <c r="AB93" s="16">
        <f>IF('Sports Teams &amp; Leagues'!AC3="","",'Sports Teams &amp; Leagues'!AC3)</f>
        <v/>
      </c>
      <c r="AC93" s="16">
        <f>IF('Sports Teams &amp; Leagues'!AD3="","",'Sports Teams &amp; Leagues'!AD3)</f>
        <v/>
      </c>
      <c r="AD93" s="16">
        <f>IF('Sports Teams &amp; Leagues'!AE3="","",'Sports Teams &amp; Leagues'!AE3)</f>
        <v/>
      </c>
      <c r="AE93" s="16">
        <f>IF('Sports Teams &amp; Leagues'!AF3="","",'Sports Teams &amp; Leagues'!AF3)</f>
        <v/>
      </c>
      <c r="AF93" s="16">
        <f>IF('Sports Teams &amp; Leagues'!AG3="","",'Sports Teams &amp; Leagues'!AG3)</f>
        <v/>
      </c>
      <c r="AG93" s="17">
        <f>IF('Sports Teams &amp; Leagues'!AH3="","",'Sports Teams &amp; Leagues'!AH3)</f>
        <v/>
      </c>
      <c r="AH93" s="17">
        <f>IF('Sports Teams &amp; Leagues'!AI3="","",'Sports Teams &amp; Leagues'!AI3)</f>
        <v/>
      </c>
      <c r="AI93" s="17">
        <f>IF('Sports Teams &amp; Leagues'!AJ3="","",'Sports Teams &amp; Leagues'!AJ3)</f>
        <v/>
      </c>
      <c r="AJ93" s="17">
        <f>IF('Sports Teams &amp; Leagues'!AK3="","",'Sports Teams &amp; Leagues'!AK3)</f>
        <v/>
      </c>
      <c r="AK93" s="16">
        <f>IF('Sports Teams &amp; Leagues'!AL3="","",'Sports Teams &amp; Leagues'!AL3)</f>
        <v/>
      </c>
      <c r="AL93" s="18">
        <f>IF(V93="","",V93+ROW()/100000)</f>
        <v/>
      </c>
    </row>
    <row r="94" ht="18" customHeight="1">
      <c r="A94" s="22">
        <f>IF('Sports Teams &amp; Leagues'!B4="","","Sports Teams &amp; Leagues")</f>
        <v/>
      </c>
      <c r="B94" s="22">
        <f>IF('Sports Teams &amp; Leagues'!B4="","",'Sports Teams &amp; Leagues'!B4)</f>
        <v/>
      </c>
      <c r="C94" s="23">
        <f>IF('Sports Teams &amp; Leagues'!D4="","",'Sports Teams &amp; Leagues'!D4)</f>
        <v/>
      </c>
      <c r="D94" s="22">
        <f>IF('Sports Teams &amp; Leagues'!E4="","",'Sports Teams &amp; Leagues'!E4)</f>
        <v/>
      </c>
      <c r="E94" s="23">
        <f>IF('Sports Teams &amp; Leagues'!F4="","",'Sports Teams &amp; Leagues'!F4)</f>
        <v/>
      </c>
      <c r="F94" s="23">
        <f>IF('Sports Teams &amp; Leagues'!G4="","",'Sports Teams &amp; Leagues'!G4)</f>
        <v/>
      </c>
      <c r="G94" s="23">
        <f>IF('Sports Teams &amp; Leagues'!H4="","",'Sports Teams &amp; Leagues'!H4)</f>
        <v/>
      </c>
      <c r="H94" s="22">
        <f>IF('Sports Teams &amp; Leagues'!I4="","",'Sports Teams &amp; Leagues'!I4)</f>
        <v/>
      </c>
      <c r="I94" s="23">
        <f>IF('Sports Teams &amp; Leagues'!J4="","",'Sports Teams &amp; Leagues'!J4)</f>
        <v/>
      </c>
      <c r="J94" s="22">
        <f>IF('Sports Teams &amp; Leagues'!K4="","",'Sports Teams &amp; Leagues'!K4)</f>
        <v/>
      </c>
      <c r="K94" s="23">
        <f>IF('Sports Teams &amp; Leagues'!L4="","",'Sports Teams &amp; Leagues'!L4)</f>
        <v/>
      </c>
      <c r="L94" s="22">
        <f>IF('Sports Teams &amp; Leagues'!M4="","",'Sports Teams &amp; Leagues'!M4)</f>
        <v/>
      </c>
      <c r="M94" s="23">
        <f>IF('Sports Teams &amp; Leagues'!N4="","",'Sports Teams &amp; Leagues'!N4)</f>
        <v/>
      </c>
      <c r="N94" s="22">
        <f>IF('Sports Teams &amp; Leagues'!O4="","",'Sports Teams &amp; Leagues'!O4)</f>
        <v/>
      </c>
      <c r="O94" s="23">
        <f>IF('Sports Teams &amp; Leagues'!P4="","",'Sports Teams &amp; Leagues'!P4)</f>
        <v/>
      </c>
      <c r="P94" s="23">
        <f>IF('Sports Teams &amp; Leagues'!Q4="","",'Sports Teams &amp; Leagues'!Q4)</f>
        <v/>
      </c>
      <c r="Q94" s="24">
        <f>IF('Sports Teams &amp; Leagues'!R4="","",'Sports Teams &amp; Leagues'!R4)</f>
        <v/>
      </c>
      <c r="R94" s="25">
        <f>IF('Sports Teams &amp; Leagues'!S4="","",'Sports Teams &amp; Leagues'!S4)</f>
        <v/>
      </c>
      <c r="S94" s="22">
        <f>IF('Sports Teams &amp; Leagues'!T4="","",'Sports Teams &amp; Leagues'!T4)</f>
        <v/>
      </c>
      <c r="T94" s="24">
        <f>IF('Sports Teams &amp; Leagues'!U4="","",'Sports Teams &amp; Leagues'!U4)</f>
        <v/>
      </c>
      <c r="U94" s="23">
        <f>IF('Sports Teams &amp; Leagues'!V4="","",'Sports Teams &amp; Leagues'!V4)</f>
        <v/>
      </c>
      <c r="V94" s="24">
        <f>IF('Sports Teams &amp; Leagues'!W4="","",'Sports Teams &amp; Leagues'!W4)</f>
        <v/>
      </c>
      <c r="W94" s="23">
        <f>IF('Sports Teams &amp; Leagues'!X4="","",'Sports Teams &amp; Leagues'!X4)</f>
        <v/>
      </c>
      <c r="X94" s="23">
        <f>IF('Sports Teams &amp; Leagues'!Y4="","",'Sports Teams &amp; Leagues'!Y4)</f>
        <v/>
      </c>
      <c r="Y94" s="26">
        <f>IF('Sports Teams &amp; Leagues'!Z4="","",'Sports Teams &amp; Leagues'!Z4)</f>
        <v/>
      </c>
      <c r="Z94" s="27">
        <f>IF('Sports Teams &amp; Leagues'!AA4="","",'Sports Teams &amp; Leagues'!AA4)</f>
        <v/>
      </c>
      <c r="AA94" s="26">
        <f>IF('Sports Teams &amp; Leagues'!AB4="","",'Sports Teams &amp; Leagues'!AB4)</f>
        <v/>
      </c>
      <c r="AB94" s="22">
        <f>IF('Sports Teams &amp; Leagues'!AC4="","",'Sports Teams &amp; Leagues'!AC4)</f>
        <v/>
      </c>
      <c r="AC94" s="22">
        <f>IF('Sports Teams &amp; Leagues'!AD4="","",'Sports Teams &amp; Leagues'!AD4)</f>
        <v/>
      </c>
      <c r="AD94" s="22">
        <f>IF('Sports Teams &amp; Leagues'!AE4="","",'Sports Teams &amp; Leagues'!AE4)</f>
        <v/>
      </c>
      <c r="AE94" s="22">
        <f>IF('Sports Teams &amp; Leagues'!AF4="","",'Sports Teams &amp; Leagues'!AF4)</f>
        <v/>
      </c>
      <c r="AF94" s="22">
        <f>IF('Sports Teams &amp; Leagues'!AG4="","",'Sports Teams &amp; Leagues'!AG4)</f>
        <v/>
      </c>
      <c r="AG94" s="23">
        <f>IF('Sports Teams &amp; Leagues'!AH4="","",'Sports Teams &amp; Leagues'!AH4)</f>
        <v/>
      </c>
      <c r="AH94" s="23">
        <f>IF('Sports Teams &amp; Leagues'!AI4="","",'Sports Teams &amp; Leagues'!AI4)</f>
        <v/>
      </c>
      <c r="AI94" s="23">
        <f>IF('Sports Teams &amp; Leagues'!AJ4="","",'Sports Teams &amp; Leagues'!AJ4)</f>
        <v/>
      </c>
      <c r="AJ94" s="23">
        <f>IF('Sports Teams &amp; Leagues'!AK4="","",'Sports Teams &amp; Leagues'!AK4)</f>
        <v/>
      </c>
      <c r="AK94" s="22">
        <f>IF('Sports Teams &amp; Leagues'!AL4="","",'Sports Teams &amp; Leagues'!AL4)</f>
        <v/>
      </c>
      <c r="AL94" s="18">
        <f>IF(V94="","",V94+ROW()/100000)</f>
        <v/>
      </c>
    </row>
    <row r="95" ht="18" customHeight="1">
      <c r="A95" s="16">
        <f>IF('Sports Teams &amp; Leagues'!B5="","","Sports Teams &amp; Leagues")</f>
        <v/>
      </c>
      <c r="B95" s="16">
        <f>IF('Sports Teams &amp; Leagues'!B5="","",'Sports Teams &amp; Leagues'!B5)</f>
        <v/>
      </c>
      <c r="C95" s="17">
        <f>IF('Sports Teams &amp; Leagues'!D5="","",'Sports Teams &amp; Leagues'!D5)</f>
        <v/>
      </c>
      <c r="D95" s="16">
        <f>IF('Sports Teams &amp; Leagues'!E5="","",'Sports Teams &amp; Leagues'!E5)</f>
        <v/>
      </c>
      <c r="E95" s="17">
        <f>IF('Sports Teams &amp; Leagues'!F5="","",'Sports Teams &amp; Leagues'!F5)</f>
        <v/>
      </c>
      <c r="F95" s="17">
        <f>IF('Sports Teams &amp; Leagues'!G5="","",'Sports Teams &amp; Leagues'!G5)</f>
        <v/>
      </c>
      <c r="G95" s="17">
        <f>IF('Sports Teams &amp; Leagues'!H5="","",'Sports Teams &amp; Leagues'!H5)</f>
        <v/>
      </c>
      <c r="H95" s="16">
        <f>IF('Sports Teams &amp; Leagues'!I5="","",'Sports Teams &amp; Leagues'!I5)</f>
        <v/>
      </c>
      <c r="I95" s="17">
        <f>IF('Sports Teams &amp; Leagues'!J5="","",'Sports Teams &amp; Leagues'!J5)</f>
        <v/>
      </c>
      <c r="J95" s="16">
        <f>IF('Sports Teams &amp; Leagues'!K5="","",'Sports Teams &amp; Leagues'!K5)</f>
        <v/>
      </c>
      <c r="K95" s="17">
        <f>IF('Sports Teams &amp; Leagues'!L5="","",'Sports Teams &amp; Leagues'!L5)</f>
        <v/>
      </c>
      <c r="L95" s="16">
        <f>IF('Sports Teams &amp; Leagues'!M5="","",'Sports Teams &amp; Leagues'!M5)</f>
        <v/>
      </c>
      <c r="M95" s="17">
        <f>IF('Sports Teams &amp; Leagues'!N5="","",'Sports Teams &amp; Leagues'!N5)</f>
        <v/>
      </c>
      <c r="N95" s="16">
        <f>IF('Sports Teams &amp; Leagues'!O5="","",'Sports Teams &amp; Leagues'!O5)</f>
        <v/>
      </c>
      <c r="O95" s="17">
        <f>IF('Sports Teams &amp; Leagues'!P5="","",'Sports Teams &amp; Leagues'!P5)</f>
        <v/>
      </c>
      <c r="P95" s="17">
        <f>IF('Sports Teams &amp; Leagues'!Q5="","",'Sports Teams &amp; Leagues'!Q5)</f>
        <v/>
      </c>
      <c r="Q95" s="15">
        <f>IF('Sports Teams &amp; Leagues'!R5="","",'Sports Teams &amp; Leagues'!R5)</f>
        <v/>
      </c>
      <c r="R95" s="19">
        <f>IF('Sports Teams &amp; Leagues'!S5="","",'Sports Teams &amp; Leagues'!S5)</f>
        <v/>
      </c>
      <c r="S95" s="16">
        <f>IF('Sports Teams &amp; Leagues'!T5="","",'Sports Teams &amp; Leagues'!T5)</f>
        <v/>
      </c>
      <c r="T95" s="15">
        <f>IF('Sports Teams &amp; Leagues'!U5="","",'Sports Teams &amp; Leagues'!U5)</f>
        <v/>
      </c>
      <c r="U95" s="17">
        <f>IF('Sports Teams &amp; Leagues'!V5="","",'Sports Teams &amp; Leagues'!V5)</f>
        <v/>
      </c>
      <c r="V95" s="15">
        <f>IF('Sports Teams &amp; Leagues'!W5="","",'Sports Teams &amp; Leagues'!W5)</f>
        <v/>
      </c>
      <c r="W95" s="17">
        <f>IF('Sports Teams &amp; Leagues'!X5="","",'Sports Teams &amp; Leagues'!X5)</f>
        <v/>
      </c>
      <c r="X95" s="17">
        <f>IF('Sports Teams &amp; Leagues'!Y5="","",'Sports Teams &amp; Leagues'!Y5)</f>
        <v/>
      </c>
      <c r="Y95" s="20">
        <f>IF('Sports Teams &amp; Leagues'!Z5="","",'Sports Teams &amp; Leagues'!Z5)</f>
        <v/>
      </c>
      <c r="Z95" s="21">
        <f>IF('Sports Teams &amp; Leagues'!AA5="","",'Sports Teams &amp; Leagues'!AA5)</f>
        <v/>
      </c>
      <c r="AA95" s="20">
        <f>IF('Sports Teams &amp; Leagues'!AB5="","",'Sports Teams &amp; Leagues'!AB5)</f>
        <v/>
      </c>
      <c r="AB95" s="16">
        <f>IF('Sports Teams &amp; Leagues'!AC5="","",'Sports Teams &amp; Leagues'!AC5)</f>
        <v/>
      </c>
      <c r="AC95" s="16">
        <f>IF('Sports Teams &amp; Leagues'!AD5="","",'Sports Teams &amp; Leagues'!AD5)</f>
        <v/>
      </c>
      <c r="AD95" s="16">
        <f>IF('Sports Teams &amp; Leagues'!AE5="","",'Sports Teams &amp; Leagues'!AE5)</f>
        <v/>
      </c>
      <c r="AE95" s="16">
        <f>IF('Sports Teams &amp; Leagues'!AF5="","",'Sports Teams &amp; Leagues'!AF5)</f>
        <v/>
      </c>
      <c r="AF95" s="16">
        <f>IF('Sports Teams &amp; Leagues'!AG5="","",'Sports Teams &amp; Leagues'!AG5)</f>
        <v/>
      </c>
      <c r="AG95" s="17">
        <f>IF('Sports Teams &amp; Leagues'!AH5="","",'Sports Teams &amp; Leagues'!AH5)</f>
        <v/>
      </c>
      <c r="AH95" s="17">
        <f>IF('Sports Teams &amp; Leagues'!AI5="","",'Sports Teams &amp; Leagues'!AI5)</f>
        <v/>
      </c>
      <c r="AI95" s="17">
        <f>IF('Sports Teams &amp; Leagues'!AJ5="","",'Sports Teams &amp; Leagues'!AJ5)</f>
        <v/>
      </c>
      <c r="AJ95" s="17">
        <f>IF('Sports Teams &amp; Leagues'!AK5="","",'Sports Teams &amp; Leagues'!AK5)</f>
        <v/>
      </c>
      <c r="AK95" s="16">
        <f>IF('Sports Teams &amp; Leagues'!AL5="","",'Sports Teams &amp; Leagues'!AL5)</f>
        <v/>
      </c>
      <c r="AL95" s="18">
        <f>IF(V95="","",V95+ROW()/100000)</f>
        <v/>
      </c>
    </row>
    <row r="96" ht="18" customHeight="1">
      <c r="A96" s="22">
        <f>IF('Sports Teams &amp; Leagues'!B6="","","Sports Teams &amp; Leagues")</f>
        <v/>
      </c>
      <c r="B96" s="22">
        <f>IF('Sports Teams &amp; Leagues'!B6="","",'Sports Teams &amp; Leagues'!B6)</f>
        <v/>
      </c>
      <c r="C96" s="23">
        <f>IF('Sports Teams &amp; Leagues'!D6="","",'Sports Teams &amp; Leagues'!D6)</f>
        <v/>
      </c>
      <c r="D96" s="22">
        <f>IF('Sports Teams &amp; Leagues'!E6="","",'Sports Teams &amp; Leagues'!E6)</f>
        <v/>
      </c>
      <c r="E96" s="23">
        <f>IF('Sports Teams &amp; Leagues'!F6="","",'Sports Teams &amp; Leagues'!F6)</f>
        <v/>
      </c>
      <c r="F96" s="23">
        <f>IF('Sports Teams &amp; Leagues'!G6="","",'Sports Teams &amp; Leagues'!G6)</f>
        <v/>
      </c>
      <c r="G96" s="23">
        <f>IF('Sports Teams &amp; Leagues'!H6="","",'Sports Teams &amp; Leagues'!H6)</f>
        <v/>
      </c>
      <c r="H96" s="22">
        <f>IF('Sports Teams &amp; Leagues'!I6="","",'Sports Teams &amp; Leagues'!I6)</f>
        <v/>
      </c>
      <c r="I96" s="23">
        <f>IF('Sports Teams &amp; Leagues'!J6="","",'Sports Teams &amp; Leagues'!J6)</f>
        <v/>
      </c>
      <c r="J96" s="22">
        <f>IF('Sports Teams &amp; Leagues'!K6="","",'Sports Teams &amp; Leagues'!K6)</f>
        <v/>
      </c>
      <c r="K96" s="23">
        <f>IF('Sports Teams &amp; Leagues'!L6="","",'Sports Teams &amp; Leagues'!L6)</f>
        <v/>
      </c>
      <c r="L96" s="22">
        <f>IF('Sports Teams &amp; Leagues'!M6="","",'Sports Teams &amp; Leagues'!M6)</f>
        <v/>
      </c>
      <c r="M96" s="23">
        <f>IF('Sports Teams &amp; Leagues'!N6="","",'Sports Teams &amp; Leagues'!N6)</f>
        <v/>
      </c>
      <c r="N96" s="22">
        <f>IF('Sports Teams &amp; Leagues'!O6="","",'Sports Teams &amp; Leagues'!O6)</f>
        <v/>
      </c>
      <c r="O96" s="23">
        <f>IF('Sports Teams &amp; Leagues'!P6="","",'Sports Teams &amp; Leagues'!P6)</f>
        <v/>
      </c>
      <c r="P96" s="23">
        <f>IF('Sports Teams &amp; Leagues'!Q6="","",'Sports Teams &amp; Leagues'!Q6)</f>
        <v/>
      </c>
      <c r="Q96" s="24">
        <f>IF('Sports Teams &amp; Leagues'!R6="","",'Sports Teams &amp; Leagues'!R6)</f>
        <v/>
      </c>
      <c r="R96" s="25">
        <f>IF('Sports Teams &amp; Leagues'!S6="","",'Sports Teams &amp; Leagues'!S6)</f>
        <v/>
      </c>
      <c r="S96" s="22">
        <f>IF('Sports Teams &amp; Leagues'!T6="","",'Sports Teams &amp; Leagues'!T6)</f>
        <v/>
      </c>
      <c r="T96" s="24">
        <f>IF('Sports Teams &amp; Leagues'!U6="","",'Sports Teams &amp; Leagues'!U6)</f>
        <v/>
      </c>
      <c r="U96" s="23">
        <f>IF('Sports Teams &amp; Leagues'!V6="","",'Sports Teams &amp; Leagues'!V6)</f>
        <v/>
      </c>
      <c r="V96" s="24">
        <f>IF('Sports Teams &amp; Leagues'!W6="","",'Sports Teams &amp; Leagues'!W6)</f>
        <v/>
      </c>
      <c r="W96" s="23">
        <f>IF('Sports Teams &amp; Leagues'!X6="","",'Sports Teams &amp; Leagues'!X6)</f>
        <v/>
      </c>
      <c r="X96" s="23">
        <f>IF('Sports Teams &amp; Leagues'!Y6="","",'Sports Teams &amp; Leagues'!Y6)</f>
        <v/>
      </c>
      <c r="Y96" s="26">
        <f>IF('Sports Teams &amp; Leagues'!Z6="","",'Sports Teams &amp; Leagues'!Z6)</f>
        <v/>
      </c>
      <c r="Z96" s="27">
        <f>IF('Sports Teams &amp; Leagues'!AA6="","",'Sports Teams &amp; Leagues'!AA6)</f>
        <v/>
      </c>
      <c r="AA96" s="26">
        <f>IF('Sports Teams &amp; Leagues'!AB6="","",'Sports Teams &amp; Leagues'!AB6)</f>
        <v/>
      </c>
      <c r="AB96" s="22">
        <f>IF('Sports Teams &amp; Leagues'!AC6="","",'Sports Teams &amp; Leagues'!AC6)</f>
        <v/>
      </c>
      <c r="AC96" s="22">
        <f>IF('Sports Teams &amp; Leagues'!AD6="","",'Sports Teams &amp; Leagues'!AD6)</f>
        <v/>
      </c>
      <c r="AD96" s="22">
        <f>IF('Sports Teams &amp; Leagues'!AE6="","",'Sports Teams &amp; Leagues'!AE6)</f>
        <v/>
      </c>
      <c r="AE96" s="22">
        <f>IF('Sports Teams &amp; Leagues'!AF6="","",'Sports Teams &amp; Leagues'!AF6)</f>
        <v/>
      </c>
      <c r="AF96" s="22">
        <f>IF('Sports Teams &amp; Leagues'!AG6="","",'Sports Teams &amp; Leagues'!AG6)</f>
        <v/>
      </c>
      <c r="AG96" s="23">
        <f>IF('Sports Teams &amp; Leagues'!AH6="","",'Sports Teams &amp; Leagues'!AH6)</f>
        <v/>
      </c>
      <c r="AH96" s="23">
        <f>IF('Sports Teams &amp; Leagues'!AI6="","",'Sports Teams &amp; Leagues'!AI6)</f>
        <v/>
      </c>
      <c r="AI96" s="23">
        <f>IF('Sports Teams &amp; Leagues'!AJ6="","",'Sports Teams &amp; Leagues'!AJ6)</f>
        <v/>
      </c>
      <c r="AJ96" s="23">
        <f>IF('Sports Teams &amp; Leagues'!AK6="","",'Sports Teams &amp; Leagues'!AK6)</f>
        <v/>
      </c>
      <c r="AK96" s="22">
        <f>IF('Sports Teams &amp; Leagues'!AL6="","",'Sports Teams &amp; Leagues'!AL6)</f>
        <v/>
      </c>
      <c r="AL96" s="18">
        <f>IF(V96="","",V96+ROW()/100000)</f>
        <v/>
      </c>
    </row>
    <row r="97" ht="18" customHeight="1">
      <c r="A97" s="16">
        <f>IF('Sports Teams &amp; Leagues'!B7="","","Sports Teams &amp; Leagues")</f>
        <v/>
      </c>
      <c r="B97" s="16">
        <f>IF('Sports Teams &amp; Leagues'!B7="","",'Sports Teams &amp; Leagues'!B7)</f>
        <v/>
      </c>
      <c r="C97" s="17">
        <f>IF('Sports Teams &amp; Leagues'!D7="","",'Sports Teams &amp; Leagues'!D7)</f>
        <v/>
      </c>
      <c r="D97" s="16">
        <f>IF('Sports Teams &amp; Leagues'!E7="","",'Sports Teams &amp; Leagues'!E7)</f>
        <v/>
      </c>
      <c r="E97" s="17">
        <f>IF('Sports Teams &amp; Leagues'!F7="","",'Sports Teams &amp; Leagues'!F7)</f>
        <v/>
      </c>
      <c r="F97" s="17">
        <f>IF('Sports Teams &amp; Leagues'!G7="","",'Sports Teams &amp; Leagues'!G7)</f>
        <v/>
      </c>
      <c r="G97" s="17">
        <f>IF('Sports Teams &amp; Leagues'!H7="","",'Sports Teams &amp; Leagues'!H7)</f>
        <v/>
      </c>
      <c r="H97" s="16">
        <f>IF('Sports Teams &amp; Leagues'!I7="","",'Sports Teams &amp; Leagues'!I7)</f>
        <v/>
      </c>
      <c r="I97" s="17">
        <f>IF('Sports Teams &amp; Leagues'!J7="","",'Sports Teams &amp; Leagues'!J7)</f>
        <v/>
      </c>
      <c r="J97" s="16">
        <f>IF('Sports Teams &amp; Leagues'!K7="","",'Sports Teams &amp; Leagues'!K7)</f>
        <v/>
      </c>
      <c r="K97" s="17">
        <f>IF('Sports Teams &amp; Leagues'!L7="","",'Sports Teams &amp; Leagues'!L7)</f>
        <v/>
      </c>
      <c r="L97" s="16">
        <f>IF('Sports Teams &amp; Leagues'!M7="","",'Sports Teams &amp; Leagues'!M7)</f>
        <v/>
      </c>
      <c r="M97" s="17">
        <f>IF('Sports Teams &amp; Leagues'!N7="","",'Sports Teams &amp; Leagues'!N7)</f>
        <v/>
      </c>
      <c r="N97" s="16">
        <f>IF('Sports Teams &amp; Leagues'!O7="","",'Sports Teams &amp; Leagues'!O7)</f>
        <v/>
      </c>
      <c r="O97" s="17">
        <f>IF('Sports Teams &amp; Leagues'!P7="","",'Sports Teams &amp; Leagues'!P7)</f>
        <v/>
      </c>
      <c r="P97" s="17">
        <f>IF('Sports Teams &amp; Leagues'!Q7="","",'Sports Teams &amp; Leagues'!Q7)</f>
        <v/>
      </c>
      <c r="Q97" s="15">
        <f>IF('Sports Teams &amp; Leagues'!R7="","",'Sports Teams &amp; Leagues'!R7)</f>
        <v/>
      </c>
      <c r="R97" s="19">
        <f>IF('Sports Teams &amp; Leagues'!S7="","",'Sports Teams &amp; Leagues'!S7)</f>
        <v/>
      </c>
      <c r="S97" s="16">
        <f>IF('Sports Teams &amp; Leagues'!T7="","",'Sports Teams &amp; Leagues'!T7)</f>
        <v/>
      </c>
      <c r="T97" s="15">
        <f>IF('Sports Teams &amp; Leagues'!U7="","",'Sports Teams &amp; Leagues'!U7)</f>
        <v/>
      </c>
      <c r="U97" s="17">
        <f>IF('Sports Teams &amp; Leagues'!V7="","",'Sports Teams &amp; Leagues'!V7)</f>
        <v/>
      </c>
      <c r="V97" s="15">
        <f>IF('Sports Teams &amp; Leagues'!W7="","",'Sports Teams &amp; Leagues'!W7)</f>
        <v/>
      </c>
      <c r="W97" s="17">
        <f>IF('Sports Teams &amp; Leagues'!X7="","",'Sports Teams &amp; Leagues'!X7)</f>
        <v/>
      </c>
      <c r="X97" s="17">
        <f>IF('Sports Teams &amp; Leagues'!Y7="","",'Sports Teams &amp; Leagues'!Y7)</f>
        <v/>
      </c>
      <c r="Y97" s="20">
        <f>IF('Sports Teams &amp; Leagues'!Z7="","",'Sports Teams &amp; Leagues'!Z7)</f>
        <v/>
      </c>
      <c r="Z97" s="21">
        <f>IF('Sports Teams &amp; Leagues'!AA7="","",'Sports Teams &amp; Leagues'!AA7)</f>
        <v/>
      </c>
      <c r="AA97" s="20">
        <f>IF('Sports Teams &amp; Leagues'!AB7="","",'Sports Teams &amp; Leagues'!AB7)</f>
        <v/>
      </c>
      <c r="AB97" s="16">
        <f>IF('Sports Teams &amp; Leagues'!AC7="","",'Sports Teams &amp; Leagues'!AC7)</f>
        <v/>
      </c>
      <c r="AC97" s="16">
        <f>IF('Sports Teams &amp; Leagues'!AD7="","",'Sports Teams &amp; Leagues'!AD7)</f>
        <v/>
      </c>
      <c r="AD97" s="16">
        <f>IF('Sports Teams &amp; Leagues'!AE7="","",'Sports Teams &amp; Leagues'!AE7)</f>
        <v/>
      </c>
      <c r="AE97" s="16">
        <f>IF('Sports Teams &amp; Leagues'!AF7="","",'Sports Teams &amp; Leagues'!AF7)</f>
        <v/>
      </c>
      <c r="AF97" s="16">
        <f>IF('Sports Teams &amp; Leagues'!AG7="","",'Sports Teams &amp; Leagues'!AG7)</f>
        <v/>
      </c>
      <c r="AG97" s="17">
        <f>IF('Sports Teams &amp; Leagues'!AH7="","",'Sports Teams &amp; Leagues'!AH7)</f>
        <v/>
      </c>
      <c r="AH97" s="17">
        <f>IF('Sports Teams &amp; Leagues'!AI7="","",'Sports Teams &amp; Leagues'!AI7)</f>
        <v/>
      </c>
      <c r="AI97" s="17">
        <f>IF('Sports Teams &amp; Leagues'!AJ7="","",'Sports Teams &amp; Leagues'!AJ7)</f>
        <v/>
      </c>
      <c r="AJ97" s="17">
        <f>IF('Sports Teams &amp; Leagues'!AK7="","",'Sports Teams &amp; Leagues'!AK7)</f>
        <v/>
      </c>
      <c r="AK97" s="16">
        <f>IF('Sports Teams &amp; Leagues'!AL7="","",'Sports Teams &amp; Leagues'!AL7)</f>
        <v/>
      </c>
      <c r="AL97" s="18">
        <f>IF(V97="","",V97+ROW()/100000)</f>
        <v/>
      </c>
    </row>
    <row r="98" ht="18" customHeight="1">
      <c r="A98" s="22">
        <f>IF('Sports Teams &amp; Leagues'!B8="","","Sports Teams &amp; Leagues")</f>
        <v/>
      </c>
      <c r="B98" s="22">
        <f>IF('Sports Teams &amp; Leagues'!B8="","",'Sports Teams &amp; Leagues'!B8)</f>
        <v/>
      </c>
      <c r="C98" s="23">
        <f>IF('Sports Teams &amp; Leagues'!D8="","",'Sports Teams &amp; Leagues'!D8)</f>
        <v/>
      </c>
      <c r="D98" s="22">
        <f>IF('Sports Teams &amp; Leagues'!E8="","",'Sports Teams &amp; Leagues'!E8)</f>
        <v/>
      </c>
      <c r="E98" s="23">
        <f>IF('Sports Teams &amp; Leagues'!F8="","",'Sports Teams &amp; Leagues'!F8)</f>
        <v/>
      </c>
      <c r="F98" s="23">
        <f>IF('Sports Teams &amp; Leagues'!G8="","",'Sports Teams &amp; Leagues'!G8)</f>
        <v/>
      </c>
      <c r="G98" s="23">
        <f>IF('Sports Teams &amp; Leagues'!H8="","",'Sports Teams &amp; Leagues'!H8)</f>
        <v/>
      </c>
      <c r="H98" s="22">
        <f>IF('Sports Teams &amp; Leagues'!I8="","",'Sports Teams &amp; Leagues'!I8)</f>
        <v/>
      </c>
      <c r="I98" s="23">
        <f>IF('Sports Teams &amp; Leagues'!J8="","",'Sports Teams &amp; Leagues'!J8)</f>
        <v/>
      </c>
      <c r="J98" s="22">
        <f>IF('Sports Teams &amp; Leagues'!K8="","",'Sports Teams &amp; Leagues'!K8)</f>
        <v/>
      </c>
      <c r="K98" s="23">
        <f>IF('Sports Teams &amp; Leagues'!L8="","",'Sports Teams &amp; Leagues'!L8)</f>
        <v/>
      </c>
      <c r="L98" s="22">
        <f>IF('Sports Teams &amp; Leagues'!M8="","",'Sports Teams &amp; Leagues'!M8)</f>
        <v/>
      </c>
      <c r="M98" s="23">
        <f>IF('Sports Teams &amp; Leagues'!N8="","",'Sports Teams &amp; Leagues'!N8)</f>
        <v/>
      </c>
      <c r="N98" s="22">
        <f>IF('Sports Teams &amp; Leagues'!O8="","",'Sports Teams &amp; Leagues'!O8)</f>
        <v/>
      </c>
      <c r="O98" s="23">
        <f>IF('Sports Teams &amp; Leagues'!P8="","",'Sports Teams &amp; Leagues'!P8)</f>
        <v/>
      </c>
      <c r="P98" s="23">
        <f>IF('Sports Teams &amp; Leagues'!Q8="","",'Sports Teams &amp; Leagues'!Q8)</f>
        <v/>
      </c>
      <c r="Q98" s="24">
        <f>IF('Sports Teams &amp; Leagues'!R8="","",'Sports Teams &amp; Leagues'!R8)</f>
        <v/>
      </c>
      <c r="R98" s="25">
        <f>IF('Sports Teams &amp; Leagues'!S8="","",'Sports Teams &amp; Leagues'!S8)</f>
        <v/>
      </c>
      <c r="S98" s="22">
        <f>IF('Sports Teams &amp; Leagues'!T8="","",'Sports Teams &amp; Leagues'!T8)</f>
        <v/>
      </c>
      <c r="T98" s="24">
        <f>IF('Sports Teams &amp; Leagues'!U8="","",'Sports Teams &amp; Leagues'!U8)</f>
        <v/>
      </c>
      <c r="U98" s="23">
        <f>IF('Sports Teams &amp; Leagues'!V8="","",'Sports Teams &amp; Leagues'!V8)</f>
        <v/>
      </c>
      <c r="V98" s="24">
        <f>IF('Sports Teams &amp; Leagues'!W8="","",'Sports Teams &amp; Leagues'!W8)</f>
        <v/>
      </c>
      <c r="W98" s="23">
        <f>IF('Sports Teams &amp; Leagues'!X8="","",'Sports Teams &amp; Leagues'!X8)</f>
        <v/>
      </c>
      <c r="X98" s="23">
        <f>IF('Sports Teams &amp; Leagues'!Y8="","",'Sports Teams &amp; Leagues'!Y8)</f>
        <v/>
      </c>
      <c r="Y98" s="26">
        <f>IF('Sports Teams &amp; Leagues'!Z8="","",'Sports Teams &amp; Leagues'!Z8)</f>
        <v/>
      </c>
      <c r="Z98" s="27">
        <f>IF('Sports Teams &amp; Leagues'!AA8="","",'Sports Teams &amp; Leagues'!AA8)</f>
        <v/>
      </c>
      <c r="AA98" s="26">
        <f>IF('Sports Teams &amp; Leagues'!AB8="","",'Sports Teams &amp; Leagues'!AB8)</f>
        <v/>
      </c>
      <c r="AB98" s="22">
        <f>IF('Sports Teams &amp; Leagues'!AC8="","",'Sports Teams &amp; Leagues'!AC8)</f>
        <v/>
      </c>
      <c r="AC98" s="22">
        <f>IF('Sports Teams &amp; Leagues'!AD8="","",'Sports Teams &amp; Leagues'!AD8)</f>
        <v/>
      </c>
      <c r="AD98" s="22">
        <f>IF('Sports Teams &amp; Leagues'!AE8="","",'Sports Teams &amp; Leagues'!AE8)</f>
        <v/>
      </c>
      <c r="AE98" s="22">
        <f>IF('Sports Teams &amp; Leagues'!AF8="","",'Sports Teams &amp; Leagues'!AF8)</f>
        <v/>
      </c>
      <c r="AF98" s="22">
        <f>IF('Sports Teams &amp; Leagues'!AG8="","",'Sports Teams &amp; Leagues'!AG8)</f>
        <v/>
      </c>
      <c r="AG98" s="23">
        <f>IF('Sports Teams &amp; Leagues'!AH8="","",'Sports Teams &amp; Leagues'!AH8)</f>
        <v/>
      </c>
      <c r="AH98" s="23">
        <f>IF('Sports Teams &amp; Leagues'!AI8="","",'Sports Teams &amp; Leagues'!AI8)</f>
        <v/>
      </c>
      <c r="AI98" s="23">
        <f>IF('Sports Teams &amp; Leagues'!AJ8="","",'Sports Teams &amp; Leagues'!AJ8)</f>
        <v/>
      </c>
      <c r="AJ98" s="23">
        <f>IF('Sports Teams &amp; Leagues'!AK8="","",'Sports Teams &amp; Leagues'!AK8)</f>
        <v/>
      </c>
      <c r="AK98" s="22">
        <f>IF('Sports Teams &amp; Leagues'!AL8="","",'Sports Teams &amp; Leagues'!AL8)</f>
        <v/>
      </c>
      <c r="AL98" s="18">
        <f>IF(V98="","",V98+ROW()/100000)</f>
        <v/>
      </c>
    </row>
    <row r="99" ht="18" customHeight="1">
      <c r="A99" s="16">
        <f>IF('Sports Teams &amp; Leagues'!B9="","","Sports Teams &amp; Leagues")</f>
        <v/>
      </c>
      <c r="B99" s="16">
        <f>IF('Sports Teams &amp; Leagues'!B9="","",'Sports Teams &amp; Leagues'!B9)</f>
        <v/>
      </c>
      <c r="C99" s="17">
        <f>IF('Sports Teams &amp; Leagues'!D9="","",'Sports Teams &amp; Leagues'!D9)</f>
        <v/>
      </c>
      <c r="D99" s="16">
        <f>IF('Sports Teams &amp; Leagues'!E9="","",'Sports Teams &amp; Leagues'!E9)</f>
        <v/>
      </c>
      <c r="E99" s="17">
        <f>IF('Sports Teams &amp; Leagues'!F9="","",'Sports Teams &amp; Leagues'!F9)</f>
        <v/>
      </c>
      <c r="F99" s="17">
        <f>IF('Sports Teams &amp; Leagues'!G9="","",'Sports Teams &amp; Leagues'!G9)</f>
        <v/>
      </c>
      <c r="G99" s="17">
        <f>IF('Sports Teams &amp; Leagues'!H9="","",'Sports Teams &amp; Leagues'!H9)</f>
        <v/>
      </c>
      <c r="H99" s="16">
        <f>IF('Sports Teams &amp; Leagues'!I9="","",'Sports Teams &amp; Leagues'!I9)</f>
        <v/>
      </c>
      <c r="I99" s="17">
        <f>IF('Sports Teams &amp; Leagues'!J9="","",'Sports Teams &amp; Leagues'!J9)</f>
        <v/>
      </c>
      <c r="J99" s="16">
        <f>IF('Sports Teams &amp; Leagues'!K9="","",'Sports Teams &amp; Leagues'!K9)</f>
        <v/>
      </c>
      <c r="K99" s="17">
        <f>IF('Sports Teams &amp; Leagues'!L9="","",'Sports Teams &amp; Leagues'!L9)</f>
        <v/>
      </c>
      <c r="L99" s="16">
        <f>IF('Sports Teams &amp; Leagues'!M9="","",'Sports Teams &amp; Leagues'!M9)</f>
        <v/>
      </c>
      <c r="M99" s="17">
        <f>IF('Sports Teams &amp; Leagues'!N9="","",'Sports Teams &amp; Leagues'!N9)</f>
        <v/>
      </c>
      <c r="N99" s="16">
        <f>IF('Sports Teams &amp; Leagues'!O9="","",'Sports Teams &amp; Leagues'!O9)</f>
        <v/>
      </c>
      <c r="O99" s="17">
        <f>IF('Sports Teams &amp; Leagues'!P9="","",'Sports Teams &amp; Leagues'!P9)</f>
        <v/>
      </c>
      <c r="P99" s="17">
        <f>IF('Sports Teams &amp; Leagues'!Q9="","",'Sports Teams &amp; Leagues'!Q9)</f>
        <v/>
      </c>
      <c r="Q99" s="15">
        <f>IF('Sports Teams &amp; Leagues'!R9="","",'Sports Teams &amp; Leagues'!R9)</f>
        <v/>
      </c>
      <c r="R99" s="19">
        <f>IF('Sports Teams &amp; Leagues'!S9="","",'Sports Teams &amp; Leagues'!S9)</f>
        <v/>
      </c>
      <c r="S99" s="16">
        <f>IF('Sports Teams &amp; Leagues'!T9="","",'Sports Teams &amp; Leagues'!T9)</f>
        <v/>
      </c>
      <c r="T99" s="15">
        <f>IF('Sports Teams &amp; Leagues'!U9="","",'Sports Teams &amp; Leagues'!U9)</f>
        <v/>
      </c>
      <c r="U99" s="17">
        <f>IF('Sports Teams &amp; Leagues'!V9="","",'Sports Teams &amp; Leagues'!V9)</f>
        <v/>
      </c>
      <c r="V99" s="15">
        <f>IF('Sports Teams &amp; Leagues'!W9="","",'Sports Teams &amp; Leagues'!W9)</f>
        <v/>
      </c>
      <c r="W99" s="17">
        <f>IF('Sports Teams &amp; Leagues'!X9="","",'Sports Teams &amp; Leagues'!X9)</f>
        <v/>
      </c>
      <c r="X99" s="17">
        <f>IF('Sports Teams &amp; Leagues'!Y9="","",'Sports Teams &amp; Leagues'!Y9)</f>
        <v/>
      </c>
      <c r="Y99" s="20">
        <f>IF('Sports Teams &amp; Leagues'!Z9="","",'Sports Teams &amp; Leagues'!Z9)</f>
        <v/>
      </c>
      <c r="Z99" s="21">
        <f>IF('Sports Teams &amp; Leagues'!AA9="","",'Sports Teams &amp; Leagues'!AA9)</f>
        <v/>
      </c>
      <c r="AA99" s="20">
        <f>IF('Sports Teams &amp; Leagues'!AB9="","",'Sports Teams &amp; Leagues'!AB9)</f>
        <v/>
      </c>
      <c r="AB99" s="16">
        <f>IF('Sports Teams &amp; Leagues'!AC9="","",'Sports Teams &amp; Leagues'!AC9)</f>
        <v/>
      </c>
      <c r="AC99" s="16">
        <f>IF('Sports Teams &amp; Leagues'!AD9="","",'Sports Teams &amp; Leagues'!AD9)</f>
        <v/>
      </c>
      <c r="AD99" s="16">
        <f>IF('Sports Teams &amp; Leagues'!AE9="","",'Sports Teams &amp; Leagues'!AE9)</f>
        <v/>
      </c>
      <c r="AE99" s="16">
        <f>IF('Sports Teams &amp; Leagues'!AF9="","",'Sports Teams &amp; Leagues'!AF9)</f>
        <v/>
      </c>
      <c r="AF99" s="16">
        <f>IF('Sports Teams &amp; Leagues'!AG9="","",'Sports Teams &amp; Leagues'!AG9)</f>
        <v/>
      </c>
      <c r="AG99" s="17">
        <f>IF('Sports Teams &amp; Leagues'!AH9="","",'Sports Teams &amp; Leagues'!AH9)</f>
        <v/>
      </c>
      <c r="AH99" s="17">
        <f>IF('Sports Teams &amp; Leagues'!AI9="","",'Sports Teams &amp; Leagues'!AI9)</f>
        <v/>
      </c>
      <c r="AI99" s="17">
        <f>IF('Sports Teams &amp; Leagues'!AJ9="","",'Sports Teams &amp; Leagues'!AJ9)</f>
        <v/>
      </c>
      <c r="AJ99" s="17">
        <f>IF('Sports Teams &amp; Leagues'!AK9="","",'Sports Teams &amp; Leagues'!AK9)</f>
        <v/>
      </c>
      <c r="AK99" s="16">
        <f>IF('Sports Teams &amp; Leagues'!AL9="","",'Sports Teams &amp; Leagues'!AL9)</f>
        <v/>
      </c>
      <c r="AL99" s="18">
        <f>IF(V99="","",V99+ROW()/100000)</f>
        <v/>
      </c>
    </row>
    <row r="100" ht="18" customHeight="1">
      <c r="A100" s="22">
        <f>IF('Sports Teams &amp; Leagues'!B10="","","Sports Teams &amp; Leagues")</f>
        <v/>
      </c>
      <c r="B100" s="22">
        <f>IF('Sports Teams &amp; Leagues'!B10="","",'Sports Teams &amp; Leagues'!B10)</f>
        <v/>
      </c>
      <c r="C100" s="23">
        <f>IF('Sports Teams &amp; Leagues'!D10="","",'Sports Teams &amp; Leagues'!D10)</f>
        <v/>
      </c>
      <c r="D100" s="22">
        <f>IF('Sports Teams &amp; Leagues'!E10="","",'Sports Teams &amp; Leagues'!E10)</f>
        <v/>
      </c>
      <c r="E100" s="23">
        <f>IF('Sports Teams &amp; Leagues'!F10="","",'Sports Teams &amp; Leagues'!F10)</f>
        <v/>
      </c>
      <c r="F100" s="23">
        <f>IF('Sports Teams &amp; Leagues'!G10="","",'Sports Teams &amp; Leagues'!G10)</f>
        <v/>
      </c>
      <c r="G100" s="23">
        <f>IF('Sports Teams &amp; Leagues'!H10="","",'Sports Teams &amp; Leagues'!H10)</f>
        <v/>
      </c>
      <c r="H100" s="22">
        <f>IF('Sports Teams &amp; Leagues'!I10="","",'Sports Teams &amp; Leagues'!I10)</f>
        <v/>
      </c>
      <c r="I100" s="23">
        <f>IF('Sports Teams &amp; Leagues'!J10="","",'Sports Teams &amp; Leagues'!J10)</f>
        <v/>
      </c>
      <c r="J100" s="22">
        <f>IF('Sports Teams &amp; Leagues'!K10="","",'Sports Teams &amp; Leagues'!K10)</f>
        <v/>
      </c>
      <c r="K100" s="23">
        <f>IF('Sports Teams &amp; Leagues'!L10="","",'Sports Teams &amp; Leagues'!L10)</f>
        <v/>
      </c>
      <c r="L100" s="22">
        <f>IF('Sports Teams &amp; Leagues'!M10="","",'Sports Teams &amp; Leagues'!M10)</f>
        <v/>
      </c>
      <c r="M100" s="23">
        <f>IF('Sports Teams &amp; Leagues'!N10="","",'Sports Teams &amp; Leagues'!N10)</f>
        <v/>
      </c>
      <c r="N100" s="22">
        <f>IF('Sports Teams &amp; Leagues'!O10="","",'Sports Teams &amp; Leagues'!O10)</f>
        <v/>
      </c>
      <c r="O100" s="23">
        <f>IF('Sports Teams &amp; Leagues'!P10="","",'Sports Teams &amp; Leagues'!P10)</f>
        <v/>
      </c>
      <c r="P100" s="23">
        <f>IF('Sports Teams &amp; Leagues'!Q10="","",'Sports Teams &amp; Leagues'!Q10)</f>
        <v/>
      </c>
      <c r="Q100" s="24">
        <f>IF('Sports Teams &amp; Leagues'!R10="","",'Sports Teams &amp; Leagues'!R10)</f>
        <v/>
      </c>
      <c r="R100" s="25">
        <f>IF('Sports Teams &amp; Leagues'!S10="","",'Sports Teams &amp; Leagues'!S10)</f>
        <v/>
      </c>
      <c r="S100" s="22">
        <f>IF('Sports Teams &amp; Leagues'!T10="","",'Sports Teams &amp; Leagues'!T10)</f>
        <v/>
      </c>
      <c r="T100" s="24">
        <f>IF('Sports Teams &amp; Leagues'!U10="","",'Sports Teams &amp; Leagues'!U10)</f>
        <v/>
      </c>
      <c r="U100" s="23">
        <f>IF('Sports Teams &amp; Leagues'!V10="","",'Sports Teams &amp; Leagues'!V10)</f>
        <v/>
      </c>
      <c r="V100" s="24">
        <f>IF('Sports Teams &amp; Leagues'!W10="","",'Sports Teams &amp; Leagues'!W10)</f>
        <v/>
      </c>
      <c r="W100" s="23">
        <f>IF('Sports Teams &amp; Leagues'!X10="","",'Sports Teams &amp; Leagues'!X10)</f>
        <v/>
      </c>
      <c r="X100" s="23">
        <f>IF('Sports Teams &amp; Leagues'!Y10="","",'Sports Teams &amp; Leagues'!Y10)</f>
        <v/>
      </c>
      <c r="Y100" s="26">
        <f>IF('Sports Teams &amp; Leagues'!Z10="","",'Sports Teams &amp; Leagues'!Z10)</f>
        <v/>
      </c>
      <c r="Z100" s="27">
        <f>IF('Sports Teams &amp; Leagues'!AA10="","",'Sports Teams &amp; Leagues'!AA10)</f>
        <v/>
      </c>
      <c r="AA100" s="26">
        <f>IF('Sports Teams &amp; Leagues'!AB10="","",'Sports Teams &amp; Leagues'!AB10)</f>
        <v/>
      </c>
      <c r="AB100" s="22">
        <f>IF('Sports Teams &amp; Leagues'!AC10="","",'Sports Teams &amp; Leagues'!AC10)</f>
        <v/>
      </c>
      <c r="AC100" s="22">
        <f>IF('Sports Teams &amp; Leagues'!AD10="","",'Sports Teams &amp; Leagues'!AD10)</f>
        <v/>
      </c>
      <c r="AD100" s="22">
        <f>IF('Sports Teams &amp; Leagues'!AE10="","",'Sports Teams &amp; Leagues'!AE10)</f>
        <v/>
      </c>
      <c r="AE100" s="22">
        <f>IF('Sports Teams &amp; Leagues'!AF10="","",'Sports Teams &amp; Leagues'!AF10)</f>
        <v/>
      </c>
      <c r="AF100" s="22">
        <f>IF('Sports Teams &amp; Leagues'!AG10="","",'Sports Teams &amp; Leagues'!AG10)</f>
        <v/>
      </c>
      <c r="AG100" s="23">
        <f>IF('Sports Teams &amp; Leagues'!AH10="","",'Sports Teams &amp; Leagues'!AH10)</f>
        <v/>
      </c>
      <c r="AH100" s="23">
        <f>IF('Sports Teams &amp; Leagues'!AI10="","",'Sports Teams &amp; Leagues'!AI10)</f>
        <v/>
      </c>
      <c r="AI100" s="23">
        <f>IF('Sports Teams &amp; Leagues'!AJ10="","",'Sports Teams &amp; Leagues'!AJ10)</f>
        <v/>
      </c>
      <c r="AJ100" s="23">
        <f>IF('Sports Teams &amp; Leagues'!AK10="","",'Sports Teams &amp; Leagues'!AK10)</f>
        <v/>
      </c>
      <c r="AK100" s="22">
        <f>IF('Sports Teams &amp; Leagues'!AL10="","",'Sports Teams &amp; Leagues'!AL10)</f>
        <v/>
      </c>
      <c r="AL100" s="18">
        <f>IF(V100="","",V100+ROW()/100000)</f>
        <v/>
      </c>
    </row>
    <row r="101" ht="18" customHeight="1">
      <c r="A101" s="16">
        <f>IF('Sports Teams &amp; Leagues'!B11="","","Sports Teams &amp; Leagues")</f>
        <v/>
      </c>
      <c r="B101" s="16">
        <f>IF('Sports Teams &amp; Leagues'!B11="","",'Sports Teams &amp; Leagues'!B11)</f>
        <v/>
      </c>
      <c r="C101" s="17">
        <f>IF('Sports Teams &amp; Leagues'!D11="","",'Sports Teams &amp; Leagues'!D11)</f>
        <v/>
      </c>
      <c r="D101" s="16">
        <f>IF('Sports Teams &amp; Leagues'!E11="","",'Sports Teams &amp; Leagues'!E11)</f>
        <v/>
      </c>
      <c r="E101" s="17">
        <f>IF('Sports Teams &amp; Leagues'!F11="","",'Sports Teams &amp; Leagues'!F11)</f>
        <v/>
      </c>
      <c r="F101" s="17">
        <f>IF('Sports Teams &amp; Leagues'!G11="","",'Sports Teams &amp; Leagues'!G11)</f>
        <v/>
      </c>
      <c r="G101" s="17">
        <f>IF('Sports Teams &amp; Leagues'!H11="","",'Sports Teams &amp; Leagues'!H11)</f>
        <v/>
      </c>
      <c r="H101" s="16">
        <f>IF('Sports Teams &amp; Leagues'!I11="","",'Sports Teams &amp; Leagues'!I11)</f>
        <v/>
      </c>
      <c r="I101" s="17">
        <f>IF('Sports Teams &amp; Leagues'!J11="","",'Sports Teams &amp; Leagues'!J11)</f>
        <v/>
      </c>
      <c r="J101" s="16">
        <f>IF('Sports Teams &amp; Leagues'!K11="","",'Sports Teams &amp; Leagues'!K11)</f>
        <v/>
      </c>
      <c r="K101" s="17">
        <f>IF('Sports Teams &amp; Leagues'!L11="","",'Sports Teams &amp; Leagues'!L11)</f>
        <v/>
      </c>
      <c r="L101" s="16">
        <f>IF('Sports Teams &amp; Leagues'!M11="","",'Sports Teams &amp; Leagues'!M11)</f>
        <v/>
      </c>
      <c r="M101" s="17">
        <f>IF('Sports Teams &amp; Leagues'!N11="","",'Sports Teams &amp; Leagues'!N11)</f>
        <v/>
      </c>
      <c r="N101" s="16">
        <f>IF('Sports Teams &amp; Leagues'!O11="","",'Sports Teams &amp; Leagues'!O11)</f>
        <v/>
      </c>
      <c r="O101" s="17">
        <f>IF('Sports Teams &amp; Leagues'!P11="","",'Sports Teams &amp; Leagues'!P11)</f>
        <v/>
      </c>
      <c r="P101" s="17">
        <f>IF('Sports Teams &amp; Leagues'!Q11="","",'Sports Teams &amp; Leagues'!Q11)</f>
        <v/>
      </c>
      <c r="Q101" s="15">
        <f>IF('Sports Teams &amp; Leagues'!R11="","",'Sports Teams &amp; Leagues'!R11)</f>
        <v/>
      </c>
      <c r="R101" s="19">
        <f>IF('Sports Teams &amp; Leagues'!S11="","",'Sports Teams &amp; Leagues'!S11)</f>
        <v/>
      </c>
      <c r="S101" s="16">
        <f>IF('Sports Teams &amp; Leagues'!T11="","",'Sports Teams &amp; Leagues'!T11)</f>
        <v/>
      </c>
      <c r="T101" s="15">
        <f>IF('Sports Teams &amp; Leagues'!U11="","",'Sports Teams &amp; Leagues'!U11)</f>
        <v/>
      </c>
      <c r="U101" s="17">
        <f>IF('Sports Teams &amp; Leagues'!V11="","",'Sports Teams &amp; Leagues'!V11)</f>
        <v/>
      </c>
      <c r="V101" s="15">
        <f>IF('Sports Teams &amp; Leagues'!W11="","",'Sports Teams &amp; Leagues'!W11)</f>
        <v/>
      </c>
      <c r="W101" s="17">
        <f>IF('Sports Teams &amp; Leagues'!X11="","",'Sports Teams &amp; Leagues'!X11)</f>
        <v/>
      </c>
      <c r="X101" s="17">
        <f>IF('Sports Teams &amp; Leagues'!Y11="","",'Sports Teams &amp; Leagues'!Y11)</f>
        <v/>
      </c>
      <c r="Y101" s="20">
        <f>IF('Sports Teams &amp; Leagues'!Z11="","",'Sports Teams &amp; Leagues'!Z11)</f>
        <v/>
      </c>
      <c r="Z101" s="21">
        <f>IF('Sports Teams &amp; Leagues'!AA11="","",'Sports Teams &amp; Leagues'!AA11)</f>
        <v/>
      </c>
      <c r="AA101" s="20">
        <f>IF('Sports Teams &amp; Leagues'!AB11="","",'Sports Teams &amp; Leagues'!AB11)</f>
        <v/>
      </c>
      <c r="AB101" s="16">
        <f>IF('Sports Teams &amp; Leagues'!AC11="","",'Sports Teams &amp; Leagues'!AC11)</f>
        <v/>
      </c>
      <c r="AC101" s="16">
        <f>IF('Sports Teams &amp; Leagues'!AD11="","",'Sports Teams &amp; Leagues'!AD11)</f>
        <v/>
      </c>
      <c r="AD101" s="16">
        <f>IF('Sports Teams &amp; Leagues'!AE11="","",'Sports Teams &amp; Leagues'!AE11)</f>
        <v/>
      </c>
      <c r="AE101" s="16">
        <f>IF('Sports Teams &amp; Leagues'!AF11="","",'Sports Teams &amp; Leagues'!AF11)</f>
        <v/>
      </c>
      <c r="AF101" s="16">
        <f>IF('Sports Teams &amp; Leagues'!AG11="","",'Sports Teams &amp; Leagues'!AG11)</f>
        <v/>
      </c>
      <c r="AG101" s="17">
        <f>IF('Sports Teams &amp; Leagues'!AH11="","",'Sports Teams &amp; Leagues'!AH11)</f>
        <v/>
      </c>
      <c r="AH101" s="17">
        <f>IF('Sports Teams &amp; Leagues'!AI11="","",'Sports Teams &amp; Leagues'!AI11)</f>
        <v/>
      </c>
      <c r="AI101" s="17">
        <f>IF('Sports Teams &amp; Leagues'!AJ11="","",'Sports Teams &amp; Leagues'!AJ11)</f>
        <v/>
      </c>
      <c r="AJ101" s="17">
        <f>IF('Sports Teams &amp; Leagues'!AK11="","",'Sports Teams &amp; Leagues'!AK11)</f>
        <v/>
      </c>
      <c r="AK101" s="16">
        <f>IF('Sports Teams &amp; Leagues'!AL11="","",'Sports Teams &amp; Leagues'!AL11)</f>
        <v/>
      </c>
      <c r="AL101" s="18">
        <f>IF(V101="","",V101+ROW()/100000)</f>
        <v/>
      </c>
    </row>
    <row r="102" ht="18" customHeight="1">
      <c r="A102" s="22">
        <f>IF('Sports Teams &amp; Leagues'!B12="","","Sports Teams &amp; Leagues")</f>
        <v/>
      </c>
      <c r="B102" s="22">
        <f>IF('Sports Teams &amp; Leagues'!B12="","",'Sports Teams &amp; Leagues'!B12)</f>
        <v/>
      </c>
      <c r="C102" s="23">
        <f>IF('Sports Teams &amp; Leagues'!D12="","",'Sports Teams &amp; Leagues'!D12)</f>
        <v/>
      </c>
      <c r="D102" s="22">
        <f>IF('Sports Teams &amp; Leagues'!E12="","",'Sports Teams &amp; Leagues'!E12)</f>
        <v/>
      </c>
      <c r="E102" s="23">
        <f>IF('Sports Teams &amp; Leagues'!F12="","",'Sports Teams &amp; Leagues'!F12)</f>
        <v/>
      </c>
      <c r="F102" s="23">
        <f>IF('Sports Teams &amp; Leagues'!G12="","",'Sports Teams &amp; Leagues'!G12)</f>
        <v/>
      </c>
      <c r="G102" s="23">
        <f>IF('Sports Teams &amp; Leagues'!H12="","",'Sports Teams &amp; Leagues'!H12)</f>
        <v/>
      </c>
      <c r="H102" s="22">
        <f>IF('Sports Teams &amp; Leagues'!I12="","",'Sports Teams &amp; Leagues'!I12)</f>
        <v/>
      </c>
      <c r="I102" s="23">
        <f>IF('Sports Teams &amp; Leagues'!J12="","",'Sports Teams &amp; Leagues'!J12)</f>
        <v/>
      </c>
      <c r="J102" s="22">
        <f>IF('Sports Teams &amp; Leagues'!K12="","",'Sports Teams &amp; Leagues'!K12)</f>
        <v/>
      </c>
      <c r="K102" s="23">
        <f>IF('Sports Teams &amp; Leagues'!L12="","",'Sports Teams &amp; Leagues'!L12)</f>
        <v/>
      </c>
      <c r="L102" s="22">
        <f>IF('Sports Teams &amp; Leagues'!M12="","",'Sports Teams &amp; Leagues'!M12)</f>
        <v/>
      </c>
      <c r="M102" s="23">
        <f>IF('Sports Teams &amp; Leagues'!N12="","",'Sports Teams &amp; Leagues'!N12)</f>
        <v/>
      </c>
      <c r="N102" s="22">
        <f>IF('Sports Teams &amp; Leagues'!O12="","",'Sports Teams &amp; Leagues'!O12)</f>
        <v/>
      </c>
      <c r="O102" s="23">
        <f>IF('Sports Teams &amp; Leagues'!P12="","",'Sports Teams &amp; Leagues'!P12)</f>
        <v/>
      </c>
      <c r="P102" s="23">
        <f>IF('Sports Teams &amp; Leagues'!Q12="","",'Sports Teams &amp; Leagues'!Q12)</f>
        <v/>
      </c>
      <c r="Q102" s="24">
        <f>IF('Sports Teams &amp; Leagues'!R12="","",'Sports Teams &amp; Leagues'!R12)</f>
        <v/>
      </c>
      <c r="R102" s="25">
        <f>IF('Sports Teams &amp; Leagues'!S12="","",'Sports Teams &amp; Leagues'!S12)</f>
        <v/>
      </c>
      <c r="S102" s="22">
        <f>IF('Sports Teams &amp; Leagues'!T12="","",'Sports Teams &amp; Leagues'!T12)</f>
        <v/>
      </c>
      <c r="T102" s="24">
        <f>IF('Sports Teams &amp; Leagues'!U12="","",'Sports Teams &amp; Leagues'!U12)</f>
        <v/>
      </c>
      <c r="U102" s="23">
        <f>IF('Sports Teams &amp; Leagues'!V12="","",'Sports Teams &amp; Leagues'!V12)</f>
        <v/>
      </c>
      <c r="V102" s="24">
        <f>IF('Sports Teams &amp; Leagues'!W12="","",'Sports Teams &amp; Leagues'!W12)</f>
        <v/>
      </c>
      <c r="W102" s="23">
        <f>IF('Sports Teams &amp; Leagues'!X12="","",'Sports Teams &amp; Leagues'!X12)</f>
        <v/>
      </c>
      <c r="X102" s="23">
        <f>IF('Sports Teams &amp; Leagues'!Y12="","",'Sports Teams &amp; Leagues'!Y12)</f>
        <v/>
      </c>
      <c r="Y102" s="26">
        <f>IF('Sports Teams &amp; Leagues'!Z12="","",'Sports Teams &amp; Leagues'!Z12)</f>
        <v/>
      </c>
      <c r="Z102" s="27">
        <f>IF('Sports Teams &amp; Leagues'!AA12="","",'Sports Teams &amp; Leagues'!AA12)</f>
        <v/>
      </c>
      <c r="AA102" s="26">
        <f>IF('Sports Teams &amp; Leagues'!AB12="","",'Sports Teams &amp; Leagues'!AB12)</f>
        <v/>
      </c>
      <c r="AB102" s="22">
        <f>IF('Sports Teams &amp; Leagues'!AC12="","",'Sports Teams &amp; Leagues'!AC12)</f>
        <v/>
      </c>
      <c r="AC102" s="22">
        <f>IF('Sports Teams &amp; Leagues'!AD12="","",'Sports Teams &amp; Leagues'!AD12)</f>
        <v/>
      </c>
      <c r="AD102" s="22">
        <f>IF('Sports Teams &amp; Leagues'!AE12="","",'Sports Teams &amp; Leagues'!AE12)</f>
        <v/>
      </c>
      <c r="AE102" s="22">
        <f>IF('Sports Teams &amp; Leagues'!AF12="","",'Sports Teams &amp; Leagues'!AF12)</f>
        <v/>
      </c>
      <c r="AF102" s="22">
        <f>IF('Sports Teams &amp; Leagues'!AG12="","",'Sports Teams &amp; Leagues'!AG12)</f>
        <v/>
      </c>
      <c r="AG102" s="23">
        <f>IF('Sports Teams &amp; Leagues'!AH12="","",'Sports Teams &amp; Leagues'!AH12)</f>
        <v/>
      </c>
      <c r="AH102" s="23">
        <f>IF('Sports Teams &amp; Leagues'!AI12="","",'Sports Teams &amp; Leagues'!AI12)</f>
        <v/>
      </c>
      <c r="AI102" s="23">
        <f>IF('Sports Teams &amp; Leagues'!AJ12="","",'Sports Teams &amp; Leagues'!AJ12)</f>
        <v/>
      </c>
      <c r="AJ102" s="23">
        <f>IF('Sports Teams &amp; Leagues'!AK12="","",'Sports Teams &amp; Leagues'!AK12)</f>
        <v/>
      </c>
      <c r="AK102" s="22">
        <f>IF('Sports Teams &amp; Leagues'!AL12="","",'Sports Teams &amp; Leagues'!AL12)</f>
        <v/>
      </c>
      <c r="AL102" s="18">
        <f>IF(V102="","",V102+ROW()/100000)</f>
        <v/>
      </c>
    </row>
    <row r="103" ht="18" customHeight="1">
      <c r="A103" s="16">
        <f>IF('Sports Teams &amp; Leagues'!B13="","","Sports Teams &amp; Leagues")</f>
        <v/>
      </c>
      <c r="B103" s="16">
        <f>IF('Sports Teams &amp; Leagues'!B13="","",'Sports Teams &amp; Leagues'!B13)</f>
        <v/>
      </c>
      <c r="C103" s="17">
        <f>IF('Sports Teams &amp; Leagues'!D13="","",'Sports Teams &amp; Leagues'!D13)</f>
        <v/>
      </c>
      <c r="D103" s="16">
        <f>IF('Sports Teams &amp; Leagues'!E13="","",'Sports Teams &amp; Leagues'!E13)</f>
        <v/>
      </c>
      <c r="E103" s="17">
        <f>IF('Sports Teams &amp; Leagues'!F13="","",'Sports Teams &amp; Leagues'!F13)</f>
        <v/>
      </c>
      <c r="F103" s="17">
        <f>IF('Sports Teams &amp; Leagues'!G13="","",'Sports Teams &amp; Leagues'!G13)</f>
        <v/>
      </c>
      <c r="G103" s="17">
        <f>IF('Sports Teams &amp; Leagues'!H13="","",'Sports Teams &amp; Leagues'!H13)</f>
        <v/>
      </c>
      <c r="H103" s="16">
        <f>IF('Sports Teams &amp; Leagues'!I13="","",'Sports Teams &amp; Leagues'!I13)</f>
        <v/>
      </c>
      <c r="I103" s="17">
        <f>IF('Sports Teams &amp; Leagues'!J13="","",'Sports Teams &amp; Leagues'!J13)</f>
        <v/>
      </c>
      <c r="J103" s="16">
        <f>IF('Sports Teams &amp; Leagues'!K13="","",'Sports Teams &amp; Leagues'!K13)</f>
        <v/>
      </c>
      <c r="K103" s="17">
        <f>IF('Sports Teams &amp; Leagues'!L13="","",'Sports Teams &amp; Leagues'!L13)</f>
        <v/>
      </c>
      <c r="L103" s="16">
        <f>IF('Sports Teams &amp; Leagues'!M13="","",'Sports Teams &amp; Leagues'!M13)</f>
        <v/>
      </c>
      <c r="M103" s="17">
        <f>IF('Sports Teams &amp; Leagues'!N13="","",'Sports Teams &amp; Leagues'!N13)</f>
        <v/>
      </c>
      <c r="N103" s="16">
        <f>IF('Sports Teams &amp; Leagues'!O13="","",'Sports Teams &amp; Leagues'!O13)</f>
        <v/>
      </c>
      <c r="O103" s="17">
        <f>IF('Sports Teams &amp; Leagues'!P13="","",'Sports Teams &amp; Leagues'!P13)</f>
        <v/>
      </c>
      <c r="P103" s="17">
        <f>IF('Sports Teams &amp; Leagues'!Q13="","",'Sports Teams &amp; Leagues'!Q13)</f>
        <v/>
      </c>
      <c r="Q103" s="15">
        <f>IF('Sports Teams &amp; Leagues'!R13="","",'Sports Teams &amp; Leagues'!R13)</f>
        <v/>
      </c>
      <c r="R103" s="19">
        <f>IF('Sports Teams &amp; Leagues'!S13="","",'Sports Teams &amp; Leagues'!S13)</f>
        <v/>
      </c>
      <c r="S103" s="16">
        <f>IF('Sports Teams &amp; Leagues'!T13="","",'Sports Teams &amp; Leagues'!T13)</f>
        <v/>
      </c>
      <c r="T103" s="15">
        <f>IF('Sports Teams &amp; Leagues'!U13="","",'Sports Teams &amp; Leagues'!U13)</f>
        <v/>
      </c>
      <c r="U103" s="17">
        <f>IF('Sports Teams &amp; Leagues'!V13="","",'Sports Teams &amp; Leagues'!V13)</f>
        <v/>
      </c>
      <c r="V103" s="15">
        <f>IF('Sports Teams &amp; Leagues'!W13="","",'Sports Teams &amp; Leagues'!W13)</f>
        <v/>
      </c>
      <c r="W103" s="17">
        <f>IF('Sports Teams &amp; Leagues'!X13="","",'Sports Teams &amp; Leagues'!X13)</f>
        <v/>
      </c>
      <c r="X103" s="17">
        <f>IF('Sports Teams &amp; Leagues'!Y13="","",'Sports Teams &amp; Leagues'!Y13)</f>
        <v/>
      </c>
      <c r="Y103" s="20">
        <f>IF('Sports Teams &amp; Leagues'!Z13="","",'Sports Teams &amp; Leagues'!Z13)</f>
        <v/>
      </c>
      <c r="Z103" s="21">
        <f>IF('Sports Teams &amp; Leagues'!AA13="","",'Sports Teams &amp; Leagues'!AA13)</f>
        <v/>
      </c>
      <c r="AA103" s="20">
        <f>IF('Sports Teams &amp; Leagues'!AB13="","",'Sports Teams &amp; Leagues'!AB13)</f>
        <v/>
      </c>
      <c r="AB103" s="16">
        <f>IF('Sports Teams &amp; Leagues'!AC13="","",'Sports Teams &amp; Leagues'!AC13)</f>
        <v/>
      </c>
      <c r="AC103" s="16">
        <f>IF('Sports Teams &amp; Leagues'!AD13="","",'Sports Teams &amp; Leagues'!AD13)</f>
        <v/>
      </c>
      <c r="AD103" s="16">
        <f>IF('Sports Teams &amp; Leagues'!AE13="","",'Sports Teams &amp; Leagues'!AE13)</f>
        <v/>
      </c>
      <c r="AE103" s="16">
        <f>IF('Sports Teams &amp; Leagues'!AF13="","",'Sports Teams &amp; Leagues'!AF13)</f>
        <v/>
      </c>
      <c r="AF103" s="16">
        <f>IF('Sports Teams &amp; Leagues'!AG13="","",'Sports Teams &amp; Leagues'!AG13)</f>
        <v/>
      </c>
      <c r="AG103" s="17">
        <f>IF('Sports Teams &amp; Leagues'!AH13="","",'Sports Teams &amp; Leagues'!AH13)</f>
        <v/>
      </c>
      <c r="AH103" s="17">
        <f>IF('Sports Teams &amp; Leagues'!AI13="","",'Sports Teams &amp; Leagues'!AI13)</f>
        <v/>
      </c>
      <c r="AI103" s="17">
        <f>IF('Sports Teams &amp; Leagues'!AJ13="","",'Sports Teams &amp; Leagues'!AJ13)</f>
        <v/>
      </c>
      <c r="AJ103" s="17">
        <f>IF('Sports Teams &amp; Leagues'!AK13="","",'Sports Teams &amp; Leagues'!AK13)</f>
        <v/>
      </c>
      <c r="AK103" s="16">
        <f>IF('Sports Teams &amp; Leagues'!AL13="","",'Sports Teams &amp; Leagues'!AL13)</f>
        <v/>
      </c>
      <c r="AL103" s="18">
        <f>IF(V103="","",V103+ROW()/100000)</f>
        <v/>
      </c>
    </row>
    <row r="104" ht="18" customHeight="1">
      <c r="A104" s="22">
        <f>IF('Sports Teams &amp; Leagues'!B14="","","Sports Teams &amp; Leagues")</f>
        <v/>
      </c>
      <c r="B104" s="22">
        <f>IF('Sports Teams &amp; Leagues'!B14="","",'Sports Teams &amp; Leagues'!B14)</f>
        <v/>
      </c>
      <c r="C104" s="23">
        <f>IF('Sports Teams &amp; Leagues'!D14="","",'Sports Teams &amp; Leagues'!D14)</f>
        <v/>
      </c>
      <c r="D104" s="22">
        <f>IF('Sports Teams &amp; Leagues'!E14="","",'Sports Teams &amp; Leagues'!E14)</f>
        <v/>
      </c>
      <c r="E104" s="23">
        <f>IF('Sports Teams &amp; Leagues'!F14="","",'Sports Teams &amp; Leagues'!F14)</f>
        <v/>
      </c>
      <c r="F104" s="23">
        <f>IF('Sports Teams &amp; Leagues'!G14="","",'Sports Teams &amp; Leagues'!G14)</f>
        <v/>
      </c>
      <c r="G104" s="23">
        <f>IF('Sports Teams &amp; Leagues'!H14="","",'Sports Teams &amp; Leagues'!H14)</f>
        <v/>
      </c>
      <c r="H104" s="22">
        <f>IF('Sports Teams &amp; Leagues'!I14="","",'Sports Teams &amp; Leagues'!I14)</f>
        <v/>
      </c>
      <c r="I104" s="23">
        <f>IF('Sports Teams &amp; Leagues'!J14="","",'Sports Teams &amp; Leagues'!J14)</f>
        <v/>
      </c>
      <c r="J104" s="22">
        <f>IF('Sports Teams &amp; Leagues'!K14="","",'Sports Teams &amp; Leagues'!K14)</f>
        <v/>
      </c>
      <c r="K104" s="23">
        <f>IF('Sports Teams &amp; Leagues'!L14="","",'Sports Teams &amp; Leagues'!L14)</f>
        <v/>
      </c>
      <c r="L104" s="22">
        <f>IF('Sports Teams &amp; Leagues'!M14="","",'Sports Teams &amp; Leagues'!M14)</f>
        <v/>
      </c>
      <c r="M104" s="23">
        <f>IF('Sports Teams &amp; Leagues'!N14="","",'Sports Teams &amp; Leagues'!N14)</f>
        <v/>
      </c>
      <c r="N104" s="22">
        <f>IF('Sports Teams &amp; Leagues'!O14="","",'Sports Teams &amp; Leagues'!O14)</f>
        <v/>
      </c>
      <c r="O104" s="23">
        <f>IF('Sports Teams &amp; Leagues'!P14="","",'Sports Teams &amp; Leagues'!P14)</f>
        <v/>
      </c>
      <c r="P104" s="23">
        <f>IF('Sports Teams &amp; Leagues'!Q14="","",'Sports Teams &amp; Leagues'!Q14)</f>
        <v/>
      </c>
      <c r="Q104" s="24">
        <f>IF('Sports Teams &amp; Leagues'!R14="","",'Sports Teams &amp; Leagues'!R14)</f>
        <v/>
      </c>
      <c r="R104" s="25">
        <f>IF('Sports Teams &amp; Leagues'!S14="","",'Sports Teams &amp; Leagues'!S14)</f>
        <v/>
      </c>
      <c r="S104" s="22">
        <f>IF('Sports Teams &amp; Leagues'!T14="","",'Sports Teams &amp; Leagues'!T14)</f>
        <v/>
      </c>
      <c r="T104" s="24">
        <f>IF('Sports Teams &amp; Leagues'!U14="","",'Sports Teams &amp; Leagues'!U14)</f>
        <v/>
      </c>
      <c r="U104" s="23">
        <f>IF('Sports Teams &amp; Leagues'!V14="","",'Sports Teams &amp; Leagues'!V14)</f>
        <v/>
      </c>
      <c r="V104" s="24">
        <f>IF('Sports Teams &amp; Leagues'!W14="","",'Sports Teams &amp; Leagues'!W14)</f>
        <v/>
      </c>
      <c r="W104" s="23">
        <f>IF('Sports Teams &amp; Leagues'!X14="","",'Sports Teams &amp; Leagues'!X14)</f>
        <v/>
      </c>
      <c r="X104" s="23">
        <f>IF('Sports Teams &amp; Leagues'!Y14="","",'Sports Teams &amp; Leagues'!Y14)</f>
        <v/>
      </c>
      <c r="Y104" s="26">
        <f>IF('Sports Teams &amp; Leagues'!Z14="","",'Sports Teams &amp; Leagues'!Z14)</f>
        <v/>
      </c>
      <c r="Z104" s="27">
        <f>IF('Sports Teams &amp; Leagues'!AA14="","",'Sports Teams &amp; Leagues'!AA14)</f>
        <v/>
      </c>
      <c r="AA104" s="26">
        <f>IF('Sports Teams &amp; Leagues'!AB14="","",'Sports Teams &amp; Leagues'!AB14)</f>
        <v/>
      </c>
      <c r="AB104" s="22">
        <f>IF('Sports Teams &amp; Leagues'!AC14="","",'Sports Teams &amp; Leagues'!AC14)</f>
        <v/>
      </c>
      <c r="AC104" s="22">
        <f>IF('Sports Teams &amp; Leagues'!AD14="","",'Sports Teams &amp; Leagues'!AD14)</f>
        <v/>
      </c>
      <c r="AD104" s="22">
        <f>IF('Sports Teams &amp; Leagues'!AE14="","",'Sports Teams &amp; Leagues'!AE14)</f>
        <v/>
      </c>
      <c r="AE104" s="22">
        <f>IF('Sports Teams &amp; Leagues'!AF14="","",'Sports Teams &amp; Leagues'!AF14)</f>
        <v/>
      </c>
      <c r="AF104" s="22">
        <f>IF('Sports Teams &amp; Leagues'!AG14="","",'Sports Teams &amp; Leagues'!AG14)</f>
        <v/>
      </c>
      <c r="AG104" s="23">
        <f>IF('Sports Teams &amp; Leagues'!AH14="","",'Sports Teams &amp; Leagues'!AH14)</f>
        <v/>
      </c>
      <c r="AH104" s="23">
        <f>IF('Sports Teams &amp; Leagues'!AI14="","",'Sports Teams &amp; Leagues'!AI14)</f>
        <v/>
      </c>
      <c r="AI104" s="23">
        <f>IF('Sports Teams &amp; Leagues'!AJ14="","",'Sports Teams &amp; Leagues'!AJ14)</f>
        <v/>
      </c>
      <c r="AJ104" s="23">
        <f>IF('Sports Teams &amp; Leagues'!AK14="","",'Sports Teams &amp; Leagues'!AK14)</f>
        <v/>
      </c>
      <c r="AK104" s="22">
        <f>IF('Sports Teams &amp; Leagues'!AL14="","",'Sports Teams &amp; Leagues'!AL14)</f>
        <v/>
      </c>
      <c r="AL104" s="18">
        <f>IF(V104="","",V104+ROW()/100000)</f>
        <v/>
      </c>
    </row>
    <row r="105" ht="18" customHeight="1">
      <c r="A105" s="16">
        <f>IF('Sports Teams &amp; Leagues'!B15="","","Sports Teams &amp; Leagues")</f>
        <v/>
      </c>
      <c r="B105" s="16">
        <f>IF('Sports Teams &amp; Leagues'!B15="","",'Sports Teams &amp; Leagues'!B15)</f>
        <v/>
      </c>
      <c r="C105" s="17">
        <f>IF('Sports Teams &amp; Leagues'!D15="","",'Sports Teams &amp; Leagues'!D15)</f>
        <v/>
      </c>
      <c r="D105" s="16">
        <f>IF('Sports Teams &amp; Leagues'!E15="","",'Sports Teams &amp; Leagues'!E15)</f>
        <v/>
      </c>
      <c r="E105" s="17">
        <f>IF('Sports Teams &amp; Leagues'!F15="","",'Sports Teams &amp; Leagues'!F15)</f>
        <v/>
      </c>
      <c r="F105" s="17">
        <f>IF('Sports Teams &amp; Leagues'!G15="","",'Sports Teams &amp; Leagues'!G15)</f>
        <v/>
      </c>
      <c r="G105" s="17">
        <f>IF('Sports Teams &amp; Leagues'!H15="","",'Sports Teams &amp; Leagues'!H15)</f>
        <v/>
      </c>
      <c r="H105" s="16">
        <f>IF('Sports Teams &amp; Leagues'!I15="","",'Sports Teams &amp; Leagues'!I15)</f>
        <v/>
      </c>
      <c r="I105" s="17">
        <f>IF('Sports Teams &amp; Leagues'!J15="","",'Sports Teams &amp; Leagues'!J15)</f>
        <v/>
      </c>
      <c r="J105" s="16">
        <f>IF('Sports Teams &amp; Leagues'!K15="","",'Sports Teams &amp; Leagues'!K15)</f>
        <v/>
      </c>
      <c r="K105" s="17">
        <f>IF('Sports Teams &amp; Leagues'!L15="","",'Sports Teams &amp; Leagues'!L15)</f>
        <v/>
      </c>
      <c r="L105" s="16">
        <f>IF('Sports Teams &amp; Leagues'!M15="","",'Sports Teams &amp; Leagues'!M15)</f>
        <v/>
      </c>
      <c r="M105" s="17">
        <f>IF('Sports Teams &amp; Leagues'!N15="","",'Sports Teams &amp; Leagues'!N15)</f>
        <v/>
      </c>
      <c r="N105" s="16">
        <f>IF('Sports Teams &amp; Leagues'!O15="","",'Sports Teams &amp; Leagues'!O15)</f>
        <v/>
      </c>
      <c r="O105" s="17">
        <f>IF('Sports Teams &amp; Leagues'!P15="","",'Sports Teams &amp; Leagues'!P15)</f>
        <v/>
      </c>
      <c r="P105" s="17">
        <f>IF('Sports Teams &amp; Leagues'!Q15="","",'Sports Teams &amp; Leagues'!Q15)</f>
        <v/>
      </c>
      <c r="Q105" s="15">
        <f>IF('Sports Teams &amp; Leagues'!R15="","",'Sports Teams &amp; Leagues'!R15)</f>
        <v/>
      </c>
      <c r="R105" s="19">
        <f>IF('Sports Teams &amp; Leagues'!S15="","",'Sports Teams &amp; Leagues'!S15)</f>
        <v/>
      </c>
      <c r="S105" s="16">
        <f>IF('Sports Teams &amp; Leagues'!T15="","",'Sports Teams &amp; Leagues'!T15)</f>
        <v/>
      </c>
      <c r="T105" s="15">
        <f>IF('Sports Teams &amp; Leagues'!U15="","",'Sports Teams &amp; Leagues'!U15)</f>
        <v/>
      </c>
      <c r="U105" s="17">
        <f>IF('Sports Teams &amp; Leagues'!V15="","",'Sports Teams &amp; Leagues'!V15)</f>
        <v/>
      </c>
      <c r="V105" s="15">
        <f>IF('Sports Teams &amp; Leagues'!W15="","",'Sports Teams &amp; Leagues'!W15)</f>
        <v/>
      </c>
      <c r="W105" s="17">
        <f>IF('Sports Teams &amp; Leagues'!X15="","",'Sports Teams &amp; Leagues'!X15)</f>
        <v/>
      </c>
      <c r="X105" s="17">
        <f>IF('Sports Teams &amp; Leagues'!Y15="","",'Sports Teams &amp; Leagues'!Y15)</f>
        <v/>
      </c>
      <c r="Y105" s="20">
        <f>IF('Sports Teams &amp; Leagues'!Z15="","",'Sports Teams &amp; Leagues'!Z15)</f>
        <v/>
      </c>
      <c r="Z105" s="21">
        <f>IF('Sports Teams &amp; Leagues'!AA15="","",'Sports Teams &amp; Leagues'!AA15)</f>
        <v/>
      </c>
      <c r="AA105" s="20">
        <f>IF('Sports Teams &amp; Leagues'!AB15="","",'Sports Teams &amp; Leagues'!AB15)</f>
        <v/>
      </c>
      <c r="AB105" s="16">
        <f>IF('Sports Teams &amp; Leagues'!AC15="","",'Sports Teams &amp; Leagues'!AC15)</f>
        <v/>
      </c>
      <c r="AC105" s="16">
        <f>IF('Sports Teams &amp; Leagues'!AD15="","",'Sports Teams &amp; Leagues'!AD15)</f>
        <v/>
      </c>
      <c r="AD105" s="16">
        <f>IF('Sports Teams &amp; Leagues'!AE15="","",'Sports Teams &amp; Leagues'!AE15)</f>
        <v/>
      </c>
      <c r="AE105" s="16">
        <f>IF('Sports Teams &amp; Leagues'!AF15="","",'Sports Teams &amp; Leagues'!AF15)</f>
        <v/>
      </c>
      <c r="AF105" s="16">
        <f>IF('Sports Teams &amp; Leagues'!AG15="","",'Sports Teams &amp; Leagues'!AG15)</f>
        <v/>
      </c>
      <c r="AG105" s="17">
        <f>IF('Sports Teams &amp; Leagues'!AH15="","",'Sports Teams &amp; Leagues'!AH15)</f>
        <v/>
      </c>
      <c r="AH105" s="17">
        <f>IF('Sports Teams &amp; Leagues'!AI15="","",'Sports Teams &amp; Leagues'!AI15)</f>
        <v/>
      </c>
      <c r="AI105" s="17">
        <f>IF('Sports Teams &amp; Leagues'!AJ15="","",'Sports Teams &amp; Leagues'!AJ15)</f>
        <v/>
      </c>
      <c r="AJ105" s="17">
        <f>IF('Sports Teams &amp; Leagues'!AK15="","",'Sports Teams &amp; Leagues'!AK15)</f>
        <v/>
      </c>
      <c r="AK105" s="16">
        <f>IF('Sports Teams &amp; Leagues'!AL15="","",'Sports Teams &amp; Leagues'!AL15)</f>
        <v/>
      </c>
      <c r="AL105" s="18">
        <f>IF(V105="","",V105+ROW()/100000)</f>
        <v/>
      </c>
    </row>
    <row r="106" ht="18" customHeight="1">
      <c r="A106" s="22">
        <f>IF('Sports Teams &amp; Leagues'!B16="","","Sports Teams &amp; Leagues")</f>
        <v/>
      </c>
      <c r="B106" s="22">
        <f>IF('Sports Teams &amp; Leagues'!B16="","",'Sports Teams &amp; Leagues'!B16)</f>
        <v/>
      </c>
      <c r="C106" s="23">
        <f>IF('Sports Teams &amp; Leagues'!D16="","",'Sports Teams &amp; Leagues'!D16)</f>
        <v/>
      </c>
      <c r="D106" s="22">
        <f>IF('Sports Teams &amp; Leagues'!E16="","",'Sports Teams &amp; Leagues'!E16)</f>
        <v/>
      </c>
      <c r="E106" s="23">
        <f>IF('Sports Teams &amp; Leagues'!F16="","",'Sports Teams &amp; Leagues'!F16)</f>
        <v/>
      </c>
      <c r="F106" s="23">
        <f>IF('Sports Teams &amp; Leagues'!G16="","",'Sports Teams &amp; Leagues'!G16)</f>
        <v/>
      </c>
      <c r="G106" s="23">
        <f>IF('Sports Teams &amp; Leagues'!H16="","",'Sports Teams &amp; Leagues'!H16)</f>
        <v/>
      </c>
      <c r="H106" s="22">
        <f>IF('Sports Teams &amp; Leagues'!I16="","",'Sports Teams &amp; Leagues'!I16)</f>
        <v/>
      </c>
      <c r="I106" s="23">
        <f>IF('Sports Teams &amp; Leagues'!J16="","",'Sports Teams &amp; Leagues'!J16)</f>
        <v/>
      </c>
      <c r="J106" s="22">
        <f>IF('Sports Teams &amp; Leagues'!K16="","",'Sports Teams &amp; Leagues'!K16)</f>
        <v/>
      </c>
      <c r="K106" s="23">
        <f>IF('Sports Teams &amp; Leagues'!L16="","",'Sports Teams &amp; Leagues'!L16)</f>
        <v/>
      </c>
      <c r="L106" s="22">
        <f>IF('Sports Teams &amp; Leagues'!M16="","",'Sports Teams &amp; Leagues'!M16)</f>
        <v/>
      </c>
      <c r="M106" s="23">
        <f>IF('Sports Teams &amp; Leagues'!N16="","",'Sports Teams &amp; Leagues'!N16)</f>
        <v/>
      </c>
      <c r="N106" s="22">
        <f>IF('Sports Teams &amp; Leagues'!O16="","",'Sports Teams &amp; Leagues'!O16)</f>
        <v/>
      </c>
      <c r="O106" s="23">
        <f>IF('Sports Teams &amp; Leagues'!P16="","",'Sports Teams &amp; Leagues'!P16)</f>
        <v/>
      </c>
      <c r="P106" s="23">
        <f>IF('Sports Teams &amp; Leagues'!Q16="","",'Sports Teams &amp; Leagues'!Q16)</f>
        <v/>
      </c>
      <c r="Q106" s="24">
        <f>IF('Sports Teams &amp; Leagues'!R16="","",'Sports Teams &amp; Leagues'!R16)</f>
        <v/>
      </c>
      <c r="R106" s="25">
        <f>IF('Sports Teams &amp; Leagues'!S16="","",'Sports Teams &amp; Leagues'!S16)</f>
        <v/>
      </c>
      <c r="S106" s="22">
        <f>IF('Sports Teams &amp; Leagues'!T16="","",'Sports Teams &amp; Leagues'!T16)</f>
        <v/>
      </c>
      <c r="T106" s="24">
        <f>IF('Sports Teams &amp; Leagues'!U16="","",'Sports Teams &amp; Leagues'!U16)</f>
        <v/>
      </c>
      <c r="U106" s="23">
        <f>IF('Sports Teams &amp; Leagues'!V16="","",'Sports Teams &amp; Leagues'!V16)</f>
        <v/>
      </c>
      <c r="V106" s="24">
        <f>IF('Sports Teams &amp; Leagues'!W16="","",'Sports Teams &amp; Leagues'!W16)</f>
        <v/>
      </c>
      <c r="W106" s="23">
        <f>IF('Sports Teams &amp; Leagues'!X16="","",'Sports Teams &amp; Leagues'!X16)</f>
        <v/>
      </c>
      <c r="X106" s="23">
        <f>IF('Sports Teams &amp; Leagues'!Y16="","",'Sports Teams &amp; Leagues'!Y16)</f>
        <v/>
      </c>
      <c r="Y106" s="26">
        <f>IF('Sports Teams &amp; Leagues'!Z16="","",'Sports Teams &amp; Leagues'!Z16)</f>
        <v/>
      </c>
      <c r="Z106" s="27">
        <f>IF('Sports Teams &amp; Leagues'!AA16="","",'Sports Teams &amp; Leagues'!AA16)</f>
        <v/>
      </c>
      <c r="AA106" s="26">
        <f>IF('Sports Teams &amp; Leagues'!AB16="","",'Sports Teams &amp; Leagues'!AB16)</f>
        <v/>
      </c>
      <c r="AB106" s="22">
        <f>IF('Sports Teams &amp; Leagues'!AC16="","",'Sports Teams &amp; Leagues'!AC16)</f>
        <v/>
      </c>
      <c r="AC106" s="22">
        <f>IF('Sports Teams &amp; Leagues'!AD16="","",'Sports Teams &amp; Leagues'!AD16)</f>
        <v/>
      </c>
      <c r="AD106" s="22">
        <f>IF('Sports Teams &amp; Leagues'!AE16="","",'Sports Teams &amp; Leagues'!AE16)</f>
        <v/>
      </c>
      <c r="AE106" s="22">
        <f>IF('Sports Teams &amp; Leagues'!AF16="","",'Sports Teams &amp; Leagues'!AF16)</f>
        <v/>
      </c>
      <c r="AF106" s="22">
        <f>IF('Sports Teams &amp; Leagues'!AG16="","",'Sports Teams &amp; Leagues'!AG16)</f>
        <v/>
      </c>
      <c r="AG106" s="23">
        <f>IF('Sports Teams &amp; Leagues'!AH16="","",'Sports Teams &amp; Leagues'!AH16)</f>
        <v/>
      </c>
      <c r="AH106" s="23">
        <f>IF('Sports Teams &amp; Leagues'!AI16="","",'Sports Teams &amp; Leagues'!AI16)</f>
        <v/>
      </c>
      <c r="AI106" s="23">
        <f>IF('Sports Teams &amp; Leagues'!AJ16="","",'Sports Teams &amp; Leagues'!AJ16)</f>
        <v/>
      </c>
      <c r="AJ106" s="23">
        <f>IF('Sports Teams &amp; Leagues'!AK16="","",'Sports Teams &amp; Leagues'!AK16)</f>
        <v/>
      </c>
      <c r="AK106" s="22">
        <f>IF('Sports Teams &amp; Leagues'!AL16="","",'Sports Teams &amp; Leagues'!AL16)</f>
        <v/>
      </c>
      <c r="AL106" s="18">
        <f>IF(V106="","",V106+ROW()/100000)</f>
        <v/>
      </c>
    </row>
    <row r="107" ht="18" customHeight="1">
      <c r="A107" s="16">
        <f>IF('Sports Teams &amp; Leagues'!B17="","","Sports Teams &amp; Leagues")</f>
        <v/>
      </c>
      <c r="B107" s="16">
        <f>IF('Sports Teams &amp; Leagues'!B17="","",'Sports Teams &amp; Leagues'!B17)</f>
        <v/>
      </c>
      <c r="C107" s="17">
        <f>IF('Sports Teams &amp; Leagues'!D17="","",'Sports Teams &amp; Leagues'!D17)</f>
        <v/>
      </c>
      <c r="D107" s="16">
        <f>IF('Sports Teams &amp; Leagues'!E17="","",'Sports Teams &amp; Leagues'!E17)</f>
        <v/>
      </c>
      <c r="E107" s="17">
        <f>IF('Sports Teams &amp; Leagues'!F17="","",'Sports Teams &amp; Leagues'!F17)</f>
        <v/>
      </c>
      <c r="F107" s="17">
        <f>IF('Sports Teams &amp; Leagues'!G17="","",'Sports Teams &amp; Leagues'!G17)</f>
        <v/>
      </c>
      <c r="G107" s="17">
        <f>IF('Sports Teams &amp; Leagues'!H17="","",'Sports Teams &amp; Leagues'!H17)</f>
        <v/>
      </c>
      <c r="H107" s="16">
        <f>IF('Sports Teams &amp; Leagues'!I17="","",'Sports Teams &amp; Leagues'!I17)</f>
        <v/>
      </c>
      <c r="I107" s="17">
        <f>IF('Sports Teams &amp; Leagues'!J17="","",'Sports Teams &amp; Leagues'!J17)</f>
        <v/>
      </c>
      <c r="J107" s="16">
        <f>IF('Sports Teams &amp; Leagues'!K17="","",'Sports Teams &amp; Leagues'!K17)</f>
        <v/>
      </c>
      <c r="K107" s="17">
        <f>IF('Sports Teams &amp; Leagues'!L17="","",'Sports Teams &amp; Leagues'!L17)</f>
        <v/>
      </c>
      <c r="L107" s="16">
        <f>IF('Sports Teams &amp; Leagues'!M17="","",'Sports Teams &amp; Leagues'!M17)</f>
        <v/>
      </c>
      <c r="M107" s="17">
        <f>IF('Sports Teams &amp; Leagues'!N17="","",'Sports Teams &amp; Leagues'!N17)</f>
        <v/>
      </c>
      <c r="N107" s="16">
        <f>IF('Sports Teams &amp; Leagues'!O17="","",'Sports Teams &amp; Leagues'!O17)</f>
        <v/>
      </c>
      <c r="O107" s="17">
        <f>IF('Sports Teams &amp; Leagues'!P17="","",'Sports Teams &amp; Leagues'!P17)</f>
        <v/>
      </c>
      <c r="P107" s="17">
        <f>IF('Sports Teams &amp; Leagues'!Q17="","",'Sports Teams &amp; Leagues'!Q17)</f>
        <v/>
      </c>
      <c r="Q107" s="15">
        <f>IF('Sports Teams &amp; Leagues'!R17="","",'Sports Teams &amp; Leagues'!R17)</f>
        <v/>
      </c>
      <c r="R107" s="19">
        <f>IF('Sports Teams &amp; Leagues'!S17="","",'Sports Teams &amp; Leagues'!S17)</f>
        <v/>
      </c>
      <c r="S107" s="16">
        <f>IF('Sports Teams &amp; Leagues'!T17="","",'Sports Teams &amp; Leagues'!T17)</f>
        <v/>
      </c>
      <c r="T107" s="15">
        <f>IF('Sports Teams &amp; Leagues'!U17="","",'Sports Teams &amp; Leagues'!U17)</f>
        <v/>
      </c>
      <c r="U107" s="17">
        <f>IF('Sports Teams &amp; Leagues'!V17="","",'Sports Teams &amp; Leagues'!V17)</f>
        <v/>
      </c>
      <c r="V107" s="15">
        <f>IF('Sports Teams &amp; Leagues'!W17="","",'Sports Teams &amp; Leagues'!W17)</f>
        <v/>
      </c>
      <c r="W107" s="17">
        <f>IF('Sports Teams &amp; Leagues'!X17="","",'Sports Teams &amp; Leagues'!X17)</f>
        <v/>
      </c>
      <c r="X107" s="17">
        <f>IF('Sports Teams &amp; Leagues'!Y17="","",'Sports Teams &amp; Leagues'!Y17)</f>
        <v/>
      </c>
      <c r="Y107" s="20">
        <f>IF('Sports Teams &amp; Leagues'!Z17="","",'Sports Teams &amp; Leagues'!Z17)</f>
        <v/>
      </c>
      <c r="Z107" s="21">
        <f>IF('Sports Teams &amp; Leagues'!AA17="","",'Sports Teams &amp; Leagues'!AA17)</f>
        <v/>
      </c>
      <c r="AA107" s="20">
        <f>IF('Sports Teams &amp; Leagues'!AB17="","",'Sports Teams &amp; Leagues'!AB17)</f>
        <v/>
      </c>
      <c r="AB107" s="16">
        <f>IF('Sports Teams &amp; Leagues'!AC17="","",'Sports Teams &amp; Leagues'!AC17)</f>
        <v/>
      </c>
      <c r="AC107" s="16">
        <f>IF('Sports Teams &amp; Leagues'!AD17="","",'Sports Teams &amp; Leagues'!AD17)</f>
        <v/>
      </c>
      <c r="AD107" s="16">
        <f>IF('Sports Teams &amp; Leagues'!AE17="","",'Sports Teams &amp; Leagues'!AE17)</f>
        <v/>
      </c>
      <c r="AE107" s="16">
        <f>IF('Sports Teams &amp; Leagues'!AF17="","",'Sports Teams &amp; Leagues'!AF17)</f>
        <v/>
      </c>
      <c r="AF107" s="16">
        <f>IF('Sports Teams &amp; Leagues'!AG17="","",'Sports Teams &amp; Leagues'!AG17)</f>
        <v/>
      </c>
      <c r="AG107" s="17">
        <f>IF('Sports Teams &amp; Leagues'!AH17="","",'Sports Teams &amp; Leagues'!AH17)</f>
        <v/>
      </c>
      <c r="AH107" s="17">
        <f>IF('Sports Teams &amp; Leagues'!AI17="","",'Sports Teams &amp; Leagues'!AI17)</f>
        <v/>
      </c>
      <c r="AI107" s="17">
        <f>IF('Sports Teams &amp; Leagues'!AJ17="","",'Sports Teams &amp; Leagues'!AJ17)</f>
        <v/>
      </c>
      <c r="AJ107" s="17">
        <f>IF('Sports Teams &amp; Leagues'!AK17="","",'Sports Teams &amp; Leagues'!AK17)</f>
        <v/>
      </c>
      <c r="AK107" s="16">
        <f>IF('Sports Teams &amp; Leagues'!AL17="","",'Sports Teams &amp; Leagues'!AL17)</f>
        <v/>
      </c>
      <c r="AL107" s="18">
        <f>IF(V107="","",V107+ROW()/100000)</f>
        <v/>
      </c>
    </row>
    <row r="108" ht="18" customHeight="1">
      <c r="A108" s="22">
        <f>IF('Sports Teams &amp; Leagues'!B18="","","Sports Teams &amp; Leagues")</f>
        <v/>
      </c>
      <c r="B108" s="22">
        <f>IF('Sports Teams &amp; Leagues'!B18="","",'Sports Teams &amp; Leagues'!B18)</f>
        <v/>
      </c>
      <c r="C108" s="23">
        <f>IF('Sports Teams &amp; Leagues'!D18="","",'Sports Teams &amp; Leagues'!D18)</f>
        <v/>
      </c>
      <c r="D108" s="22">
        <f>IF('Sports Teams &amp; Leagues'!E18="","",'Sports Teams &amp; Leagues'!E18)</f>
        <v/>
      </c>
      <c r="E108" s="23">
        <f>IF('Sports Teams &amp; Leagues'!F18="","",'Sports Teams &amp; Leagues'!F18)</f>
        <v/>
      </c>
      <c r="F108" s="23">
        <f>IF('Sports Teams &amp; Leagues'!G18="","",'Sports Teams &amp; Leagues'!G18)</f>
        <v/>
      </c>
      <c r="G108" s="23">
        <f>IF('Sports Teams &amp; Leagues'!H18="","",'Sports Teams &amp; Leagues'!H18)</f>
        <v/>
      </c>
      <c r="H108" s="22">
        <f>IF('Sports Teams &amp; Leagues'!I18="","",'Sports Teams &amp; Leagues'!I18)</f>
        <v/>
      </c>
      <c r="I108" s="23">
        <f>IF('Sports Teams &amp; Leagues'!J18="","",'Sports Teams &amp; Leagues'!J18)</f>
        <v/>
      </c>
      <c r="J108" s="22">
        <f>IF('Sports Teams &amp; Leagues'!K18="","",'Sports Teams &amp; Leagues'!K18)</f>
        <v/>
      </c>
      <c r="K108" s="23">
        <f>IF('Sports Teams &amp; Leagues'!L18="","",'Sports Teams &amp; Leagues'!L18)</f>
        <v/>
      </c>
      <c r="L108" s="22">
        <f>IF('Sports Teams &amp; Leagues'!M18="","",'Sports Teams &amp; Leagues'!M18)</f>
        <v/>
      </c>
      <c r="M108" s="23">
        <f>IF('Sports Teams &amp; Leagues'!N18="","",'Sports Teams &amp; Leagues'!N18)</f>
        <v/>
      </c>
      <c r="N108" s="22">
        <f>IF('Sports Teams &amp; Leagues'!O18="","",'Sports Teams &amp; Leagues'!O18)</f>
        <v/>
      </c>
      <c r="O108" s="23">
        <f>IF('Sports Teams &amp; Leagues'!P18="","",'Sports Teams &amp; Leagues'!P18)</f>
        <v/>
      </c>
      <c r="P108" s="23">
        <f>IF('Sports Teams &amp; Leagues'!Q18="","",'Sports Teams &amp; Leagues'!Q18)</f>
        <v/>
      </c>
      <c r="Q108" s="24">
        <f>IF('Sports Teams &amp; Leagues'!R18="","",'Sports Teams &amp; Leagues'!R18)</f>
        <v/>
      </c>
      <c r="R108" s="25">
        <f>IF('Sports Teams &amp; Leagues'!S18="","",'Sports Teams &amp; Leagues'!S18)</f>
        <v/>
      </c>
      <c r="S108" s="22">
        <f>IF('Sports Teams &amp; Leagues'!T18="","",'Sports Teams &amp; Leagues'!T18)</f>
        <v/>
      </c>
      <c r="T108" s="24">
        <f>IF('Sports Teams &amp; Leagues'!U18="","",'Sports Teams &amp; Leagues'!U18)</f>
        <v/>
      </c>
      <c r="U108" s="23">
        <f>IF('Sports Teams &amp; Leagues'!V18="","",'Sports Teams &amp; Leagues'!V18)</f>
        <v/>
      </c>
      <c r="V108" s="24">
        <f>IF('Sports Teams &amp; Leagues'!W18="","",'Sports Teams &amp; Leagues'!W18)</f>
        <v/>
      </c>
      <c r="W108" s="23">
        <f>IF('Sports Teams &amp; Leagues'!X18="","",'Sports Teams &amp; Leagues'!X18)</f>
        <v/>
      </c>
      <c r="X108" s="23">
        <f>IF('Sports Teams &amp; Leagues'!Y18="","",'Sports Teams &amp; Leagues'!Y18)</f>
        <v/>
      </c>
      <c r="Y108" s="26">
        <f>IF('Sports Teams &amp; Leagues'!Z18="","",'Sports Teams &amp; Leagues'!Z18)</f>
        <v/>
      </c>
      <c r="Z108" s="27">
        <f>IF('Sports Teams &amp; Leagues'!AA18="","",'Sports Teams &amp; Leagues'!AA18)</f>
        <v/>
      </c>
      <c r="AA108" s="26">
        <f>IF('Sports Teams &amp; Leagues'!AB18="","",'Sports Teams &amp; Leagues'!AB18)</f>
        <v/>
      </c>
      <c r="AB108" s="22">
        <f>IF('Sports Teams &amp; Leagues'!AC18="","",'Sports Teams &amp; Leagues'!AC18)</f>
        <v/>
      </c>
      <c r="AC108" s="22">
        <f>IF('Sports Teams &amp; Leagues'!AD18="","",'Sports Teams &amp; Leagues'!AD18)</f>
        <v/>
      </c>
      <c r="AD108" s="22">
        <f>IF('Sports Teams &amp; Leagues'!AE18="","",'Sports Teams &amp; Leagues'!AE18)</f>
        <v/>
      </c>
      <c r="AE108" s="22">
        <f>IF('Sports Teams &amp; Leagues'!AF18="","",'Sports Teams &amp; Leagues'!AF18)</f>
        <v/>
      </c>
      <c r="AF108" s="22">
        <f>IF('Sports Teams &amp; Leagues'!AG18="","",'Sports Teams &amp; Leagues'!AG18)</f>
        <v/>
      </c>
      <c r="AG108" s="23">
        <f>IF('Sports Teams &amp; Leagues'!AH18="","",'Sports Teams &amp; Leagues'!AH18)</f>
        <v/>
      </c>
      <c r="AH108" s="23">
        <f>IF('Sports Teams &amp; Leagues'!AI18="","",'Sports Teams &amp; Leagues'!AI18)</f>
        <v/>
      </c>
      <c r="AI108" s="23">
        <f>IF('Sports Teams &amp; Leagues'!AJ18="","",'Sports Teams &amp; Leagues'!AJ18)</f>
        <v/>
      </c>
      <c r="AJ108" s="23">
        <f>IF('Sports Teams &amp; Leagues'!AK18="","",'Sports Teams &amp; Leagues'!AK18)</f>
        <v/>
      </c>
      <c r="AK108" s="22">
        <f>IF('Sports Teams &amp; Leagues'!AL18="","",'Sports Teams &amp; Leagues'!AL18)</f>
        <v/>
      </c>
      <c r="AL108" s="18">
        <f>IF(V108="","",V108+ROW()/100000)</f>
        <v/>
      </c>
    </row>
    <row r="109" ht="18" customHeight="1">
      <c r="A109" s="16">
        <f>IF('Sports Teams &amp; Leagues'!B19="","","Sports Teams &amp; Leagues")</f>
        <v/>
      </c>
      <c r="B109" s="16">
        <f>IF('Sports Teams &amp; Leagues'!B19="","",'Sports Teams &amp; Leagues'!B19)</f>
        <v/>
      </c>
      <c r="C109" s="17">
        <f>IF('Sports Teams &amp; Leagues'!D19="","",'Sports Teams &amp; Leagues'!D19)</f>
        <v/>
      </c>
      <c r="D109" s="16">
        <f>IF('Sports Teams &amp; Leagues'!E19="","",'Sports Teams &amp; Leagues'!E19)</f>
        <v/>
      </c>
      <c r="E109" s="17">
        <f>IF('Sports Teams &amp; Leagues'!F19="","",'Sports Teams &amp; Leagues'!F19)</f>
        <v/>
      </c>
      <c r="F109" s="17">
        <f>IF('Sports Teams &amp; Leagues'!G19="","",'Sports Teams &amp; Leagues'!G19)</f>
        <v/>
      </c>
      <c r="G109" s="17">
        <f>IF('Sports Teams &amp; Leagues'!H19="","",'Sports Teams &amp; Leagues'!H19)</f>
        <v/>
      </c>
      <c r="H109" s="16">
        <f>IF('Sports Teams &amp; Leagues'!I19="","",'Sports Teams &amp; Leagues'!I19)</f>
        <v/>
      </c>
      <c r="I109" s="17">
        <f>IF('Sports Teams &amp; Leagues'!J19="","",'Sports Teams &amp; Leagues'!J19)</f>
        <v/>
      </c>
      <c r="J109" s="16">
        <f>IF('Sports Teams &amp; Leagues'!K19="","",'Sports Teams &amp; Leagues'!K19)</f>
        <v/>
      </c>
      <c r="K109" s="17">
        <f>IF('Sports Teams &amp; Leagues'!L19="","",'Sports Teams &amp; Leagues'!L19)</f>
        <v/>
      </c>
      <c r="L109" s="16">
        <f>IF('Sports Teams &amp; Leagues'!M19="","",'Sports Teams &amp; Leagues'!M19)</f>
        <v/>
      </c>
      <c r="M109" s="17">
        <f>IF('Sports Teams &amp; Leagues'!N19="","",'Sports Teams &amp; Leagues'!N19)</f>
        <v/>
      </c>
      <c r="N109" s="16">
        <f>IF('Sports Teams &amp; Leagues'!O19="","",'Sports Teams &amp; Leagues'!O19)</f>
        <v/>
      </c>
      <c r="O109" s="17">
        <f>IF('Sports Teams &amp; Leagues'!P19="","",'Sports Teams &amp; Leagues'!P19)</f>
        <v/>
      </c>
      <c r="P109" s="17">
        <f>IF('Sports Teams &amp; Leagues'!Q19="","",'Sports Teams &amp; Leagues'!Q19)</f>
        <v/>
      </c>
      <c r="Q109" s="15">
        <f>IF('Sports Teams &amp; Leagues'!R19="","",'Sports Teams &amp; Leagues'!R19)</f>
        <v/>
      </c>
      <c r="R109" s="19">
        <f>IF('Sports Teams &amp; Leagues'!S19="","",'Sports Teams &amp; Leagues'!S19)</f>
        <v/>
      </c>
      <c r="S109" s="16">
        <f>IF('Sports Teams &amp; Leagues'!T19="","",'Sports Teams &amp; Leagues'!T19)</f>
        <v/>
      </c>
      <c r="T109" s="15">
        <f>IF('Sports Teams &amp; Leagues'!U19="","",'Sports Teams &amp; Leagues'!U19)</f>
        <v/>
      </c>
      <c r="U109" s="17">
        <f>IF('Sports Teams &amp; Leagues'!V19="","",'Sports Teams &amp; Leagues'!V19)</f>
        <v/>
      </c>
      <c r="V109" s="15">
        <f>IF('Sports Teams &amp; Leagues'!W19="","",'Sports Teams &amp; Leagues'!W19)</f>
        <v/>
      </c>
      <c r="W109" s="17">
        <f>IF('Sports Teams &amp; Leagues'!X19="","",'Sports Teams &amp; Leagues'!X19)</f>
        <v/>
      </c>
      <c r="X109" s="17">
        <f>IF('Sports Teams &amp; Leagues'!Y19="","",'Sports Teams &amp; Leagues'!Y19)</f>
        <v/>
      </c>
      <c r="Y109" s="20">
        <f>IF('Sports Teams &amp; Leagues'!Z19="","",'Sports Teams &amp; Leagues'!Z19)</f>
        <v/>
      </c>
      <c r="Z109" s="21">
        <f>IF('Sports Teams &amp; Leagues'!AA19="","",'Sports Teams &amp; Leagues'!AA19)</f>
        <v/>
      </c>
      <c r="AA109" s="20">
        <f>IF('Sports Teams &amp; Leagues'!AB19="","",'Sports Teams &amp; Leagues'!AB19)</f>
        <v/>
      </c>
      <c r="AB109" s="16">
        <f>IF('Sports Teams &amp; Leagues'!AC19="","",'Sports Teams &amp; Leagues'!AC19)</f>
        <v/>
      </c>
      <c r="AC109" s="16">
        <f>IF('Sports Teams &amp; Leagues'!AD19="","",'Sports Teams &amp; Leagues'!AD19)</f>
        <v/>
      </c>
      <c r="AD109" s="16">
        <f>IF('Sports Teams &amp; Leagues'!AE19="","",'Sports Teams &amp; Leagues'!AE19)</f>
        <v/>
      </c>
      <c r="AE109" s="16">
        <f>IF('Sports Teams &amp; Leagues'!AF19="","",'Sports Teams &amp; Leagues'!AF19)</f>
        <v/>
      </c>
      <c r="AF109" s="16">
        <f>IF('Sports Teams &amp; Leagues'!AG19="","",'Sports Teams &amp; Leagues'!AG19)</f>
        <v/>
      </c>
      <c r="AG109" s="17">
        <f>IF('Sports Teams &amp; Leagues'!AH19="","",'Sports Teams &amp; Leagues'!AH19)</f>
        <v/>
      </c>
      <c r="AH109" s="17">
        <f>IF('Sports Teams &amp; Leagues'!AI19="","",'Sports Teams &amp; Leagues'!AI19)</f>
        <v/>
      </c>
      <c r="AI109" s="17">
        <f>IF('Sports Teams &amp; Leagues'!AJ19="","",'Sports Teams &amp; Leagues'!AJ19)</f>
        <v/>
      </c>
      <c r="AJ109" s="17">
        <f>IF('Sports Teams &amp; Leagues'!AK19="","",'Sports Teams &amp; Leagues'!AK19)</f>
        <v/>
      </c>
      <c r="AK109" s="16">
        <f>IF('Sports Teams &amp; Leagues'!AL19="","",'Sports Teams &amp; Leagues'!AL19)</f>
        <v/>
      </c>
      <c r="AL109" s="18">
        <f>IF(V109="","",V109+ROW()/100000)</f>
        <v/>
      </c>
    </row>
    <row r="110" ht="18" customHeight="1">
      <c r="A110" s="22">
        <f>IF('Sports Teams &amp; Leagues'!B20="","","Sports Teams &amp; Leagues")</f>
        <v/>
      </c>
      <c r="B110" s="22">
        <f>IF('Sports Teams &amp; Leagues'!B20="","",'Sports Teams &amp; Leagues'!B20)</f>
        <v/>
      </c>
      <c r="C110" s="23">
        <f>IF('Sports Teams &amp; Leagues'!D20="","",'Sports Teams &amp; Leagues'!D20)</f>
        <v/>
      </c>
      <c r="D110" s="22">
        <f>IF('Sports Teams &amp; Leagues'!E20="","",'Sports Teams &amp; Leagues'!E20)</f>
        <v/>
      </c>
      <c r="E110" s="23">
        <f>IF('Sports Teams &amp; Leagues'!F20="","",'Sports Teams &amp; Leagues'!F20)</f>
        <v/>
      </c>
      <c r="F110" s="23">
        <f>IF('Sports Teams &amp; Leagues'!G20="","",'Sports Teams &amp; Leagues'!G20)</f>
        <v/>
      </c>
      <c r="G110" s="23">
        <f>IF('Sports Teams &amp; Leagues'!H20="","",'Sports Teams &amp; Leagues'!H20)</f>
        <v/>
      </c>
      <c r="H110" s="22">
        <f>IF('Sports Teams &amp; Leagues'!I20="","",'Sports Teams &amp; Leagues'!I20)</f>
        <v/>
      </c>
      <c r="I110" s="23">
        <f>IF('Sports Teams &amp; Leagues'!J20="","",'Sports Teams &amp; Leagues'!J20)</f>
        <v/>
      </c>
      <c r="J110" s="22">
        <f>IF('Sports Teams &amp; Leagues'!K20="","",'Sports Teams &amp; Leagues'!K20)</f>
        <v/>
      </c>
      <c r="K110" s="23">
        <f>IF('Sports Teams &amp; Leagues'!L20="","",'Sports Teams &amp; Leagues'!L20)</f>
        <v/>
      </c>
      <c r="L110" s="22">
        <f>IF('Sports Teams &amp; Leagues'!M20="","",'Sports Teams &amp; Leagues'!M20)</f>
        <v/>
      </c>
      <c r="M110" s="23">
        <f>IF('Sports Teams &amp; Leagues'!N20="","",'Sports Teams &amp; Leagues'!N20)</f>
        <v/>
      </c>
      <c r="N110" s="22">
        <f>IF('Sports Teams &amp; Leagues'!O20="","",'Sports Teams &amp; Leagues'!O20)</f>
        <v/>
      </c>
      <c r="O110" s="23">
        <f>IF('Sports Teams &amp; Leagues'!P20="","",'Sports Teams &amp; Leagues'!P20)</f>
        <v/>
      </c>
      <c r="P110" s="23">
        <f>IF('Sports Teams &amp; Leagues'!Q20="","",'Sports Teams &amp; Leagues'!Q20)</f>
        <v/>
      </c>
      <c r="Q110" s="24">
        <f>IF('Sports Teams &amp; Leagues'!R20="","",'Sports Teams &amp; Leagues'!R20)</f>
        <v/>
      </c>
      <c r="R110" s="25">
        <f>IF('Sports Teams &amp; Leagues'!S20="","",'Sports Teams &amp; Leagues'!S20)</f>
        <v/>
      </c>
      <c r="S110" s="22">
        <f>IF('Sports Teams &amp; Leagues'!T20="","",'Sports Teams &amp; Leagues'!T20)</f>
        <v/>
      </c>
      <c r="T110" s="24">
        <f>IF('Sports Teams &amp; Leagues'!U20="","",'Sports Teams &amp; Leagues'!U20)</f>
        <v/>
      </c>
      <c r="U110" s="23">
        <f>IF('Sports Teams &amp; Leagues'!V20="","",'Sports Teams &amp; Leagues'!V20)</f>
        <v/>
      </c>
      <c r="V110" s="24">
        <f>IF('Sports Teams &amp; Leagues'!W20="","",'Sports Teams &amp; Leagues'!W20)</f>
        <v/>
      </c>
      <c r="W110" s="23">
        <f>IF('Sports Teams &amp; Leagues'!X20="","",'Sports Teams &amp; Leagues'!X20)</f>
        <v/>
      </c>
      <c r="X110" s="23">
        <f>IF('Sports Teams &amp; Leagues'!Y20="","",'Sports Teams &amp; Leagues'!Y20)</f>
        <v/>
      </c>
      <c r="Y110" s="26">
        <f>IF('Sports Teams &amp; Leagues'!Z20="","",'Sports Teams &amp; Leagues'!Z20)</f>
        <v/>
      </c>
      <c r="Z110" s="27">
        <f>IF('Sports Teams &amp; Leagues'!AA20="","",'Sports Teams &amp; Leagues'!AA20)</f>
        <v/>
      </c>
      <c r="AA110" s="26">
        <f>IF('Sports Teams &amp; Leagues'!AB20="","",'Sports Teams &amp; Leagues'!AB20)</f>
        <v/>
      </c>
      <c r="AB110" s="22">
        <f>IF('Sports Teams &amp; Leagues'!AC20="","",'Sports Teams &amp; Leagues'!AC20)</f>
        <v/>
      </c>
      <c r="AC110" s="22">
        <f>IF('Sports Teams &amp; Leagues'!AD20="","",'Sports Teams &amp; Leagues'!AD20)</f>
        <v/>
      </c>
      <c r="AD110" s="22">
        <f>IF('Sports Teams &amp; Leagues'!AE20="","",'Sports Teams &amp; Leagues'!AE20)</f>
        <v/>
      </c>
      <c r="AE110" s="22">
        <f>IF('Sports Teams &amp; Leagues'!AF20="","",'Sports Teams &amp; Leagues'!AF20)</f>
        <v/>
      </c>
      <c r="AF110" s="22">
        <f>IF('Sports Teams &amp; Leagues'!AG20="","",'Sports Teams &amp; Leagues'!AG20)</f>
        <v/>
      </c>
      <c r="AG110" s="23">
        <f>IF('Sports Teams &amp; Leagues'!AH20="","",'Sports Teams &amp; Leagues'!AH20)</f>
        <v/>
      </c>
      <c r="AH110" s="23">
        <f>IF('Sports Teams &amp; Leagues'!AI20="","",'Sports Teams &amp; Leagues'!AI20)</f>
        <v/>
      </c>
      <c r="AI110" s="23">
        <f>IF('Sports Teams &amp; Leagues'!AJ20="","",'Sports Teams &amp; Leagues'!AJ20)</f>
        <v/>
      </c>
      <c r="AJ110" s="23">
        <f>IF('Sports Teams &amp; Leagues'!AK20="","",'Sports Teams &amp; Leagues'!AK20)</f>
        <v/>
      </c>
      <c r="AK110" s="22">
        <f>IF('Sports Teams &amp; Leagues'!AL20="","",'Sports Teams &amp; Leagues'!AL20)</f>
        <v/>
      </c>
      <c r="AL110" s="18">
        <f>IF(V110="","",V110+ROW()/100000)</f>
        <v/>
      </c>
    </row>
    <row r="111" ht="18" customHeight="1">
      <c r="A111" s="16">
        <f>IF('Sports Teams &amp; Leagues'!B21="","","Sports Teams &amp; Leagues")</f>
        <v/>
      </c>
      <c r="B111" s="16">
        <f>IF('Sports Teams &amp; Leagues'!B21="","",'Sports Teams &amp; Leagues'!B21)</f>
        <v/>
      </c>
      <c r="C111" s="17">
        <f>IF('Sports Teams &amp; Leagues'!D21="","",'Sports Teams &amp; Leagues'!D21)</f>
        <v/>
      </c>
      <c r="D111" s="16">
        <f>IF('Sports Teams &amp; Leagues'!E21="","",'Sports Teams &amp; Leagues'!E21)</f>
        <v/>
      </c>
      <c r="E111" s="17">
        <f>IF('Sports Teams &amp; Leagues'!F21="","",'Sports Teams &amp; Leagues'!F21)</f>
        <v/>
      </c>
      <c r="F111" s="17">
        <f>IF('Sports Teams &amp; Leagues'!G21="","",'Sports Teams &amp; Leagues'!G21)</f>
        <v/>
      </c>
      <c r="G111" s="17">
        <f>IF('Sports Teams &amp; Leagues'!H21="","",'Sports Teams &amp; Leagues'!H21)</f>
        <v/>
      </c>
      <c r="H111" s="16">
        <f>IF('Sports Teams &amp; Leagues'!I21="","",'Sports Teams &amp; Leagues'!I21)</f>
        <v/>
      </c>
      <c r="I111" s="17">
        <f>IF('Sports Teams &amp; Leagues'!J21="","",'Sports Teams &amp; Leagues'!J21)</f>
        <v/>
      </c>
      <c r="J111" s="16">
        <f>IF('Sports Teams &amp; Leagues'!K21="","",'Sports Teams &amp; Leagues'!K21)</f>
        <v/>
      </c>
      <c r="K111" s="17">
        <f>IF('Sports Teams &amp; Leagues'!L21="","",'Sports Teams &amp; Leagues'!L21)</f>
        <v/>
      </c>
      <c r="L111" s="16">
        <f>IF('Sports Teams &amp; Leagues'!M21="","",'Sports Teams &amp; Leagues'!M21)</f>
        <v/>
      </c>
      <c r="M111" s="17">
        <f>IF('Sports Teams &amp; Leagues'!N21="","",'Sports Teams &amp; Leagues'!N21)</f>
        <v/>
      </c>
      <c r="N111" s="16">
        <f>IF('Sports Teams &amp; Leagues'!O21="","",'Sports Teams &amp; Leagues'!O21)</f>
        <v/>
      </c>
      <c r="O111" s="17">
        <f>IF('Sports Teams &amp; Leagues'!P21="","",'Sports Teams &amp; Leagues'!P21)</f>
        <v/>
      </c>
      <c r="P111" s="17">
        <f>IF('Sports Teams &amp; Leagues'!Q21="","",'Sports Teams &amp; Leagues'!Q21)</f>
        <v/>
      </c>
      <c r="Q111" s="15">
        <f>IF('Sports Teams &amp; Leagues'!R21="","",'Sports Teams &amp; Leagues'!R21)</f>
        <v/>
      </c>
      <c r="R111" s="19">
        <f>IF('Sports Teams &amp; Leagues'!S21="","",'Sports Teams &amp; Leagues'!S21)</f>
        <v/>
      </c>
      <c r="S111" s="16">
        <f>IF('Sports Teams &amp; Leagues'!T21="","",'Sports Teams &amp; Leagues'!T21)</f>
        <v/>
      </c>
      <c r="T111" s="15">
        <f>IF('Sports Teams &amp; Leagues'!U21="","",'Sports Teams &amp; Leagues'!U21)</f>
        <v/>
      </c>
      <c r="U111" s="17">
        <f>IF('Sports Teams &amp; Leagues'!V21="","",'Sports Teams &amp; Leagues'!V21)</f>
        <v/>
      </c>
      <c r="V111" s="15">
        <f>IF('Sports Teams &amp; Leagues'!W21="","",'Sports Teams &amp; Leagues'!W21)</f>
        <v/>
      </c>
      <c r="W111" s="17">
        <f>IF('Sports Teams &amp; Leagues'!X21="","",'Sports Teams &amp; Leagues'!X21)</f>
        <v/>
      </c>
      <c r="X111" s="17">
        <f>IF('Sports Teams &amp; Leagues'!Y21="","",'Sports Teams &amp; Leagues'!Y21)</f>
        <v/>
      </c>
      <c r="Y111" s="20">
        <f>IF('Sports Teams &amp; Leagues'!Z21="","",'Sports Teams &amp; Leagues'!Z21)</f>
        <v/>
      </c>
      <c r="Z111" s="21">
        <f>IF('Sports Teams &amp; Leagues'!AA21="","",'Sports Teams &amp; Leagues'!AA21)</f>
        <v/>
      </c>
      <c r="AA111" s="20">
        <f>IF('Sports Teams &amp; Leagues'!AB21="","",'Sports Teams &amp; Leagues'!AB21)</f>
        <v/>
      </c>
      <c r="AB111" s="16">
        <f>IF('Sports Teams &amp; Leagues'!AC21="","",'Sports Teams &amp; Leagues'!AC21)</f>
        <v/>
      </c>
      <c r="AC111" s="16">
        <f>IF('Sports Teams &amp; Leagues'!AD21="","",'Sports Teams &amp; Leagues'!AD21)</f>
        <v/>
      </c>
      <c r="AD111" s="16">
        <f>IF('Sports Teams &amp; Leagues'!AE21="","",'Sports Teams &amp; Leagues'!AE21)</f>
        <v/>
      </c>
      <c r="AE111" s="16">
        <f>IF('Sports Teams &amp; Leagues'!AF21="","",'Sports Teams &amp; Leagues'!AF21)</f>
        <v/>
      </c>
      <c r="AF111" s="16">
        <f>IF('Sports Teams &amp; Leagues'!AG21="","",'Sports Teams &amp; Leagues'!AG21)</f>
        <v/>
      </c>
      <c r="AG111" s="17">
        <f>IF('Sports Teams &amp; Leagues'!AH21="","",'Sports Teams &amp; Leagues'!AH21)</f>
        <v/>
      </c>
      <c r="AH111" s="17">
        <f>IF('Sports Teams &amp; Leagues'!AI21="","",'Sports Teams &amp; Leagues'!AI21)</f>
        <v/>
      </c>
      <c r="AI111" s="17">
        <f>IF('Sports Teams &amp; Leagues'!AJ21="","",'Sports Teams &amp; Leagues'!AJ21)</f>
        <v/>
      </c>
      <c r="AJ111" s="17">
        <f>IF('Sports Teams &amp; Leagues'!AK21="","",'Sports Teams &amp; Leagues'!AK21)</f>
        <v/>
      </c>
      <c r="AK111" s="16">
        <f>IF('Sports Teams &amp; Leagues'!AL21="","",'Sports Teams &amp; Leagues'!AL21)</f>
        <v/>
      </c>
      <c r="AL111" s="18">
        <f>IF(V111="","",V111+ROW()/100000)</f>
        <v/>
      </c>
    </row>
    <row r="112" ht="18" customHeight="1">
      <c r="A112" s="22">
        <f>IF('Sports Teams &amp; Leagues'!B22="","","Sports Teams &amp; Leagues")</f>
        <v/>
      </c>
      <c r="B112" s="22">
        <f>IF('Sports Teams &amp; Leagues'!B22="","",'Sports Teams &amp; Leagues'!B22)</f>
        <v/>
      </c>
      <c r="C112" s="23">
        <f>IF('Sports Teams &amp; Leagues'!D22="","",'Sports Teams &amp; Leagues'!D22)</f>
        <v/>
      </c>
      <c r="D112" s="22">
        <f>IF('Sports Teams &amp; Leagues'!E22="","",'Sports Teams &amp; Leagues'!E22)</f>
        <v/>
      </c>
      <c r="E112" s="23">
        <f>IF('Sports Teams &amp; Leagues'!F22="","",'Sports Teams &amp; Leagues'!F22)</f>
        <v/>
      </c>
      <c r="F112" s="23">
        <f>IF('Sports Teams &amp; Leagues'!G22="","",'Sports Teams &amp; Leagues'!G22)</f>
        <v/>
      </c>
      <c r="G112" s="23">
        <f>IF('Sports Teams &amp; Leagues'!H22="","",'Sports Teams &amp; Leagues'!H22)</f>
        <v/>
      </c>
      <c r="H112" s="22">
        <f>IF('Sports Teams &amp; Leagues'!I22="","",'Sports Teams &amp; Leagues'!I22)</f>
        <v/>
      </c>
      <c r="I112" s="23">
        <f>IF('Sports Teams &amp; Leagues'!J22="","",'Sports Teams &amp; Leagues'!J22)</f>
        <v/>
      </c>
      <c r="J112" s="22">
        <f>IF('Sports Teams &amp; Leagues'!K22="","",'Sports Teams &amp; Leagues'!K22)</f>
        <v/>
      </c>
      <c r="K112" s="23">
        <f>IF('Sports Teams &amp; Leagues'!L22="","",'Sports Teams &amp; Leagues'!L22)</f>
        <v/>
      </c>
      <c r="L112" s="22">
        <f>IF('Sports Teams &amp; Leagues'!M22="","",'Sports Teams &amp; Leagues'!M22)</f>
        <v/>
      </c>
      <c r="M112" s="23">
        <f>IF('Sports Teams &amp; Leagues'!N22="","",'Sports Teams &amp; Leagues'!N22)</f>
        <v/>
      </c>
      <c r="N112" s="22">
        <f>IF('Sports Teams &amp; Leagues'!O22="","",'Sports Teams &amp; Leagues'!O22)</f>
        <v/>
      </c>
      <c r="O112" s="23">
        <f>IF('Sports Teams &amp; Leagues'!P22="","",'Sports Teams &amp; Leagues'!P22)</f>
        <v/>
      </c>
      <c r="P112" s="23">
        <f>IF('Sports Teams &amp; Leagues'!Q22="","",'Sports Teams &amp; Leagues'!Q22)</f>
        <v/>
      </c>
      <c r="Q112" s="24">
        <f>IF('Sports Teams &amp; Leagues'!R22="","",'Sports Teams &amp; Leagues'!R22)</f>
        <v/>
      </c>
      <c r="R112" s="25">
        <f>IF('Sports Teams &amp; Leagues'!S22="","",'Sports Teams &amp; Leagues'!S22)</f>
        <v/>
      </c>
      <c r="S112" s="22">
        <f>IF('Sports Teams &amp; Leagues'!T22="","",'Sports Teams &amp; Leagues'!T22)</f>
        <v/>
      </c>
      <c r="T112" s="24">
        <f>IF('Sports Teams &amp; Leagues'!U22="","",'Sports Teams &amp; Leagues'!U22)</f>
        <v/>
      </c>
      <c r="U112" s="23">
        <f>IF('Sports Teams &amp; Leagues'!V22="","",'Sports Teams &amp; Leagues'!V22)</f>
        <v/>
      </c>
      <c r="V112" s="24">
        <f>IF('Sports Teams &amp; Leagues'!W22="","",'Sports Teams &amp; Leagues'!W22)</f>
        <v/>
      </c>
      <c r="W112" s="23">
        <f>IF('Sports Teams &amp; Leagues'!X22="","",'Sports Teams &amp; Leagues'!X22)</f>
        <v/>
      </c>
      <c r="X112" s="23">
        <f>IF('Sports Teams &amp; Leagues'!Y22="","",'Sports Teams &amp; Leagues'!Y22)</f>
        <v/>
      </c>
      <c r="Y112" s="26">
        <f>IF('Sports Teams &amp; Leagues'!Z22="","",'Sports Teams &amp; Leagues'!Z22)</f>
        <v/>
      </c>
      <c r="Z112" s="27">
        <f>IF('Sports Teams &amp; Leagues'!AA22="","",'Sports Teams &amp; Leagues'!AA22)</f>
        <v/>
      </c>
      <c r="AA112" s="26">
        <f>IF('Sports Teams &amp; Leagues'!AB22="","",'Sports Teams &amp; Leagues'!AB22)</f>
        <v/>
      </c>
      <c r="AB112" s="22">
        <f>IF('Sports Teams &amp; Leagues'!AC22="","",'Sports Teams &amp; Leagues'!AC22)</f>
        <v/>
      </c>
      <c r="AC112" s="22">
        <f>IF('Sports Teams &amp; Leagues'!AD22="","",'Sports Teams &amp; Leagues'!AD22)</f>
        <v/>
      </c>
      <c r="AD112" s="22">
        <f>IF('Sports Teams &amp; Leagues'!AE22="","",'Sports Teams &amp; Leagues'!AE22)</f>
        <v/>
      </c>
      <c r="AE112" s="22">
        <f>IF('Sports Teams &amp; Leagues'!AF22="","",'Sports Teams &amp; Leagues'!AF22)</f>
        <v/>
      </c>
      <c r="AF112" s="22">
        <f>IF('Sports Teams &amp; Leagues'!AG22="","",'Sports Teams &amp; Leagues'!AG22)</f>
        <v/>
      </c>
      <c r="AG112" s="23">
        <f>IF('Sports Teams &amp; Leagues'!AH22="","",'Sports Teams &amp; Leagues'!AH22)</f>
        <v/>
      </c>
      <c r="AH112" s="23">
        <f>IF('Sports Teams &amp; Leagues'!AI22="","",'Sports Teams &amp; Leagues'!AI22)</f>
        <v/>
      </c>
      <c r="AI112" s="23">
        <f>IF('Sports Teams &amp; Leagues'!AJ22="","",'Sports Teams &amp; Leagues'!AJ22)</f>
        <v/>
      </c>
      <c r="AJ112" s="23">
        <f>IF('Sports Teams &amp; Leagues'!AK22="","",'Sports Teams &amp; Leagues'!AK22)</f>
        <v/>
      </c>
      <c r="AK112" s="22">
        <f>IF('Sports Teams &amp; Leagues'!AL22="","",'Sports Teams &amp; Leagues'!AL22)</f>
        <v/>
      </c>
      <c r="AL112" s="18">
        <f>IF(V112="","",V112+ROW()/100000)</f>
        <v/>
      </c>
    </row>
    <row r="113" ht="18" customHeight="1">
      <c r="A113" s="16">
        <f>IF('Sports Teams &amp; Leagues'!B23="","","Sports Teams &amp; Leagues")</f>
        <v/>
      </c>
      <c r="B113" s="16">
        <f>IF('Sports Teams &amp; Leagues'!B23="","",'Sports Teams &amp; Leagues'!B23)</f>
        <v/>
      </c>
      <c r="C113" s="17">
        <f>IF('Sports Teams &amp; Leagues'!D23="","",'Sports Teams &amp; Leagues'!D23)</f>
        <v/>
      </c>
      <c r="D113" s="16">
        <f>IF('Sports Teams &amp; Leagues'!E23="","",'Sports Teams &amp; Leagues'!E23)</f>
        <v/>
      </c>
      <c r="E113" s="17">
        <f>IF('Sports Teams &amp; Leagues'!F23="","",'Sports Teams &amp; Leagues'!F23)</f>
        <v/>
      </c>
      <c r="F113" s="17">
        <f>IF('Sports Teams &amp; Leagues'!G23="","",'Sports Teams &amp; Leagues'!G23)</f>
        <v/>
      </c>
      <c r="G113" s="17">
        <f>IF('Sports Teams &amp; Leagues'!H23="","",'Sports Teams &amp; Leagues'!H23)</f>
        <v/>
      </c>
      <c r="H113" s="16">
        <f>IF('Sports Teams &amp; Leagues'!I23="","",'Sports Teams &amp; Leagues'!I23)</f>
        <v/>
      </c>
      <c r="I113" s="17">
        <f>IF('Sports Teams &amp; Leagues'!J23="","",'Sports Teams &amp; Leagues'!J23)</f>
        <v/>
      </c>
      <c r="J113" s="16">
        <f>IF('Sports Teams &amp; Leagues'!K23="","",'Sports Teams &amp; Leagues'!K23)</f>
        <v/>
      </c>
      <c r="K113" s="17">
        <f>IF('Sports Teams &amp; Leagues'!L23="","",'Sports Teams &amp; Leagues'!L23)</f>
        <v/>
      </c>
      <c r="L113" s="16">
        <f>IF('Sports Teams &amp; Leagues'!M23="","",'Sports Teams &amp; Leagues'!M23)</f>
        <v/>
      </c>
      <c r="M113" s="17">
        <f>IF('Sports Teams &amp; Leagues'!N23="","",'Sports Teams &amp; Leagues'!N23)</f>
        <v/>
      </c>
      <c r="N113" s="16">
        <f>IF('Sports Teams &amp; Leagues'!O23="","",'Sports Teams &amp; Leagues'!O23)</f>
        <v/>
      </c>
      <c r="O113" s="17">
        <f>IF('Sports Teams &amp; Leagues'!P23="","",'Sports Teams &amp; Leagues'!P23)</f>
        <v/>
      </c>
      <c r="P113" s="17">
        <f>IF('Sports Teams &amp; Leagues'!Q23="","",'Sports Teams &amp; Leagues'!Q23)</f>
        <v/>
      </c>
      <c r="Q113" s="15">
        <f>IF('Sports Teams &amp; Leagues'!R23="","",'Sports Teams &amp; Leagues'!R23)</f>
        <v/>
      </c>
      <c r="R113" s="19">
        <f>IF('Sports Teams &amp; Leagues'!S23="","",'Sports Teams &amp; Leagues'!S23)</f>
        <v/>
      </c>
      <c r="S113" s="16">
        <f>IF('Sports Teams &amp; Leagues'!T23="","",'Sports Teams &amp; Leagues'!T23)</f>
        <v/>
      </c>
      <c r="T113" s="15">
        <f>IF('Sports Teams &amp; Leagues'!U23="","",'Sports Teams &amp; Leagues'!U23)</f>
        <v/>
      </c>
      <c r="U113" s="17">
        <f>IF('Sports Teams &amp; Leagues'!V23="","",'Sports Teams &amp; Leagues'!V23)</f>
        <v/>
      </c>
      <c r="V113" s="15">
        <f>IF('Sports Teams &amp; Leagues'!W23="","",'Sports Teams &amp; Leagues'!W23)</f>
        <v/>
      </c>
      <c r="W113" s="17">
        <f>IF('Sports Teams &amp; Leagues'!X23="","",'Sports Teams &amp; Leagues'!X23)</f>
        <v/>
      </c>
      <c r="X113" s="17">
        <f>IF('Sports Teams &amp; Leagues'!Y23="","",'Sports Teams &amp; Leagues'!Y23)</f>
        <v/>
      </c>
      <c r="Y113" s="20">
        <f>IF('Sports Teams &amp; Leagues'!Z23="","",'Sports Teams &amp; Leagues'!Z23)</f>
        <v/>
      </c>
      <c r="Z113" s="21">
        <f>IF('Sports Teams &amp; Leagues'!AA23="","",'Sports Teams &amp; Leagues'!AA23)</f>
        <v/>
      </c>
      <c r="AA113" s="20">
        <f>IF('Sports Teams &amp; Leagues'!AB23="","",'Sports Teams &amp; Leagues'!AB23)</f>
        <v/>
      </c>
      <c r="AB113" s="16">
        <f>IF('Sports Teams &amp; Leagues'!AC23="","",'Sports Teams &amp; Leagues'!AC23)</f>
        <v/>
      </c>
      <c r="AC113" s="16">
        <f>IF('Sports Teams &amp; Leagues'!AD23="","",'Sports Teams &amp; Leagues'!AD23)</f>
        <v/>
      </c>
      <c r="AD113" s="16">
        <f>IF('Sports Teams &amp; Leagues'!AE23="","",'Sports Teams &amp; Leagues'!AE23)</f>
        <v/>
      </c>
      <c r="AE113" s="16">
        <f>IF('Sports Teams &amp; Leagues'!AF23="","",'Sports Teams &amp; Leagues'!AF23)</f>
        <v/>
      </c>
      <c r="AF113" s="16">
        <f>IF('Sports Teams &amp; Leagues'!AG23="","",'Sports Teams &amp; Leagues'!AG23)</f>
        <v/>
      </c>
      <c r="AG113" s="17">
        <f>IF('Sports Teams &amp; Leagues'!AH23="","",'Sports Teams &amp; Leagues'!AH23)</f>
        <v/>
      </c>
      <c r="AH113" s="17">
        <f>IF('Sports Teams &amp; Leagues'!AI23="","",'Sports Teams &amp; Leagues'!AI23)</f>
        <v/>
      </c>
      <c r="AI113" s="17">
        <f>IF('Sports Teams &amp; Leagues'!AJ23="","",'Sports Teams &amp; Leagues'!AJ23)</f>
        <v/>
      </c>
      <c r="AJ113" s="17">
        <f>IF('Sports Teams &amp; Leagues'!AK23="","",'Sports Teams &amp; Leagues'!AK23)</f>
        <v/>
      </c>
      <c r="AK113" s="16">
        <f>IF('Sports Teams &amp; Leagues'!AL23="","",'Sports Teams &amp; Leagues'!AL23)</f>
        <v/>
      </c>
      <c r="AL113" s="18">
        <f>IF(V113="","",V113+ROW()/100000)</f>
        <v/>
      </c>
    </row>
    <row r="114" ht="18" customHeight="1">
      <c r="A114" s="22">
        <f>IF('Sports Teams &amp; Leagues'!B24="","","Sports Teams &amp; Leagues")</f>
        <v/>
      </c>
      <c r="B114" s="22">
        <f>IF('Sports Teams &amp; Leagues'!B24="","",'Sports Teams &amp; Leagues'!B24)</f>
        <v/>
      </c>
      <c r="C114" s="23">
        <f>IF('Sports Teams &amp; Leagues'!D24="","",'Sports Teams &amp; Leagues'!D24)</f>
        <v/>
      </c>
      <c r="D114" s="22">
        <f>IF('Sports Teams &amp; Leagues'!E24="","",'Sports Teams &amp; Leagues'!E24)</f>
        <v/>
      </c>
      <c r="E114" s="23">
        <f>IF('Sports Teams &amp; Leagues'!F24="","",'Sports Teams &amp; Leagues'!F24)</f>
        <v/>
      </c>
      <c r="F114" s="23">
        <f>IF('Sports Teams &amp; Leagues'!G24="","",'Sports Teams &amp; Leagues'!G24)</f>
        <v/>
      </c>
      <c r="G114" s="23">
        <f>IF('Sports Teams &amp; Leagues'!H24="","",'Sports Teams &amp; Leagues'!H24)</f>
        <v/>
      </c>
      <c r="H114" s="22">
        <f>IF('Sports Teams &amp; Leagues'!I24="","",'Sports Teams &amp; Leagues'!I24)</f>
        <v/>
      </c>
      <c r="I114" s="23">
        <f>IF('Sports Teams &amp; Leagues'!J24="","",'Sports Teams &amp; Leagues'!J24)</f>
        <v/>
      </c>
      <c r="J114" s="22">
        <f>IF('Sports Teams &amp; Leagues'!K24="","",'Sports Teams &amp; Leagues'!K24)</f>
        <v/>
      </c>
      <c r="K114" s="23">
        <f>IF('Sports Teams &amp; Leagues'!L24="","",'Sports Teams &amp; Leagues'!L24)</f>
        <v/>
      </c>
      <c r="L114" s="22">
        <f>IF('Sports Teams &amp; Leagues'!M24="","",'Sports Teams &amp; Leagues'!M24)</f>
        <v/>
      </c>
      <c r="M114" s="23">
        <f>IF('Sports Teams &amp; Leagues'!N24="","",'Sports Teams &amp; Leagues'!N24)</f>
        <v/>
      </c>
      <c r="N114" s="22">
        <f>IF('Sports Teams &amp; Leagues'!O24="","",'Sports Teams &amp; Leagues'!O24)</f>
        <v/>
      </c>
      <c r="O114" s="23">
        <f>IF('Sports Teams &amp; Leagues'!P24="","",'Sports Teams &amp; Leagues'!P24)</f>
        <v/>
      </c>
      <c r="P114" s="23">
        <f>IF('Sports Teams &amp; Leagues'!Q24="","",'Sports Teams &amp; Leagues'!Q24)</f>
        <v/>
      </c>
      <c r="Q114" s="24">
        <f>IF('Sports Teams &amp; Leagues'!R24="","",'Sports Teams &amp; Leagues'!R24)</f>
        <v/>
      </c>
      <c r="R114" s="25">
        <f>IF('Sports Teams &amp; Leagues'!S24="","",'Sports Teams &amp; Leagues'!S24)</f>
        <v/>
      </c>
      <c r="S114" s="22">
        <f>IF('Sports Teams &amp; Leagues'!T24="","",'Sports Teams &amp; Leagues'!T24)</f>
        <v/>
      </c>
      <c r="T114" s="24">
        <f>IF('Sports Teams &amp; Leagues'!U24="","",'Sports Teams &amp; Leagues'!U24)</f>
        <v/>
      </c>
      <c r="U114" s="23">
        <f>IF('Sports Teams &amp; Leagues'!V24="","",'Sports Teams &amp; Leagues'!V24)</f>
        <v/>
      </c>
      <c r="V114" s="24">
        <f>IF('Sports Teams &amp; Leagues'!W24="","",'Sports Teams &amp; Leagues'!W24)</f>
        <v/>
      </c>
      <c r="W114" s="23">
        <f>IF('Sports Teams &amp; Leagues'!X24="","",'Sports Teams &amp; Leagues'!X24)</f>
        <v/>
      </c>
      <c r="X114" s="23">
        <f>IF('Sports Teams &amp; Leagues'!Y24="","",'Sports Teams &amp; Leagues'!Y24)</f>
        <v/>
      </c>
      <c r="Y114" s="26">
        <f>IF('Sports Teams &amp; Leagues'!Z24="","",'Sports Teams &amp; Leagues'!Z24)</f>
        <v/>
      </c>
      <c r="Z114" s="27">
        <f>IF('Sports Teams &amp; Leagues'!AA24="","",'Sports Teams &amp; Leagues'!AA24)</f>
        <v/>
      </c>
      <c r="AA114" s="26">
        <f>IF('Sports Teams &amp; Leagues'!AB24="","",'Sports Teams &amp; Leagues'!AB24)</f>
        <v/>
      </c>
      <c r="AB114" s="22">
        <f>IF('Sports Teams &amp; Leagues'!AC24="","",'Sports Teams &amp; Leagues'!AC24)</f>
        <v/>
      </c>
      <c r="AC114" s="22">
        <f>IF('Sports Teams &amp; Leagues'!AD24="","",'Sports Teams &amp; Leagues'!AD24)</f>
        <v/>
      </c>
      <c r="AD114" s="22">
        <f>IF('Sports Teams &amp; Leagues'!AE24="","",'Sports Teams &amp; Leagues'!AE24)</f>
        <v/>
      </c>
      <c r="AE114" s="22">
        <f>IF('Sports Teams &amp; Leagues'!AF24="","",'Sports Teams &amp; Leagues'!AF24)</f>
        <v/>
      </c>
      <c r="AF114" s="22">
        <f>IF('Sports Teams &amp; Leagues'!AG24="","",'Sports Teams &amp; Leagues'!AG24)</f>
        <v/>
      </c>
      <c r="AG114" s="23">
        <f>IF('Sports Teams &amp; Leagues'!AH24="","",'Sports Teams &amp; Leagues'!AH24)</f>
        <v/>
      </c>
      <c r="AH114" s="23">
        <f>IF('Sports Teams &amp; Leagues'!AI24="","",'Sports Teams &amp; Leagues'!AI24)</f>
        <v/>
      </c>
      <c r="AI114" s="23">
        <f>IF('Sports Teams &amp; Leagues'!AJ24="","",'Sports Teams &amp; Leagues'!AJ24)</f>
        <v/>
      </c>
      <c r="AJ114" s="23">
        <f>IF('Sports Teams &amp; Leagues'!AK24="","",'Sports Teams &amp; Leagues'!AK24)</f>
        <v/>
      </c>
      <c r="AK114" s="22">
        <f>IF('Sports Teams &amp; Leagues'!AL24="","",'Sports Teams &amp; Leagues'!AL24)</f>
        <v/>
      </c>
      <c r="AL114" s="18">
        <f>IF(V114="","",V114+ROW()/100000)</f>
        <v/>
      </c>
    </row>
    <row r="115" ht="18" customHeight="1">
      <c r="A115" s="16">
        <f>IF('Sports Teams &amp; Leagues'!B25="","","Sports Teams &amp; Leagues")</f>
        <v/>
      </c>
      <c r="B115" s="16">
        <f>IF('Sports Teams &amp; Leagues'!B25="","",'Sports Teams &amp; Leagues'!B25)</f>
        <v/>
      </c>
      <c r="C115" s="17">
        <f>IF('Sports Teams &amp; Leagues'!D25="","",'Sports Teams &amp; Leagues'!D25)</f>
        <v/>
      </c>
      <c r="D115" s="16">
        <f>IF('Sports Teams &amp; Leagues'!E25="","",'Sports Teams &amp; Leagues'!E25)</f>
        <v/>
      </c>
      <c r="E115" s="17">
        <f>IF('Sports Teams &amp; Leagues'!F25="","",'Sports Teams &amp; Leagues'!F25)</f>
        <v/>
      </c>
      <c r="F115" s="17">
        <f>IF('Sports Teams &amp; Leagues'!G25="","",'Sports Teams &amp; Leagues'!G25)</f>
        <v/>
      </c>
      <c r="G115" s="17">
        <f>IF('Sports Teams &amp; Leagues'!H25="","",'Sports Teams &amp; Leagues'!H25)</f>
        <v/>
      </c>
      <c r="H115" s="16">
        <f>IF('Sports Teams &amp; Leagues'!I25="","",'Sports Teams &amp; Leagues'!I25)</f>
        <v/>
      </c>
      <c r="I115" s="17">
        <f>IF('Sports Teams &amp; Leagues'!J25="","",'Sports Teams &amp; Leagues'!J25)</f>
        <v/>
      </c>
      <c r="J115" s="16">
        <f>IF('Sports Teams &amp; Leagues'!K25="","",'Sports Teams &amp; Leagues'!K25)</f>
        <v/>
      </c>
      <c r="K115" s="17">
        <f>IF('Sports Teams &amp; Leagues'!L25="","",'Sports Teams &amp; Leagues'!L25)</f>
        <v/>
      </c>
      <c r="L115" s="16">
        <f>IF('Sports Teams &amp; Leagues'!M25="","",'Sports Teams &amp; Leagues'!M25)</f>
        <v/>
      </c>
      <c r="M115" s="17">
        <f>IF('Sports Teams &amp; Leagues'!N25="","",'Sports Teams &amp; Leagues'!N25)</f>
        <v/>
      </c>
      <c r="N115" s="16">
        <f>IF('Sports Teams &amp; Leagues'!O25="","",'Sports Teams &amp; Leagues'!O25)</f>
        <v/>
      </c>
      <c r="O115" s="17">
        <f>IF('Sports Teams &amp; Leagues'!P25="","",'Sports Teams &amp; Leagues'!P25)</f>
        <v/>
      </c>
      <c r="P115" s="17">
        <f>IF('Sports Teams &amp; Leagues'!Q25="","",'Sports Teams &amp; Leagues'!Q25)</f>
        <v/>
      </c>
      <c r="Q115" s="15">
        <f>IF('Sports Teams &amp; Leagues'!R25="","",'Sports Teams &amp; Leagues'!R25)</f>
        <v/>
      </c>
      <c r="R115" s="19">
        <f>IF('Sports Teams &amp; Leagues'!S25="","",'Sports Teams &amp; Leagues'!S25)</f>
        <v/>
      </c>
      <c r="S115" s="16">
        <f>IF('Sports Teams &amp; Leagues'!T25="","",'Sports Teams &amp; Leagues'!T25)</f>
        <v/>
      </c>
      <c r="T115" s="15">
        <f>IF('Sports Teams &amp; Leagues'!U25="","",'Sports Teams &amp; Leagues'!U25)</f>
        <v/>
      </c>
      <c r="U115" s="17">
        <f>IF('Sports Teams &amp; Leagues'!V25="","",'Sports Teams &amp; Leagues'!V25)</f>
        <v/>
      </c>
      <c r="V115" s="15">
        <f>IF('Sports Teams &amp; Leagues'!W25="","",'Sports Teams &amp; Leagues'!W25)</f>
        <v/>
      </c>
      <c r="W115" s="17">
        <f>IF('Sports Teams &amp; Leagues'!X25="","",'Sports Teams &amp; Leagues'!X25)</f>
        <v/>
      </c>
      <c r="X115" s="17">
        <f>IF('Sports Teams &amp; Leagues'!Y25="","",'Sports Teams &amp; Leagues'!Y25)</f>
        <v/>
      </c>
      <c r="Y115" s="20">
        <f>IF('Sports Teams &amp; Leagues'!Z25="","",'Sports Teams &amp; Leagues'!Z25)</f>
        <v/>
      </c>
      <c r="Z115" s="21">
        <f>IF('Sports Teams &amp; Leagues'!AA25="","",'Sports Teams &amp; Leagues'!AA25)</f>
        <v/>
      </c>
      <c r="AA115" s="20">
        <f>IF('Sports Teams &amp; Leagues'!AB25="","",'Sports Teams &amp; Leagues'!AB25)</f>
        <v/>
      </c>
      <c r="AB115" s="16">
        <f>IF('Sports Teams &amp; Leagues'!AC25="","",'Sports Teams &amp; Leagues'!AC25)</f>
        <v/>
      </c>
      <c r="AC115" s="16">
        <f>IF('Sports Teams &amp; Leagues'!AD25="","",'Sports Teams &amp; Leagues'!AD25)</f>
        <v/>
      </c>
      <c r="AD115" s="16">
        <f>IF('Sports Teams &amp; Leagues'!AE25="","",'Sports Teams &amp; Leagues'!AE25)</f>
        <v/>
      </c>
      <c r="AE115" s="16">
        <f>IF('Sports Teams &amp; Leagues'!AF25="","",'Sports Teams &amp; Leagues'!AF25)</f>
        <v/>
      </c>
      <c r="AF115" s="16">
        <f>IF('Sports Teams &amp; Leagues'!AG25="","",'Sports Teams &amp; Leagues'!AG25)</f>
        <v/>
      </c>
      <c r="AG115" s="17">
        <f>IF('Sports Teams &amp; Leagues'!AH25="","",'Sports Teams &amp; Leagues'!AH25)</f>
        <v/>
      </c>
      <c r="AH115" s="17">
        <f>IF('Sports Teams &amp; Leagues'!AI25="","",'Sports Teams &amp; Leagues'!AI25)</f>
        <v/>
      </c>
      <c r="AI115" s="17">
        <f>IF('Sports Teams &amp; Leagues'!AJ25="","",'Sports Teams &amp; Leagues'!AJ25)</f>
        <v/>
      </c>
      <c r="AJ115" s="17">
        <f>IF('Sports Teams &amp; Leagues'!AK25="","",'Sports Teams &amp; Leagues'!AK25)</f>
        <v/>
      </c>
      <c r="AK115" s="16">
        <f>IF('Sports Teams &amp; Leagues'!AL25="","",'Sports Teams &amp; Leagues'!AL25)</f>
        <v/>
      </c>
      <c r="AL115" s="18">
        <f>IF(V115="","",V115+ROW()/100000)</f>
        <v/>
      </c>
    </row>
    <row r="116" ht="18" customHeight="1">
      <c r="A116" s="22">
        <f>IF('Sports Teams &amp; Leagues'!B26="","","Sports Teams &amp; Leagues")</f>
        <v/>
      </c>
      <c r="B116" s="22">
        <f>IF('Sports Teams &amp; Leagues'!B26="","",'Sports Teams &amp; Leagues'!B26)</f>
        <v/>
      </c>
      <c r="C116" s="23">
        <f>IF('Sports Teams &amp; Leagues'!D26="","",'Sports Teams &amp; Leagues'!D26)</f>
        <v/>
      </c>
      <c r="D116" s="22">
        <f>IF('Sports Teams &amp; Leagues'!E26="","",'Sports Teams &amp; Leagues'!E26)</f>
        <v/>
      </c>
      <c r="E116" s="23">
        <f>IF('Sports Teams &amp; Leagues'!F26="","",'Sports Teams &amp; Leagues'!F26)</f>
        <v/>
      </c>
      <c r="F116" s="23">
        <f>IF('Sports Teams &amp; Leagues'!G26="","",'Sports Teams &amp; Leagues'!G26)</f>
        <v/>
      </c>
      <c r="G116" s="23">
        <f>IF('Sports Teams &amp; Leagues'!H26="","",'Sports Teams &amp; Leagues'!H26)</f>
        <v/>
      </c>
      <c r="H116" s="22">
        <f>IF('Sports Teams &amp; Leagues'!I26="","",'Sports Teams &amp; Leagues'!I26)</f>
        <v/>
      </c>
      <c r="I116" s="23">
        <f>IF('Sports Teams &amp; Leagues'!J26="","",'Sports Teams &amp; Leagues'!J26)</f>
        <v/>
      </c>
      <c r="J116" s="22">
        <f>IF('Sports Teams &amp; Leagues'!K26="","",'Sports Teams &amp; Leagues'!K26)</f>
        <v/>
      </c>
      <c r="K116" s="23">
        <f>IF('Sports Teams &amp; Leagues'!L26="","",'Sports Teams &amp; Leagues'!L26)</f>
        <v/>
      </c>
      <c r="L116" s="22">
        <f>IF('Sports Teams &amp; Leagues'!M26="","",'Sports Teams &amp; Leagues'!M26)</f>
        <v/>
      </c>
      <c r="M116" s="23">
        <f>IF('Sports Teams &amp; Leagues'!N26="","",'Sports Teams &amp; Leagues'!N26)</f>
        <v/>
      </c>
      <c r="N116" s="22">
        <f>IF('Sports Teams &amp; Leagues'!O26="","",'Sports Teams &amp; Leagues'!O26)</f>
        <v/>
      </c>
      <c r="O116" s="23">
        <f>IF('Sports Teams &amp; Leagues'!P26="","",'Sports Teams &amp; Leagues'!P26)</f>
        <v/>
      </c>
      <c r="P116" s="23">
        <f>IF('Sports Teams &amp; Leagues'!Q26="","",'Sports Teams &amp; Leagues'!Q26)</f>
        <v/>
      </c>
      <c r="Q116" s="24">
        <f>IF('Sports Teams &amp; Leagues'!R26="","",'Sports Teams &amp; Leagues'!R26)</f>
        <v/>
      </c>
      <c r="R116" s="25">
        <f>IF('Sports Teams &amp; Leagues'!S26="","",'Sports Teams &amp; Leagues'!S26)</f>
        <v/>
      </c>
      <c r="S116" s="22">
        <f>IF('Sports Teams &amp; Leagues'!T26="","",'Sports Teams &amp; Leagues'!T26)</f>
        <v/>
      </c>
      <c r="T116" s="24">
        <f>IF('Sports Teams &amp; Leagues'!U26="","",'Sports Teams &amp; Leagues'!U26)</f>
        <v/>
      </c>
      <c r="U116" s="23">
        <f>IF('Sports Teams &amp; Leagues'!V26="","",'Sports Teams &amp; Leagues'!V26)</f>
        <v/>
      </c>
      <c r="V116" s="24">
        <f>IF('Sports Teams &amp; Leagues'!W26="","",'Sports Teams &amp; Leagues'!W26)</f>
        <v/>
      </c>
      <c r="W116" s="23">
        <f>IF('Sports Teams &amp; Leagues'!X26="","",'Sports Teams &amp; Leagues'!X26)</f>
        <v/>
      </c>
      <c r="X116" s="23">
        <f>IF('Sports Teams &amp; Leagues'!Y26="","",'Sports Teams &amp; Leagues'!Y26)</f>
        <v/>
      </c>
      <c r="Y116" s="26">
        <f>IF('Sports Teams &amp; Leagues'!Z26="","",'Sports Teams &amp; Leagues'!Z26)</f>
        <v/>
      </c>
      <c r="Z116" s="27">
        <f>IF('Sports Teams &amp; Leagues'!AA26="","",'Sports Teams &amp; Leagues'!AA26)</f>
        <v/>
      </c>
      <c r="AA116" s="26">
        <f>IF('Sports Teams &amp; Leagues'!AB26="","",'Sports Teams &amp; Leagues'!AB26)</f>
        <v/>
      </c>
      <c r="AB116" s="22">
        <f>IF('Sports Teams &amp; Leagues'!AC26="","",'Sports Teams &amp; Leagues'!AC26)</f>
        <v/>
      </c>
      <c r="AC116" s="22">
        <f>IF('Sports Teams &amp; Leagues'!AD26="","",'Sports Teams &amp; Leagues'!AD26)</f>
        <v/>
      </c>
      <c r="AD116" s="22">
        <f>IF('Sports Teams &amp; Leagues'!AE26="","",'Sports Teams &amp; Leagues'!AE26)</f>
        <v/>
      </c>
      <c r="AE116" s="22">
        <f>IF('Sports Teams &amp; Leagues'!AF26="","",'Sports Teams &amp; Leagues'!AF26)</f>
        <v/>
      </c>
      <c r="AF116" s="22">
        <f>IF('Sports Teams &amp; Leagues'!AG26="","",'Sports Teams &amp; Leagues'!AG26)</f>
        <v/>
      </c>
      <c r="AG116" s="23">
        <f>IF('Sports Teams &amp; Leagues'!AH26="","",'Sports Teams &amp; Leagues'!AH26)</f>
        <v/>
      </c>
      <c r="AH116" s="23">
        <f>IF('Sports Teams &amp; Leagues'!AI26="","",'Sports Teams &amp; Leagues'!AI26)</f>
        <v/>
      </c>
      <c r="AI116" s="23">
        <f>IF('Sports Teams &amp; Leagues'!AJ26="","",'Sports Teams &amp; Leagues'!AJ26)</f>
        <v/>
      </c>
      <c r="AJ116" s="23">
        <f>IF('Sports Teams &amp; Leagues'!AK26="","",'Sports Teams &amp; Leagues'!AK26)</f>
        <v/>
      </c>
      <c r="AK116" s="22">
        <f>IF('Sports Teams &amp; Leagues'!AL26="","",'Sports Teams &amp; Leagues'!AL26)</f>
        <v/>
      </c>
      <c r="AL116" s="18">
        <f>IF(V116="","",V116+ROW()/100000)</f>
        <v/>
      </c>
    </row>
    <row r="117" ht="18" customHeight="1">
      <c r="A117" s="16">
        <f>IF('Sports Teams &amp; Leagues'!B27="","","Sports Teams &amp; Leagues")</f>
        <v/>
      </c>
      <c r="B117" s="16">
        <f>IF('Sports Teams &amp; Leagues'!B27="","",'Sports Teams &amp; Leagues'!B27)</f>
        <v/>
      </c>
      <c r="C117" s="17">
        <f>IF('Sports Teams &amp; Leagues'!D27="","",'Sports Teams &amp; Leagues'!D27)</f>
        <v/>
      </c>
      <c r="D117" s="16">
        <f>IF('Sports Teams &amp; Leagues'!E27="","",'Sports Teams &amp; Leagues'!E27)</f>
        <v/>
      </c>
      <c r="E117" s="17">
        <f>IF('Sports Teams &amp; Leagues'!F27="","",'Sports Teams &amp; Leagues'!F27)</f>
        <v/>
      </c>
      <c r="F117" s="17">
        <f>IF('Sports Teams &amp; Leagues'!G27="","",'Sports Teams &amp; Leagues'!G27)</f>
        <v/>
      </c>
      <c r="G117" s="17">
        <f>IF('Sports Teams &amp; Leagues'!H27="","",'Sports Teams &amp; Leagues'!H27)</f>
        <v/>
      </c>
      <c r="H117" s="16">
        <f>IF('Sports Teams &amp; Leagues'!I27="","",'Sports Teams &amp; Leagues'!I27)</f>
        <v/>
      </c>
      <c r="I117" s="17">
        <f>IF('Sports Teams &amp; Leagues'!J27="","",'Sports Teams &amp; Leagues'!J27)</f>
        <v/>
      </c>
      <c r="J117" s="16">
        <f>IF('Sports Teams &amp; Leagues'!K27="","",'Sports Teams &amp; Leagues'!K27)</f>
        <v/>
      </c>
      <c r="K117" s="17">
        <f>IF('Sports Teams &amp; Leagues'!L27="","",'Sports Teams &amp; Leagues'!L27)</f>
        <v/>
      </c>
      <c r="L117" s="16">
        <f>IF('Sports Teams &amp; Leagues'!M27="","",'Sports Teams &amp; Leagues'!M27)</f>
        <v/>
      </c>
      <c r="M117" s="17">
        <f>IF('Sports Teams &amp; Leagues'!N27="","",'Sports Teams &amp; Leagues'!N27)</f>
        <v/>
      </c>
      <c r="N117" s="16">
        <f>IF('Sports Teams &amp; Leagues'!O27="","",'Sports Teams &amp; Leagues'!O27)</f>
        <v/>
      </c>
      <c r="O117" s="17">
        <f>IF('Sports Teams &amp; Leagues'!P27="","",'Sports Teams &amp; Leagues'!P27)</f>
        <v/>
      </c>
      <c r="P117" s="17">
        <f>IF('Sports Teams &amp; Leagues'!Q27="","",'Sports Teams &amp; Leagues'!Q27)</f>
        <v/>
      </c>
      <c r="Q117" s="15">
        <f>IF('Sports Teams &amp; Leagues'!R27="","",'Sports Teams &amp; Leagues'!R27)</f>
        <v/>
      </c>
      <c r="R117" s="19">
        <f>IF('Sports Teams &amp; Leagues'!S27="","",'Sports Teams &amp; Leagues'!S27)</f>
        <v/>
      </c>
      <c r="S117" s="16">
        <f>IF('Sports Teams &amp; Leagues'!T27="","",'Sports Teams &amp; Leagues'!T27)</f>
        <v/>
      </c>
      <c r="T117" s="15">
        <f>IF('Sports Teams &amp; Leagues'!U27="","",'Sports Teams &amp; Leagues'!U27)</f>
        <v/>
      </c>
      <c r="U117" s="17">
        <f>IF('Sports Teams &amp; Leagues'!V27="","",'Sports Teams &amp; Leagues'!V27)</f>
        <v/>
      </c>
      <c r="V117" s="15">
        <f>IF('Sports Teams &amp; Leagues'!W27="","",'Sports Teams &amp; Leagues'!W27)</f>
        <v/>
      </c>
      <c r="W117" s="17">
        <f>IF('Sports Teams &amp; Leagues'!X27="","",'Sports Teams &amp; Leagues'!X27)</f>
        <v/>
      </c>
      <c r="X117" s="17">
        <f>IF('Sports Teams &amp; Leagues'!Y27="","",'Sports Teams &amp; Leagues'!Y27)</f>
        <v/>
      </c>
      <c r="Y117" s="20">
        <f>IF('Sports Teams &amp; Leagues'!Z27="","",'Sports Teams &amp; Leagues'!Z27)</f>
        <v/>
      </c>
      <c r="Z117" s="21">
        <f>IF('Sports Teams &amp; Leagues'!AA27="","",'Sports Teams &amp; Leagues'!AA27)</f>
        <v/>
      </c>
      <c r="AA117" s="20">
        <f>IF('Sports Teams &amp; Leagues'!AB27="","",'Sports Teams &amp; Leagues'!AB27)</f>
        <v/>
      </c>
      <c r="AB117" s="16">
        <f>IF('Sports Teams &amp; Leagues'!AC27="","",'Sports Teams &amp; Leagues'!AC27)</f>
        <v/>
      </c>
      <c r="AC117" s="16">
        <f>IF('Sports Teams &amp; Leagues'!AD27="","",'Sports Teams &amp; Leagues'!AD27)</f>
        <v/>
      </c>
      <c r="AD117" s="16">
        <f>IF('Sports Teams &amp; Leagues'!AE27="","",'Sports Teams &amp; Leagues'!AE27)</f>
        <v/>
      </c>
      <c r="AE117" s="16">
        <f>IF('Sports Teams &amp; Leagues'!AF27="","",'Sports Teams &amp; Leagues'!AF27)</f>
        <v/>
      </c>
      <c r="AF117" s="16">
        <f>IF('Sports Teams &amp; Leagues'!AG27="","",'Sports Teams &amp; Leagues'!AG27)</f>
        <v/>
      </c>
      <c r="AG117" s="17">
        <f>IF('Sports Teams &amp; Leagues'!AH27="","",'Sports Teams &amp; Leagues'!AH27)</f>
        <v/>
      </c>
      <c r="AH117" s="17">
        <f>IF('Sports Teams &amp; Leagues'!AI27="","",'Sports Teams &amp; Leagues'!AI27)</f>
        <v/>
      </c>
      <c r="AI117" s="17">
        <f>IF('Sports Teams &amp; Leagues'!AJ27="","",'Sports Teams &amp; Leagues'!AJ27)</f>
        <v/>
      </c>
      <c r="AJ117" s="17">
        <f>IF('Sports Teams &amp; Leagues'!AK27="","",'Sports Teams &amp; Leagues'!AK27)</f>
        <v/>
      </c>
      <c r="AK117" s="16">
        <f>IF('Sports Teams &amp; Leagues'!AL27="","",'Sports Teams &amp; Leagues'!AL27)</f>
        <v/>
      </c>
      <c r="AL117" s="18">
        <f>IF(V117="","",V117+ROW()/100000)</f>
        <v/>
      </c>
    </row>
    <row r="118" ht="18" customHeight="1">
      <c r="A118" s="22">
        <f>IF('Sports Teams &amp; Leagues'!B28="","","Sports Teams &amp; Leagues")</f>
        <v/>
      </c>
      <c r="B118" s="22">
        <f>IF('Sports Teams &amp; Leagues'!B28="","",'Sports Teams &amp; Leagues'!B28)</f>
        <v/>
      </c>
      <c r="C118" s="23">
        <f>IF('Sports Teams &amp; Leagues'!D28="","",'Sports Teams &amp; Leagues'!D28)</f>
        <v/>
      </c>
      <c r="D118" s="22">
        <f>IF('Sports Teams &amp; Leagues'!E28="","",'Sports Teams &amp; Leagues'!E28)</f>
        <v/>
      </c>
      <c r="E118" s="23">
        <f>IF('Sports Teams &amp; Leagues'!F28="","",'Sports Teams &amp; Leagues'!F28)</f>
        <v/>
      </c>
      <c r="F118" s="23">
        <f>IF('Sports Teams &amp; Leagues'!G28="","",'Sports Teams &amp; Leagues'!G28)</f>
        <v/>
      </c>
      <c r="G118" s="23">
        <f>IF('Sports Teams &amp; Leagues'!H28="","",'Sports Teams &amp; Leagues'!H28)</f>
        <v/>
      </c>
      <c r="H118" s="22">
        <f>IF('Sports Teams &amp; Leagues'!I28="","",'Sports Teams &amp; Leagues'!I28)</f>
        <v/>
      </c>
      <c r="I118" s="23">
        <f>IF('Sports Teams &amp; Leagues'!J28="","",'Sports Teams &amp; Leagues'!J28)</f>
        <v/>
      </c>
      <c r="J118" s="22">
        <f>IF('Sports Teams &amp; Leagues'!K28="","",'Sports Teams &amp; Leagues'!K28)</f>
        <v/>
      </c>
      <c r="K118" s="23">
        <f>IF('Sports Teams &amp; Leagues'!L28="","",'Sports Teams &amp; Leagues'!L28)</f>
        <v/>
      </c>
      <c r="L118" s="22">
        <f>IF('Sports Teams &amp; Leagues'!M28="","",'Sports Teams &amp; Leagues'!M28)</f>
        <v/>
      </c>
      <c r="M118" s="23">
        <f>IF('Sports Teams &amp; Leagues'!N28="","",'Sports Teams &amp; Leagues'!N28)</f>
        <v/>
      </c>
      <c r="N118" s="22">
        <f>IF('Sports Teams &amp; Leagues'!O28="","",'Sports Teams &amp; Leagues'!O28)</f>
        <v/>
      </c>
      <c r="O118" s="23">
        <f>IF('Sports Teams &amp; Leagues'!P28="","",'Sports Teams &amp; Leagues'!P28)</f>
        <v/>
      </c>
      <c r="P118" s="23">
        <f>IF('Sports Teams &amp; Leagues'!Q28="","",'Sports Teams &amp; Leagues'!Q28)</f>
        <v/>
      </c>
      <c r="Q118" s="24">
        <f>IF('Sports Teams &amp; Leagues'!R28="","",'Sports Teams &amp; Leagues'!R28)</f>
        <v/>
      </c>
      <c r="R118" s="25">
        <f>IF('Sports Teams &amp; Leagues'!S28="","",'Sports Teams &amp; Leagues'!S28)</f>
        <v/>
      </c>
      <c r="S118" s="22">
        <f>IF('Sports Teams &amp; Leagues'!T28="","",'Sports Teams &amp; Leagues'!T28)</f>
        <v/>
      </c>
      <c r="T118" s="24">
        <f>IF('Sports Teams &amp; Leagues'!U28="","",'Sports Teams &amp; Leagues'!U28)</f>
        <v/>
      </c>
      <c r="U118" s="23">
        <f>IF('Sports Teams &amp; Leagues'!V28="","",'Sports Teams &amp; Leagues'!V28)</f>
        <v/>
      </c>
      <c r="V118" s="24">
        <f>IF('Sports Teams &amp; Leagues'!W28="","",'Sports Teams &amp; Leagues'!W28)</f>
        <v/>
      </c>
      <c r="W118" s="23">
        <f>IF('Sports Teams &amp; Leagues'!X28="","",'Sports Teams &amp; Leagues'!X28)</f>
        <v/>
      </c>
      <c r="X118" s="23">
        <f>IF('Sports Teams &amp; Leagues'!Y28="","",'Sports Teams &amp; Leagues'!Y28)</f>
        <v/>
      </c>
      <c r="Y118" s="26">
        <f>IF('Sports Teams &amp; Leagues'!Z28="","",'Sports Teams &amp; Leagues'!Z28)</f>
        <v/>
      </c>
      <c r="Z118" s="27">
        <f>IF('Sports Teams &amp; Leagues'!AA28="","",'Sports Teams &amp; Leagues'!AA28)</f>
        <v/>
      </c>
      <c r="AA118" s="26">
        <f>IF('Sports Teams &amp; Leagues'!AB28="","",'Sports Teams &amp; Leagues'!AB28)</f>
        <v/>
      </c>
      <c r="AB118" s="22">
        <f>IF('Sports Teams &amp; Leagues'!AC28="","",'Sports Teams &amp; Leagues'!AC28)</f>
        <v/>
      </c>
      <c r="AC118" s="22">
        <f>IF('Sports Teams &amp; Leagues'!AD28="","",'Sports Teams &amp; Leagues'!AD28)</f>
        <v/>
      </c>
      <c r="AD118" s="22">
        <f>IF('Sports Teams &amp; Leagues'!AE28="","",'Sports Teams &amp; Leagues'!AE28)</f>
        <v/>
      </c>
      <c r="AE118" s="22">
        <f>IF('Sports Teams &amp; Leagues'!AF28="","",'Sports Teams &amp; Leagues'!AF28)</f>
        <v/>
      </c>
      <c r="AF118" s="22">
        <f>IF('Sports Teams &amp; Leagues'!AG28="","",'Sports Teams &amp; Leagues'!AG28)</f>
        <v/>
      </c>
      <c r="AG118" s="23">
        <f>IF('Sports Teams &amp; Leagues'!AH28="","",'Sports Teams &amp; Leagues'!AH28)</f>
        <v/>
      </c>
      <c r="AH118" s="23">
        <f>IF('Sports Teams &amp; Leagues'!AI28="","",'Sports Teams &amp; Leagues'!AI28)</f>
        <v/>
      </c>
      <c r="AI118" s="23">
        <f>IF('Sports Teams &amp; Leagues'!AJ28="","",'Sports Teams &amp; Leagues'!AJ28)</f>
        <v/>
      </c>
      <c r="AJ118" s="23">
        <f>IF('Sports Teams &amp; Leagues'!AK28="","",'Sports Teams &amp; Leagues'!AK28)</f>
        <v/>
      </c>
      <c r="AK118" s="22">
        <f>IF('Sports Teams &amp; Leagues'!AL28="","",'Sports Teams &amp; Leagues'!AL28)</f>
        <v/>
      </c>
      <c r="AL118" s="18">
        <f>IF(V118="","",V118+ROW()/100000)</f>
        <v/>
      </c>
    </row>
    <row r="119" ht="18" customHeight="1">
      <c r="A119" s="16">
        <f>IF('Sports Teams &amp; Leagues'!B29="","","Sports Teams &amp; Leagues")</f>
        <v/>
      </c>
      <c r="B119" s="16">
        <f>IF('Sports Teams &amp; Leagues'!B29="","",'Sports Teams &amp; Leagues'!B29)</f>
        <v/>
      </c>
      <c r="C119" s="17">
        <f>IF('Sports Teams &amp; Leagues'!D29="","",'Sports Teams &amp; Leagues'!D29)</f>
        <v/>
      </c>
      <c r="D119" s="16">
        <f>IF('Sports Teams &amp; Leagues'!E29="","",'Sports Teams &amp; Leagues'!E29)</f>
        <v/>
      </c>
      <c r="E119" s="17">
        <f>IF('Sports Teams &amp; Leagues'!F29="","",'Sports Teams &amp; Leagues'!F29)</f>
        <v/>
      </c>
      <c r="F119" s="17">
        <f>IF('Sports Teams &amp; Leagues'!G29="","",'Sports Teams &amp; Leagues'!G29)</f>
        <v/>
      </c>
      <c r="G119" s="17">
        <f>IF('Sports Teams &amp; Leagues'!H29="","",'Sports Teams &amp; Leagues'!H29)</f>
        <v/>
      </c>
      <c r="H119" s="16">
        <f>IF('Sports Teams &amp; Leagues'!I29="","",'Sports Teams &amp; Leagues'!I29)</f>
        <v/>
      </c>
      <c r="I119" s="17">
        <f>IF('Sports Teams &amp; Leagues'!J29="","",'Sports Teams &amp; Leagues'!J29)</f>
        <v/>
      </c>
      <c r="J119" s="16">
        <f>IF('Sports Teams &amp; Leagues'!K29="","",'Sports Teams &amp; Leagues'!K29)</f>
        <v/>
      </c>
      <c r="K119" s="17">
        <f>IF('Sports Teams &amp; Leagues'!L29="","",'Sports Teams &amp; Leagues'!L29)</f>
        <v/>
      </c>
      <c r="L119" s="16">
        <f>IF('Sports Teams &amp; Leagues'!M29="","",'Sports Teams &amp; Leagues'!M29)</f>
        <v/>
      </c>
      <c r="M119" s="17">
        <f>IF('Sports Teams &amp; Leagues'!N29="","",'Sports Teams &amp; Leagues'!N29)</f>
        <v/>
      </c>
      <c r="N119" s="16">
        <f>IF('Sports Teams &amp; Leagues'!O29="","",'Sports Teams &amp; Leagues'!O29)</f>
        <v/>
      </c>
      <c r="O119" s="17">
        <f>IF('Sports Teams &amp; Leagues'!P29="","",'Sports Teams &amp; Leagues'!P29)</f>
        <v/>
      </c>
      <c r="P119" s="17">
        <f>IF('Sports Teams &amp; Leagues'!Q29="","",'Sports Teams &amp; Leagues'!Q29)</f>
        <v/>
      </c>
      <c r="Q119" s="15">
        <f>IF('Sports Teams &amp; Leagues'!R29="","",'Sports Teams &amp; Leagues'!R29)</f>
        <v/>
      </c>
      <c r="R119" s="19">
        <f>IF('Sports Teams &amp; Leagues'!S29="","",'Sports Teams &amp; Leagues'!S29)</f>
        <v/>
      </c>
      <c r="S119" s="16">
        <f>IF('Sports Teams &amp; Leagues'!T29="","",'Sports Teams &amp; Leagues'!T29)</f>
        <v/>
      </c>
      <c r="T119" s="15">
        <f>IF('Sports Teams &amp; Leagues'!U29="","",'Sports Teams &amp; Leagues'!U29)</f>
        <v/>
      </c>
      <c r="U119" s="17">
        <f>IF('Sports Teams &amp; Leagues'!V29="","",'Sports Teams &amp; Leagues'!V29)</f>
        <v/>
      </c>
      <c r="V119" s="15">
        <f>IF('Sports Teams &amp; Leagues'!W29="","",'Sports Teams &amp; Leagues'!W29)</f>
        <v/>
      </c>
      <c r="W119" s="17">
        <f>IF('Sports Teams &amp; Leagues'!X29="","",'Sports Teams &amp; Leagues'!X29)</f>
        <v/>
      </c>
      <c r="X119" s="17">
        <f>IF('Sports Teams &amp; Leagues'!Y29="","",'Sports Teams &amp; Leagues'!Y29)</f>
        <v/>
      </c>
      <c r="Y119" s="20">
        <f>IF('Sports Teams &amp; Leagues'!Z29="","",'Sports Teams &amp; Leagues'!Z29)</f>
        <v/>
      </c>
      <c r="Z119" s="21">
        <f>IF('Sports Teams &amp; Leagues'!AA29="","",'Sports Teams &amp; Leagues'!AA29)</f>
        <v/>
      </c>
      <c r="AA119" s="20">
        <f>IF('Sports Teams &amp; Leagues'!AB29="","",'Sports Teams &amp; Leagues'!AB29)</f>
        <v/>
      </c>
      <c r="AB119" s="16">
        <f>IF('Sports Teams &amp; Leagues'!AC29="","",'Sports Teams &amp; Leagues'!AC29)</f>
        <v/>
      </c>
      <c r="AC119" s="16">
        <f>IF('Sports Teams &amp; Leagues'!AD29="","",'Sports Teams &amp; Leagues'!AD29)</f>
        <v/>
      </c>
      <c r="AD119" s="16">
        <f>IF('Sports Teams &amp; Leagues'!AE29="","",'Sports Teams &amp; Leagues'!AE29)</f>
        <v/>
      </c>
      <c r="AE119" s="16">
        <f>IF('Sports Teams &amp; Leagues'!AF29="","",'Sports Teams &amp; Leagues'!AF29)</f>
        <v/>
      </c>
      <c r="AF119" s="16">
        <f>IF('Sports Teams &amp; Leagues'!AG29="","",'Sports Teams &amp; Leagues'!AG29)</f>
        <v/>
      </c>
      <c r="AG119" s="17">
        <f>IF('Sports Teams &amp; Leagues'!AH29="","",'Sports Teams &amp; Leagues'!AH29)</f>
        <v/>
      </c>
      <c r="AH119" s="17">
        <f>IF('Sports Teams &amp; Leagues'!AI29="","",'Sports Teams &amp; Leagues'!AI29)</f>
        <v/>
      </c>
      <c r="AI119" s="17">
        <f>IF('Sports Teams &amp; Leagues'!AJ29="","",'Sports Teams &amp; Leagues'!AJ29)</f>
        <v/>
      </c>
      <c r="AJ119" s="17">
        <f>IF('Sports Teams &amp; Leagues'!AK29="","",'Sports Teams &amp; Leagues'!AK29)</f>
        <v/>
      </c>
      <c r="AK119" s="16">
        <f>IF('Sports Teams &amp; Leagues'!AL29="","",'Sports Teams &amp; Leagues'!AL29)</f>
        <v/>
      </c>
      <c r="AL119" s="18">
        <f>IF(V119="","",V119+ROW()/100000)</f>
        <v/>
      </c>
    </row>
    <row r="120" ht="18" customHeight="1">
      <c r="A120" s="22">
        <f>IF('Sports Teams &amp; Leagues'!B30="","","Sports Teams &amp; Leagues")</f>
        <v/>
      </c>
      <c r="B120" s="22">
        <f>IF('Sports Teams &amp; Leagues'!B30="","",'Sports Teams &amp; Leagues'!B30)</f>
        <v/>
      </c>
      <c r="C120" s="23">
        <f>IF('Sports Teams &amp; Leagues'!D30="","",'Sports Teams &amp; Leagues'!D30)</f>
        <v/>
      </c>
      <c r="D120" s="22">
        <f>IF('Sports Teams &amp; Leagues'!E30="","",'Sports Teams &amp; Leagues'!E30)</f>
        <v/>
      </c>
      <c r="E120" s="23">
        <f>IF('Sports Teams &amp; Leagues'!F30="","",'Sports Teams &amp; Leagues'!F30)</f>
        <v/>
      </c>
      <c r="F120" s="23">
        <f>IF('Sports Teams &amp; Leagues'!G30="","",'Sports Teams &amp; Leagues'!G30)</f>
        <v/>
      </c>
      <c r="G120" s="23">
        <f>IF('Sports Teams &amp; Leagues'!H30="","",'Sports Teams &amp; Leagues'!H30)</f>
        <v/>
      </c>
      <c r="H120" s="22">
        <f>IF('Sports Teams &amp; Leagues'!I30="","",'Sports Teams &amp; Leagues'!I30)</f>
        <v/>
      </c>
      <c r="I120" s="23">
        <f>IF('Sports Teams &amp; Leagues'!J30="","",'Sports Teams &amp; Leagues'!J30)</f>
        <v/>
      </c>
      <c r="J120" s="22">
        <f>IF('Sports Teams &amp; Leagues'!K30="","",'Sports Teams &amp; Leagues'!K30)</f>
        <v/>
      </c>
      <c r="K120" s="23">
        <f>IF('Sports Teams &amp; Leagues'!L30="","",'Sports Teams &amp; Leagues'!L30)</f>
        <v/>
      </c>
      <c r="L120" s="22">
        <f>IF('Sports Teams &amp; Leagues'!M30="","",'Sports Teams &amp; Leagues'!M30)</f>
        <v/>
      </c>
      <c r="M120" s="23">
        <f>IF('Sports Teams &amp; Leagues'!N30="","",'Sports Teams &amp; Leagues'!N30)</f>
        <v/>
      </c>
      <c r="N120" s="22">
        <f>IF('Sports Teams &amp; Leagues'!O30="","",'Sports Teams &amp; Leagues'!O30)</f>
        <v/>
      </c>
      <c r="O120" s="23">
        <f>IF('Sports Teams &amp; Leagues'!P30="","",'Sports Teams &amp; Leagues'!P30)</f>
        <v/>
      </c>
      <c r="P120" s="23">
        <f>IF('Sports Teams &amp; Leagues'!Q30="","",'Sports Teams &amp; Leagues'!Q30)</f>
        <v/>
      </c>
      <c r="Q120" s="24">
        <f>IF('Sports Teams &amp; Leagues'!R30="","",'Sports Teams &amp; Leagues'!R30)</f>
        <v/>
      </c>
      <c r="R120" s="25">
        <f>IF('Sports Teams &amp; Leagues'!S30="","",'Sports Teams &amp; Leagues'!S30)</f>
        <v/>
      </c>
      <c r="S120" s="22">
        <f>IF('Sports Teams &amp; Leagues'!T30="","",'Sports Teams &amp; Leagues'!T30)</f>
        <v/>
      </c>
      <c r="T120" s="24">
        <f>IF('Sports Teams &amp; Leagues'!U30="","",'Sports Teams &amp; Leagues'!U30)</f>
        <v/>
      </c>
      <c r="U120" s="23">
        <f>IF('Sports Teams &amp; Leagues'!V30="","",'Sports Teams &amp; Leagues'!V30)</f>
        <v/>
      </c>
      <c r="V120" s="24">
        <f>IF('Sports Teams &amp; Leagues'!W30="","",'Sports Teams &amp; Leagues'!W30)</f>
        <v/>
      </c>
      <c r="W120" s="23">
        <f>IF('Sports Teams &amp; Leagues'!X30="","",'Sports Teams &amp; Leagues'!X30)</f>
        <v/>
      </c>
      <c r="X120" s="23">
        <f>IF('Sports Teams &amp; Leagues'!Y30="","",'Sports Teams &amp; Leagues'!Y30)</f>
        <v/>
      </c>
      <c r="Y120" s="26">
        <f>IF('Sports Teams &amp; Leagues'!Z30="","",'Sports Teams &amp; Leagues'!Z30)</f>
        <v/>
      </c>
      <c r="Z120" s="27">
        <f>IF('Sports Teams &amp; Leagues'!AA30="","",'Sports Teams &amp; Leagues'!AA30)</f>
        <v/>
      </c>
      <c r="AA120" s="26">
        <f>IF('Sports Teams &amp; Leagues'!AB30="","",'Sports Teams &amp; Leagues'!AB30)</f>
        <v/>
      </c>
      <c r="AB120" s="22">
        <f>IF('Sports Teams &amp; Leagues'!AC30="","",'Sports Teams &amp; Leagues'!AC30)</f>
        <v/>
      </c>
      <c r="AC120" s="22">
        <f>IF('Sports Teams &amp; Leagues'!AD30="","",'Sports Teams &amp; Leagues'!AD30)</f>
        <v/>
      </c>
      <c r="AD120" s="22">
        <f>IF('Sports Teams &amp; Leagues'!AE30="","",'Sports Teams &amp; Leagues'!AE30)</f>
        <v/>
      </c>
      <c r="AE120" s="22">
        <f>IF('Sports Teams &amp; Leagues'!AF30="","",'Sports Teams &amp; Leagues'!AF30)</f>
        <v/>
      </c>
      <c r="AF120" s="22">
        <f>IF('Sports Teams &amp; Leagues'!AG30="","",'Sports Teams &amp; Leagues'!AG30)</f>
        <v/>
      </c>
      <c r="AG120" s="23">
        <f>IF('Sports Teams &amp; Leagues'!AH30="","",'Sports Teams &amp; Leagues'!AH30)</f>
        <v/>
      </c>
      <c r="AH120" s="23">
        <f>IF('Sports Teams &amp; Leagues'!AI30="","",'Sports Teams &amp; Leagues'!AI30)</f>
        <v/>
      </c>
      <c r="AI120" s="23">
        <f>IF('Sports Teams &amp; Leagues'!AJ30="","",'Sports Teams &amp; Leagues'!AJ30)</f>
        <v/>
      </c>
      <c r="AJ120" s="23">
        <f>IF('Sports Teams &amp; Leagues'!AK30="","",'Sports Teams &amp; Leagues'!AK30)</f>
        <v/>
      </c>
      <c r="AK120" s="22">
        <f>IF('Sports Teams &amp; Leagues'!AL30="","",'Sports Teams &amp; Leagues'!AL30)</f>
        <v/>
      </c>
      <c r="AL120" s="18">
        <f>IF(V120="","",V120+ROW()/100000)</f>
        <v/>
      </c>
    </row>
    <row r="121" ht="18" customHeight="1">
      <c r="A121" s="16">
        <f>IF('Sports Teams &amp; Leagues'!B31="","","Sports Teams &amp; Leagues")</f>
        <v/>
      </c>
      <c r="B121" s="16">
        <f>IF('Sports Teams &amp; Leagues'!B31="","",'Sports Teams &amp; Leagues'!B31)</f>
        <v/>
      </c>
      <c r="C121" s="17">
        <f>IF('Sports Teams &amp; Leagues'!D31="","",'Sports Teams &amp; Leagues'!D31)</f>
        <v/>
      </c>
      <c r="D121" s="16">
        <f>IF('Sports Teams &amp; Leagues'!E31="","",'Sports Teams &amp; Leagues'!E31)</f>
        <v/>
      </c>
      <c r="E121" s="17">
        <f>IF('Sports Teams &amp; Leagues'!F31="","",'Sports Teams &amp; Leagues'!F31)</f>
        <v/>
      </c>
      <c r="F121" s="17">
        <f>IF('Sports Teams &amp; Leagues'!G31="","",'Sports Teams &amp; Leagues'!G31)</f>
        <v/>
      </c>
      <c r="G121" s="17">
        <f>IF('Sports Teams &amp; Leagues'!H31="","",'Sports Teams &amp; Leagues'!H31)</f>
        <v/>
      </c>
      <c r="H121" s="16">
        <f>IF('Sports Teams &amp; Leagues'!I31="","",'Sports Teams &amp; Leagues'!I31)</f>
        <v/>
      </c>
      <c r="I121" s="17">
        <f>IF('Sports Teams &amp; Leagues'!J31="","",'Sports Teams &amp; Leagues'!J31)</f>
        <v/>
      </c>
      <c r="J121" s="16">
        <f>IF('Sports Teams &amp; Leagues'!K31="","",'Sports Teams &amp; Leagues'!K31)</f>
        <v/>
      </c>
      <c r="K121" s="17">
        <f>IF('Sports Teams &amp; Leagues'!L31="","",'Sports Teams &amp; Leagues'!L31)</f>
        <v/>
      </c>
      <c r="L121" s="16">
        <f>IF('Sports Teams &amp; Leagues'!M31="","",'Sports Teams &amp; Leagues'!M31)</f>
        <v/>
      </c>
      <c r="M121" s="17">
        <f>IF('Sports Teams &amp; Leagues'!N31="","",'Sports Teams &amp; Leagues'!N31)</f>
        <v/>
      </c>
      <c r="N121" s="16">
        <f>IF('Sports Teams &amp; Leagues'!O31="","",'Sports Teams &amp; Leagues'!O31)</f>
        <v/>
      </c>
      <c r="O121" s="17">
        <f>IF('Sports Teams &amp; Leagues'!P31="","",'Sports Teams &amp; Leagues'!P31)</f>
        <v/>
      </c>
      <c r="P121" s="17">
        <f>IF('Sports Teams &amp; Leagues'!Q31="","",'Sports Teams &amp; Leagues'!Q31)</f>
        <v/>
      </c>
      <c r="Q121" s="15">
        <f>IF('Sports Teams &amp; Leagues'!R31="","",'Sports Teams &amp; Leagues'!R31)</f>
        <v/>
      </c>
      <c r="R121" s="19">
        <f>IF('Sports Teams &amp; Leagues'!S31="","",'Sports Teams &amp; Leagues'!S31)</f>
        <v/>
      </c>
      <c r="S121" s="16">
        <f>IF('Sports Teams &amp; Leagues'!T31="","",'Sports Teams &amp; Leagues'!T31)</f>
        <v/>
      </c>
      <c r="T121" s="15">
        <f>IF('Sports Teams &amp; Leagues'!U31="","",'Sports Teams &amp; Leagues'!U31)</f>
        <v/>
      </c>
      <c r="U121" s="17">
        <f>IF('Sports Teams &amp; Leagues'!V31="","",'Sports Teams &amp; Leagues'!V31)</f>
        <v/>
      </c>
      <c r="V121" s="15">
        <f>IF('Sports Teams &amp; Leagues'!W31="","",'Sports Teams &amp; Leagues'!W31)</f>
        <v/>
      </c>
      <c r="W121" s="17">
        <f>IF('Sports Teams &amp; Leagues'!X31="","",'Sports Teams &amp; Leagues'!X31)</f>
        <v/>
      </c>
      <c r="X121" s="17">
        <f>IF('Sports Teams &amp; Leagues'!Y31="","",'Sports Teams &amp; Leagues'!Y31)</f>
        <v/>
      </c>
      <c r="Y121" s="20">
        <f>IF('Sports Teams &amp; Leagues'!Z31="","",'Sports Teams &amp; Leagues'!Z31)</f>
        <v/>
      </c>
      <c r="Z121" s="21">
        <f>IF('Sports Teams &amp; Leagues'!AA31="","",'Sports Teams &amp; Leagues'!AA31)</f>
        <v/>
      </c>
      <c r="AA121" s="20">
        <f>IF('Sports Teams &amp; Leagues'!AB31="","",'Sports Teams &amp; Leagues'!AB31)</f>
        <v/>
      </c>
      <c r="AB121" s="16">
        <f>IF('Sports Teams &amp; Leagues'!AC31="","",'Sports Teams &amp; Leagues'!AC31)</f>
        <v/>
      </c>
      <c r="AC121" s="16">
        <f>IF('Sports Teams &amp; Leagues'!AD31="","",'Sports Teams &amp; Leagues'!AD31)</f>
        <v/>
      </c>
      <c r="AD121" s="16">
        <f>IF('Sports Teams &amp; Leagues'!AE31="","",'Sports Teams &amp; Leagues'!AE31)</f>
        <v/>
      </c>
      <c r="AE121" s="16">
        <f>IF('Sports Teams &amp; Leagues'!AF31="","",'Sports Teams &amp; Leagues'!AF31)</f>
        <v/>
      </c>
      <c r="AF121" s="16">
        <f>IF('Sports Teams &amp; Leagues'!AG31="","",'Sports Teams &amp; Leagues'!AG31)</f>
        <v/>
      </c>
      <c r="AG121" s="17">
        <f>IF('Sports Teams &amp; Leagues'!AH31="","",'Sports Teams &amp; Leagues'!AH31)</f>
        <v/>
      </c>
      <c r="AH121" s="17">
        <f>IF('Sports Teams &amp; Leagues'!AI31="","",'Sports Teams &amp; Leagues'!AI31)</f>
        <v/>
      </c>
      <c r="AI121" s="17">
        <f>IF('Sports Teams &amp; Leagues'!AJ31="","",'Sports Teams &amp; Leagues'!AJ31)</f>
        <v/>
      </c>
      <c r="AJ121" s="17">
        <f>IF('Sports Teams &amp; Leagues'!AK31="","",'Sports Teams &amp; Leagues'!AK31)</f>
        <v/>
      </c>
      <c r="AK121" s="16">
        <f>IF('Sports Teams &amp; Leagues'!AL31="","",'Sports Teams &amp; Leagues'!AL31)</f>
        <v/>
      </c>
      <c r="AL121" s="18">
        <f>IF(V121="","",V121+ROW()/100000)</f>
        <v/>
      </c>
    </row>
    <row r="122" ht="18" customHeight="1">
      <c r="A122" s="22">
        <f>IF('Sports Teams &amp; Leagues'!B32="","","Sports Teams &amp; Leagues")</f>
        <v/>
      </c>
      <c r="B122" s="22">
        <f>IF('Sports Teams &amp; Leagues'!B32="","",'Sports Teams &amp; Leagues'!B32)</f>
        <v/>
      </c>
      <c r="C122" s="23">
        <f>IF('Sports Teams &amp; Leagues'!D32="","",'Sports Teams &amp; Leagues'!D32)</f>
        <v/>
      </c>
      <c r="D122" s="22">
        <f>IF('Sports Teams &amp; Leagues'!E32="","",'Sports Teams &amp; Leagues'!E32)</f>
        <v/>
      </c>
      <c r="E122" s="23">
        <f>IF('Sports Teams &amp; Leagues'!F32="","",'Sports Teams &amp; Leagues'!F32)</f>
        <v/>
      </c>
      <c r="F122" s="23">
        <f>IF('Sports Teams &amp; Leagues'!G32="","",'Sports Teams &amp; Leagues'!G32)</f>
        <v/>
      </c>
      <c r="G122" s="23">
        <f>IF('Sports Teams &amp; Leagues'!H32="","",'Sports Teams &amp; Leagues'!H32)</f>
        <v/>
      </c>
      <c r="H122" s="22">
        <f>IF('Sports Teams &amp; Leagues'!I32="","",'Sports Teams &amp; Leagues'!I32)</f>
        <v/>
      </c>
      <c r="I122" s="23">
        <f>IF('Sports Teams &amp; Leagues'!J32="","",'Sports Teams &amp; Leagues'!J32)</f>
        <v/>
      </c>
      <c r="J122" s="22">
        <f>IF('Sports Teams &amp; Leagues'!K32="","",'Sports Teams &amp; Leagues'!K32)</f>
        <v/>
      </c>
      <c r="K122" s="23">
        <f>IF('Sports Teams &amp; Leagues'!L32="","",'Sports Teams &amp; Leagues'!L32)</f>
        <v/>
      </c>
      <c r="L122" s="22">
        <f>IF('Sports Teams &amp; Leagues'!M32="","",'Sports Teams &amp; Leagues'!M32)</f>
        <v/>
      </c>
      <c r="M122" s="23">
        <f>IF('Sports Teams &amp; Leagues'!N32="","",'Sports Teams &amp; Leagues'!N32)</f>
        <v/>
      </c>
      <c r="N122" s="22">
        <f>IF('Sports Teams &amp; Leagues'!O32="","",'Sports Teams &amp; Leagues'!O32)</f>
        <v/>
      </c>
      <c r="O122" s="23">
        <f>IF('Sports Teams &amp; Leagues'!P32="","",'Sports Teams &amp; Leagues'!P32)</f>
        <v/>
      </c>
      <c r="P122" s="23">
        <f>IF('Sports Teams &amp; Leagues'!Q32="","",'Sports Teams &amp; Leagues'!Q32)</f>
        <v/>
      </c>
      <c r="Q122" s="24">
        <f>IF('Sports Teams &amp; Leagues'!R32="","",'Sports Teams &amp; Leagues'!R32)</f>
        <v/>
      </c>
      <c r="R122" s="25">
        <f>IF('Sports Teams &amp; Leagues'!S32="","",'Sports Teams &amp; Leagues'!S32)</f>
        <v/>
      </c>
      <c r="S122" s="22">
        <f>IF('Sports Teams &amp; Leagues'!T32="","",'Sports Teams &amp; Leagues'!T32)</f>
        <v/>
      </c>
      <c r="T122" s="24">
        <f>IF('Sports Teams &amp; Leagues'!U32="","",'Sports Teams &amp; Leagues'!U32)</f>
        <v/>
      </c>
      <c r="U122" s="23">
        <f>IF('Sports Teams &amp; Leagues'!V32="","",'Sports Teams &amp; Leagues'!V32)</f>
        <v/>
      </c>
      <c r="V122" s="24">
        <f>IF('Sports Teams &amp; Leagues'!W32="","",'Sports Teams &amp; Leagues'!W32)</f>
        <v/>
      </c>
      <c r="W122" s="23">
        <f>IF('Sports Teams &amp; Leagues'!X32="","",'Sports Teams &amp; Leagues'!X32)</f>
        <v/>
      </c>
      <c r="X122" s="23">
        <f>IF('Sports Teams &amp; Leagues'!Y32="","",'Sports Teams &amp; Leagues'!Y32)</f>
        <v/>
      </c>
      <c r="Y122" s="26">
        <f>IF('Sports Teams &amp; Leagues'!Z32="","",'Sports Teams &amp; Leagues'!Z32)</f>
        <v/>
      </c>
      <c r="Z122" s="27">
        <f>IF('Sports Teams &amp; Leagues'!AA32="","",'Sports Teams &amp; Leagues'!AA32)</f>
        <v/>
      </c>
      <c r="AA122" s="26">
        <f>IF('Sports Teams &amp; Leagues'!AB32="","",'Sports Teams &amp; Leagues'!AB32)</f>
        <v/>
      </c>
      <c r="AB122" s="22">
        <f>IF('Sports Teams &amp; Leagues'!AC32="","",'Sports Teams &amp; Leagues'!AC32)</f>
        <v/>
      </c>
      <c r="AC122" s="22">
        <f>IF('Sports Teams &amp; Leagues'!AD32="","",'Sports Teams &amp; Leagues'!AD32)</f>
        <v/>
      </c>
      <c r="AD122" s="22">
        <f>IF('Sports Teams &amp; Leagues'!AE32="","",'Sports Teams &amp; Leagues'!AE32)</f>
        <v/>
      </c>
      <c r="AE122" s="22">
        <f>IF('Sports Teams &amp; Leagues'!AF32="","",'Sports Teams &amp; Leagues'!AF32)</f>
        <v/>
      </c>
      <c r="AF122" s="22">
        <f>IF('Sports Teams &amp; Leagues'!AG32="","",'Sports Teams &amp; Leagues'!AG32)</f>
        <v/>
      </c>
      <c r="AG122" s="23">
        <f>IF('Sports Teams &amp; Leagues'!AH32="","",'Sports Teams &amp; Leagues'!AH32)</f>
        <v/>
      </c>
      <c r="AH122" s="23">
        <f>IF('Sports Teams &amp; Leagues'!AI32="","",'Sports Teams &amp; Leagues'!AI32)</f>
        <v/>
      </c>
      <c r="AI122" s="23">
        <f>IF('Sports Teams &amp; Leagues'!AJ32="","",'Sports Teams &amp; Leagues'!AJ32)</f>
        <v/>
      </c>
      <c r="AJ122" s="23">
        <f>IF('Sports Teams &amp; Leagues'!AK32="","",'Sports Teams &amp; Leagues'!AK32)</f>
        <v/>
      </c>
      <c r="AK122" s="22">
        <f>IF('Sports Teams &amp; Leagues'!AL32="","",'Sports Teams &amp; Leagues'!AL32)</f>
        <v/>
      </c>
      <c r="AL122" s="18">
        <f>IF(V122="","",V122+ROW()/100000)</f>
        <v/>
      </c>
    </row>
    <row r="123" ht="18" customHeight="1">
      <c r="A123" s="16">
        <f>IF('Campus &amp; Student Groups'!B3="","","Campus &amp; Student Groups")</f>
        <v/>
      </c>
      <c r="B123" s="16">
        <f>IF('Campus &amp; Student Groups'!B3="","",'Campus &amp; Student Groups'!B3)</f>
        <v/>
      </c>
      <c r="C123" s="17">
        <f>IF('Campus &amp; Student Groups'!D3="","",'Campus &amp; Student Groups'!D3)</f>
        <v/>
      </c>
      <c r="D123" s="16">
        <f>IF('Campus &amp; Student Groups'!E3="","",'Campus &amp; Student Groups'!E3)</f>
        <v/>
      </c>
      <c r="E123" s="17">
        <f>IF('Campus &amp; Student Groups'!F3="","",'Campus &amp; Student Groups'!F3)</f>
        <v/>
      </c>
      <c r="F123" s="17">
        <f>IF('Campus &amp; Student Groups'!G3="","",'Campus &amp; Student Groups'!G3)</f>
        <v/>
      </c>
      <c r="G123" s="17">
        <f>IF('Campus &amp; Student Groups'!H3="","",'Campus &amp; Student Groups'!H3)</f>
        <v/>
      </c>
      <c r="H123" s="16">
        <f>IF('Campus &amp; Student Groups'!I3="","",'Campus &amp; Student Groups'!I3)</f>
        <v/>
      </c>
      <c r="I123" s="17">
        <f>IF('Campus &amp; Student Groups'!J3="","",'Campus &amp; Student Groups'!J3)</f>
        <v/>
      </c>
      <c r="J123" s="16">
        <f>IF('Campus &amp; Student Groups'!K3="","",'Campus &amp; Student Groups'!K3)</f>
        <v/>
      </c>
      <c r="K123" s="17">
        <f>IF('Campus &amp; Student Groups'!L3="","",'Campus &amp; Student Groups'!L3)</f>
        <v/>
      </c>
      <c r="L123" s="16">
        <f>IF('Campus &amp; Student Groups'!M3="","",'Campus &amp; Student Groups'!M3)</f>
        <v/>
      </c>
      <c r="M123" s="17">
        <f>IF('Campus &amp; Student Groups'!N3="","",'Campus &amp; Student Groups'!N3)</f>
        <v/>
      </c>
      <c r="N123" s="16">
        <f>IF('Campus &amp; Student Groups'!O3="","",'Campus &amp; Student Groups'!O3)</f>
        <v/>
      </c>
      <c r="O123" s="17">
        <f>IF('Campus &amp; Student Groups'!P3="","",'Campus &amp; Student Groups'!P3)</f>
        <v/>
      </c>
      <c r="P123" s="17">
        <f>IF('Campus &amp; Student Groups'!Q3="","",'Campus &amp; Student Groups'!Q3)</f>
        <v/>
      </c>
      <c r="Q123" s="15">
        <f>IF('Campus &amp; Student Groups'!R3="","",'Campus &amp; Student Groups'!R3)</f>
        <v/>
      </c>
      <c r="R123" s="19">
        <f>IF('Campus &amp; Student Groups'!S3="","",'Campus &amp; Student Groups'!S3)</f>
        <v/>
      </c>
      <c r="S123" s="16">
        <f>IF('Campus &amp; Student Groups'!T3="","",'Campus &amp; Student Groups'!T3)</f>
        <v/>
      </c>
      <c r="T123" s="15">
        <f>IF('Campus &amp; Student Groups'!U3="","",'Campus &amp; Student Groups'!U3)</f>
        <v/>
      </c>
      <c r="U123" s="17">
        <f>IF('Campus &amp; Student Groups'!V3="","",'Campus &amp; Student Groups'!V3)</f>
        <v/>
      </c>
      <c r="V123" s="15">
        <f>IF('Campus &amp; Student Groups'!W3="","",'Campus &amp; Student Groups'!W3)</f>
        <v/>
      </c>
      <c r="W123" s="17">
        <f>IF('Campus &amp; Student Groups'!X3="","",'Campus &amp; Student Groups'!X3)</f>
        <v/>
      </c>
      <c r="X123" s="17">
        <f>IF('Campus &amp; Student Groups'!Y3="","",'Campus &amp; Student Groups'!Y3)</f>
        <v/>
      </c>
      <c r="Y123" s="20">
        <f>IF('Campus &amp; Student Groups'!Z3="","",'Campus &amp; Student Groups'!Z3)</f>
        <v/>
      </c>
      <c r="Z123" s="21">
        <f>IF('Campus &amp; Student Groups'!AA3="","",'Campus &amp; Student Groups'!AA3)</f>
        <v/>
      </c>
      <c r="AA123" s="20">
        <f>IF('Campus &amp; Student Groups'!AB3="","",'Campus &amp; Student Groups'!AB3)</f>
        <v/>
      </c>
      <c r="AB123" s="16">
        <f>IF('Campus &amp; Student Groups'!AC3="","",'Campus &amp; Student Groups'!AC3)</f>
        <v/>
      </c>
      <c r="AC123" s="16">
        <f>IF('Campus &amp; Student Groups'!AD3="","",'Campus &amp; Student Groups'!AD3)</f>
        <v/>
      </c>
      <c r="AD123" s="16">
        <f>IF('Campus &amp; Student Groups'!AE3="","",'Campus &amp; Student Groups'!AE3)</f>
        <v/>
      </c>
      <c r="AE123" s="16">
        <f>IF('Campus &amp; Student Groups'!AF3="","",'Campus &amp; Student Groups'!AF3)</f>
        <v/>
      </c>
      <c r="AF123" s="16">
        <f>IF('Campus &amp; Student Groups'!AG3="","",'Campus &amp; Student Groups'!AG3)</f>
        <v/>
      </c>
      <c r="AG123" s="17">
        <f>IF('Campus &amp; Student Groups'!AH3="","",'Campus &amp; Student Groups'!AH3)</f>
        <v/>
      </c>
      <c r="AH123" s="17">
        <f>IF('Campus &amp; Student Groups'!AI3="","",'Campus &amp; Student Groups'!AI3)</f>
        <v/>
      </c>
      <c r="AI123" s="17">
        <f>IF('Campus &amp; Student Groups'!AJ3="","",'Campus &amp; Student Groups'!AJ3)</f>
        <v/>
      </c>
      <c r="AJ123" s="17">
        <f>IF('Campus &amp; Student Groups'!AK3="","",'Campus &amp; Student Groups'!AK3)</f>
        <v/>
      </c>
      <c r="AK123" s="16">
        <f>IF('Campus &amp; Student Groups'!AL3="","",'Campus &amp; Student Groups'!AL3)</f>
        <v/>
      </c>
      <c r="AL123" s="18">
        <f>IF(V123="","",V123+ROW()/100000)</f>
        <v/>
      </c>
    </row>
    <row r="124" ht="18" customHeight="1">
      <c r="A124" s="22">
        <f>IF('Campus &amp; Student Groups'!B4="","","Campus &amp; Student Groups")</f>
        <v/>
      </c>
      <c r="B124" s="22">
        <f>IF('Campus &amp; Student Groups'!B4="","",'Campus &amp; Student Groups'!B4)</f>
        <v/>
      </c>
      <c r="C124" s="23">
        <f>IF('Campus &amp; Student Groups'!D4="","",'Campus &amp; Student Groups'!D4)</f>
        <v/>
      </c>
      <c r="D124" s="22">
        <f>IF('Campus &amp; Student Groups'!E4="","",'Campus &amp; Student Groups'!E4)</f>
        <v/>
      </c>
      <c r="E124" s="23">
        <f>IF('Campus &amp; Student Groups'!F4="","",'Campus &amp; Student Groups'!F4)</f>
        <v/>
      </c>
      <c r="F124" s="23">
        <f>IF('Campus &amp; Student Groups'!G4="","",'Campus &amp; Student Groups'!G4)</f>
        <v/>
      </c>
      <c r="G124" s="23">
        <f>IF('Campus &amp; Student Groups'!H4="","",'Campus &amp; Student Groups'!H4)</f>
        <v/>
      </c>
      <c r="H124" s="22">
        <f>IF('Campus &amp; Student Groups'!I4="","",'Campus &amp; Student Groups'!I4)</f>
        <v/>
      </c>
      <c r="I124" s="23">
        <f>IF('Campus &amp; Student Groups'!J4="","",'Campus &amp; Student Groups'!J4)</f>
        <v/>
      </c>
      <c r="J124" s="22">
        <f>IF('Campus &amp; Student Groups'!K4="","",'Campus &amp; Student Groups'!K4)</f>
        <v/>
      </c>
      <c r="K124" s="23">
        <f>IF('Campus &amp; Student Groups'!L4="","",'Campus &amp; Student Groups'!L4)</f>
        <v/>
      </c>
      <c r="L124" s="22">
        <f>IF('Campus &amp; Student Groups'!M4="","",'Campus &amp; Student Groups'!M4)</f>
        <v/>
      </c>
      <c r="M124" s="23">
        <f>IF('Campus &amp; Student Groups'!N4="","",'Campus &amp; Student Groups'!N4)</f>
        <v/>
      </c>
      <c r="N124" s="22">
        <f>IF('Campus &amp; Student Groups'!O4="","",'Campus &amp; Student Groups'!O4)</f>
        <v/>
      </c>
      <c r="O124" s="23">
        <f>IF('Campus &amp; Student Groups'!P4="","",'Campus &amp; Student Groups'!P4)</f>
        <v/>
      </c>
      <c r="P124" s="23">
        <f>IF('Campus &amp; Student Groups'!Q4="","",'Campus &amp; Student Groups'!Q4)</f>
        <v/>
      </c>
      <c r="Q124" s="24">
        <f>IF('Campus &amp; Student Groups'!R4="","",'Campus &amp; Student Groups'!R4)</f>
        <v/>
      </c>
      <c r="R124" s="25">
        <f>IF('Campus &amp; Student Groups'!S4="","",'Campus &amp; Student Groups'!S4)</f>
        <v/>
      </c>
      <c r="S124" s="22">
        <f>IF('Campus &amp; Student Groups'!T4="","",'Campus &amp; Student Groups'!T4)</f>
        <v/>
      </c>
      <c r="T124" s="24">
        <f>IF('Campus &amp; Student Groups'!U4="","",'Campus &amp; Student Groups'!U4)</f>
        <v/>
      </c>
      <c r="U124" s="23">
        <f>IF('Campus &amp; Student Groups'!V4="","",'Campus &amp; Student Groups'!V4)</f>
        <v/>
      </c>
      <c r="V124" s="24">
        <f>IF('Campus &amp; Student Groups'!W4="","",'Campus &amp; Student Groups'!W4)</f>
        <v/>
      </c>
      <c r="W124" s="23">
        <f>IF('Campus &amp; Student Groups'!X4="","",'Campus &amp; Student Groups'!X4)</f>
        <v/>
      </c>
      <c r="X124" s="23">
        <f>IF('Campus &amp; Student Groups'!Y4="","",'Campus &amp; Student Groups'!Y4)</f>
        <v/>
      </c>
      <c r="Y124" s="26">
        <f>IF('Campus &amp; Student Groups'!Z4="","",'Campus &amp; Student Groups'!Z4)</f>
        <v/>
      </c>
      <c r="Z124" s="27">
        <f>IF('Campus &amp; Student Groups'!AA4="","",'Campus &amp; Student Groups'!AA4)</f>
        <v/>
      </c>
      <c r="AA124" s="26">
        <f>IF('Campus &amp; Student Groups'!AB4="","",'Campus &amp; Student Groups'!AB4)</f>
        <v/>
      </c>
      <c r="AB124" s="22">
        <f>IF('Campus &amp; Student Groups'!AC4="","",'Campus &amp; Student Groups'!AC4)</f>
        <v/>
      </c>
      <c r="AC124" s="22">
        <f>IF('Campus &amp; Student Groups'!AD4="","",'Campus &amp; Student Groups'!AD4)</f>
        <v/>
      </c>
      <c r="AD124" s="22">
        <f>IF('Campus &amp; Student Groups'!AE4="","",'Campus &amp; Student Groups'!AE4)</f>
        <v/>
      </c>
      <c r="AE124" s="22">
        <f>IF('Campus &amp; Student Groups'!AF4="","",'Campus &amp; Student Groups'!AF4)</f>
        <v/>
      </c>
      <c r="AF124" s="22">
        <f>IF('Campus &amp; Student Groups'!AG4="","",'Campus &amp; Student Groups'!AG4)</f>
        <v/>
      </c>
      <c r="AG124" s="23">
        <f>IF('Campus &amp; Student Groups'!AH4="","",'Campus &amp; Student Groups'!AH4)</f>
        <v/>
      </c>
      <c r="AH124" s="23">
        <f>IF('Campus &amp; Student Groups'!AI4="","",'Campus &amp; Student Groups'!AI4)</f>
        <v/>
      </c>
      <c r="AI124" s="23">
        <f>IF('Campus &amp; Student Groups'!AJ4="","",'Campus &amp; Student Groups'!AJ4)</f>
        <v/>
      </c>
      <c r="AJ124" s="23">
        <f>IF('Campus &amp; Student Groups'!AK4="","",'Campus &amp; Student Groups'!AK4)</f>
        <v/>
      </c>
      <c r="AK124" s="22">
        <f>IF('Campus &amp; Student Groups'!AL4="","",'Campus &amp; Student Groups'!AL4)</f>
        <v/>
      </c>
      <c r="AL124" s="18">
        <f>IF(V124="","",V124+ROW()/100000)</f>
        <v/>
      </c>
    </row>
    <row r="125" ht="18" customHeight="1">
      <c r="A125" s="16">
        <f>IF('Campus &amp; Student Groups'!B5="","","Campus &amp; Student Groups")</f>
        <v/>
      </c>
      <c r="B125" s="16">
        <f>IF('Campus &amp; Student Groups'!B5="","",'Campus &amp; Student Groups'!B5)</f>
        <v/>
      </c>
      <c r="C125" s="17">
        <f>IF('Campus &amp; Student Groups'!D5="","",'Campus &amp; Student Groups'!D5)</f>
        <v/>
      </c>
      <c r="D125" s="16">
        <f>IF('Campus &amp; Student Groups'!E5="","",'Campus &amp; Student Groups'!E5)</f>
        <v/>
      </c>
      <c r="E125" s="17">
        <f>IF('Campus &amp; Student Groups'!F5="","",'Campus &amp; Student Groups'!F5)</f>
        <v/>
      </c>
      <c r="F125" s="17">
        <f>IF('Campus &amp; Student Groups'!G5="","",'Campus &amp; Student Groups'!G5)</f>
        <v/>
      </c>
      <c r="G125" s="17">
        <f>IF('Campus &amp; Student Groups'!H5="","",'Campus &amp; Student Groups'!H5)</f>
        <v/>
      </c>
      <c r="H125" s="16">
        <f>IF('Campus &amp; Student Groups'!I5="","",'Campus &amp; Student Groups'!I5)</f>
        <v/>
      </c>
      <c r="I125" s="17">
        <f>IF('Campus &amp; Student Groups'!J5="","",'Campus &amp; Student Groups'!J5)</f>
        <v/>
      </c>
      <c r="J125" s="16">
        <f>IF('Campus &amp; Student Groups'!K5="","",'Campus &amp; Student Groups'!K5)</f>
        <v/>
      </c>
      <c r="K125" s="17">
        <f>IF('Campus &amp; Student Groups'!L5="","",'Campus &amp; Student Groups'!L5)</f>
        <v/>
      </c>
      <c r="L125" s="16">
        <f>IF('Campus &amp; Student Groups'!M5="","",'Campus &amp; Student Groups'!M5)</f>
        <v/>
      </c>
      <c r="M125" s="17">
        <f>IF('Campus &amp; Student Groups'!N5="","",'Campus &amp; Student Groups'!N5)</f>
        <v/>
      </c>
      <c r="N125" s="16">
        <f>IF('Campus &amp; Student Groups'!O5="","",'Campus &amp; Student Groups'!O5)</f>
        <v/>
      </c>
      <c r="O125" s="17">
        <f>IF('Campus &amp; Student Groups'!P5="","",'Campus &amp; Student Groups'!P5)</f>
        <v/>
      </c>
      <c r="P125" s="17">
        <f>IF('Campus &amp; Student Groups'!Q5="","",'Campus &amp; Student Groups'!Q5)</f>
        <v/>
      </c>
      <c r="Q125" s="15">
        <f>IF('Campus &amp; Student Groups'!R5="","",'Campus &amp; Student Groups'!R5)</f>
        <v/>
      </c>
      <c r="R125" s="19">
        <f>IF('Campus &amp; Student Groups'!S5="","",'Campus &amp; Student Groups'!S5)</f>
        <v/>
      </c>
      <c r="S125" s="16">
        <f>IF('Campus &amp; Student Groups'!T5="","",'Campus &amp; Student Groups'!T5)</f>
        <v/>
      </c>
      <c r="T125" s="15">
        <f>IF('Campus &amp; Student Groups'!U5="","",'Campus &amp; Student Groups'!U5)</f>
        <v/>
      </c>
      <c r="U125" s="17">
        <f>IF('Campus &amp; Student Groups'!V5="","",'Campus &amp; Student Groups'!V5)</f>
        <v/>
      </c>
      <c r="V125" s="15">
        <f>IF('Campus &amp; Student Groups'!W5="","",'Campus &amp; Student Groups'!W5)</f>
        <v/>
      </c>
      <c r="W125" s="17">
        <f>IF('Campus &amp; Student Groups'!X5="","",'Campus &amp; Student Groups'!X5)</f>
        <v/>
      </c>
      <c r="X125" s="17">
        <f>IF('Campus &amp; Student Groups'!Y5="","",'Campus &amp; Student Groups'!Y5)</f>
        <v/>
      </c>
      <c r="Y125" s="20">
        <f>IF('Campus &amp; Student Groups'!Z5="","",'Campus &amp; Student Groups'!Z5)</f>
        <v/>
      </c>
      <c r="Z125" s="21">
        <f>IF('Campus &amp; Student Groups'!AA5="","",'Campus &amp; Student Groups'!AA5)</f>
        <v/>
      </c>
      <c r="AA125" s="20">
        <f>IF('Campus &amp; Student Groups'!AB5="","",'Campus &amp; Student Groups'!AB5)</f>
        <v/>
      </c>
      <c r="AB125" s="16">
        <f>IF('Campus &amp; Student Groups'!AC5="","",'Campus &amp; Student Groups'!AC5)</f>
        <v/>
      </c>
      <c r="AC125" s="16">
        <f>IF('Campus &amp; Student Groups'!AD5="","",'Campus &amp; Student Groups'!AD5)</f>
        <v/>
      </c>
      <c r="AD125" s="16">
        <f>IF('Campus &amp; Student Groups'!AE5="","",'Campus &amp; Student Groups'!AE5)</f>
        <v/>
      </c>
      <c r="AE125" s="16">
        <f>IF('Campus &amp; Student Groups'!AF5="","",'Campus &amp; Student Groups'!AF5)</f>
        <v/>
      </c>
      <c r="AF125" s="16">
        <f>IF('Campus &amp; Student Groups'!AG5="","",'Campus &amp; Student Groups'!AG5)</f>
        <v/>
      </c>
      <c r="AG125" s="17">
        <f>IF('Campus &amp; Student Groups'!AH5="","",'Campus &amp; Student Groups'!AH5)</f>
        <v/>
      </c>
      <c r="AH125" s="17">
        <f>IF('Campus &amp; Student Groups'!AI5="","",'Campus &amp; Student Groups'!AI5)</f>
        <v/>
      </c>
      <c r="AI125" s="17">
        <f>IF('Campus &amp; Student Groups'!AJ5="","",'Campus &amp; Student Groups'!AJ5)</f>
        <v/>
      </c>
      <c r="AJ125" s="17">
        <f>IF('Campus &amp; Student Groups'!AK5="","",'Campus &amp; Student Groups'!AK5)</f>
        <v/>
      </c>
      <c r="AK125" s="16">
        <f>IF('Campus &amp; Student Groups'!AL5="","",'Campus &amp; Student Groups'!AL5)</f>
        <v/>
      </c>
      <c r="AL125" s="18">
        <f>IF(V125="","",V125+ROW()/100000)</f>
        <v/>
      </c>
    </row>
    <row r="126" ht="18" customHeight="1">
      <c r="A126" s="22">
        <f>IF('Campus &amp; Student Groups'!B6="","","Campus &amp; Student Groups")</f>
        <v/>
      </c>
      <c r="B126" s="22">
        <f>IF('Campus &amp; Student Groups'!B6="","",'Campus &amp; Student Groups'!B6)</f>
        <v/>
      </c>
      <c r="C126" s="23">
        <f>IF('Campus &amp; Student Groups'!D6="","",'Campus &amp; Student Groups'!D6)</f>
        <v/>
      </c>
      <c r="D126" s="22">
        <f>IF('Campus &amp; Student Groups'!E6="","",'Campus &amp; Student Groups'!E6)</f>
        <v/>
      </c>
      <c r="E126" s="23">
        <f>IF('Campus &amp; Student Groups'!F6="","",'Campus &amp; Student Groups'!F6)</f>
        <v/>
      </c>
      <c r="F126" s="23">
        <f>IF('Campus &amp; Student Groups'!G6="","",'Campus &amp; Student Groups'!G6)</f>
        <v/>
      </c>
      <c r="G126" s="23">
        <f>IF('Campus &amp; Student Groups'!H6="","",'Campus &amp; Student Groups'!H6)</f>
        <v/>
      </c>
      <c r="H126" s="22">
        <f>IF('Campus &amp; Student Groups'!I6="","",'Campus &amp; Student Groups'!I6)</f>
        <v/>
      </c>
      <c r="I126" s="23">
        <f>IF('Campus &amp; Student Groups'!J6="","",'Campus &amp; Student Groups'!J6)</f>
        <v/>
      </c>
      <c r="J126" s="22">
        <f>IF('Campus &amp; Student Groups'!K6="","",'Campus &amp; Student Groups'!K6)</f>
        <v/>
      </c>
      <c r="K126" s="23">
        <f>IF('Campus &amp; Student Groups'!L6="","",'Campus &amp; Student Groups'!L6)</f>
        <v/>
      </c>
      <c r="L126" s="22">
        <f>IF('Campus &amp; Student Groups'!M6="","",'Campus &amp; Student Groups'!M6)</f>
        <v/>
      </c>
      <c r="M126" s="23">
        <f>IF('Campus &amp; Student Groups'!N6="","",'Campus &amp; Student Groups'!N6)</f>
        <v/>
      </c>
      <c r="N126" s="22">
        <f>IF('Campus &amp; Student Groups'!O6="","",'Campus &amp; Student Groups'!O6)</f>
        <v/>
      </c>
      <c r="O126" s="23">
        <f>IF('Campus &amp; Student Groups'!P6="","",'Campus &amp; Student Groups'!P6)</f>
        <v/>
      </c>
      <c r="P126" s="23">
        <f>IF('Campus &amp; Student Groups'!Q6="","",'Campus &amp; Student Groups'!Q6)</f>
        <v/>
      </c>
      <c r="Q126" s="24">
        <f>IF('Campus &amp; Student Groups'!R6="","",'Campus &amp; Student Groups'!R6)</f>
        <v/>
      </c>
      <c r="R126" s="25">
        <f>IF('Campus &amp; Student Groups'!S6="","",'Campus &amp; Student Groups'!S6)</f>
        <v/>
      </c>
      <c r="S126" s="22">
        <f>IF('Campus &amp; Student Groups'!T6="","",'Campus &amp; Student Groups'!T6)</f>
        <v/>
      </c>
      <c r="T126" s="24">
        <f>IF('Campus &amp; Student Groups'!U6="","",'Campus &amp; Student Groups'!U6)</f>
        <v/>
      </c>
      <c r="U126" s="23">
        <f>IF('Campus &amp; Student Groups'!V6="","",'Campus &amp; Student Groups'!V6)</f>
        <v/>
      </c>
      <c r="V126" s="24">
        <f>IF('Campus &amp; Student Groups'!W6="","",'Campus &amp; Student Groups'!W6)</f>
        <v/>
      </c>
      <c r="W126" s="23">
        <f>IF('Campus &amp; Student Groups'!X6="","",'Campus &amp; Student Groups'!X6)</f>
        <v/>
      </c>
      <c r="X126" s="23">
        <f>IF('Campus &amp; Student Groups'!Y6="","",'Campus &amp; Student Groups'!Y6)</f>
        <v/>
      </c>
      <c r="Y126" s="26">
        <f>IF('Campus &amp; Student Groups'!Z6="","",'Campus &amp; Student Groups'!Z6)</f>
        <v/>
      </c>
      <c r="Z126" s="27">
        <f>IF('Campus &amp; Student Groups'!AA6="","",'Campus &amp; Student Groups'!AA6)</f>
        <v/>
      </c>
      <c r="AA126" s="26">
        <f>IF('Campus &amp; Student Groups'!AB6="","",'Campus &amp; Student Groups'!AB6)</f>
        <v/>
      </c>
      <c r="AB126" s="22">
        <f>IF('Campus &amp; Student Groups'!AC6="","",'Campus &amp; Student Groups'!AC6)</f>
        <v/>
      </c>
      <c r="AC126" s="22">
        <f>IF('Campus &amp; Student Groups'!AD6="","",'Campus &amp; Student Groups'!AD6)</f>
        <v/>
      </c>
      <c r="AD126" s="22">
        <f>IF('Campus &amp; Student Groups'!AE6="","",'Campus &amp; Student Groups'!AE6)</f>
        <v/>
      </c>
      <c r="AE126" s="22">
        <f>IF('Campus &amp; Student Groups'!AF6="","",'Campus &amp; Student Groups'!AF6)</f>
        <v/>
      </c>
      <c r="AF126" s="22">
        <f>IF('Campus &amp; Student Groups'!AG6="","",'Campus &amp; Student Groups'!AG6)</f>
        <v/>
      </c>
      <c r="AG126" s="23">
        <f>IF('Campus &amp; Student Groups'!AH6="","",'Campus &amp; Student Groups'!AH6)</f>
        <v/>
      </c>
      <c r="AH126" s="23">
        <f>IF('Campus &amp; Student Groups'!AI6="","",'Campus &amp; Student Groups'!AI6)</f>
        <v/>
      </c>
      <c r="AI126" s="23">
        <f>IF('Campus &amp; Student Groups'!AJ6="","",'Campus &amp; Student Groups'!AJ6)</f>
        <v/>
      </c>
      <c r="AJ126" s="23">
        <f>IF('Campus &amp; Student Groups'!AK6="","",'Campus &amp; Student Groups'!AK6)</f>
        <v/>
      </c>
      <c r="AK126" s="22">
        <f>IF('Campus &amp; Student Groups'!AL6="","",'Campus &amp; Student Groups'!AL6)</f>
        <v/>
      </c>
      <c r="AL126" s="18">
        <f>IF(V126="","",V126+ROW()/100000)</f>
        <v/>
      </c>
    </row>
    <row r="127" ht="18" customHeight="1">
      <c r="A127" s="16">
        <f>IF('Campus &amp; Student Groups'!B7="","","Campus &amp; Student Groups")</f>
        <v/>
      </c>
      <c r="B127" s="16">
        <f>IF('Campus &amp; Student Groups'!B7="","",'Campus &amp; Student Groups'!B7)</f>
        <v/>
      </c>
      <c r="C127" s="17">
        <f>IF('Campus &amp; Student Groups'!D7="","",'Campus &amp; Student Groups'!D7)</f>
        <v/>
      </c>
      <c r="D127" s="16">
        <f>IF('Campus &amp; Student Groups'!E7="","",'Campus &amp; Student Groups'!E7)</f>
        <v/>
      </c>
      <c r="E127" s="17">
        <f>IF('Campus &amp; Student Groups'!F7="","",'Campus &amp; Student Groups'!F7)</f>
        <v/>
      </c>
      <c r="F127" s="17">
        <f>IF('Campus &amp; Student Groups'!G7="","",'Campus &amp; Student Groups'!G7)</f>
        <v/>
      </c>
      <c r="G127" s="17">
        <f>IF('Campus &amp; Student Groups'!H7="","",'Campus &amp; Student Groups'!H7)</f>
        <v/>
      </c>
      <c r="H127" s="16">
        <f>IF('Campus &amp; Student Groups'!I7="","",'Campus &amp; Student Groups'!I7)</f>
        <v/>
      </c>
      <c r="I127" s="17">
        <f>IF('Campus &amp; Student Groups'!J7="","",'Campus &amp; Student Groups'!J7)</f>
        <v/>
      </c>
      <c r="J127" s="16">
        <f>IF('Campus &amp; Student Groups'!K7="","",'Campus &amp; Student Groups'!K7)</f>
        <v/>
      </c>
      <c r="K127" s="17">
        <f>IF('Campus &amp; Student Groups'!L7="","",'Campus &amp; Student Groups'!L7)</f>
        <v/>
      </c>
      <c r="L127" s="16">
        <f>IF('Campus &amp; Student Groups'!M7="","",'Campus &amp; Student Groups'!M7)</f>
        <v/>
      </c>
      <c r="M127" s="17">
        <f>IF('Campus &amp; Student Groups'!N7="","",'Campus &amp; Student Groups'!N7)</f>
        <v/>
      </c>
      <c r="N127" s="16">
        <f>IF('Campus &amp; Student Groups'!O7="","",'Campus &amp; Student Groups'!O7)</f>
        <v/>
      </c>
      <c r="O127" s="17">
        <f>IF('Campus &amp; Student Groups'!P7="","",'Campus &amp; Student Groups'!P7)</f>
        <v/>
      </c>
      <c r="P127" s="17">
        <f>IF('Campus &amp; Student Groups'!Q7="","",'Campus &amp; Student Groups'!Q7)</f>
        <v/>
      </c>
      <c r="Q127" s="15">
        <f>IF('Campus &amp; Student Groups'!R7="","",'Campus &amp; Student Groups'!R7)</f>
        <v/>
      </c>
      <c r="R127" s="19">
        <f>IF('Campus &amp; Student Groups'!S7="","",'Campus &amp; Student Groups'!S7)</f>
        <v/>
      </c>
      <c r="S127" s="16">
        <f>IF('Campus &amp; Student Groups'!T7="","",'Campus &amp; Student Groups'!T7)</f>
        <v/>
      </c>
      <c r="T127" s="15">
        <f>IF('Campus &amp; Student Groups'!U7="","",'Campus &amp; Student Groups'!U7)</f>
        <v/>
      </c>
      <c r="U127" s="17">
        <f>IF('Campus &amp; Student Groups'!V7="","",'Campus &amp; Student Groups'!V7)</f>
        <v/>
      </c>
      <c r="V127" s="15">
        <f>IF('Campus &amp; Student Groups'!W7="","",'Campus &amp; Student Groups'!W7)</f>
        <v/>
      </c>
      <c r="W127" s="17">
        <f>IF('Campus &amp; Student Groups'!X7="","",'Campus &amp; Student Groups'!X7)</f>
        <v/>
      </c>
      <c r="X127" s="17">
        <f>IF('Campus &amp; Student Groups'!Y7="","",'Campus &amp; Student Groups'!Y7)</f>
        <v/>
      </c>
      <c r="Y127" s="20">
        <f>IF('Campus &amp; Student Groups'!Z7="","",'Campus &amp; Student Groups'!Z7)</f>
        <v/>
      </c>
      <c r="Z127" s="21">
        <f>IF('Campus &amp; Student Groups'!AA7="","",'Campus &amp; Student Groups'!AA7)</f>
        <v/>
      </c>
      <c r="AA127" s="20">
        <f>IF('Campus &amp; Student Groups'!AB7="","",'Campus &amp; Student Groups'!AB7)</f>
        <v/>
      </c>
      <c r="AB127" s="16">
        <f>IF('Campus &amp; Student Groups'!AC7="","",'Campus &amp; Student Groups'!AC7)</f>
        <v/>
      </c>
      <c r="AC127" s="16">
        <f>IF('Campus &amp; Student Groups'!AD7="","",'Campus &amp; Student Groups'!AD7)</f>
        <v/>
      </c>
      <c r="AD127" s="16">
        <f>IF('Campus &amp; Student Groups'!AE7="","",'Campus &amp; Student Groups'!AE7)</f>
        <v/>
      </c>
      <c r="AE127" s="16">
        <f>IF('Campus &amp; Student Groups'!AF7="","",'Campus &amp; Student Groups'!AF7)</f>
        <v/>
      </c>
      <c r="AF127" s="16">
        <f>IF('Campus &amp; Student Groups'!AG7="","",'Campus &amp; Student Groups'!AG7)</f>
        <v/>
      </c>
      <c r="AG127" s="17">
        <f>IF('Campus &amp; Student Groups'!AH7="","",'Campus &amp; Student Groups'!AH7)</f>
        <v/>
      </c>
      <c r="AH127" s="17">
        <f>IF('Campus &amp; Student Groups'!AI7="","",'Campus &amp; Student Groups'!AI7)</f>
        <v/>
      </c>
      <c r="AI127" s="17">
        <f>IF('Campus &amp; Student Groups'!AJ7="","",'Campus &amp; Student Groups'!AJ7)</f>
        <v/>
      </c>
      <c r="AJ127" s="17">
        <f>IF('Campus &amp; Student Groups'!AK7="","",'Campus &amp; Student Groups'!AK7)</f>
        <v/>
      </c>
      <c r="AK127" s="16">
        <f>IF('Campus &amp; Student Groups'!AL7="","",'Campus &amp; Student Groups'!AL7)</f>
        <v/>
      </c>
      <c r="AL127" s="18">
        <f>IF(V127="","",V127+ROW()/100000)</f>
        <v/>
      </c>
    </row>
    <row r="128" ht="18" customHeight="1">
      <c r="A128" s="22">
        <f>IF('Campus &amp; Student Groups'!B8="","","Campus &amp; Student Groups")</f>
        <v/>
      </c>
      <c r="B128" s="22">
        <f>IF('Campus &amp; Student Groups'!B8="","",'Campus &amp; Student Groups'!B8)</f>
        <v/>
      </c>
      <c r="C128" s="23">
        <f>IF('Campus &amp; Student Groups'!D8="","",'Campus &amp; Student Groups'!D8)</f>
        <v/>
      </c>
      <c r="D128" s="22">
        <f>IF('Campus &amp; Student Groups'!E8="","",'Campus &amp; Student Groups'!E8)</f>
        <v/>
      </c>
      <c r="E128" s="23">
        <f>IF('Campus &amp; Student Groups'!F8="","",'Campus &amp; Student Groups'!F8)</f>
        <v/>
      </c>
      <c r="F128" s="23">
        <f>IF('Campus &amp; Student Groups'!G8="","",'Campus &amp; Student Groups'!G8)</f>
        <v/>
      </c>
      <c r="G128" s="23">
        <f>IF('Campus &amp; Student Groups'!H8="","",'Campus &amp; Student Groups'!H8)</f>
        <v/>
      </c>
      <c r="H128" s="22">
        <f>IF('Campus &amp; Student Groups'!I8="","",'Campus &amp; Student Groups'!I8)</f>
        <v/>
      </c>
      <c r="I128" s="23">
        <f>IF('Campus &amp; Student Groups'!J8="","",'Campus &amp; Student Groups'!J8)</f>
        <v/>
      </c>
      <c r="J128" s="22">
        <f>IF('Campus &amp; Student Groups'!K8="","",'Campus &amp; Student Groups'!K8)</f>
        <v/>
      </c>
      <c r="K128" s="23">
        <f>IF('Campus &amp; Student Groups'!L8="","",'Campus &amp; Student Groups'!L8)</f>
        <v/>
      </c>
      <c r="L128" s="22">
        <f>IF('Campus &amp; Student Groups'!M8="","",'Campus &amp; Student Groups'!M8)</f>
        <v/>
      </c>
      <c r="M128" s="23">
        <f>IF('Campus &amp; Student Groups'!N8="","",'Campus &amp; Student Groups'!N8)</f>
        <v/>
      </c>
      <c r="N128" s="22">
        <f>IF('Campus &amp; Student Groups'!O8="","",'Campus &amp; Student Groups'!O8)</f>
        <v/>
      </c>
      <c r="O128" s="23">
        <f>IF('Campus &amp; Student Groups'!P8="","",'Campus &amp; Student Groups'!P8)</f>
        <v/>
      </c>
      <c r="P128" s="23">
        <f>IF('Campus &amp; Student Groups'!Q8="","",'Campus &amp; Student Groups'!Q8)</f>
        <v/>
      </c>
      <c r="Q128" s="24">
        <f>IF('Campus &amp; Student Groups'!R8="","",'Campus &amp; Student Groups'!R8)</f>
        <v/>
      </c>
      <c r="R128" s="25">
        <f>IF('Campus &amp; Student Groups'!S8="","",'Campus &amp; Student Groups'!S8)</f>
        <v/>
      </c>
      <c r="S128" s="22">
        <f>IF('Campus &amp; Student Groups'!T8="","",'Campus &amp; Student Groups'!T8)</f>
        <v/>
      </c>
      <c r="T128" s="24">
        <f>IF('Campus &amp; Student Groups'!U8="","",'Campus &amp; Student Groups'!U8)</f>
        <v/>
      </c>
      <c r="U128" s="23">
        <f>IF('Campus &amp; Student Groups'!V8="","",'Campus &amp; Student Groups'!V8)</f>
        <v/>
      </c>
      <c r="V128" s="24">
        <f>IF('Campus &amp; Student Groups'!W8="","",'Campus &amp; Student Groups'!W8)</f>
        <v/>
      </c>
      <c r="W128" s="23">
        <f>IF('Campus &amp; Student Groups'!X8="","",'Campus &amp; Student Groups'!X8)</f>
        <v/>
      </c>
      <c r="X128" s="23">
        <f>IF('Campus &amp; Student Groups'!Y8="","",'Campus &amp; Student Groups'!Y8)</f>
        <v/>
      </c>
      <c r="Y128" s="26">
        <f>IF('Campus &amp; Student Groups'!Z8="","",'Campus &amp; Student Groups'!Z8)</f>
        <v/>
      </c>
      <c r="Z128" s="27">
        <f>IF('Campus &amp; Student Groups'!AA8="","",'Campus &amp; Student Groups'!AA8)</f>
        <v/>
      </c>
      <c r="AA128" s="26">
        <f>IF('Campus &amp; Student Groups'!AB8="","",'Campus &amp; Student Groups'!AB8)</f>
        <v/>
      </c>
      <c r="AB128" s="22">
        <f>IF('Campus &amp; Student Groups'!AC8="","",'Campus &amp; Student Groups'!AC8)</f>
        <v/>
      </c>
      <c r="AC128" s="22">
        <f>IF('Campus &amp; Student Groups'!AD8="","",'Campus &amp; Student Groups'!AD8)</f>
        <v/>
      </c>
      <c r="AD128" s="22">
        <f>IF('Campus &amp; Student Groups'!AE8="","",'Campus &amp; Student Groups'!AE8)</f>
        <v/>
      </c>
      <c r="AE128" s="22">
        <f>IF('Campus &amp; Student Groups'!AF8="","",'Campus &amp; Student Groups'!AF8)</f>
        <v/>
      </c>
      <c r="AF128" s="22">
        <f>IF('Campus &amp; Student Groups'!AG8="","",'Campus &amp; Student Groups'!AG8)</f>
        <v/>
      </c>
      <c r="AG128" s="23">
        <f>IF('Campus &amp; Student Groups'!AH8="","",'Campus &amp; Student Groups'!AH8)</f>
        <v/>
      </c>
      <c r="AH128" s="23">
        <f>IF('Campus &amp; Student Groups'!AI8="","",'Campus &amp; Student Groups'!AI8)</f>
        <v/>
      </c>
      <c r="AI128" s="23">
        <f>IF('Campus &amp; Student Groups'!AJ8="","",'Campus &amp; Student Groups'!AJ8)</f>
        <v/>
      </c>
      <c r="AJ128" s="23">
        <f>IF('Campus &amp; Student Groups'!AK8="","",'Campus &amp; Student Groups'!AK8)</f>
        <v/>
      </c>
      <c r="AK128" s="22">
        <f>IF('Campus &amp; Student Groups'!AL8="","",'Campus &amp; Student Groups'!AL8)</f>
        <v/>
      </c>
      <c r="AL128" s="18">
        <f>IF(V128="","",V128+ROW()/100000)</f>
        <v/>
      </c>
    </row>
    <row r="129" ht="18" customHeight="1">
      <c r="A129" s="16">
        <f>IF('Campus &amp; Student Groups'!B9="","","Campus &amp; Student Groups")</f>
        <v/>
      </c>
      <c r="B129" s="16">
        <f>IF('Campus &amp; Student Groups'!B9="","",'Campus &amp; Student Groups'!B9)</f>
        <v/>
      </c>
      <c r="C129" s="17">
        <f>IF('Campus &amp; Student Groups'!D9="","",'Campus &amp; Student Groups'!D9)</f>
        <v/>
      </c>
      <c r="D129" s="16">
        <f>IF('Campus &amp; Student Groups'!E9="","",'Campus &amp; Student Groups'!E9)</f>
        <v/>
      </c>
      <c r="E129" s="17">
        <f>IF('Campus &amp; Student Groups'!F9="","",'Campus &amp; Student Groups'!F9)</f>
        <v/>
      </c>
      <c r="F129" s="17">
        <f>IF('Campus &amp; Student Groups'!G9="","",'Campus &amp; Student Groups'!G9)</f>
        <v/>
      </c>
      <c r="G129" s="17">
        <f>IF('Campus &amp; Student Groups'!H9="","",'Campus &amp; Student Groups'!H9)</f>
        <v/>
      </c>
      <c r="H129" s="16">
        <f>IF('Campus &amp; Student Groups'!I9="","",'Campus &amp; Student Groups'!I9)</f>
        <v/>
      </c>
      <c r="I129" s="17">
        <f>IF('Campus &amp; Student Groups'!J9="","",'Campus &amp; Student Groups'!J9)</f>
        <v/>
      </c>
      <c r="J129" s="16">
        <f>IF('Campus &amp; Student Groups'!K9="","",'Campus &amp; Student Groups'!K9)</f>
        <v/>
      </c>
      <c r="K129" s="17">
        <f>IF('Campus &amp; Student Groups'!L9="","",'Campus &amp; Student Groups'!L9)</f>
        <v/>
      </c>
      <c r="L129" s="16">
        <f>IF('Campus &amp; Student Groups'!M9="","",'Campus &amp; Student Groups'!M9)</f>
        <v/>
      </c>
      <c r="M129" s="17">
        <f>IF('Campus &amp; Student Groups'!N9="","",'Campus &amp; Student Groups'!N9)</f>
        <v/>
      </c>
      <c r="N129" s="16">
        <f>IF('Campus &amp; Student Groups'!O9="","",'Campus &amp; Student Groups'!O9)</f>
        <v/>
      </c>
      <c r="O129" s="17">
        <f>IF('Campus &amp; Student Groups'!P9="","",'Campus &amp; Student Groups'!P9)</f>
        <v/>
      </c>
      <c r="P129" s="17">
        <f>IF('Campus &amp; Student Groups'!Q9="","",'Campus &amp; Student Groups'!Q9)</f>
        <v/>
      </c>
      <c r="Q129" s="15">
        <f>IF('Campus &amp; Student Groups'!R9="","",'Campus &amp; Student Groups'!R9)</f>
        <v/>
      </c>
      <c r="R129" s="19">
        <f>IF('Campus &amp; Student Groups'!S9="","",'Campus &amp; Student Groups'!S9)</f>
        <v/>
      </c>
      <c r="S129" s="16">
        <f>IF('Campus &amp; Student Groups'!T9="","",'Campus &amp; Student Groups'!T9)</f>
        <v/>
      </c>
      <c r="T129" s="15">
        <f>IF('Campus &amp; Student Groups'!U9="","",'Campus &amp; Student Groups'!U9)</f>
        <v/>
      </c>
      <c r="U129" s="17">
        <f>IF('Campus &amp; Student Groups'!V9="","",'Campus &amp; Student Groups'!V9)</f>
        <v/>
      </c>
      <c r="V129" s="15">
        <f>IF('Campus &amp; Student Groups'!W9="","",'Campus &amp; Student Groups'!W9)</f>
        <v/>
      </c>
      <c r="W129" s="17">
        <f>IF('Campus &amp; Student Groups'!X9="","",'Campus &amp; Student Groups'!X9)</f>
        <v/>
      </c>
      <c r="X129" s="17">
        <f>IF('Campus &amp; Student Groups'!Y9="","",'Campus &amp; Student Groups'!Y9)</f>
        <v/>
      </c>
      <c r="Y129" s="20">
        <f>IF('Campus &amp; Student Groups'!Z9="","",'Campus &amp; Student Groups'!Z9)</f>
        <v/>
      </c>
      <c r="Z129" s="21">
        <f>IF('Campus &amp; Student Groups'!AA9="","",'Campus &amp; Student Groups'!AA9)</f>
        <v/>
      </c>
      <c r="AA129" s="20">
        <f>IF('Campus &amp; Student Groups'!AB9="","",'Campus &amp; Student Groups'!AB9)</f>
        <v/>
      </c>
      <c r="AB129" s="16">
        <f>IF('Campus &amp; Student Groups'!AC9="","",'Campus &amp; Student Groups'!AC9)</f>
        <v/>
      </c>
      <c r="AC129" s="16">
        <f>IF('Campus &amp; Student Groups'!AD9="","",'Campus &amp; Student Groups'!AD9)</f>
        <v/>
      </c>
      <c r="AD129" s="16">
        <f>IF('Campus &amp; Student Groups'!AE9="","",'Campus &amp; Student Groups'!AE9)</f>
        <v/>
      </c>
      <c r="AE129" s="16">
        <f>IF('Campus &amp; Student Groups'!AF9="","",'Campus &amp; Student Groups'!AF9)</f>
        <v/>
      </c>
      <c r="AF129" s="16">
        <f>IF('Campus &amp; Student Groups'!AG9="","",'Campus &amp; Student Groups'!AG9)</f>
        <v/>
      </c>
      <c r="AG129" s="17">
        <f>IF('Campus &amp; Student Groups'!AH9="","",'Campus &amp; Student Groups'!AH9)</f>
        <v/>
      </c>
      <c r="AH129" s="17">
        <f>IF('Campus &amp; Student Groups'!AI9="","",'Campus &amp; Student Groups'!AI9)</f>
        <v/>
      </c>
      <c r="AI129" s="17">
        <f>IF('Campus &amp; Student Groups'!AJ9="","",'Campus &amp; Student Groups'!AJ9)</f>
        <v/>
      </c>
      <c r="AJ129" s="17">
        <f>IF('Campus &amp; Student Groups'!AK9="","",'Campus &amp; Student Groups'!AK9)</f>
        <v/>
      </c>
      <c r="AK129" s="16">
        <f>IF('Campus &amp; Student Groups'!AL9="","",'Campus &amp; Student Groups'!AL9)</f>
        <v/>
      </c>
      <c r="AL129" s="18">
        <f>IF(V129="","",V129+ROW()/100000)</f>
        <v/>
      </c>
    </row>
    <row r="130" ht="18" customHeight="1">
      <c r="A130" s="22">
        <f>IF('Campus &amp; Student Groups'!B10="","","Campus &amp; Student Groups")</f>
        <v/>
      </c>
      <c r="B130" s="22">
        <f>IF('Campus &amp; Student Groups'!B10="","",'Campus &amp; Student Groups'!B10)</f>
        <v/>
      </c>
      <c r="C130" s="23">
        <f>IF('Campus &amp; Student Groups'!D10="","",'Campus &amp; Student Groups'!D10)</f>
        <v/>
      </c>
      <c r="D130" s="22">
        <f>IF('Campus &amp; Student Groups'!E10="","",'Campus &amp; Student Groups'!E10)</f>
        <v/>
      </c>
      <c r="E130" s="23">
        <f>IF('Campus &amp; Student Groups'!F10="","",'Campus &amp; Student Groups'!F10)</f>
        <v/>
      </c>
      <c r="F130" s="23">
        <f>IF('Campus &amp; Student Groups'!G10="","",'Campus &amp; Student Groups'!G10)</f>
        <v/>
      </c>
      <c r="G130" s="23">
        <f>IF('Campus &amp; Student Groups'!H10="","",'Campus &amp; Student Groups'!H10)</f>
        <v/>
      </c>
      <c r="H130" s="22">
        <f>IF('Campus &amp; Student Groups'!I10="","",'Campus &amp; Student Groups'!I10)</f>
        <v/>
      </c>
      <c r="I130" s="23">
        <f>IF('Campus &amp; Student Groups'!J10="","",'Campus &amp; Student Groups'!J10)</f>
        <v/>
      </c>
      <c r="J130" s="22">
        <f>IF('Campus &amp; Student Groups'!K10="","",'Campus &amp; Student Groups'!K10)</f>
        <v/>
      </c>
      <c r="K130" s="23">
        <f>IF('Campus &amp; Student Groups'!L10="","",'Campus &amp; Student Groups'!L10)</f>
        <v/>
      </c>
      <c r="L130" s="22">
        <f>IF('Campus &amp; Student Groups'!M10="","",'Campus &amp; Student Groups'!M10)</f>
        <v/>
      </c>
      <c r="M130" s="23">
        <f>IF('Campus &amp; Student Groups'!N10="","",'Campus &amp; Student Groups'!N10)</f>
        <v/>
      </c>
      <c r="N130" s="22">
        <f>IF('Campus &amp; Student Groups'!O10="","",'Campus &amp; Student Groups'!O10)</f>
        <v/>
      </c>
      <c r="O130" s="23">
        <f>IF('Campus &amp; Student Groups'!P10="","",'Campus &amp; Student Groups'!P10)</f>
        <v/>
      </c>
      <c r="P130" s="23">
        <f>IF('Campus &amp; Student Groups'!Q10="","",'Campus &amp; Student Groups'!Q10)</f>
        <v/>
      </c>
      <c r="Q130" s="24">
        <f>IF('Campus &amp; Student Groups'!R10="","",'Campus &amp; Student Groups'!R10)</f>
        <v/>
      </c>
      <c r="R130" s="25">
        <f>IF('Campus &amp; Student Groups'!S10="","",'Campus &amp; Student Groups'!S10)</f>
        <v/>
      </c>
      <c r="S130" s="22">
        <f>IF('Campus &amp; Student Groups'!T10="","",'Campus &amp; Student Groups'!T10)</f>
        <v/>
      </c>
      <c r="T130" s="24">
        <f>IF('Campus &amp; Student Groups'!U10="","",'Campus &amp; Student Groups'!U10)</f>
        <v/>
      </c>
      <c r="U130" s="23">
        <f>IF('Campus &amp; Student Groups'!V10="","",'Campus &amp; Student Groups'!V10)</f>
        <v/>
      </c>
      <c r="V130" s="24">
        <f>IF('Campus &amp; Student Groups'!W10="","",'Campus &amp; Student Groups'!W10)</f>
        <v/>
      </c>
      <c r="W130" s="23">
        <f>IF('Campus &amp; Student Groups'!X10="","",'Campus &amp; Student Groups'!X10)</f>
        <v/>
      </c>
      <c r="X130" s="23">
        <f>IF('Campus &amp; Student Groups'!Y10="","",'Campus &amp; Student Groups'!Y10)</f>
        <v/>
      </c>
      <c r="Y130" s="26">
        <f>IF('Campus &amp; Student Groups'!Z10="","",'Campus &amp; Student Groups'!Z10)</f>
        <v/>
      </c>
      <c r="Z130" s="27">
        <f>IF('Campus &amp; Student Groups'!AA10="","",'Campus &amp; Student Groups'!AA10)</f>
        <v/>
      </c>
      <c r="AA130" s="26">
        <f>IF('Campus &amp; Student Groups'!AB10="","",'Campus &amp; Student Groups'!AB10)</f>
        <v/>
      </c>
      <c r="AB130" s="22">
        <f>IF('Campus &amp; Student Groups'!AC10="","",'Campus &amp; Student Groups'!AC10)</f>
        <v/>
      </c>
      <c r="AC130" s="22">
        <f>IF('Campus &amp; Student Groups'!AD10="","",'Campus &amp; Student Groups'!AD10)</f>
        <v/>
      </c>
      <c r="AD130" s="22">
        <f>IF('Campus &amp; Student Groups'!AE10="","",'Campus &amp; Student Groups'!AE10)</f>
        <v/>
      </c>
      <c r="AE130" s="22">
        <f>IF('Campus &amp; Student Groups'!AF10="","",'Campus &amp; Student Groups'!AF10)</f>
        <v/>
      </c>
      <c r="AF130" s="22">
        <f>IF('Campus &amp; Student Groups'!AG10="","",'Campus &amp; Student Groups'!AG10)</f>
        <v/>
      </c>
      <c r="AG130" s="23">
        <f>IF('Campus &amp; Student Groups'!AH10="","",'Campus &amp; Student Groups'!AH10)</f>
        <v/>
      </c>
      <c r="AH130" s="23">
        <f>IF('Campus &amp; Student Groups'!AI10="","",'Campus &amp; Student Groups'!AI10)</f>
        <v/>
      </c>
      <c r="AI130" s="23">
        <f>IF('Campus &amp; Student Groups'!AJ10="","",'Campus &amp; Student Groups'!AJ10)</f>
        <v/>
      </c>
      <c r="AJ130" s="23">
        <f>IF('Campus &amp; Student Groups'!AK10="","",'Campus &amp; Student Groups'!AK10)</f>
        <v/>
      </c>
      <c r="AK130" s="22">
        <f>IF('Campus &amp; Student Groups'!AL10="","",'Campus &amp; Student Groups'!AL10)</f>
        <v/>
      </c>
      <c r="AL130" s="18">
        <f>IF(V130="","",V130+ROW()/100000)</f>
        <v/>
      </c>
    </row>
    <row r="131" ht="18" customHeight="1">
      <c r="A131" s="16">
        <f>IF('Campus &amp; Student Groups'!B11="","","Campus &amp; Student Groups")</f>
        <v/>
      </c>
      <c r="B131" s="16">
        <f>IF('Campus &amp; Student Groups'!B11="","",'Campus &amp; Student Groups'!B11)</f>
        <v/>
      </c>
      <c r="C131" s="17">
        <f>IF('Campus &amp; Student Groups'!D11="","",'Campus &amp; Student Groups'!D11)</f>
        <v/>
      </c>
      <c r="D131" s="16">
        <f>IF('Campus &amp; Student Groups'!E11="","",'Campus &amp; Student Groups'!E11)</f>
        <v/>
      </c>
      <c r="E131" s="17">
        <f>IF('Campus &amp; Student Groups'!F11="","",'Campus &amp; Student Groups'!F11)</f>
        <v/>
      </c>
      <c r="F131" s="17">
        <f>IF('Campus &amp; Student Groups'!G11="","",'Campus &amp; Student Groups'!G11)</f>
        <v/>
      </c>
      <c r="G131" s="17">
        <f>IF('Campus &amp; Student Groups'!H11="","",'Campus &amp; Student Groups'!H11)</f>
        <v/>
      </c>
      <c r="H131" s="16">
        <f>IF('Campus &amp; Student Groups'!I11="","",'Campus &amp; Student Groups'!I11)</f>
        <v/>
      </c>
      <c r="I131" s="17">
        <f>IF('Campus &amp; Student Groups'!J11="","",'Campus &amp; Student Groups'!J11)</f>
        <v/>
      </c>
      <c r="J131" s="16">
        <f>IF('Campus &amp; Student Groups'!K11="","",'Campus &amp; Student Groups'!K11)</f>
        <v/>
      </c>
      <c r="K131" s="17">
        <f>IF('Campus &amp; Student Groups'!L11="","",'Campus &amp; Student Groups'!L11)</f>
        <v/>
      </c>
      <c r="L131" s="16">
        <f>IF('Campus &amp; Student Groups'!M11="","",'Campus &amp; Student Groups'!M11)</f>
        <v/>
      </c>
      <c r="M131" s="17">
        <f>IF('Campus &amp; Student Groups'!N11="","",'Campus &amp; Student Groups'!N11)</f>
        <v/>
      </c>
      <c r="N131" s="16">
        <f>IF('Campus &amp; Student Groups'!O11="","",'Campus &amp; Student Groups'!O11)</f>
        <v/>
      </c>
      <c r="O131" s="17">
        <f>IF('Campus &amp; Student Groups'!P11="","",'Campus &amp; Student Groups'!P11)</f>
        <v/>
      </c>
      <c r="P131" s="17">
        <f>IF('Campus &amp; Student Groups'!Q11="","",'Campus &amp; Student Groups'!Q11)</f>
        <v/>
      </c>
      <c r="Q131" s="15">
        <f>IF('Campus &amp; Student Groups'!R11="","",'Campus &amp; Student Groups'!R11)</f>
        <v/>
      </c>
      <c r="R131" s="19">
        <f>IF('Campus &amp; Student Groups'!S11="","",'Campus &amp; Student Groups'!S11)</f>
        <v/>
      </c>
      <c r="S131" s="16">
        <f>IF('Campus &amp; Student Groups'!T11="","",'Campus &amp; Student Groups'!T11)</f>
        <v/>
      </c>
      <c r="T131" s="15">
        <f>IF('Campus &amp; Student Groups'!U11="","",'Campus &amp; Student Groups'!U11)</f>
        <v/>
      </c>
      <c r="U131" s="17">
        <f>IF('Campus &amp; Student Groups'!V11="","",'Campus &amp; Student Groups'!V11)</f>
        <v/>
      </c>
      <c r="V131" s="15">
        <f>IF('Campus &amp; Student Groups'!W11="","",'Campus &amp; Student Groups'!W11)</f>
        <v/>
      </c>
      <c r="W131" s="17">
        <f>IF('Campus &amp; Student Groups'!X11="","",'Campus &amp; Student Groups'!X11)</f>
        <v/>
      </c>
      <c r="X131" s="17">
        <f>IF('Campus &amp; Student Groups'!Y11="","",'Campus &amp; Student Groups'!Y11)</f>
        <v/>
      </c>
      <c r="Y131" s="20">
        <f>IF('Campus &amp; Student Groups'!Z11="","",'Campus &amp; Student Groups'!Z11)</f>
        <v/>
      </c>
      <c r="Z131" s="21">
        <f>IF('Campus &amp; Student Groups'!AA11="","",'Campus &amp; Student Groups'!AA11)</f>
        <v/>
      </c>
      <c r="AA131" s="20">
        <f>IF('Campus &amp; Student Groups'!AB11="","",'Campus &amp; Student Groups'!AB11)</f>
        <v/>
      </c>
      <c r="AB131" s="16">
        <f>IF('Campus &amp; Student Groups'!AC11="","",'Campus &amp; Student Groups'!AC11)</f>
        <v/>
      </c>
      <c r="AC131" s="16">
        <f>IF('Campus &amp; Student Groups'!AD11="","",'Campus &amp; Student Groups'!AD11)</f>
        <v/>
      </c>
      <c r="AD131" s="16">
        <f>IF('Campus &amp; Student Groups'!AE11="","",'Campus &amp; Student Groups'!AE11)</f>
        <v/>
      </c>
      <c r="AE131" s="16">
        <f>IF('Campus &amp; Student Groups'!AF11="","",'Campus &amp; Student Groups'!AF11)</f>
        <v/>
      </c>
      <c r="AF131" s="16">
        <f>IF('Campus &amp; Student Groups'!AG11="","",'Campus &amp; Student Groups'!AG11)</f>
        <v/>
      </c>
      <c r="AG131" s="17">
        <f>IF('Campus &amp; Student Groups'!AH11="","",'Campus &amp; Student Groups'!AH11)</f>
        <v/>
      </c>
      <c r="AH131" s="17">
        <f>IF('Campus &amp; Student Groups'!AI11="","",'Campus &amp; Student Groups'!AI11)</f>
        <v/>
      </c>
      <c r="AI131" s="17">
        <f>IF('Campus &amp; Student Groups'!AJ11="","",'Campus &amp; Student Groups'!AJ11)</f>
        <v/>
      </c>
      <c r="AJ131" s="17">
        <f>IF('Campus &amp; Student Groups'!AK11="","",'Campus &amp; Student Groups'!AK11)</f>
        <v/>
      </c>
      <c r="AK131" s="16">
        <f>IF('Campus &amp; Student Groups'!AL11="","",'Campus &amp; Student Groups'!AL11)</f>
        <v/>
      </c>
      <c r="AL131" s="18">
        <f>IF(V131="","",V131+ROW()/100000)</f>
        <v/>
      </c>
    </row>
    <row r="132" ht="18" customHeight="1">
      <c r="A132" s="22">
        <f>IF('Campus &amp; Student Groups'!B12="","","Campus &amp; Student Groups")</f>
        <v/>
      </c>
      <c r="B132" s="22">
        <f>IF('Campus &amp; Student Groups'!B12="","",'Campus &amp; Student Groups'!B12)</f>
        <v/>
      </c>
      <c r="C132" s="23">
        <f>IF('Campus &amp; Student Groups'!D12="","",'Campus &amp; Student Groups'!D12)</f>
        <v/>
      </c>
      <c r="D132" s="22">
        <f>IF('Campus &amp; Student Groups'!E12="","",'Campus &amp; Student Groups'!E12)</f>
        <v/>
      </c>
      <c r="E132" s="23">
        <f>IF('Campus &amp; Student Groups'!F12="","",'Campus &amp; Student Groups'!F12)</f>
        <v/>
      </c>
      <c r="F132" s="23">
        <f>IF('Campus &amp; Student Groups'!G12="","",'Campus &amp; Student Groups'!G12)</f>
        <v/>
      </c>
      <c r="G132" s="23">
        <f>IF('Campus &amp; Student Groups'!H12="","",'Campus &amp; Student Groups'!H12)</f>
        <v/>
      </c>
      <c r="H132" s="22">
        <f>IF('Campus &amp; Student Groups'!I12="","",'Campus &amp; Student Groups'!I12)</f>
        <v/>
      </c>
      <c r="I132" s="23">
        <f>IF('Campus &amp; Student Groups'!J12="","",'Campus &amp; Student Groups'!J12)</f>
        <v/>
      </c>
      <c r="J132" s="22">
        <f>IF('Campus &amp; Student Groups'!K12="","",'Campus &amp; Student Groups'!K12)</f>
        <v/>
      </c>
      <c r="K132" s="23">
        <f>IF('Campus &amp; Student Groups'!L12="","",'Campus &amp; Student Groups'!L12)</f>
        <v/>
      </c>
      <c r="L132" s="22">
        <f>IF('Campus &amp; Student Groups'!M12="","",'Campus &amp; Student Groups'!M12)</f>
        <v/>
      </c>
      <c r="M132" s="23">
        <f>IF('Campus &amp; Student Groups'!N12="","",'Campus &amp; Student Groups'!N12)</f>
        <v/>
      </c>
      <c r="N132" s="22">
        <f>IF('Campus &amp; Student Groups'!O12="","",'Campus &amp; Student Groups'!O12)</f>
        <v/>
      </c>
      <c r="O132" s="23">
        <f>IF('Campus &amp; Student Groups'!P12="","",'Campus &amp; Student Groups'!P12)</f>
        <v/>
      </c>
      <c r="P132" s="23">
        <f>IF('Campus &amp; Student Groups'!Q12="","",'Campus &amp; Student Groups'!Q12)</f>
        <v/>
      </c>
      <c r="Q132" s="24">
        <f>IF('Campus &amp; Student Groups'!R12="","",'Campus &amp; Student Groups'!R12)</f>
        <v/>
      </c>
      <c r="R132" s="25">
        <f>IF('Campus &amp; Student Groups'!S12="","",'Campus &amp; Student Groups'!S12)</f>
        <v/>
      </c>
      <c r="S132" s="22">
        <f>IF('Campus &amp; Student Groups'!T12="","",'Campus &amp; Student Groups'!T12)</f>
        <v/>
      </c>
      <c r="T132" s="24">
        <f>IF('Campus &amp; Student Groups'!U12="","",'Campus &amp; Student Groups'!U12)</f>
        <v/>
      </c>
      <c r="U132" s="23">
        <f>IF('Campus &amp; Student Groups'!V12="","",'Campus &amp; Student Groups'!V12)</f>
        <v/>
      </c>
      <c r="V132" s="24">
        <f>IF('Campus &amp; Student Groups'!W12="","",'Campus &amp; Student Groups'!W12)</f>
        <v/>
      </c>
      <c r="W132" s="23">
        <f>IF('Campus &amp; Student Groups'!X12="","",'Campus &amp; Student Groups'!X12)</f>
        <v/>
      </c>
      <c r="X132" s="23">
        <f>IF('Campus &amp; Student Groups'!Y12="","",'Campus &amp; Student Groups'!Y12)</f>
        <v/>
      </c>
      <c r="Y132" s="26">
        <f>IF('Campus &amp; Student Groups'!Z12="","",'Campus &amp; Student Groups'!Z12)</f>
        <v/>
      </c>
      <c r="Z132" s="27">
        <f>IF('Campus &amp; Student Groups'!AA12="","",'Campus &amp; Student Groups'!AA12)</f>
        <v/>
      </c>
      <c r="AA132" s="26">
        <f>IF('Campus &amp; Student Groups'!AB12="","",'Campus &amp; Student Groups'!AB12)</f>
        <v/>
      </c>
      <c r="AB132" s="22">
        <f>IF('Campus &amp; Student Groups'!AC12="","",'Campus &amp; Student Groups'!AC12)</f>
        <v/>
      </c>
      <c r="AC132" s="22">
        <f>IF('Campus &amp; Student Groups'!AD12="","",'Campus &amp; Student Groups'!AD12)</f>
        <v/>
      </c>
      <c r="AD132" s="22">
        <f>IF('Campus &amp; Student Groups'!AE12="","",'Campus &amp; Student Groups'!AE12)</f>
        <v/>
      </c>
      <c r="AE132" s="22">
        <f>IF('Campus &amp; Student Groups'!AF12="","",'Campus &amp; Student Groups'!AF12)</f>
        <v/>
      </c>
      <c r="AF132" s="22">
        <f>IF('Campus &amp; Student Groups'!AG12="","",'Campus &amp; Student Groups'!AG12)</f>
        <v/>
      </c>
      <c r="AG132" s="23">
        <f>IF('Campus &amp; Student Groups'!AH12="","",'Campus &amp; Student Groups'!AH12)</f>
        <v/>
      </c>
      <c r="AH132" s="23">
        <f>IF('Campus &amp; Student Groups'!AI12="","",'Campus &amp; Student Groups'!AI12)</f>
        <v/>
      </c>
      <c r="AI132" s="23">
        <f>IF('Campus &amp; Student Groups'!AJ12="","",'Campus &amp; Student Groups'!AJ12)</f>
        <v/>
      </c>
      <c r="AJ132" s="23">
        <f>IF('Campus &amp; Student Groups'!AK12="","",'Campus &amp; Student Groups'!AK12)</f>
        <v/>
      </c>
      <c r="AK132" s="22">
        <f>IF('Campus &amp; Student Groups'!AL12="","",'Campus &amp; Student Groups'!AL12)</f>
        <v/>
      </c>
      <c r="AL132" s="18">
        <f>IF(V132="","",V132+ROW()/100000)</f>
        <v/>
      </c>
    </row>
    <row r="133" ht="18" customHeight="1">
      <c r="A133" s="16">
        <f>IF('Campus &amp; Student Groups'!B13="","","Campus &amp; Student Groups")</f>
        <v/>
      </c>
      <c r="B133" s="16">
        <f>IF('Campus &amp; Student Groups'!B13="","",'Campus &amp; Student Groups'!B13)</f>
        <v/>
      </c>
      <c r="C133" s="17">
        <f>IF('Campus &amp; Student Groups'!D13="","",'Campus &amp; Student Groups'!D13)</f>
        <v/>
      </c>
      <c r="D133" s="16">
        <f>IF('Campus &amp; Student Groups'!E13="","",'Campus &amp; Student Groups'!E13)</f>
        <v/>
      </c>
      <c r="E133" s="17">
        <f>IF('Campus &amp; Student Groups'!F13="","",'Campus &amp; Student Groups'!F13)</f>
        <v/>
      </c>
      <c r="F133" s="17">
        <f>IF('Campus &amp; Student Groups'!G13="","",'Campus &amp; Student Groups'!G13)</f>
        <v/>
      </c>
      <c r="G133" s="17">
        <f>IF('Campus &amp; Student Groups'!H13="","",'Campus &amp; Student Groups'!H13)</f>
        <v/>
      </c>
      <c r="H133" s="16">
        <f>IF('Campus &amp; Student Groups'!I13="","",'Campus &amp; Student Groups'!I13)</f>
        <v/>
      </c>
      <c r="I133" s="17">
        <f>IF('Campus &amp; Student Groups'!J13="","",'Campus &amp; Student Groups'!J13)</f>
        <v/>
      </c>
      <c r="J133" s="16">
        <f>IF('Campus &amp; Student Groups'!K13="","",'Campus &amp; Student Groups'!K13)</f>
        <v/>
      </c>
      <c r="K133" s="17">
        <f>IF('Campus &amp; Student Groups'!L13="","",'Campus &amp; Student Groups'!L13)</f>
        <v/>
      </c>
      <c r="L133" s="16">
        <f>IF('Campus &amp; Student Groups'!M13="","",'Campus &amp; Student Groups'!M13)</f>
        <v/>
      </c>
      <c r="M133" s="17">
        <f>IF('Campus &amp; Student Groups'!N13="","",'Campus &amp; Student Groups'!N13)</f>
        <v/>
      </c>
      <c r="N133" s="16">
        <f>IF('Campus &amp; Student Groups'!O13="","",'Campus &amp; Student Groups'!O13)</f>
        <v/>
      </c>
      <c r="O133" s="17">
        <f>IF('Campus &amp; Student Groups'!P13="","",'Campus &amp; Student Groups'!P13)</f>
        <v/>
      </c>
      <c r="P133" s="17">
        <f>IF('Campus &amp; Student Groups'!Q13="","",'Campus &amp; Student Groups'!Q13)</f>
        <v/>
      </c>
      <c r="Q133" s="15">
        <f>IF('Campus &amp; Student Groups'!R13="","",'Campus &amp; Student Groups'!R13)</f>
        <v/>
      </c>
      <c r="R133" s="19">
        <f>IF('Campus &amp; Student Groups'!S13="","",'Campus &amp; Student Groups'!S13)</f>
        <v/>
      </c>
      <c r="S133" s="16">
        <f>IF('Campus &amp; Student Groups'!T13="","",'Campus &amp; Student Groups'!T13)</f>
        <v/>
      </c>
      <c r="T133" s="15">
        <f>IF('Campus &amp; Student Groups'!U13="","",'Campus &amp; Student Groups'!U13)</f>
        <v/>
      </c>
      <c r="U133" s="17">
        <f>IF('Campus &amp; Student Groups'!V13="","",'Campus &amp; Student Groups'!V13)</f>
        <v/>
      </c>
      <c r="V133" s="15">
        <f>IF('Campus &amp; Student Groups'!W13="","",'Campus &amp; Student Groups'!W13)</f>
        <v/>
      </c>
      <c r="W133" s="17">
        <f>IF('Campus &amp; Student Groups'!X13="","",'Campus &amp; Student Groups'!X13)</f>
        <v/>
      </c>
      <c r="X133" s="17">
        <f>IF('Campus &amp; Student Groups'!Y13="","",'Campus &amp; Student Groups'!Y13)</f>
        <v/>
      </c>
      <c r="Y133" s="20">
        <f>IF('Campus &amp; Student Groups'!Z13="","",'Campus &amp; Student Groups'!Z13)</f>
        <v/>
      </c>
      <c r="Z133" s="21">
        <f>IF('Campus &amp; Student Groups'!AA13="","",'Campus &amp; Student Groups'!AA13)</f>
        <v/>
      </c>
      <c r="AA133" s="20">
        <f>IF('Campus &amp; Student Groups'!AB13="","",'Campus &amp; Student Groups'!AB13)</f>
        <v/>
      </c>
      <c r="AB133" s="16">
        <f>IF('Campus &amp; Student Groups'!AC13="","",'Campus &amp; Student Groups'!AC13)</f>
        <v/>
      </c>
      <c r="AC133" s="16">
        <f>IF('Campus &amp; Student Groups'!AD13="","",'Campus &amp; Student Groups'!AD13)</f>
        <v/>
      </c>
      <c r="AD133" s="16">
        <f>IF('Campus &amp; Student Groups'!AE13="","",'Campus &amp; Student Groups'!AE13)</f>
        <v/>
      </c>
      <c r="AE133" s="16">
        <f>IF('Campus &amp; Student Groups'!AF13="","",'Campus &amp; Student Groups'!AF13)</f>
        <v/>
      </c>
      <c r="AF133" s="16">
        <f>IF('Campus &amp; Student Groups'!AG13="","",'Campus &amp; Student Groups'!AG13)</f>
        <v/>
      </c>
      <c r="AG133" s="17">
        <f>IF('Campus &amp; Student Groups'!AH13="","",'Campus &amp; Student Groups'!AH13)</f>
        <v/>
      </c>
      <c r="AH133" s="17">
        <f>IF('Campus &amp; Student Groups'!AI13="","",'Campus &amp; Student Groups'!AI13)</f>
        <v/>
      </c>
      <c r="AI133" s="17">
        <f>IF('Campus &amp; Student Groups'!AJ13="","",'Campus &amp; Student Groups'!AJ13)</f>
        <v/>
      </c>
      <c r="AJ133" s="17">
        <f>IF('Campus &amp; Student Groups'!AK13="","",'Campus &amp; Student Groups'!AK13)</f>
        <v/>
      </c>
      <c r="AK133" s="16">
        <f>IF('Campus &amp; Student Groups'!AL13="","",'Campus &amp; Student Groups'!AL13)</f>
        <v/>
      </c>
      <c r="AL133" s="18">
        <f>IF(V133="","",V133+ROW()/100000)</f>
        <v/>
      </c>
    </row>
    <row r="134" ht="18" customHeight="1">
      <c r="A134" s="22">
        <f>IF('Campus &amp; Student Groups'!B14="","","Campus &amp; Student Groups")</f>
        <v/>
      </c>
      <c r="B134" s="22">
        <f>IF('Campus &amp; Student Groups'!B14="","",'Campus &amp; Student Groups'!B14)</f>
        <v/>
      </c>
      <c r="C134" s="23">
        <f>IF('Campus &amp; Student Groups'!D14="","",'Campus &amp; Student Groups'!D14)</f>
        <v/>
      </c>
      <c r="D134" s="22">
        <f>IF('Campus &amp; Student Groups'!E14="","",'Campus &amp; Student Groups'!E14)</f>
        <v/>
      </c>
      <c r="E134" s="23">
        <f>IF('Campus &amp; Student Groups'!F14="","",'Campus &amp; Student Groups'!F14)</f>
        <v/>
      </c>
      <c r="F134" s="23">
        <f>IF('Campus &amp; Student Groups'!G14="","",'Campus &amp; Student Groups'!G14)</f>
        <v/>
      </c>
      <c r="G134" s="23">
        <f>IF('Campus &amp; Student Groups'!H14="","",'Campus &amp; Student Groups'!H14)</f>
        <v/>
      </c>
      <c r="H134" s="22">
        <f>IF('Campus &amp; Student Groups'!I14="","",'Campus &amp; Student Groups'!I14)</f>
        <v/>
      </c>
      <c r="I134" s="23">
        <f>IF('Campus &amp; Student Groups'!J14="","",'Campus &amp; Student Groups'!J14)</f>
        <v/>
      </c>
      <c r="J134" s="22">
        <f>IF('Campus &amp; Student Groups'!K14="","",'Campus &amp; Student Groups'!K14)</f>
        <v/>
      </c>
      <c r="K134" s="23">
        <f>IF('Campus &amp; Student Groups'!L14="","",'Campus &amp; Student Groups'!L14)</f>
        <v/>
      </c>
      <c r="L134" s="22">
        <f>IF('Campus &amp; Student Groups'!M14="","",'Campus &amp; Student Groups'!M14)</f>
        <v/>
      </c>
      <c r="M134" s="23">
        <f>IF('Campus &amp; Student Groups'!N14="","",'Campus &amp; Student Groups'!N14)</f>
        <v/>
      </c>
      <c r="N134" s="22">
        <f>IF('Campus &amp; Student Groups'!O14="","",'Campus &amp; Student Groups'!O14)</f>
        <v/>
      </c>
      <c r="O134" s="23">
        <f>IF('Campus &amp; Student Groups'!P14="","",'Campus &amp; Student Groups'!P14)</f>
        <v/>
      </c>
      <c r="P134" s="23">
        <f>IF('Campus &amp; Student Groups'!Q14="","",'Campus &amp; Student Groups'!Q14)</f>
        <v/>
      </c>
      <c r="Q134" s="24">
        <f>IF('Campus &amp; Student Groups'!R14="","",'Campus &amp; Student Groups'!R14)</f>
        <v/>
      </c>
      <c r="R134" s="25">
        <f>IF('Campus &amp; Student Groups'!S14="","",'Campus &amp; Student Groups'!S14)</f>
        <v/>
      </c>
      <c r="S134" s="22">
        <f>IF('Campus &amp; Student Groups'!T14="","",'Campus &amp; Student Groups'!T14)</f>
        <v/>
      </c>
      <c r="T134" s="24">
        <f>IF('Campus &amp; Student Groups'!U14="","",'Campus &amp; Student Groups'!U14)</f>
        <v/>
      </c>
      <c r="U134" s="23">
        <f>IF('Campus &amp; Student Groups'!V14="","",'Campus &amp; Student Groups'!V14)</f>
        <v/>
      </c>
      <c r="V134" s="24">
        <f>IF('Campus &amp; Student Groups'!W14="","",'Campus &amp; Student Groups'!W14)</f>
        <v/>
      </c>
      <c r="W134" s="23">
        <f>IF('Campus &amp; Student Groups'!X14="","",'Campus &amp; Student Groups'!X14)</f>
        <v/>
      </c>
      <c r="X134" s="23">
        <f>IF('Campus &amp; Student Groups'!Y14="","",'Campus &amp; Student Groups'!Y14)</f>
        <v/>
      </c>
      <c r="Y134" s="26">
        <f>IF('Campus &amp; Student Groups'!Z14="","",'Campus &amp; Student Groups'!Z14)</f>
        <v/>
      </c>
      <c r="Z134" s="27">
        <f>IF('Campus &amp; Student Groups'!AA14="","",'Campus &amp; Student Groups'!AA14)</f>
        <v/>
      </c>
      <c r="AA134" s="26">
        <f>IF('Campus &amp; Student Groups'!AB14="","",'Campus &amp; Student Groups'!AB14)</f>
        <v/>
      </c>
      <c r="AB134" s="22">
        <f>IF('Campus &amp; Student Groups'!AC14="","",'Campus &amp; Student Groups'!AC14)</f>
        <v/>
      </c>
      <c r="AC134" s="22">
        <f>IF('Campus &amp; Student Groups'!AD14="","",'Campus &amp; Student Groups'!AD14)</f>
        <v/>
      </c>
      <c r="AD134" s="22">
        <f>IF('Campus &amp; Student Groups'!AE14="","",'Campus &amp; Student Groups'!AE14)</f>
        <v/>
      </c>
      <c r="AE134" s="22">
        <f>IF('Campus &amp; Student Groups'!AF14="","",'Campus &amp; Student Groups'!AF14)</f>
        <v/>
      </c>
      <c r="AF134" s="22">
        <f>IF('Campus &amp; Student Groups'!AG14="","",'Campus &amp; Student Groups'!AG14)</f>
        <v/>
      </c>
      <c r="AG134" s="23">
        <f>IF('Campus &amp; Student Groups'!AH14="","",'Campus &amp; Student Groups'!AH14)</f>
        <v/>
      </c>
      <c r="AH134" s="23">
        <f>IF('Campus &amp; Student Groups'!AI14="","",'Campus &amp; Student Groups'!AI14)</f>
        <v/>
      </c>
      <c r="AI134" s="23">
        <f>IF('Campus &amp; Student Groups'!AJ14="","",'Campus &amp; Student Groups'!AJ14)</f>
        <v/>
      </c>
      <c r="AJ134" s="23">
        <f>IF('Campus &amp; Student Groups'!AK14="","",'Campus &amp; Student Groups'!AK14)</f>
        <v/>
      </c>
      <c r="AK134" s="22">
        <f>IF('Campus &amp; Student Groups'!AL14="","",'Campus &amp; Student Groups'!AL14)</f>
        <v/>
      </c>
      <c r="AL134" s="18">
        <f>IF(V134="","",V134+ROW()/100000)</f>
        <v/>
      </c>
    </row>
    <row r="135" ht="18" customHeight="1">
      <c r="A135" s="16">
        <f>IF('Campus &amp; Student Groups'!B15="","","Campus &amp; Student Groups")</f>
        <v/>
      </c>
      <c r="B135" s="16">
        <f>IF('Campus &amp; Student Groups'!B15="","",'Campus &amp; Student Groups'!B15)</f>
        <v/>
      </c>
      <c r="C135" s="17">
        <f>IF('Campus &amp; Student Groups'!D15="","",'Campus &amp; Student Groups'!D15)</f>
        <v/>
      </c>
      <c r="D135" s="16">
        <f>IF('Campus &amp; Student Groups'!E15="","",'Campus &amp; Student Groups'!E15)</f>
        <v/>
      </c>
      <c r="E135" s="17">
        <f>IF('Campus &amp; Student Groups'!F15="","",'Campus &amp; Student Groups'!F15)</f>
        <v/>
      </c>
      <c r="F135" s="17">
        <f>IF('Campus &amp; Student Groups'!G15="","",'Campus &amp; Student Groups'!G15)</f>
        <v/>
      </c>
      <c r="G135" s="17">
        <f>IF('Campus &amp; Student Groups'!H15="","",'Campus &amp; Student Groups'!H15)</f>
        <v/>
      </c>
      <c r="H135" s="16">
        <f>IF('Campus &amp; Student Groups'!I15="","",'Campus &amp; Student Groups'!I15)</f>
        <v/>
      </c>
      <c r="I135" s="17">
        <f>IF('Campus &amp; Student Groups'!J15="","",'Campus &amp; Student Groups'!J15)</f>
        <v/>
      </c>
      <c r="J135" s="16">
        <f>IF('Campus &amp; Student Groups'!K15="","",'Campus &amp; Student Groups'!K15)</f>
        <v/>
      </c>
      <c r="K135" s="17">
        <f>IF('Campus &amp; Student Groups'!L15="","",'Campus &amp; Student Groups'!L15)</f>
        <v/>
      </c>
      <c r="L135" s="16">
        <f>IF('Campus &amp; Student Groups'!M15="","",'Campus &amp; Student Groups'!M15)</f>
        <v/>
      </c>
      <c r="M135" s="17">
        <f>IF('Campus &amp; Student Groups'!N15="","",'Campus &amp; Student Groups'!N15)</f>
        <v/>
      </c>
      <c r="N135" s="16">
        <f>IF('Campus &amp; Student Groups'!O15="","",'Campus &amp; Student Groups'!O15)</f>
        <v/>
      </c>
      <c r="O135" s="17">
        <f>IF('Campus &amp; Student Groups'!P15="","",'Campus &amp; Student Groups'!P15)</f>
        <v/>
      </c>
      <c r="P135" s="17">
        <f>IF('Campus &amp; Student Groups'!Q15="","",'Campus &amp; Student Groups'!Q15)</f>
        <v/>
      </c>
      <c r="Q135" s="15">
        <f>IF('Campus &amp; Student Groups'!R15="","",'Campus &amp; Student Groups'!R15)</f>
        <v/>
      </c>
      <c r="R135" s="19">
        <f>IF('Campus &amp; Student Groups'!S15="","",'Campus &amp; Student Groups'!S15)</f>
        <v/>
      </c>
      <c r="S135" s="16">
        <f>IF('Campus &amp; Student Groups'!T15="","",'Campus &amp; Student Groups'!T15)</f>
        <v/>
      </c>
      <c r="T135" s="15">
        <f>IF('Campus &amp; Student Groups'!U15="","",'Campus &amp; Student Groups'!U15)</f>
        <v/>
      </c>
      <c r="U135" s="17">
        <f>IF('Campus &amp; Student Groups'!V15="","",'Campus &amp; Student Groups'!V15)</f>
        <v/>
      </c>
      <c r="V135" s="15">
        <f>IF('Campus &amp; Student Groups'!W15="","",'Campus &amp; Student Groups'!W15)</f>
        <v/>
      </c>
      <c r="W135" s="17">
        <f>IF('Campus &amp; Student Groups'!X15="","",'Campus &amp; Student Groups'!X15)</f>
        <v/>
      </c>
      <c r="X135" s="17">
        <f>IF('Campus &amp; Student Groups'!Y15="","",'Campus &amp; Student Groups'!Y15)</f>
        <v/>
      </c>
      <c r="Y135" s="20">
        <f>IF('Campus &amp; Student Groups'!Z15="","",'Campus &amp; Student Groups'!Z15)</f>
        <v/>
      </c>
      <c r="Z135" s="21">
        <f>IF('Campus &amp; Student Groups'!AA15="","",'Campus &amp; Student Groups'!AA15)</f>
        <v/>
      </c>
      <c r="AA135" s="20">
        <f>IF('Campus &amp; Student Groups'!AB15="","",'Campus &amp; Student Groups'!AB15)</f>
        <v/>
      </c>
      <c r="AB135" s="16">
        <f>IF('Campus &amp; Student Groups'!AC15="","",'Campus &amp; Student Groups'!AC15)</f>
        <v/>
      </c>
      <c r="AC135" s="16">
        <f>IF('Campus &amp; Student Groups'!AD15="","",'Campus &amp; Student Groups'!AD15)</f>
        <v/>
      </c>
      <c r="AD135" s="16">
        <f>IF('Campus &amp; Student Groups'!AE15="","",'Campus &amp; Student Groups'!AE15)</f>
        <v/>
      </c>
      <c r="AE135" s="16">
        <f>IF('Campus &amp; Student Groups'!AF15="","",'Campus &amp; Student Groups'!AF15)</f>
        <v/>
      </c>
      <c r="AF135" s="16">
        <f>IF('Campus &amp; Student Groups'!AG15="","",'Campus &amp; Student Groups'!AG15)</f>
        <v/>
      </c>
      <c r="AG135" s="17">
        <f>IF('Campus &amp; Student Groups'!AH15="","",'Campus &amp; Student Groups'!AH15)</f>
        <v/>
      </c>
      <c r="AH135" s="17">
        <f>IF('Campus &amp; Student Groups'!AI15="","",'Campus &amp; Student Groups'!AI15)</f>
        <v/>
      </c>
      <c r="AI135" s="17">
        <f>IF('Campus &amp; Student Groups'!AJ15="","",'Campus &amp; Student Groups'!AJ15)</f>
        <v/>
      </c>
      <c r="AJ135" s="17">
        <f>IF('Campus &amp; Student Groups'!AK15="","",'Campus &amp; Student Groups'!AK15)</f>
        <v/>
      </c>
      <c r="AK135" s="16">
        <f>IF('Campus &amp; Student Groups'!AL15="","",'Campus &amp; Student Groups'!AL15)</f>
        <v/>
      </c>
      <c r="AL135" s="18">
        <f>IF(V135="","",V135+ROW()/100000)</f>
        <v/>
      </c>
    </row>
    <row r="136" ht="18" customHeight="1">
      <c r="A136" s="22">
        <f>IF('Campus &amp; Student Groups'!B16="","","Campus &amp; Student Groups")</f>
        <v/>
      </c>
      <c r="B136" s="22">
        <f>IF('Campus &amp; Student Groups'!B16="","",'Campus &amp; Student Groups'!B16)</f>
        <v/>
      </c>
      <c r="C136" s="23">
        <f>IF('Campus &amp; Student Groups'!D16="","",'Campus &amp; Student Groups'!D16)</f>
        <v/>
      </c>
      <c r="D136" s="22">
        <f>IF('Campus &amp; Student Groups'!E16="","",'Campus &amp; Student Groups'!E16)</f>
        <v/>
      </c>
      <c r="E136" s="23">
        <f>IF('Campus &amp; Student Groups'!F16="","",'Campus &amp; Student Groups'!F16)</f>
        <v/>
      </c>
      <c r="F136" s="23">
        <f>IF('Campus &amp; Student Groups'!G16="","",'Campus &amp; Student Groups'!G16)</f>
        <v/>
      </c>
      <c r="G136" s="23">
        <f>IF('Campus &amp; Student Groups'!H16="","",'Campus &amp; Student Groups'!H16)</f>
        <v/>
      </c>
      <c r="H136" s="22">
        <f>IF('Campus &amp; Student Groups'!I16="","",'Campus &amp; Student Groups'!I16)</f>
        <v/>
      </c>
      <c r="I136" s="23">
        <f>IF('Campus &amp; Student Groups'!J16="","",'Campus &amp; Student Groups'!J16)</f>
        <v/>
      </c>
      <c r="J136" s="22">
        <f>IF('Campus &amp; Student Groups'!K16="","",'Campus &amp; Student Groups'!K16)</f>
        <v/>
      </c>
      <c r="K136" s="23">
        <f>IF('Campus &amp; Student Groups'!L16="","",'Campus &amp; Student Groups'!L16)</f>
        <v/>
      </c>
      <c r="L136" s="22">
        <f>IF('Campus &amp; Student Groups'!M16="","",'Campus &amp; Student Groups'!M16)</f>
        <v/>
      </c>
      <c r="M136" s="23">
        <f>IF('Campus &amp; Student Groups'!N16="","",'Campus &amp; Student Groups'!N16)</f>
        <v/>
      </c>
      <c r="N136" s="22">
        <f>IF('Campus &amp; Student Groups'!O16="","",'Campus &amp; Student Groups'!O16)</f>
        <v/>
      </c>
      <c r="O136" s="23">
        <f>IF('Campus &amp; Student Groups'!P16="","",'Campus &amp; Student Groups'!P16)</f>
        <v/>
      </c>
      <c r="P136" s="23">
        <f>IF('Campus &amp; Student Groups'!Q16="","",'Campus &amp; Student Groups'!Q16)</f>
        <v/>
      </c>
      <c r="Q136" s="24">
        <f>IF('Campus &amp; Student Groups'!R16="","",'Campus &amp; Student Groups'!R16)</f>
        <v/>
      </c>
      <c r="R136" s="25">
        <f>IF('Campus &amp; Student Groups'!S16="","",'Campus &amp; Student Groups'!S16)</f>
        <v/>
      </c>
      <c r="S136" s="22">
        <f>IF('Campus &amp; Student Groups'!T16="","",'Campus &amp; Student Groups'!T16)</f>
        <v/>
      </c>
      <c r="T136" s="24">
        <f>IF('Campus &amp; Student Groups'!U16="","",'Campus &amp; Student Groups'!U16)</f>
        <v/>
      </c>
      <c r="U136" s="23">
        <f>IF('Campus &amp; Student Groups'!V16="","",'Campus &amp; Student Groups'!V16)</f>
        <v/>
      </c>
      <c r="V136" s="24">
        <f>IF('Campus &amp; Student Groups'!W16="","",'Campus &amp; Student Groups'!W16)</f>
        <v/>
      </c>
      <c r="W136" s="23">
        <f>IF('Campus &amp; Student Groups'!X16="","",'Campus &amp; Student Groups'!X16)</f>
        <v/>
      </c>
      <c r="X136" s="23">
        <f>IF('Campus &amp; Student Groups'!Y16="","",'Campus &amp; Student Groups'!Y16)</f>
        <v/>
      </c>
      <c r="Y136" s="26">
        <f>IF('Campus &amp; Student Groups'!Z16="","",'Campus &amp; Student Groups'!Z16)</f>
        <v/>
      </c>
      <c r="Z136" s="27">
        <f>IF('Campus &amp; Student Groups'!AA16="","",'Campus &amp; Student Groups'!AA16)</f>
        <v/>
      </c>
      <c r="AA136" s="26">
        <f>IF('Campus &amp; Student Groups'!AB16="","",'Campus &amp; Student Groups'!AB16)</f>
        <v/>
      </c>
      <c r="AB136" s="22">
        <f>IF('Campus &amp; Student Groups'!AC16="","",'Campus &amp; Student Groups'!AC16)</f>
        <v/>
      </c>
      <c r="AC136" s="22">
        <f>IF('Campus &amp; Student Groups'!AD16="","",'Campus &amp; Student Groups'!AD16)</f>
        <v/>
      </c>
      <c r="AD136" s="22">
        <f>IF('Campus &amp; Student Groups'!AE16="","",'Campus &amp; Student Groups'!AE16)</f>
        <v/>
      </c>
      <c r="AE136" s="22">
        <f>IF('Campus &amp; Student Groups'!AF16="","",'Campus &amp; Student Groups'!AF16)</f>
        <v/>
      </c>
      <c r="AF136" s="22">
        <f>IF('Campus &amp; Student Groups'!AG16="","",'Campus &amp; Student Groups'!AG16)</f>
        <v/>
      </c>
      <c r="AG136" s="23">
        <f>IF('Campus &amp; Student Groups'!AH16="","",'Campus &amp; Student Groups'!AH16)</f>
        <v/>
      </c>
      <c r="AH136" s="23">
        <f>IF('Campus &amp; Student Groups'!AI16="","",'Campus &amp; Student Groups'!AI16)</f>
        <v/>
      </c>
      <c r="AI136" s="23">
        <f>IF('Campus &amp; Student Groups'!AJ16="","",'Campus &amp; Student Groups'!AJ16)</f>
        <v/>
      </c>
      <c r="AJ136" s="23">
        <f>IF('Campus &amp; Student Groups'!AK16="","",'Campus &amp; Student Groups'!AK16)</f>
        <v/>
      </c>
      <c r="AK136" s="22">
        <f>IF('Campus &amp; Student Groups'!AL16="","",'Campus &amp; Student Groups'!AL16)</f>
        <v/>
      </c>
      <c r="AL136" s="18">
        <f>IF(V136="","",V136+ROW()/100000)</f>
        <v/>
      </c>
    </row>
    <row r="137" ht="18" customHeight="1">
      <c r="A137" s="16">
        <f>IF('Campus &amp; Student Groups'!B17="","","Campus &amp; Student Groups")</f>
        <v/>
      </c>
      <c r="B137" s="16">
        <f>IF('Campus &amp; Student Groups'!B17="","",'Campus &amp; Student Groups'!B17)</f>
        <v/>
      </c>
      <c r="C137" s="17">
        <f>IF('Campus &amp; Student Groups'!D17="","",'Campus &amp; Student Groups'!D17)</f>
        <v/>
      </c>
      <c r="D137" s="16">
        <f>IF('Campus &amp; Student Groups'!E17="","",'Campus &amp; Student Groups'!E17)</f>
        <v/>
      </c>
      <c r="E137" s="17">
        <f>IF('Campus &amp; Student Groups'!F17="","",'Campus &amp; Student Groups'!F17)</f>
        <v/>
      </c>
      <c r="F137" s="17">
        <f>IF('Campus &amp; Student Groups'!G17="","",'Campus &amp; Student Groups'!G17)</f>
        <v/>
      </c>
      <c r="G137" s="17">
        <f>IF('Campus &amp; Student Groups'!H17="","",'Campus &amp; Student Groups'!H17)</f>
        <v/>
      </c>
      <c r="H137" s="16">
        <f>IF('Campus &amp; Student Groups'!I17="","",'Campus &amp; Student Groups'!I17)</f>
        <v/>
      </c>
      <c r="I137" s="17">
        <f>IF('Campus &amp; Student Groups'!J17="","",'Campus &amp; Student Groups'!J17)</f>
        <v/>
      </c>
      <c r="J137" s="16">
        <f>IF('Campus &amp; Student Groups'!K17="","",'Campus &amp; Student Groups'!K17)</f>
        <v/>
      </c>
      <c r="K137" s="17">
        <f>IF('Campus &amp; Student Groups'!L17="","",'Campus &amp; Student Groups'!L17)</f>
        <v/>
      </c>
      <c r="L137" s="16">
        <f>IF('Campus &amp; Student Groups'!M17="","",'Campus &amp; Student Groups'!M17)</f>
        <v/>
      </c>
      <c r="M137" s="17">
        <f>IF('Campus &amp; Student Groups'!N17="","",'Campus &amp; Student Groups'!N17)</f>
        <v/>
      </c>
      <c r="N137" s="16">
        <f>IF('Campus &amp; Student Groups'!O17="","",'Campus &amp; Student Groups'!O17)</f>
        <v/>
      </c>
      <c r="O137" s="17">
        <f>IF('Campus &amp; Student Groups'!P17="","",'Campus &amp; Student Groups'!P17)</f>
        <v/>
      </c>
      <c r="P137" s="17">
        <f>IF('Campus &amp; Student Groups'!Q17="","",'Campus &amp; Student Groups'!Q17)</f>
        <v/>
      </c>
      <c r="Q137" s="15">
        <f>IF('Campus &amp; Student Groups'!R17="","",'Campus &amp; Student Groups'!R17)</f>
        <v/>
      </c>
      <c r="R137" s="19">
        <f>IF('Campus &amp; Student Groups'!S17="","",'Campus &amp; Student Groups'!S17)</f>
        <v/>
      </c>
      <c r="S137" s="16">
        <f>IF('Campus &amp; Student Groups'!T17="","",'Campus &amp; Student Groups'!T17)</f>
        <v/>
      </c>
      <c r="T137" s="15">
        <f>IF('Campus &amp; Student Groups'!U17="","",'Campus &amp; Student Groups'!U17)</f>
        <v/>
      </c>
      <c r="U137" s="17">
        <f>IF('Campus &amp; Student Groups'!V17="","",'Campus &amp; Student Groups'!V17)</f>
        <v/>
      </c>
      <c r="V137" s="15">
        <f>IF('Campus &amp; Student Groups'!W17="","",'Campus &amp; Student Groups'!W17)</f>
        <v/>
      </c>
      <c r="W137" s="17">
        <f>IF('Campus &amp; Student Groups'!X17="","",'Campus &amp; Student Groups'!X17)</f>
        <v/>
      </c>
      <c r="X137" s="17">
        <f>IF('Campus &amp; Student Groups'!Y17="","",'Campus &amp; Student Groups'!Y17)</f>
        <v/>
      </c>
      <c r="Y137" s="20">
        <f>IF('Campus &amp; Student Groups'!Z17="","",'Campus &amp; Student Groups'!Z17)</f>
        <v/>
      </c>
      <c r="Z137" s="21">
        <f>IF('Campus &amp; Student Groups'!AA17="","",'Campus &amp; Student Groups'!AA17)</f>
        <v/>
      </c>
      <c r="AA137" s="20">
        <f>IF('Campus &amp; Student Groups'!AB17="","",'Campus &amp; Student Groups'!AB17)</f>
        <v/>
      </c>
      <c r="AB137" s="16">
        <f>IF('Campus &amp; Student Groups'!AC17="","",'Campus &amp; Student Groups'!AC17)</f>
        <v/>
      </c>
      <c r="AC137" s="16">
        <f>IF('Campus &amp; Student Groups'!AD17="","",'Campus &amp; Student Groups'!AD17)</f>
        <v/>
      </c>
      <c r="AD137" s="16">
        <f>IF('Campus &amp; Student Groups'!AE17="","",'Campus &amp; Student Groups'!AE17)</f>
        <v/>
      </c>
      <c r="AE137" s="16">
        <f>IF('Campus &amp; Student Groups'!AF17="","",'Campus &amp; Student Groups'!AF17)</f>
        <v/>
      </c>
      <c r="AF137" s="16">
        <f>IF('Campus &amp; Student Groups'!AG17="","",'Campus &amp; Student Groups'!AG17)</f>
        <v/>
      </c>
      <c r="AG137" s="17">
        <f>IF('Campus &amp; Student Groups'!AH17="","",'Campus &amp; Student Groups'!AH17)</f>
        <v/>
      </c>
      <c r="AH137" s="17">
        <f>IF('Campus &amp; Student Groups'!AI17="","",'Campus &amp; Student Groups'!AI17)</f>
        <v/>
      </c>
      <c r="AI137" s="17">
        <f>IF('Campus &amp; Student Groups'!AJ17="","",'Campus &amp; Student Groups'!AJ17)</f>
        <v/>
      </c>
      <c r="AJ137" s="17">
        <f>IF('Campus &amp; Student Groups'!AK17="","",'Campus &amp; Student Groups'!AK17)</f>
        <v/>
      </c>
      <c r="AK137" s="16">
        <f>IF('Campus &amp; Student Groups'!AL17="","",'Campus &amp; Student Groups'!AL17)</f>
        <v/>
      </c>
      <c r="AL137" s="18">
        <f>IF(V137="","",V137+ROW()/100000)</f>
        <v/>
      </c>
    </row>
    <row r="138" ht="18" customHeight="1">
      <c r="A138" s="22">
        <f>IF('Campus &amp; Student Groups'!B18="","","Campus &amp; Student Groups")</f>
        <v/>
      </c>
      <c r="B138" s="22">
        <f>IF('Campus &amp; Student Groups'!B18="","",'Campus &amp; Student Groups'!B18)</f>
        <v/>
      </c>
      <c r="C138" s="23">
        <f>IF('Campus &amp; Student Groups'!D18="","",'Campus &amp; Student Groups'!D18)</f>
        <v/>
      </c>
      <c r="D138" s="22">
        <f>IF('Campus &amp; Student Groups'!E18="","",'Campus &amp; Student Groups'!E18)</f>
        <v/>
      </c>
      <c r="E138" s="23">
        <f>IF('Campus &amp; Student Groups'!F18="","",'Campus &amp; Student Groups'!F18)</f>
        <v/>
      </c>
      <c r="F138" s="23">
        <f>IF('Campus &amp; Student Groups'!G18="","",'Campus &amp; Student Groups'!G18)</f>
        <v/>
      </c>
      <c r="G138" s="23">
        <f>IF('Campus &amp; Student Groups'!H18="","",'Campus &amp; Student Groups'!H18)</f>
        <v/>
      </c>
      <c r="H138" s="22">
        <f>IF('Campus &amp; Student Groups'!I18="","",'Campus &amp; Student Groups'!I18)</f>
        <v/>
      </c>
      <c r="I138" s="23">
        <f>IF('Campus &amp; Student Groups'!J18="","",'Campus &amp; Student Groups'!J18)</f>
        <v/>
      </c>
      <c r="J138" s="22">
        <f>IF('Campus &amp; Student Groups'!K18="","",'Campus &amp; Student Groups'!K18)</f>
        <v/>
      </c>
      <c r="K138" s="23">
        <f>IF('Campus &amp; Student Groups'!L18="","",'Campus &amp; Student Groups'!L18)</f>
        <v/>
      </c>
      <c r="L138" s="22">
        <f>IF('Campus &amp; Student Groups'!M18="","",'Campus &amp; Student Groups'!M18)</f>
        <v/>
      </c>
      <c r="M138" s="23">
        <f>IF('Campus &amp; Student Groups'!N18="","",'Campus &amp; Student Groups'!N18)</f>
        <v/>
      </c>
      <c r="N138" s="22">
        <f>IF('Campus &amp; Student Groups'!O18="","",'Campus &amp; Student Groups'!O18)</f>
        <v/>
      </c>
      <c r="O138" s="23">
        <f>IF('Campus &amp; Student Groups'!P18="","",'Campus &amp; Student Groups'!P18)</f>
        <v/>
      </c>
      <c r="P138" s="23">
        <f>IF('Campus &amp; Student Groups'!Q18="","",'Campus &amp; Student Groups'!Q18)</f>
        <v/>
      </c>
      <c r="Q138" s="24">
        <f>IF('Campus &amp; Student Groups'!R18="","",'Campus &amp; Student Groups'!R18)</f>
        <v/>
      </c>
      <c r="R138" s="25">
        <f>IF('Campus &amp; Student Groups'!S18="","",'Campus &amp; Student Groups'!S18)</f>
        <v/>
      </c>
      <c r="S138" s="22">
        <f>IF('Campus &amp; Student Groups'!T18="","",'Campus &amp; Student Groups'!T18)</f>
        <v/>
      </c>
      <c r="T138" s="24">
        <f>IF('Campus &amp; Student Groups'!U18="","",'Campus &amp; Student Groups'!U18)</f>
        <v/>
      </c>
      <c r="U138" s="23">
        <f>IF('Campus &amp; Student Groups'!V18="","",'Campus &amp; Student Groups'!V18)</f>
        <v/>
      </c>
      <c r="V138" s="24">
        <f>IF('Campus &amp; Student Groups'!W18="","",'Campus &amp; Student Groups'!W18)</f>
        <v/>
      </c>
      <c r="W138" s="23">
        <f>IF('Campus &amp; Student Groups'!X18="","",'Campus &amp; Student Groups'!X18)</f>
        <v/>
      </c>
      <c r="X138" s="23">
        <f>IF('Campus &amp; Student Groups'!Y18="","",'Campus &amp; Student Groups'!Y18)</f>
        <v/>
      </c>
      <c r="Y138" s="26">
        <f>IF('Campus &amp; Student Groups'!Z18="","",'Campus &amp; Student Groups'!Z18)</f>
        <v/>
      </c>
      <c r="Z138" s="27">
        <f>IF('Campus &amp; Student Groups'!AA18="","",'Campus &amp; Student Groups'!AA18)</f>
        <v/>
      </c>
      <c r="AA138" s="26">
        <f>IF('Campus &amp; Student Groups'!AB18="","",'Campus &amp; Student Groups'!AB18)</f>
        <v/>
      </c>
      <c r="AB138" s="22">
        <f>IF('Campus &amp; Student Groups'!AC18="","",'Campus &amp; Student Groups'!AC18)</f>
        <v/>
      </c>
      <c r="AC138" s="22">
        <f>IF('Campus &amp; Student Groups'!AD18="","",'Campus &amp; Student Groups'!AD18)</f>
        <v/>
      </c>
      <c r="AD138" s="22">
        <f>IF('Campus &amp; Student Groups'!AE18="","",'Campus &amp; Student Groups'!AE18)</f>
        <v/>
      </c>
      <c r="AE138" s="22">
        <f>IF('Campus &amp; Student Groups'!AF18="","",'Campus &amp; Student Groups'!AF18)</f>
        <v/>
      </c>
      <c r="AF138" s="22">
        <f>IF('Campus &amp; Student Groups'!AG18="","",'Campus &amp; Student Groups'!AG18)</f>
        <v/>
      </c>
      <c r="AG138" s="23">
        <f>IF('Campus &amp; Student Groups'!AH18="","",'Campus &amp; Student Groups'!AH18)</f>
        <v/>
      </c>
      <c r="AH138" s="23">
        <f>IF('Campus &amp; Student Groups'!AI18="","",'Campus &amp; Student Groups'!AI18)</f>
        <v/>
      </c>
      <c r="AI138" s="23">
        <f>IF('Campus &amp; Student Groups'!AJ18="","",'Campus &amp; Student Groups'!AJ18)</f>
        <v/>
      </c>
      <c r="AJ138" s="23">
        <f>IF('Campus &amp; Student Groups'!AK18="","",'Campus &amp; Student Groups'!AK18)</f>
        <v/>
      </c>
      <c r="AK138" s="22">
        <f>IF('Campus &amp; Student Groups'!AL18="","",'Campus &amp; Student Groups'!AL18)</f>
        <v/>
      </c>
      <c r="AL138" s="18">
        <f>IF(V138="","",V138+ROW()/100000)</f>
        <v/>
      </c>
    </row>
    <row r="139" ht="18" customHeight="1">
      <c r="A139" s="16">
        <f>IF('Campus &amp; Student Groups'!B19="","","Campus &amp; Student Groups")</f>
        <v/>
      </c>
      <c r="B139" s="16">
        <f>IF('Campus &amp; Student Groups'!B19="","",'Campus &amp; Student Groups'!B19)</f>
        <v/>
      </c>
      <c r="C139" s="17">
        <f>IF('Campus &amp; Student Groups'!D19="","",'Campus &amp; Student Groups'!D19)</f>
        <v/>
      </c>
      <c r="D139" s="16">
        <f>IF('Campus &amp; Student Groups'!E19="","",'Campus &amp; Student Groups'!E19)</f>
        <v/>
      </c>
      <c r="E139" s="17">
        <f>IF('Campus &amp; Student Groups'!F19="","",'Campus &amp; Student Groups'!F19)</f>
        <v/>
      </c>
      <c r="F139" s="17">
        <f>IF('Campus &amp; Student Groups'!G19="","",'Campus &amp; Student Groups'!G19)</f>
        <v/>
      </c>
      <c r="G139" s="17">
        <f>IF('Campus &amp; Student Groups'!H19="","",'Campus &amp; Student Groups'!H19)</f>
        <v/>
      </c>
      <c r="H139" s="16">
        <f>IF('Campus &amp; Student Groups'!I19="","",'Campus &amp; Student Groups'!I19)</f>
        <v/>
      </c>
      <c r="I139" s="17">
        <f>IF('Campus &amp; Student Groups'!J19="","",'Campus &amp; Student Groups'!J19)</f>
        <v/>
      </c>
      <c r="J139" s="16">
        <f>IF('Campus &amp; Student Groups'!K19="","",'Campus &amp; Student Groups'!K19)</f>
        <v/>
      </c>
      <c r="K139" s="17">
        <f>IF('Campus &amp; Student Groups'!L19="","",'Campus &amp; Student Groups'!L19)</f>
        <v/>
      </c>
      <c r="L139" s="16">
        <f>IF('Campus &amp; Student Groups'!M19="","",'Campus &amp; Student Groups'!M19)</f>
        <v/>
      </c>
      <c r="M139" s="17">
        <f>IF('Campus &amp; Student Groups'!N19="","",'Campus &amp; Student Groups'!N19)</f>
        <v/>
      </c>
      <c r="N139" s="16">
        <f>IF('Campus &amp; Student Groups'!O19="","",'Campus &amp; Student Groups'!O19)</f>
        <v/>
      </c>
      <c r="O139" s="17">
        <f>IF('Campus &amp; Student Groups'!P19="","",'Campus &amp; Student Groups'!P19)</f>
        <v/>
      </c>
      <c r="P139" s="17">
        <f>IF('Campus &amp; Student Groups'!Q19="","",'Campus &amp; Student Groups'!Q19)</f>
        <v/>
      </c>
      <c r="Q139" s="15">
        <f>IF('Campus &amp; Student Groups'!R19="","",'Campus &amp; Student Groups'!R19)</f>
        <v/>
      </c>
      <c r="R139" s="19">
        <f>IF('Campus &amp; Student Groups'!S19="","",'Campus &amp; Student Groups'!S19)</f>
        <v/>
      </c>
      <c r="S139" s="16">
        <f>IF('Campus &amp; Student Groups'!T19="","",'Campus &amp; Student Groups'!T19)</f>
        <v/>
      </c>
      <c r="T139" s="15">
        <f>IF('Campus &amp; Student Groups'!U19="","",'Campus &amp; Student Groups'!U19)</f>
        <v/>
      </c>
      <c r="U139" s="17">
        <f>IF('Campus &amp; Student Groups'!V19="","",'Campus &amp; Student Groups'!V19)</f>
        <v/>
      </c>
      <c r="V139" s="15">
        <f>IF('Campus &amp; Student Groups'!W19="","",'Campus &amp; Student Groups'!W19)</f>
        <v/>
      </c>
      <c r="W139" s="17">
        <f>IF('Campus &amp; Student Groups'!X19="","",'Campus &amp; Student Groups'!X19)</f>
        <v/>
      </c>
      <c r="X139" s="17">
        <f>IF('Campus &amp; Student Groups'!Y19="","",'Campus &amp; Student Groups'!Y19)</f>
        <v/>
      </c>
      <c r="Y139" s="20">
        <f>IF('Campus &amp; Student Groups'!Z19="","",'Campus &amp; Student Groups'!Z19)</f>
        <v/>
      </c>
      <c r="Z139" s="21">
        <f>IF('Campus &amp; Student Groups'!AA19="","",'Campus &amp; Student Groups'!AA19)</f>
        <v/>
      </c>
      <c r="AA139" s="20">
        <f>IF('Campus &amp; Student Groups'!AB19="","",'Campus &amp; Student Groups'!AB19)</f>
        <v/>
      </c>
      <c r="AB139" s="16">
        <f>IF('Campus &amp; Student Groups'!AC19="","",'Campus &amp; Student Groups'!AC19)</f>
        <v/>
      </c>
      <c r="AC139" s="16">
        <f>IF('Campus &amp; Student Groups'!AD19="","",'Campus &amp; Student Groups'!AD19)</f>
        <v/>
      </c>
      <c r="AD139" s="16">
        <f>IF('Campus &amp; Student Groups'!AE19="","",'Campus &amp; Student Groups'!AE19)</f>
        <v/>
      </c>
      <c r="AE139" s="16">
        <f>IF('Campus &amp; Student Groups'!AF19="","",'Campus &amp; Student Groups'!AF19)</f>
        <v/>
      </c>
      <c r="AF139" s="16">
        <f>IF('Campus &amp; Student Groups'!AG19="","",'Campus &amp; Student Groups'!AG19)</f>
        <v/>
      </c>
      <c r="AG139" s="17">
        <f>IF('Campus &amp; Student Groups'!AH19="","",'Campus &amp; Student Groups'!AH19)</f>
        <v/>
      </c>
      <c r="AH139" s="17">
        <f>IF('Campus &amp; Student Groups'!AI19="","",'Campus &amp; Student Groups'!AI19)</f>
        <v/>
      </c>
      <c r="AI139" s="17">
        <f>IF('Campus &amp; Student Groups'!AJ19="","",'Campus &amp; Student Groups'!AJ19)</f>
        <v/>
      </c>
      <c r="AJ139" s="17">
        <f>IF('Campus &amp; Student Groups'!AK19="","",'Campus &amp; Student Groups'!AK19)</f>
        <v/>
      </c>
      <c r="AK139" s="16">
        <f>IF('Campus &amp; Student Groups'!AL19="","",'Campus &amp; Student Groups'!AL19)</f>
        <v/>
      </c>
      <c r="AL139" s="18">
        <f>IF(V139="","",V139+ROW()/100000)</f>
        <v/>
      </c>
    </row>
    <row r="140" ht="18" customHeight="1">
      <c r="A140" s="22">
        <f>IF('Campus &amp; Student Groups'!B20="","","Campus &amp; Student Groups")</f>
        <v/>
      </c>
      <c r="B140" s="22">
        <f>IF('Campus &amp; Student Groups'!B20="","",'Campus &amp; Student Groups'!B20)</f>
        <v/>
      </c>
      <c r="C140" s="23">
        <f>IF('Campus &amp; Student Groups'!D20="","",'Campus &amp; Student Groups'!D20)</f>
        <v/>
      </c>
      <c r="D140" s="22">
        <f>IF('Campus &amp; Student Groups'!E20="","",'Campus &amp; Student Groups'!E20)</f>
        <v/>
      </c>
      <c r="E140" s="23">
        <f>IF('Campus &amp; Student Groups'!F20="","",'Campus &amp; Student Groups'!F20)</f>
        <v/>
      </c>
      <c r="F140" s="23">
        <f>IF('Campus &amp; Student Groups'!G20="","",'Campus &amp; Student Groups'!G20)</f>
        <v/>
      </c>
      <c r="G140" s="23">
        <f>IF('Campus &amp; Student Groups'!H20="","",'Campus &amp; Student Groups'!H20)</f>
        <v/>
      </c>
      <c r="H140" s="22">
        <f>IF('Campus &amp; Student Groups'!I20="","",'Campus &amp; Student Groups'!I20)</f>
        <v/>
      </c>
      <c r="I140" s="23">
        <f>IF('Campus &amp; Student Groups'!J20="","",'Campus &amp; Student Groups'!J20)</f>
        <v/>
      </c>
      <c r="J140" s="22">
        <f>IF('Campus &amp; Student Groups'!K20="","",'Campus &amp; Student Groups'!K20)</f>
        <v/>
      </c>
      <c r="K140" s="23">
        <f>IF('Campus &amp; Student Groups'!L20="","",'Campus &amp; Student Groups'!L20)</f>
        <v/>
      </c>
      <c r="L140" s="22">
        <f>IF('Campus &amp; Student Groups'!M20="","",'Campus &amp; Student Groups'!M20)</f>
        <v/>
      </c>
      <c r="M140" s="23">
        <f>IF('Campus &amp; Student Groups'!N20="","",'Campus &amp; Student Groups'!N20)</f>
        <v/>
      </c>
      <c r="N140" s="22">
        <f>IF('Campus &amp; Student Groups'!O20="","",'Campus &amp; Student Groups'!O20)</f>
        <v/>
      </c>
      <c r="O140" s="23">
        <f>IF('Campus &amp; Student Groups'!P20="","",'Campus &amp; Student Groups'!P20)</f>
        <v/>
      </c>
      <c r="P140" s="23">
        <f>IF('Campus &amp; Student Groups'!Q20="","",'Campus &amp; Student Groups'!Q20)</f>
        <v/>
      </c>
      <c r="Q140" s="24">
        <f>IF('Campus &amp; Student Groups'!R20="","",'Campus &amp; Student Groups'!R20)</f>
        <v/>
      </c>
      <c r="R140" s="25">
        <f>IF('Campus &amp; Student Groups'!S20="","",'Campus &amp; Student Groups'!S20)</f>
        <v/>
      </c>
      <c r="S140" s="22">
        <f>IF('Campus &amp; Student Groups'!T20="","",'Campus &amp; Student Groups'!T20)</f>
        <v/>
      </c>
      <c r="T140" s="24">
        <f>IF('Campus &amp; Student Groups'!U20="","",'Campus &amp; Student Groups'!U20)</f>
        <v/>
      </c>
      <c r="U140" s="23">
        <f>IF('Campus &amp; Student Groups'!V20="","",'Campus &amp; Student Groups'!V20)</f>
        <v/>
      </c>
      <c r="V140" s="24">
        <f>IF('Campus &amp; Student Groups'!W20="","",'Campus &amp; Student Groups'!W20)</f>
        <v/>
      </c>
      <c r="W140" s="23">
        <f>IF('Campus &amp; Student Groups'!X20="","",'Campus &amp; Student Groups'!X20)</f>
        <v/>
      </c>
      <c r="X140" s="23">
        <f>IF('Campus &amp; Student Groups'!Y20="","",'Campus &amp; Student Groups'!Y20)</f>
        <v/>
      </c>
      <c r="Y140" s="26">
        <f>IF('Campus &amp; Student Groups'!Z20="","",'Campus &amp; Student Groups'!Z20)</f>
        <v/>
      </c>
      <c r="Z140" s="27">
        <f>IF('Campus &amp; Student Groups'!AA20="","",'Campus &amp; Student Groups'!AA20)</f>
        <v/>
      </c>
      <c r="AA140" s="26">
        <f>IF('Campus &amp; Student Groups'!AB20="","",'Campus &amp; Student Groups'!AB20)</f>
        <v/>
      </c>
      <c r="AB140" s="22">
        <f>IF('Campus &amp; Student Groups'!AC20="","",'Campus &amp; Student Groups'!AC20)</f>
        <v/>
      </c>
      <c r="AC140" s="22">
        <f>IF('Campus &amp; Student Groups'!AD20="","",'Campus &amp; Student Groups'!AD20)</f>
        <v/>
      </c>
      <c r="AD140" s="22">
        <f>IF('Campus &amp; Student Groups'!AE20="","",'Campus &amp; Student Groups'!AE20)</f>
        <v/>
      </c>
      <c r="AE140" s="22">
        <f>IF('Campus &amp; Student Groups'!AF20="","",'Campus &amp; Student Groups'!AF20)</f>
        <v/>
      </c>
      <c r="AF140" s="22">
        <f>IF('Campus &amp; Student Groups'!AG20="","",'Campus &amp; Student Groups'!AG20)</f>
        <v/>
      </c>
      <c r="AG140" s="23">
        <f>IF('Campus &amp; Student Groups'!AH20="","",'Campus &amp; Student Groups'!AH20)</f>
        <v/>
      </c>
      <c r="AH140" s="23">
        <f>IF('Campus &amp; Student Groups'!AI20="","",'Campus &amp; Student Groups'!AI20)</f>
        <v/>
      </c>
      <c r="AI140" s="23">
        <f>IF('Campus &amp; Student Groups'!AJ20="","",'Campus &amp; Student Groups'!AJ20)</f>
        <v/>
      </c>
      <c r="AJ140" s="23">
        <f>IF('Campus &amp; Student Groups'!AK20="","",'Campus &amp; Student Groups'!AK20)</f>
        <v/>
      </c>
      <c r="AK140" s="22">
        <f>IF('Campus &amp; Student Groups'!AL20="","",'Campus &amp; Student Groups'!AL20)</f>
        <v/>
      </c>
      <c r="AL140" s="18">
        <f>IF(V140="","",V140+ROW()/100000)</f>
        <v/>
      </c>
    </row>
    <row r="141" ht="18" customHeight="1">
      <c r="A141" s="16">
        <f>IF('Campus &amp; Student Groups'!B21="","","Campus &amp; Student Groups")</f>
        <v/>
      </c>
      <c r="B141" s="16">
        <f>IF('Campus &amp; Student Groups'!B21="","",'Campus &amp; Student Groups'!B21)</f>
        <v/>
      </c>
      <c r="C141" s="17">
        <f>IF('Campus &amp; Student Groups'!D21="","",'Campus &amp; Student Groups'!D21)</f>
        <v/>
      </c>
      <c r="D141" s="16">
        <f>IF('Campus &amp; Student Groups'!E21="","",'Campus &amp; Student Groups'!E21)</f>
        <v/>
      </c>
      <c r="E141" s="17">
        <f>IF('Campus &amp; Student Groups'!F21="","",'Campus &amp; Student Groups'!F21)</f>
        <v/>
      </c>
      <c r="F141" s="17">
        <f>IF('Campus &amp; Student Groups'!G21="","",'Campus &amp; Student Groups'!G21)</f>
        <v/>
      </c>
      <c r="G141" s="17">
        <f>IF('Campus &amp; Student Groups'!H21="","",'Campus &amp; Student Groups'!H21)</f>
        <v/>
      </c>
      <c r="H141" s="16">
        <f>IF('Campus &amp; Student Groups'!I21="","",'Campus &amp; Student Groups'!I21)</f>
        <v/>
      </c>
      <c r="I141" s="17">
        <f>IF('Campus &amp; Student Groups'!J21="","",'Campus &amp; Student Groups'!J21)</f>
        <v/>
      </c>
      <c r="J141" s="16">
        <f>IF('Campus &amp; Student Groups'!K21="","",'Campus &amp; Student Groups'!K21)</f>
        <v/>
      </c>
      <c r="K141" s="17">
        <f>IF('Campus &amp; Student Groups'!L21="","",'Campus &amp; Student Groups'!L21)</f>
        <v/>
      </c>
      <c r="L141" s="16">
        <f>IF('Campus &amp; Student Groups'!M21="","",'Campus &amp; Student Groups'!M21)</f>
        <v/>
      </c>
      <c r="M141" s="17">
        <f>IF('Campus &amp; Student Groups'!N21="","",'Campus &amp; Student Groups'!N21)</f>
        <v/>
      </c>
      <c r="N141" s="16">
        <f>IF('Campus &amp; Student Groups'!O21="","",'Campus &amp; Student Groups'!O21)</f>
        <v/>
      </c>
      <c r="O141" s="17">
        <f>IF('Campus &amp; Student Groups'!P21="","",'Campus &amp; Student Groups'!P21)</f>
        <v/>
      </c>
      <c r="P141" s="17">
        <f>IF('Campus &amp; Student Groups'!Q21="","",'Campus &amp; Student Groups'!Q21)</f>
        <v/>
      </c>
      <c r="Q141" s="15">
        <f>IF('Campus &amp; Student Groups'!R21="","",'Campus &amp; Student Groups'!R21)</f>
        <v/>
      </c>
      <c r="R141" s="19">
        <f>IF('Campus &amp; Student Groups'!S21="","",'Campus &amp; Student Groups'!S21)</f>
        <v/>
      </c>
      <c r="S141" s="16">
        <f>IF('Campus &amp; Student Groups'!T21="","",'Campus &amp; Student Groups'!T21)</f>
        <v/>
      </c>
      <c r="T141" s="15">
        <f>IF('Campus &amp; Student Groups'!U21="","",'Campus &amp; Student Groups'!U21)</f>
        <v/>
      </c>
      <c r="U141" s="17">
        <f>IF('Campus &amp; Student Groups'!V21="","",'Campus &amp; Student Groups'!V21)</f>
        <v/>
      </c>
      <c r="V141" s="15">
        <f>IF('Campus &amp; Student Groups'!W21="","",'Campus &amp; Student Groups'!W21)</f>
        <v/>
      </c>
      <c r="W141" s="17">
        <f>IF('Campus &amp; Student Groups'!X21="","",'Campus &amp; Student Groups'!X21)</f>
        <v/>
      </c>
      <c r="X141" s="17">
        <f>IF('Campus &amp; Student Groups'!Y21="","",'Campus &amp; Student Groups'!Y21)</f>
        <v/>
      </c>
      <c r="Y141" s="20">
        <f>IF('Campus &amp; Student Groups'!Z21="","",'Campus &amp; Student Groups'!Z21)</f>
        <v/>
      </c>
      <c r="Z141" s="21">
        <f>IF('Campus &amp; Student Groups'!AA21="","",'Campus &amp; Student Groups'!AA21)</f>
        <v/>
      </c>
      <c r="AA141" s="20">
        <f>IF('Campus &amp; Student Groups'!AB21="","",'Campus &amp; Student Groups'!AB21)</f>
        <v/>
      </c>
      <c r="AB141" s="16">
        <f>IF('Campus &amp; Student Groups'!AC21="","",'Campus &amp; Student Groups'!AC21)</f>
        <v/>
      </c>
      <c r="AC141" s="16">
        <f>IF('Campus &amp; Student Groups'!AD21="","",'Campus &amp; Student Groups'!AD21)</f>
        <v/>
      </c>
      <c r="AD141" s="16">
        <f>IF('Campus &amp; Student Groups'!AE21="","",'Campus &amp; Student Groups'!AE21)</f>
        <v/>
      </c>
      <c r="AE141" s="16">
        <f>IF('Campus &amp; Student Groups'!AF21="","",'Campus &amp; Student Groups'!AF21)</f>
        <v/>
      </c>
      <c r="AF141" s="16">
        <f>IF('Campus &amp; Student Groups'!AG21="","",'Campus &amp; Student Groups'!AG21)</f>
        <v/>
      </c>
      <c r="AG141" s="17">
        <f>IF('Campus &amp; Student Groups'!AH21="","",'Campus &amp; Student Groups'!AH21)</f>
        <v/>
      </c>
      <c r="AH141" s="17">
        <f>IF('Campus &amp; Student Groups'!AI21="","",'Campus &amp; Student Groups'!AI21)</f>
        <v/>
      </c>
      <c r="AI141" s="17">
        <f>IF('Campus &amp; Student Groups'!AJ21="","",'Campus &amp; Student Groups'!AJ21)</f>
        <v/>
      </c>
      <c r="AJ141" s="17">
        <f>IF('Campus &amp; Student Groups'!AK21="","",'Campus &amp; Student Groups'!AK21)</f>
        <v/>
      </c>
      <c r="AK141" s="16">
        <f>IF('Campus &amp; Student Groups'!AL21="","",'Campus &amp; Student Groups'!AL21)</f>
        <v/>
      </c>
      <c r="AL141" s="18">
        <f>IF(V141="","",V141+ROW()/100000)</f>
        <v/>
      </c>
    </row>
    <row r="142" ht="18" customHeight="1">
      <c r="A142" s="22">
        <f>IF('Campus &amp; Student Groups'!B22="","","Campus &amp; Student Groups")</f>
        <v/>
      </c>
      <c r="B142" s="22">
        <f>IF('Campus &amp; Student Groups'!B22="","",'Campus &amp; Student Groups'!B22)</f>
        <v/>
      </c>
      <c r="C142" s="23">
        <f>IF('Campus &amp; Student Groups'!D22="","",'Campus &amp; Student Groups'!D22)</f>
        <v/>
      </c>
      <c r="D142" s="22">
        <f>IF('Campus &amp; Student Groups'!E22="","",'Campus &amp; Student Groups'!E22)</f>
        <v/>
      </c>
      <c r="E142" s="23">
        <f>IF('Campus &amp; Student Groups'!F22="","",'Campus &amp; Student Groups'!F22)</f>
        <v/>
      </c>
      <c r="F142" s="23">
        <f>IF('Campus &amp; Student Groups'!G22="","",'Campus &amp; Student Groups'!G22)</f>
        <v/>
      </c>
      <c r="G142" s="23">
        <f>IF('Campus &amp; Student Groups'!H22="","",'Campus &amp; Student Groups'!H22)</f>
        <v/>
      </c>
      <c r="H142" s="22">
        <f>IF('Campus &amp; Student Groups'!I22="","",'Campus &amp; Student Groups'!I22)</f>
        <v/>
      </c>
      <c r="I142" s="23">
        <f>IF('Campus &amp; Student Groups'!J22="","",'Campus &amp; Student Groups'!J22)</f>
        <v/>
      </c>
      <c r="J142" s="22">
        <f>IF('Campus &amp; Student Groups'!K22="","",'Campus &amp; Student Groups'!K22)</f>
        <v/>
      </c>
      <c r="K142" s="23">
        <f>IF('Campus &amp; Student Groups'!L22="","",'Campus &amp; Student Groups'!L22)</f>
        <v/>
      </c>
      <c r="L142" s="22">
        <f>IF('Campus &amp; Student Groups'!M22="","",'Campus &amp; Student Groups'!M22)</f>
        <v/>
      </c>
      <c r="M142" s="23">
        <f>IF('Campus &amp; Student Groups'!N22="","",'Campus &amp; Student Groups'!N22)</f>
        <v/>
      </c>
      <c r="N142" s="22">
        <f>IF('Campus &amp; Student Groups'!O22="","",'Campus &amp; Student Groups'!O22)</f>
        <v/>
      </c>
      <c r="O142" s="23">
        <f>IF('Campus &amp; Student Groups'!P22="","",'Campus &amp; Student Groups'!P22)</f>
        <v/>
      </c>
      <c r="P142" s="23">
        <f>IF('Campus &amp; Student Groups'!Q22="","",'Campus &amp; Student Groups'!Q22)</f>
        <v/>
      </c>
      <c r="Q142" s="24">
        <f>IF('Campus &amp; Student Groups'!R22="","",'Campus &amp; Student Groups'!R22)</f>
        <v/>
      </c>
      <c r="R142" s="25">
        <f>IF('Campus &amp; Student Groups'!S22="","",'Campus &amp; Student Groups'!S22)</f>
        <v/>
      </c>
      <c r="S142" s="22">
        <f>IF('Campus &amp; Student Groups'!T22="","",'Campus &amp; Student Groups'!T22)</f>
        <v/>
      </c>
      <c r="T142" s="24">
        <f>IF('Campus &amp; Student Groups'!U22="","",'Campus &amp; Student Groups'!U22)</f>
        <v/>
      </c>
      <c r="U142" s="23">
        <f>IF('Campus &amp; Student Groups'!V22="","",'Campus &amp; Student Groups'!V22)</f>
        <v/>
      </c>
      <c r="V142" s="24">
        <f>IF('Campus &amp; Student Groups'!W22="","",'Campus &amp; Student Groups'!W22)</f>
        <v/>
      </c>
      <c r="W142" s="23">
        <f>IF('Campus &amp; Student Groups'!X22="","",'Campus &amp; Student Groups'!X22)</f>
        <v/>
      </c>
      <c r="X142" s="23">
        <f>IF('Campus &amp; Student Groups'!Y22="","",'Campus &amp; Student Groups'!Y22)</f>
        <v/>
      </c>
      <c r="Y142" s="26">
        <f>IF('Campus &amp; Student Groups'!Z22="","",'Campus &amp; Student Groups'!Z22)</f>
        <v/>
      </c>
      <c r="Z142" s="27">
        <f>IF('Campus &amp; Student Groups'!AA22="","",'Campus &amp; Student Groups'!AA22)</f>
        <v/>
      </c>
      <c r="AA142" s="26">
        <f>IF('Campus &amp; Student Groups'!AB22="","",'Campus &amp; Student Groups'!AB22)</f>
        <v/>
      </c>
      <c r="AB142" s="22">
        <f>IF('Campus &amp; Student Groups'!AC22="","",'Campus &amp; Student Groups'!AC22)</f>
        <v/>
      </c>
      <c r="AC142" s="22">
        <f>IF('Campus &amp; Student Groups'!AD22="","",'Campus &amp; Student Groups'!AD22)</f>
        <v/>
      </c>
      <c r="AD142" s="22">
        <f>IF('Campus &amp; Student Groups'!AE22="","",'Campus &amp; Student Groups'!AE22)</f>
        <v/>
      </c>
      <c r="AE142" s="22">
        <f>IF('Campus &amp; Student Groups'!AF22="","",'Campus &amp; Student Groups'!AF22)</f>
        <v/>
      </c>
      <c r="AF142" s="22">
        <f>IF('Campus &amp; Student Groups'!AG22="","",'Campus &amp; Student Groups'!AG22)</f>
        <v/>
      </c>
      <c r="AG142" s="23">
        <f>IF('Campus &amp; Student Groups'!AH22="","",'Campus &amp; Student Groups'!AH22)</f>
        <v/>
      </c>
      <c r="AH142" s="23">
        <f>IF('Campus &amp; Student Groups'!AI22="","",'Campus &amp; Student Groups'!AI22)</f>
        <v/>
      </c>
      <c r="AI142" s="23">
        <f>IF('Campus &amp; Student Groups'!AJ22="","",'Campus &amp; Student Groups'!AJ22)</f>
        <v/>
      </c>
      <c r="AJ142" s="23">
        <f>IF('Campus &amp; Student Groups'!AK22="","",'Campus &amp; Student Groups'!AK22)</f>
        <v/>
      </c>
      <c r="AK142" s="22">
        <f>IF('Campus &amp; Student Groups'!AL22="","",'Campus &amp; Student Groups'!AL22)</f>
        <v/>
      </c>
      <c r="AL142" s="18">
        <f>IF(V142="","",V142+ROW()/100000)</f>
        <v/>
      </c>
    </row>
    <row r="143" ht="18" customHeight="1">
      <c r="A143" s="16">
        <f>IF('Campus &amp; Student Groups'!B23="","","Campus &amp; Student Groups")</f>
        <v/>
      </c>
      <c r="B143" s="16">
        <f>IF('Campus &amp; Student Groups'!B23="","",'Campus &amp; Student Groups'!B23)</f>
        <v/>
      </c>
      <c r="C143" s="17">
        <f>IF('Campus &amp; Student Groups'!D23="","",'Campus &amp; Student Groups'!D23)</f>
        <v/>
      </c>
      <c r="D143" s="16">
        <f>IF('Campus &amp; Student Groups'!E23="","",'Campus &amp; Student Groups'!E23)</f>
        <v/>
      </c>
      <c r="E143" s="17">
        <f>IF('Campus &amp; Student Groups'!F23="","",'Campus &amp; Student Groups'!F23)</f>
        <v/>
      </c>
      <c r="F143" s="17">
        <f>IF('Campus &amp; Student Groups'!G23="","",'Campus &amp; Student Groups'!G23)</f>
        <v/>
      </c>
      <c r="G143" s="17">
        <f>IF('Campus &amp; Student Groups'!H23="","",'Campus &amp; Student Groups'!H23)</f>
        <v/>
      </c>
      <c r="H143" s="16">
        <f>IF('Campus &amp; Student Groups'!I23="","",'Campus &amp; Student Groups'!I23)</f>
        <v/>
      </c>
      <c r="I143" s="17">
        <f>IF('Campus &amp; Student Groups'!J23="","",'Campus &amp; Student Groups'!J23)</f>
        <v/>
      </c>
      <c r="J143" s="16">
        <f>IF('Campus &amp; Student Groups'!K23="","",'Campus &amp; Student Groups'!K23)</f>
        <v/>
      </c>
      <c r="K143" s="17">
        <f>IF('Campus &amp; Student Groups'!L23="","",'Campus &amp; Student Groups'!L23)</f>
        <v/>
      </c>
      <c r="L143" s="16">
        <f>IF('Campus &amp; Student Groups'!M23="","",'Campus &amp; Student Groups'!M23)</f>
        <v/>
      </c>
      <c r="M143" s="17">
        <f>IF('Campus &amp; Student Groups'!N23="","",'Campus &amp; Student Groups'!N23)</f>
        <v/>
      </c>
      <c r="N143" s="16">
        <f>IF('Campus &amp; Student Groups'!O23="","",'Campus &amp; Student Groups'!O23)</f>
        <v/>
      </c>
      <c r="O143" s="17">
        <f>IF('Campus &amp; Student Groups'!P23="","",'Campus &amp; Student Groups'!P23)</f>
        <v/>
      </c>
      <c r="P143" s="17">
        <f>IF('Campus &amp; Student Groups'!Q23="","",'Campus &amp; Student Groups'!Q23)</f>
        <v/>
      </c>
      <c r="Q143" s="15">
        <f>IF('Campus &amp; Student Groups'!R23="","",'Campus &amp; Student Groups'!R23)</f>
        <v/>
      </c>
      <c r="R143" s="19">
        <f>IF('Campus &amp; Student Groups'!S23="","",'Campus &amp; Student Groups'!S23)</f>
        <v/>
      </c>
      <c r="S143" s="16">
        <f>IF('Campus &amp; Student Groups'!T23="","",'Campus &amp; Student Groups'!T23)</f>
        <v/>
      </c>
      <c r="T143" s="15">
        <f>IF('Campus &amp; Student Groups'!U23="","",'Campus &amp; Student Groups'!U23)</f>
        <v/>
      </c>
      <c r="U143" s="17">
        <f>IF('Campus &amp; Student Groups'!V23="","",'Campus &amp; Student Groups'!V23)</f>
        <v/>
      </c>
      <c r="V143" s="15">
        <f>IF('Campus &amp; Student Groups'!W23="","",'Campus &amp; Student Groups'!W23)</f>
        <v/>
      </c>
      <c r="W143" s="17">
        <f>IF('Campus &amp; Student Groups'!X23="","",'Campus &amp; Student Groups'!X23)</f>
        <v/>
      </c>
      <c r="X143" s="17">
        <f>IF('Campus &amp; Student Groups'!Y23="","",'Campus &amp; Student Groups'!Y23)</f>
        <v/>
      </c>
      <c r="Y143" s="20">
        <f>IF('Campus &amp; Student Groups'!Z23="","",'Campus &amp; Student Groups'!Z23)</f>
        <v/>
      </c>
      <c r="Z143" s="21">
        <f>IF('Campus &amp; Student Groups'!AA23="","",'Campus &amp; Student Groups'!AA23)</f>
        <v/>
      </c>
      <c r="AA143" s="20">
        <f>IF('Campus &amp; Student Groups'!AB23="","",'Campus &amp; Student Groups'!AB23)</f>
        <v/>
      </c>
      <c r="AB143" s="16">
        <f>IF('Campus &amp; Student Groups'!AC23="","",'Campus &amp; Student Groups'!AC23)</f>
        <v/>
      </c>
      <c r="AC143" s="16">
        <f>IF('Campus &amp; Student Groups'!AD23="","",'Campus &amp; Student Groups'!AD23)</f>
        <v/>
      </c>
      <c r="AD143" s="16">
        <f>IF('Campus &amp; Student Groups'!AE23="","",'Campus &amp; Student Groups'!AE23)</f>
        <v/>
      </c>
      <c r="AE143" s="16">
        <f>IF('Campus &amp; Student Groups'!AF23="","",'Campus &amp; Student Groups'!AF23)</f>
        <v/>
      </c>
      <c r="AF143" s="16">
        <f>IF('Campus &amp; Student Groups'!AG23="","",'Campus &amp; Student Groups'!AG23)</f>
        <v/>
      </c>
      <c r="AG143" s="17">
        <f>IF('Campus &amp; Student Groups'!AH23="","",'Campus &amp; Student Groups'!AH23)</f>
        <v/>
      </c>
      <c r="AH143" s="17">
        <f>IF('Campus &amp; Student Groups'!AI23="","",'Campus &amp; Student Groups'!AI23)</f>
        <v/>
      </c>
      <c r="AI143" s="17">
        <f>IF('Campus &amp; Student Groups'!AJ23="","",'Campus &amp; Student Groups'!AJ23)</f>
        <v/>
      </c>
      <c r="AJ143" s="17">
        <f>IF('Campus &amp; Student Groups'!AK23="","",'Campus &amp; Student Groups'!AK23)</f>
        <v/>
      </c>
      <c r="AK143" s="16">
        <f>IF('Campus &amp; Student Groups'!AL23="","",'Campus &amp; Student Groups'!AL23)</f>
        <v/>
      </c>
      <c r="AL143" s="18">
        <f>IF(V143="","",V143+ROW()/100000)</f>
        <v/>
      </c>
    </row>
    <row r="144" ht="18" customHeight="1">
      <c r="A144" s="22">
        <f>IF('Campus &amp; Student Groups'!B24="","","Campus &amp; Student Groups")</f>
        <v/>
      </c>
      <c r="B144" s="22">
        <f>IF('Campus &amp; Student Groups'!B24="","",'Campus &amp; Student Groups'!B24)</f>
        <v/>
      </c>
      <c r="C144" s="23">
        <f>IF('Campus &amp; Student Groups'!D24="","",'Campus &amp; Student Groups'!D24)</f>
        <v/>
      </c>
      <c r="D144" s="22">
        <f>IF('Campus &amp; Student Groups'!E24="","",'Campus &amp; Student Groups'!E24)</f>
        <v/>
      </c>
      <c r="E144" s="23">
        <f>IF('Campus &amp; Student Groups'!F24="","",'Campus &amp; Student Groups'!F24)</f>
        <v/>
      </c>
      <c r="F144" s="23">
        <f>IF('Campus &amp; Student Groups'!G24="","",'Campus &amp; Student Groups'!G24)</f>
        <v/>
      </c>
      <c r="G144" s="23">
        <f>IF('Campus &amp; Student Groups'!H24="","",'Campus &amp; Student Groups'!H24)</f>
        <v/>
      </c>
      <c r="H144" s="22">
        <f>IF('Campus &amp; Student Groups'!I24="","",'Campus &amp; Student Groups'!I24)</f>
        <v/>
      </c>
      <c r="I144" s="23">
        <f>IF('Campus &amp; Student Groups'!J24="","",'Campus &amp; Student Groups'!J24)</f>
        <v/>
      </c>
      <c r="J144" s="22">
        <f>IF('Campus &amp; Student Groups'!K24="","",'Campus &amp; Student Groups'!K24)</f>
        <v/>
      </c>
      <c r="K144" s="23">
        <f>IF('Campus &amp; Student Groups'!L24="","",'Campus &amp; Student Groups'!L24)</f>
        <v/>
      </c>
      <c r="L144" s="22">
        <f>IF('Campus &amp; Student Groups'!M24="","",'Campus &amp; Student Groups'!M24)</f>
        <v/>
      </c>
      <c r="M144" s="23">
        <f>IF('Campus &amp; Student Groups'!N24="","",'Campus &amp; Student Groups'!N24)</f>
        <v/>
      </c>
      <c r="N144" s="22">
        <f>IF('Campus &amp; Student Groups'!O24="","",'Campus &amp; Student Groups'!O24)</f>
        <v/>
      </c>
      <c r="O144" s="23">
        <f>IF('Campus &amp; Student Groups'!P24="","",'Campus &amp; Student Groups'!P24)</f>
        <v/>
      </c>
      <c r="P144" s="23">
        <f>IF('Campus &amp; Student Groups'!Q24="","",'Campus &amp; Student Groups'!Q24)</f>
        <v/>
      </c>
      <c r="Q144" s="24">
        <f>IF('Campus &amp; Student Groups'!R24="","",'Campus &amp; Student Groups'!R24)</f>
        <v/>
      </c>
      <c r="R144" s="25">
        <f>IF('Campus &amp; Student Groups'!S24="","",'Campus &amp; Student Groups'!S24)</f>
        <v/>
      </c>
      <c r="S144" s="22">
        <f>IF('Campus &amp; Student Groups'!T24="","",'Campus &amp; Student Groups'!T24)</f>
        <v/>
      </c>
      <c r="T144" s="24">
        <f>IF('Campus &amp; Student Groups'!U24="","",'Campus &amp; Student Groups'!U24)</f>
        <v/>
      </c>
      <c r="U144" s="23">
        <f>IF('Campus &amp; Student Groups'!V24="","",'Campus &amp; Student Groups'!V24)</f>
        <v/>
      </c>
      <c r="V144" s="24">
        <f>IF('Campus &amp; Student Groups'!W24="","",'Campus &amp; Student Groups'!W24)</f>
        <v/>
      </c>
      <c r="W144" s="23">
        <f>IF('Campus &amp; Student Groups'!X24="","",'Campus &amp; Student Groups'!X24)</f>
        <v/>
      </c>
      <c r="X144" s="23">
        <f>IF('Campus &amp; Student Groups'!Y24="","",'Campus &amp; Student Groups'!Y24)</f>
        <v/>
      </c>
      <c r="Y144" s="26">
        <f>IF('Campus &amp; Student Groups'!Z24="","",'Campus &amp; Student Groups'!Z24)</f>
        <v/>
      </c>
      <c r="Z144" s="27">
        <f>IF('Campus &amp; Student Groups'!AA24="","",'Campus &amp; Student Groups'!AA24)</f>
        <v/>
      </c>
      <c r="AA144" s="26">
        <f>IF('Campus &amp; Student Groups'!AB24="","",'Campus &amp; Student Groups'!AB24)</f>
        <v/>
      </c>
      <c r="AB144" s="22">
        <f>IF('Campus &amp; Student Groups'!AC24="","",'Campus &amp; Student Groups'!AC24)</f>
        <v/>
      </c>
      <c r="AC144" s="22">
        <f>IF('Campus &amp; Student Groups'!AD24="","",'Campus &amp; Student Groups'!AD24)</f>
        <v/>
      </c>
      <c r="AD144" s="22">
        <f>IF('Campus &amp; Student Groups'!AE24="","",'Campus &amp; Student Groups'!AE24)</f>
        <v/>
      </c>
      <c r="AE144" s="22">
        <f>IF('Campus &amp; Student Groups'!AF24="","",'Campus &amp; Student Groups'!AF24)</f>
        <v/>
      </c>
      <c r="AF144" s="22">
        <f>IF('Campus &amp; Student Groups'!AG24="","",'Campus &amp; Student Groups'!AG24)</f>
        <v/>
      </c>
      <c r="AG144" s="23">
        <f>IF('Campus &amp; Student Groups'!AH24="","",'Campus &amp; Student Groups'!AH24)</f>
        <v/>
      </c>
      <c r="AH144" s="23">
        <f>IF('Campus &amp; Student Groups'!AI24="","",'Campus &amp; Student Groups'!AI24)</f>
        <v/>
      </c>
      <c r="AI144" s="23">
        <f>IF('Campus &amp; Student Groups'!AJ24="","",'Campus &amp; Student Groups'!AJ24)</f>
        <v/>
      </c>
      <c r="AJ144" s="23">
        <f>IF('Campus &amp; Student Groups'!AK24="","",'Campus &amp; Student Groups'!AK24)</f>
        <v/>
      </c>
      <c r="AK144" s="22">
        <f>IF('Campus &amp; Student Groups'!AL24="","",'Campus &amp; Student Groups'!AL24)</f>
        <v/>
      </c>
      <c r="AL144" s="18">
        <f>IF(V144="","",V144+ROW()/100000)</f>
        <v/>
      </c>
    </row>
    <row r="145" ht="18" customHeight="1">
      <c r="A145" s="16">
        <f>IF('Campus &amp; Student Groups'!B25="","","Campus &amp; Student Groups")</f>
        <v/>
      </c>
      <c r="B145" s="16">
        <f>IF('Campus &amp; Student Groups'!B25="","",'Campus &amp; Student Groups'!B25)</f>
        <v/>
      </c>
      <c r="C145" s="17">
        <f>IF('Campus &amp; Student Groups'!D25="","",'Campus &amp; Student Groups'!D25)</f>
        <v/>
      </c>
      <c r="D145" s="16">
        <f>IF('Campus &amp; Student Groups'!E25="","",'Campus &amp; Student Groups'!E25)</f>
        <v/>
      </c>
      <c r="E145" s="17">
        <f>IF('Campus &amp; Student Groups'!F25="","",'Campus &amp; Student Groups'!F25)</f>
        <v/>
      </c>
      <c r="F145" s="17">
        <f>IF('Campus &amp; Student Groups'!G25="","",'Campus &amp; Student Groups'!G25)</f>
        <v/>
      </c>
      <c r="G145" s="17">
        <f>IF('Campus &amp; Student Groups'!H25="","",'Campus &amp; Student Groups'!H25)</f>
        <v/>
      </c>
      <c r="H145" s="16">
        <f>IF('Campus &amp; Student Groups'!I25="","",'Campus &amp; Student Groups'!I25)</f>
        <v/>
      </c>
      <c r="I145" s="17">
        <f>IF('Campus &amp; Student Groups'!J25="","",'Campus &amp; Student Groups'!J25)</f>
        <v/>
      </c>
      <c r="J145" s="16">
        <f>IF('Campus &amp; Student Groups'!K25="","",'Campus &amp; Student Groups'!K25)</f>
        <v/>
      </c>
      <c r="K145" s="17">
        <f>IF('Campus &amp; Student Groups'!L25="","",'Campus &amp; Student Groups'!L25)</f>
        <v/>
      </c>
      <c r="L145" s="16">
        <f>IF('Campus &amp; Student Groups'!M25="","",'Campus &amp; Student Groups'!M25)</f>
        <v/>
      </c>
      <c r="M145" s="17">
        <f>IF('Campus &amp; Student Groups'!N25="","",'Campus &amp; Student Groups'!N25)</f>
        <v/>
      </c>
      <c r="N145" s="16">
        <f>IF('Campus &amp; Student Groups'!O25="","",'Campus &amp; Student Groups'!O25)</f>
        <v/>
      </c>
      <c r="O145" s="17">
        <f>IF('Campus &amp; Student Groups'!P25="","",'Campus &amp; Student Groups'!P25)</f>
        <v/>
      </c>
      <c r="P145" s="17">
        <f>IF('Campus &amp; Student Groups'!Q25="","",'Campus &amp; Student Groups'!Q25)</f>
        <v/>
      </c>
      <c r="Q145" s="15">
        <f>IF('Campus &amp; Student Groups'!R25="","",'Campus &amp; Student Groups'!R25)</f>
        <v/>
      </c>
      <c r="R145" s="19">
        <f>IF('Campus &amp; Student Groups'!S25="","",'Campus &amp; Student Groups'!S25)</f>
        <v/>
      </c>
      <c r="S145" s="16">
        <f>IF('Campus &amp; Student Groups'!T25="","",'Campus &amp; Student Groups'!T25)</f>
        <v/>
      </c>
      <c r="T145" s="15">
        <f>IF('Campus &amp; Student Groups'!U25="","",'Campus &amp; Student Groups'!U25)</f>
        <v/>
      </c>
      <c r="U145" s="17">
        <f>IF('Campus &amp; Student Groups'!V25="","",'Campus &amp; Student Groups'!V25)</f>
        <v/>
      </c>
      <c r="V145" s="15">
        <f>IF('Campus &amp; Student Groups'!W25="","",'Campus &amp; Student Groups'!W25)</f>
        <v/>
      </c>
      <c r="W145" s="17">
        <f>IF('Campus &amp; Student Groups'!X25="","",'Campus &amp; Student Groups'!X25)</f>
        <v/>
      </c>
      <c r="X145" s="17">
        <f>IF('Campus &amp; Student Groups'!Y25="","",'Campus &amp; Student Groups'!Y25)</f>
        <v/>
      </c>
      <c r="Y145" s="20">
        <f>IF('Campus &amp; Student Groups'!Z25="","",'Campus &amp; Student Groups'!Z25)</f>
        <v/>
      </c>
      <c r="Z145" s="21">
        <f>IF('Campus &amp; Student Groups'!AA25="","",'Campus &amp; Student Groups'!AA25)</f>
        <v/>
      </c>
      <c r="AA145" s="20">
        <f>IF('Campus &amp; Student Groups'!AB25="","",'Campus &amp; Student Groups'!AB25)</f>
        <v/>
      </c>
      <c r="AB145" s="16">
        <f>IF('Campus &amp; Student Groups'!AC25="","",'Campus &amp; Student Groups'!AC25)</f>
        <v/>
      </c>
      <c r="AC145" s="16">
        <f>IF('Campus &amp; Student Groups'!AD25="","",'Campus &amp; Student Groups'!AD25)</f>
        <v/>
      </c>
      <c r="AD145" s="16">
        <f>IF('Campus &amp; Student Groups'!AE25="","",'Campus &amp; Student Groups'!AE25)</f>
        <v/>
      </c>
      <c r="AE145" s="16">
        <f>IF('Campus &amp; Student Groups'!AF25="","",'Campus &amp; Student Groups'!AF25)</f>
        <v/>
      </c>
      <c r="AF145" s="16">
        <f>IF('Campus &amp; Student Groups'!AG25="","",'Campus &amp; Student Groups'!AG25)</f>
        <v/>
      </c>
      <c r="AG145" s="17">
        <f>IF('Campus &amp; Student Groups'!AH25="","",'Campus &amp; Student Groups'!AH25)</f>
        <v/>
      </c>
      <c r="AH145" s="17">
        <f>IF('Campus &amp; Student Groups'!AI25="","",'Campus &amp; Student Groups'!AI25)</f>
        <v/>
      </c>
      <c r="AI145" s="17">
        <f>IF('Campus &amp; Student Groups'!AJ25="","",'Campus &amp; Student Groups'!AJ25)</f>
        <v/>
      </c>
      <c r="AJ145" s="17">
        <f>IF('Campus &amp; Student Groups'!AK25="","",'Campus &amp; Student Groups'!AK25)</f>
        <v/>
      </c>
      <c r="AK145" s="16">
        <f>IF('Campus &amp; Student Groups'!AL25="","",'Campus &amp; Student Groups'!AL25)</f>
        <v/>
      </c>
      <c r="AL145" s="18">
        <f>IF(V145="","",V145+ROW()/100000)</f>
        <v/>
      </c>
    </row>
    <row r="146" ht="18" customHeight="1">
      <c r="A146" s="22">
        <f>IF('Campus &amp; Student Groups'!B26="","","Campus &amp; Student Groups")</f>
        <v/>
      </c>
      <c r="B146" s="22">
        <f>IF('Campus &amp; Student Groups'!B26="","",'Campus &amp; Student Groups'!B26)</f>
        <v/>
      </c>
      <c r="C146" s="23">
        <f>IF('Campus &amp; Student Groups'!D26="","",'Campus &amp; Student Groups'!D26)</f>
        <v/>
      </c>
      <c r="D146" s="22">
        <f>IF('Campus &amp; Student Groups'!E26="","",'Campus &amp; Student Groups'!E26)</f>
        <v/>
      </c>
      <c r="E146" s="23">
        <f>IF('Campus &amp; Student Groups'!F26="","",'Campus &amp; Student Groups'!F26)</f>
        <v/>
      </c>
      <c r="F146" s="23">
        <f>IF('Campus &amp; Student Groups'!G26="","",'Campus &amp; Student Groups'!G26)</f>
        <v/>
      </c>
      <c r="G146" s="23">
        <f>IF('Campus &amp; Student Groups'!H26="","",'Campus &amp; Student Groups'!H26)</f>
        <v/>
      </c>
      <c r="H146" s="22">
        <f>IF('Campus &amp; Student Groups'!I26="","",'Campus &amp; Student Groups'!I26)</f>
        <v/>
      </c>
      <c r="I146" s="23">
        <f>IF('Campus &amp; Student Groups'!J26="","",'Campus &amp; Student Groups'!J26)</f>
        <v/>
      </c>
      <c r="J146" s="22">
        <f>IF('Campus &amp; Student Groups'!K26="","",'Campus &amp; Student Groups'!K26)</f>
        <v/>
      </c>
      <c r="K146" s="23">
        <f>IF('Campus &amp; Student Groups'!L26="","",'Campus &amp; Student Groups'!L26)</f>
        <v/>
      </c>
      <c r="L146" s="22">
        <f>IF('Campus &amp; Student Groups'!M26="","",'Campus &amp; Student Groups'!M26)</f>
        <v/>
      </c>
      <c r="M146" s="23">
        <f>IF('Campus &amp; Student Groups'!N26="","",'Campus &amp; Student Groups'!N26)</f>
        <v/>
      </c>
      <c r="N146" s="22">
        <f>IF('Campus &amp; Student Groups'!O26="","",'Campus &amp; Student Groups'!O26)</f>
        <v/>
      </c>
      <c r="O146" s="23">
        <f>IF('Campus &amp; Student Groups'!P26="","",'Campus &amp; Student Groups'!P26)</f>
        <v/>
      </c>
      <c r="P146" s="23">
        <f>IF('Campus &amp; Student Groups'!Q26="","",'Campus &amp; Student Groups'!Q26)</f>
        <v/>
      </c>
      <c r="Q146" s="24">
        <f>IF('Campus &amp; Student Groups'!R26="","",'Campus &amp; Student Groups'!R26)</f>
        <v/>
      </c>
      <c r="R146" s="25">
        <f>IF('Campus &amp; Student Groups'!S26="","",'Campus &amp; Student Groups'!S26)</f>
        <v/>
      </c>
      <c r="S146" s="22">
        <f>IF('Campus &amp; Student Groups'!T26="","",'Campus &amp; Student Groups'!T26)</f>
        <v/>
      </c>
      <c r="T146" s="24">
        <f>IF('Campus &amp; Student Groups'!U26="","",'Campus &amp; Student Groups'!U26)</f>
        <v/>
      </c>
      <c r="U146" s="23">
        <f>IF('Campus &amp; Student Groups'!V26="","",'Campus &amp; Student Groups'!V26)</f>
        <v/>
      </c>
      <c r="V146" s="24">
        <f>IF('Campus &amp; Student Groups'!W26="","",'Campus &amp; Student Groups'!W26)</f>
        <v/>
      </c>
      <c r="W146" s="23">
        <f>IF('Campus &amp; Student Groups'!X26="","",'Campus &amp; Student Groups'!X26)</f>
        <v/>
      </c>
      <c r="X146" s="23">
        <f>IF('Campus &amp; Student Groups'!Y26="","",'Campus &amp; Student Groups'!Y26)</f>
        <v/>
      </c>
      <c r="Y146" s="26">
        <f>IF('Campus &amp; Student Groups'!Z26="","",'Campus &amp; Student Groups'!Z26)</f>
        <v/>
      </c>
      <c r="Z146" s="27">
        <f>IF('Campus &amp; Student Groups'!AA26="","",'Campus &amp; Student Groups'!AA26)</f>
        <v/>
      </c>
      <c r="AA146" s="26">
        <f>IF('Campus &amp; Student Groups'!AB26="","",'Campus &amp; Student Groups'!AB26)</f>
        <v/>
      </c>
      <c r="AB146" s="22">
        <f>IF('Campus &amp; Student Groups'!AC26="","",'Campus &amp; Student Groups'!AC26)</f>
        <v/>
      </c>
      <c r="AC146" s="22">
        <f>IF('Campus &amp; Student Groups'!AD26="","",'Campus &amp; Student Groups'!AD26)</f>
        <v/>
      </c>
      <c r="AD146" s="22">
        <f>IF('Campus &amp; Student Groups'!AE26="","",'Campus &amp; Student Groups'!AE26)</f>
        <v/>
      </c>
      <c r="AE146" s="22">
        <f>IF('Campus &amp; Student Groups'!AF26="","",'Campus &amp; Student Groups'!AF26)</f>
        <v/>
      </c>
      <c r="AF146" s="22">
        <f>IF('Campus &amp; Student Groups'!AG26="","",'Campus &amp; Student Groups'!AG26)</f>
        <v/>
      </c>
      <c r="AG146" s="23">
        <f>IF('Campus &amp; Student Groups'!AH26="","",'Campus &amp; Student Groups'!AH26)</f>
        <v/>
      </c>
      <c r="AH146" s="23">
        <f>IF('Campus &amp; Student Groups'!AI26="","",'Campus &amp; Student Groups'!AI26)</f>
        <v/>
      </c>
      <c r="AI146" s="23">
        <f>IF('Campus &amp; Student Groups'!AJ26="","",'Campus &amp; Student Groups'!AJ26)</f>
        <v/>
      </c>
      <c r="AJ146" s="23">
        <f>IF('Campus &amp; Student Groups'!AK26="","",'Campus &amp; Student Groups'!AK26)</f>
        <v/>
      </c>
      <c r="AK146" s="22">
        <f>IF('Campus &amp; Student Groups'!AL26="","",'Campus &amp; Student Groups'!AL26)</f>
        <v/>
      </c>
      <c r="AL146" s="18">
        <f>IF(V146="","",V146+ROW()/100000)</f>
        <v/>
      </c>
    </row>
    <row r="147" ht="18" customHeight="1">
      <c r="A147" s="16">
        <f>IF('Campus &amp; Student Groups'!B27="","","Campus &amp; Student Groups")</f>
        <v/>
      </c>
      <c r="B147" s="16">
        <f>IF('Campus &amp; Student Groups'!B27="","",'Campus &amp; Student Groups'!B27)</f>
        <v/>
      </c>
      <c r="C147" s="17">
        <f>IF('Campus &amp; Student Groups'!D27="","",'Campus &amp; Student Groups'!D27)</f>
        <v/>
      </c>
      <c r="D147" s="16">
        <f>IF('Campus &amp; Student Groups'!E27="","",'Campus &amp; Student Groups'!E27)</f>
        <v/>
      </c>
      <c r="E147" s="17">
        <f>IF('Campus &amp; Student Groups'!F27="","",'Campus &amp; Student Groups'!F27)</f>
        <v/>
      </c>
      <c r="F147" s="17">
        <f>IF('Campus &amp; Student Groups'!G27="","",'Campus &amp; Student Groups'!G27)</f>
        <v/>
      </c>
      <c r="G147" s="17">
        <f>IF('Campus &amp; Student Groups'!H27="","",'Campus &amp; Student Groups'!H27)</f>
        <v/>
      </c>
      <c r="H147" s="16">
        <f>IF('Campus &amp; Student Groups'!I27="","",'Campus &amp; Student Groups'!I27)</f>
        <v/>
      </c>
      <c r="I147" s="17">
        <f>IF('Campus &amp; Student Groups'!J27="","",'Campus &amp; Student Groups'!J27)</f>
        <v/>
      </c>
      <c r="J147" s="16">
        <f>IF('Campus &amp; Student Groups'!K27="","",'Campus &amp; Student Groups'!K27)</f>
        <v/>
      </c>
      <c r="K147" s="17">
        <f>IF('Campus &amp; Student Groups'!L27="","",'Campus &amp; Student Groups'!L27)</f>
        <v/>
      </c>
      <c r="L147" s="16">
        <f>IF('Campus &amp; Student Groups'!M27="","",'Campus &amp; Student Groups'!M27)</f>
        <v/>
      </c>
      <c r="M147" s="17">
        <f>IF('Campus &amp; Student Groups'!N27="","",'Campus &amp; Student Groups'!N27)</f>
        <v/>
      </c>
      <c r="N147" s="16">
        <f>IF('Campus &amp; Student Groups'!O27="","",'Campus &amp; Student Groups'!O27)</f>
        <v/>
      </c>
      <c r="O147" s="17">
        <f>IF('Campus &amp; Student Groups'!P27="","",'Campus &amp; Student Groups'!P27)</f>
        <v/>
      </c>
      <c r="P147" s="17">
        <f>IF('Campus &amp; Student Groups'!Q27="","",'Campus &amp; Student Groups'!Q27)</f>
        <v/>
      </c>
      <c r="Q147" s="15">
        <f>IF('Campus &amp; Student Groups'!R27="","",'Campus &amp; Student Groups'!R27)</f>
        <v/>
      </c>
      <c r="R147" s="19">
        <f>IF('Campus &amp; Student Groups'!S27="","",'Campus &amp; Student Groups'!S27)</f>
        <v/>
      </c>
      <c r="S147" s="16">
        <f>IF('Campus &amp; Student Groups'!T27="","",'Campus &amp; Student Groups'!T27)</f>
        <v/>
      </c>
      <c r="T147" s="15">
        <f>IF('Campus &amp; Student Groups'!U27="","",'Campus &amp; Student Groups'!U27)</f>
        <v/>
      </c>
      <c r="U147" s="17">
        <f>IF('Campus &amp; Student Groups'!V27="","",'Campus &amp; Student Groups'!V27)</f>
        <v/>
      </c>
      <c r="V147" s="15">
        <f>IF('Campus &amp; Student Groups'!W27="","",'Campus &amp; Student Groups'!W27)</f>
        <v/>
      </c>
      <c r="W147" s="17">
        <f>IF('Campus &amp; Student Groups'!X27="","",'Campus &amp; Student Groups'!X27)</f>
        <v/>
      </c>
      <c r="X147" s="17">
        <f>IF('Campus &amp; Student Groups'!Y27="","",'Campus &amp; Student Groups'!Y27)</f>
        <v/>
      </c>
      <c r="Y147" s="20">
        <f>IF('Campus &amp; Student Groups'!Z27="","",'Campus &amp; Student Groups'!Z27)</f>
        <v/>
      </c>
      <c r="Z147" s="21">
        <f>IF('Campus &amp; Student Groups'!AA27="","",'Campus &amp; Student Groups'!AA27)</f>
        <v/>
      </c>
      <c r="AA147" s="20">
        <f>IF('Campus &amp; Student Groups'!AB27="","",'Campus &amp; Student Groups'!AB27)</f>
        <v/>
      </c>
      <c r="AB147" s="16">
        <f>IF('Campus &amp; Student Groups'!AC27="","",'Campus &amp; Student Groups'!AC27)</f>
        <v/>
      </c>
      <c r="AC147" s="16">
        <f>IF('Campus &amp; Student Groups'!AD27="","",'Campus &amp; Student Groups'!AD27)</f>
        <v/>
      </c>
      <c r="AD147" s="16">
        <f>IF('Campus &amp; Student Groups'!AE27="","",'Campus &amp; Student Groups'!AE27)</f>
        <v/>
      </c>
      <c r="AE147" s="16">
        <f>IF('Campus &amp; Student Groups'!AF27="","",'Campus &amp; Student Groups'!AF27)</f>
        <v/>
      </c>
      <c r="AF147" s="16">
        <f>IF('Campus &amp; Student Groups'!AG27="","",'Campus &amp; Student Groups'!AG27)</f>
        <v/>
      </c>
      <c r="AG147" s="17">
        <f>IF('Campus &amp; Student Groups'!AH27="","",'Campus &amp; Student Groups'!AH27)</f>
        <v/>
      </c>
      <c r="AH147" s="17">
        <f>IF('Campus &amp; Student Groups'!AI27="","",'Campus &amp; Student Groups'!AI27)</f>
        <v/>
      </c>
      <c r="AI147" s="17">
        <f>IF('Campus &amp; Student Groups'!AJ27="","",'Campus &amp; Student Groups'!AJ27)</f>
        <v/>
      </c>
      <c r="AJ147" s="17">
        <f>IF('Campus &amp; Student Groups'!AK27="","",'Campus &amp; Student Groups'!AK27)</f>
        <v/>
      </c>
      <c r="AK147" s="16">
        <f>IF('Campus &amp; Student Groups'!AL27="","",'Campus &amp; Student Groups'!AL27)</f>
        <v/>
      </c>
      <c r="AL147" s="18">
        <f>IF(V147="","",V147+ROW()/100000)</f>
        <v/>
      </c>
    </row>
    <row r="148" ht="18" customHeight="1">
      <c r="A148" s="22">
        <f>IF('Campus &amp; Student Groups'!B28="","","Campus &amp; Student Groups")</f>
        <v/>
      </c>
      <c r="B148" s="22">
        <f>IF('Campus &amp; Student Groups'!B28="","",'Campus &amp; Student Groups'!B28)</f>
        <v/>
      </c>
      <c r="C148" s="23">
        <f>IF('Campus &amp; Student Groups'!D28="","",'Campus &amp; Student Groups'!D28)</f>
        <v/>
      </c>
      <c r="D148" s="22">
        <f>IF('Campus &amp; Student Groups'!E28="","",'Campus &amp; Student Groups'!E28)</f>
        <v/>
      </c>
      <c r="E148" s="23">
        <f>IF('Campus &amp; Student Groups'!F28="","",'Campus &amp; Student Groups'!F28)</f>
        <v/>
      </c>
      <c r="F148" s="23">
        <f>IF('Campus &amp; Student Groups'!G28="","",'Campus &amp; Student Groups'!G28)</f>
        <v/>
      </c>
      <c r="G148" s="23">
        <f>IF('Campus &amp; Student Groups'!H28="","",'Campus &amp; Student Groups'!H28)</f>
        <v/>
      </c>
      <c r="H148" s="22">
        <f>IF('Campus &amp; Student Groups'!I28="","",'Campus &amp; Student Groups'!I28)</f>
        <v/>
      </c>
      <c r="I148" s="23">
        <f>IF('Campus &amp; Student Groups'!J28="","",'Campus &amp; Student Groups'!J28)</f>
        <v/>
      </c>
      <c r="J148" s="22">
        <f>IF('Campus &amp; Student Groups'!K28="","",'Campus &amp; Student Groups'!K28)</f>
        <v/>
      </c>
      <c r="K148" s="23">
        <f>IF('Campus &amp; Student Groups'!L28="","",'Campus &amp; Student Groups'!L28)</f>
        <v/>
      </c>
      <c r="L148" s="22">
        <f>IF('Campus &amp; Student Groups'!M28="","",'Campus &amp; Student Groups'!M28)</f>
        <v/>
      </c>
      <c r="M148" s="23">
        <f>IF('Campus &amp; Student Groups'!N28="","",'Campus &amp; Student Groups'!N28)</f>
        <v/>
      </c>
      <c r="N148" s="22">
        <f>IF('Campus &amp; Student Groups'!O28="","",'Campus &amp; Student Groups'!O28)</f>
        <v/>
      </c>
      <c r="O148" s="23">
        <f>IF('Campus &amp; Student Groups'!P28="","",'Campus &amp; Student Groups'!P28)</f>
        <v/>
      </c>
      <c r="P148" s="23">
        <f>IF('Campus &amp; Student Groups'!Q28="","",'Campus &amp; Student Groups'!Q28)</f>
        <v/>
      </c>
      <c r="Q148" s="24">
        <f>IF('Campus &amp; Student Groups'!R28="","",'Campus &amp; Student Groups'!R28)</f>
        <v/>
      </c>
      <c r="R148" s="25">
        <f>IF('Campus &amp; Student Groups'!S28="","",'Campus &amp; Student Groups'!S28)</f>
        <v/>
      </c>
      <c r="S148" s="22">
        <f>IF('Campus &amp; Student Groups'!T28="","",'Campus &amp; Student Groups'!T28)</f>
        <v/>
      </c>
      <c r="T148" s="24">
        <f>IF('Campus &amp; Student Groups'!U28="","",'Campus &amp; Student Groups'!U28)</f>
        <v/>
      </c>
      <c r="U148" s="23">
        <f>IF('Campus &amp; Student Groups'!V28="","",'Campus &amp; Student Groups'!V28)</f>
        <v/>
      </c>
      <c r="V148" s="24">
        <f>IF('Campus &amp; Student Groups'!W28="","",'Campus &amp; Student Groups'!W28)</f>
        <v/>
      </c>
      <c r="W148" s="23">
        <f>IF('Campus &amp; Student Groups'!X28="","",'Campus &amp; Student Groups'!X28)</f>
        <v/>
      </c>
      <c r="X148" s="23">
        <f>IF('Campus &amp; Student Groups'!Y28="","",'Campus &amp; Student Groups'!Y28)</f>
        <v/>
      </c>
      <c r="Y148" s="26">
        <f>IF('Campus &amp; Student Groups'!Z28="","",'Campus &amp; Student Groups'!Z28)</f>
        <v/>
      </c>
      <c r="Z148" s="27">
        <f>IF('Campus &amp; Student Groups'!AA28="","",'Campus &amp; Student Groups'!AA28)</f>
        <v/>
      </c>
      <c r="AA148" s="26">
        <f>IF('Campus &amp; Student Groups'!AB28="","",'Campus &amp; Student Groups'!AB28)</f>
        <v/>
      </c>
      <c r="AB148" s="22">
        <f>IF('Campus &amp; Student Groups'!AC28="","",'Campus &amp; Student Groups'!AC28)</f>
        <v/>
      </c>
      <c r="AC148" s="22">
        <f>IF('Campus &amp; Student Groups'!AD28="","",'Campus &amp; Student Groups'!AD28)</f>
        <v/>
      </c>
      <c r="AD148" s="22">
        <f>IF('Campus &amp; Student Groups'!AE28="","",'Campus &amp; Student Groups'!AE28)</f>
        <v/>
      </c>
      <c r="AE148" s="22">
        <f>IF('Campus &amp; Student Groups'!AF28="","",'Campus &amp; Student Groups'!AF28)</f>
        <v/>
      </c>
      <c r="AF148" s="22">
        <f>IF('Campus &amp; Student Groups'!AG28="","",'Campus &amp; Student Groups'!AG28)</f>
        <v/>
      </c>
      <c r="AG148" s="23">
        <f>IF('Campus &amp; Student Groups'!AH28="","",'Campus &amp; Student Groups'!AH28)</f>
        <v/>
      </c>
      <c r="AH148" s="23">
        <f>IF('Campus &amp; Student Groups'!AI28="","",'Campus &amp; Student Groups'!AI28)</f>
        <v/>
      </c>
      <c r="AI148" s="23">
        <f>IF('Campus &amp; Student Groups'!AJ28="","",'Campus &amp; Student Groups'!AJ28)</f>
        <v/>
      </c>
      <c r="AJ148" s="23">
        <f>IF('Campus &amp; Student Groups'!AK28="","",'Campus &amp; Student Groups'!AK28)</f>
        <v/>
      </c>
      <c r="AK148" s="22">
        <f>IF('Campus &amp; Student Groups'!AL28="","",'Campus &amp; Student Groups'!AL28)</f>
        <v/>
      </c>
      <c r="AL148" s="18">
        <f>IF(V148="","",V148+ROW()/100000)</f>
        <v/>
      </c>
    </row>
    <row r="149" ht="18" customHeight="1">
      <c r="A149" s="16">
        <f>IF('Campus &amp; Student Groups'!B29="","","Campus &amp; Student Groups")</f>
        <v/>
      </c>
      <c r="B149" s="16">
        <f>IF('Campus &amp; Student Groups'!B29="","",'Campus &amp; Student Groups'!B29)</f>
        <v/>
      </c>
      <c r="C149" s="17">
        <f>IF('Campus &amp; Student Groups'!D29="","",'Campus &amp; Student Groups'!D29)</f>
        <v/>
      </c>
      <c r="D149" s="16">
        <f>IF('Campus &amp; Student Groups'!E29="","",'Campus &amp; Student Groups'!E29)</f>
        <v/>
      </c>
      <c r="E149" s="17">
        <f>IF('Campus &amp; Student Groups'!F29="","",'Campus &amp; Student Groups'!F29)</f>
        <v/>
      </c>
      <c r="F149" s="17">
        <f>IF('Campus &amp; Student Groups'!G29="","",'Campus &amp; Student Groups'!G29)</f>
        <v/>
      </c>
      <c r="G149" s="17">
        <f>IF('Campus &amp; Student Groups'!H29="","",'Campus &amp; Student Groups'!H29)</f>
        <v/>
      </c>
      <c r="H149" s="16">
        <f>IF('Campus &amp; Student Groups'!I29="","",'Campus &amp; Student Groups'!I29)</f>
        <v/>
      </c>
      <c r="I149" s="17">
        <f>IF('Campus &amp; Student Groups'!J29="","",'Campus &amp; Student Groups'!J29)</f>
        <v/>
      </c>
      <c r="J149" s="16">
        <f>IF('Campus &amp; Student Groups'!K29="","",'Campus &amp; Student Groups'!K29)</f>
        <v/>
      </c>
      <c r="K149" s="17">
        <f>IF('Campus &amp; Student Groups'!L29="","",'Campus &amp; Student Groups'!L29)</f>
        <v/>
      </c>
      <c r="L149" s="16">
        <f>IF('Campus &amp; Student Groups'!M29="","",'Campus &amp; Student Groups'!M29)</f>
        <v/>
      </c>
      <c r="M149" s="17">
        <f>IF('Campus &amp; Student Groups'!N29="","",'Campus &amp; Student Groups'!N29)</f>
        <v/>
      </c>
      <c r="N149" s="16">
        <f>IF('Campus &amp; Student Groups'!O29="","",'Campus &amp; Student Groups'!O29)</f>
        <v/>
      </c>
      <c r="O149" s="17">
        <f>IF('Campus &amp; Student Groups'!P29="","",'Campus &amp; Student Groups'!P29)</f>
        <v/>
      </c>
      <c r="P149" s="17">
        <f>IF('Campus &amp; Student Groups'!Q29="","",'Campus &amp; Student Groups'!Q29)</f>
        <v/>
      </c>
      <c r="Q149" s="15">
        <f>IF('Campus &amp; Student Groups'!R29="","",'Campus &amp; Student Groups'!R29)</f>
        <v/>
      </c>
      <c r="R149" s="19">
        <f>IF('Campus &amp; Student Groups'!S29="","",'Campus &amp; Student Groups'!S29)</f>
        <v/>
      </c>
      <c r="S149" s="16">
        <f>IF('Campus &amp; Student Groups'!T29="","",'Campus &amp; Student Groups'!T29)</f>
        <v/>
      </c>
      <c r="T149" s="15">
        <f>IF('Campus &amp; Student Groups'!U29="","",'Campus &amp; Student Groups'!U29)</f>
        <v/>
      </c>
      <c r="U149" s="17">
        <f>IF('Campus &amp; Student Groups'!V29="","",'Campus &amp; Student Groups'!V29)</f>
        <v/>
      </c>
      <c r="V149" s="15">
        <f>IF('Campus &amp; Student Groups'!W29="","",'Campus &amp; Student Groups'!W29)</f>
        <v/>
      </c>
      <c r="W149" s="17">
        <f>IF('Campus &amp; Student Groups'!X29="","",'Campus &amp; Student Groups'!X29)</f>
        <v/>
      </c>
      <c r="X149" s="17">
        <f>IF('Campus &amp; Student Groups'!Y29="","",'Campus &amp; Student Groups'!Y29)</f>
        <v/>
      </c>
      <c r="Y149" s="20">
        <f>IF('Campus &amp; Student Groups'!Z29="","",'Campus &amp; Student Groups'!Z29)</f>
        <v/>
      </c>
      <c r="Z149" s="21">
        <f>IF('Campus &amp; Student Groups'!AA29="","",'Campus &amp; Student Groups'!AA29)</f>
        <v/>
      </c>
      <c r="AA149" s="20">
        <f>IF('Campus &amp; Student Groups'!AB29="","",'Campus &amp; Student Groups'!AB29)</f>
        <v/>
      </c>
      <c r="AB149" s="16">
        <f>IF('Campus &amp; Student Groups'!AC29="","",'Campus &amp; Student Groups'!AC29)</f>
        <v/>
      </c>
      <c r="AC149" s="16">
        <f>IF('Campus &amp; Student Groups'!AD29="","",'Campus &amp; Student Groups'!AD29)</f>
        <v/>
      </c>
      <c r="AD149" s="16">
        <f>IF('Campus &amp; Student Groups'!AE29="","",'Campus &amp; Student Groups'!AE29)</f>
        <v/>
      </c>
      <c r="AE149" s="16">
        <f>IF('Campus &amp; Student Groups'!AF29="","",'Campus &amp; Student Groups'!AF29)</f>
        <v/>
      </c>
      <c r="AF149" s="16">
        <f>IF('Campus &amp; Student Groups'!AG29="","",'Campus &amp; Student Groups'!AG29)</f>
        <v/>
      </c>
      <c r="AG149" s="17">
        <f>IF('Campus &amp; Student Groups'!AH29="","",'Campus &amp; Student Groups'!AH29)</f>
        <v/>
      </c>
      <c r="AH149" s="17">
        <f>IF('Campus &amp; Student Groups'!AI29="","",'Campus &amp; Student Groups'!AI29)</f>
        <v/>
      </c>
      <c r="AI149" s="17">
        <f>IF('Campus &amp; Student Groups'!AJ29="","",'Campus &amp; Student Groups'!AJ29)</f>
        <v/>
      </c>
      <c r="AJ149" s="17">
        <f>IF('Campus &amp; Student Groups'!AK29="","",'Campus &amp; Student Groups'!AK29)</f>
        <v/>
      </c>
      <c r="AK149" s="16">
        <f>IF('Campus &amp; Student Groups'!AL29="","",'Campus &amp; Student Groups'!AL29)</f>
        <v/>
      </c>
      <c r="AL149" s="18">
        <f>IF(V149="","",V149+ROW()/100000)</f>
        <v/>
      </c>
    </row>
    <row r="150" ht="18" customHeight="1">
      <c r="A150" s="22">
        <f>IF('Campus &amp; Student Groups'!B30="","","Campus &amp; Student Groups")</f>
        <v/>
      </c>
      <c r="B150" s="22">
        <f>IF('Campus &amp; Student Groups'!B30="","",'Campus &amp; Student Groups'!B30)</f>
        <v/>
      </c>
      <c r="C150" s="23">
        <f>IF('Campus &amp; Student Groups'!D30="","",'Campus &amp; Student Groups'!D30)</f>
        <v/>
      </c>
      <c r="D150" s="22">
        <f>IF('Campus &amp; Student Groups'!E30="","",'Campus &amp; Student Groups'!E30)</f>
        <v/>
      </c>
      <c r="E150" s="23">
        <f>IF('Campus &amp; Student Groups'!F30="","",'Campus &amp; Student Groups'!F30)</f>
        <v/>
      </c>
      <c r="F150" s="23">
        <f>IF('Campus &amp; Student Groups'!G30="","",'Campus &amp; Student Groups'!G30)</f>
        <v/>
      </c>
      <c r="G150" s="23">
        <f>IF('Campus &amp; Student Groups'!H30="","",'Campus &amp; Student Groups'!H30)</f>
        <v/>
      </c>
      <c r="H150" s="22">
        <f>IF('Campus &amp; Student Groups'!I30="","",'Campus &amp; Student Groups'!I30)</f>
        <v/>
      </c>
      <c r="I150" s="23">
        <f>IF('Campus &amp; Student Groups'!J30="","",'Campus &amp; Student Groups'!J30)</f>
        <v/>
      </c>
      <c r="J150" s="22">
        <f>IF('Campus &amp; Student Groups'!K30="","",'Campus &amp; Student Groups'!K30)</f>
        <v/>
      </c>
      <c r="K150" s="23">
        <f>IF('Campus &amp; Student Groups'!L30="","",'Campus &amp; Student Groups'!L30)</f>
        <v/>
      </c>
      <c r="L150" s="22">
        <f>IF('Campus &amp; Student Groups'!M30="","",'Campus &amp; Student Groups'!M30)</f>
        <v/>
      </c>
      <c r="M150" s="23">
        <f>IF('Campus &amp; Student Groups'!N30="","",'Campus &amp; Student Groups'!N30)</f>
        <v/>
      </c>
      <c r="N150" s="22">
        <f>IF('Campus &amp; Student Groups'!O30="","",'Campus &amp; Student Groups'!O30)</f>
        <v/>
      </c>
      <c r="O150" s="23">
        <f>IF('Campus &amp; Student Groups'!P30="","",'Campus &amp; Student Groups'!P30)</f>
        <v/>
      </c>
      <c r="P150" s="23">
        <f>IF('Campus &amp; Student Groups'!Q30="","",'Campus &amp; Student Groups'!Q30)</f>
        <v/>
      </c>
      <c r="Q150" s="24">
        <f>IF('Campus &amp; Student Groups'!R30="","",'Campus &amp; Student Groups'!R30)</f>
        <v/>
      </c>
      <c r="R150" s="25">
        <f>IF('Campus &amp; Student Groups'!S30="","",'Campus &amp; Student Groups'!S30)</f>
        <v/>
      </c>
      <c r="S150" s="22">
        <f>IF('Campus &amp; Student Groups'!T30="","",'Campus &amp; Student Groups'!T30)</f>
        <v/>
      </c>
      <c r="T150" s="24">
        <f>IF('Campus &amp; Student Groups'!U30="","",'Campus &amp; Student Groups'!U30)</f>
        <v/>
      </c>
      <c r="U150" s="23">
        <f>IF('Campus &amp; Student Groups'!V30="","",'Campus &amp; Student Groups'!V30)</f>
        <v/>
      </c>
      <c r="V150" s="24">
        <f>IF('Campus &amp; Student Groups'!W30="","",'Campus &amp; Student Groups'!W30)</f>
        <v/>
      </c>
      <c r="W150" s="23">
        <f>IF('Campus &amp; Student Groups'!X30="","",'Campus &amp; Student Groups'!X30)</f>
        <v/>
      </c>
      <c r="X150" s="23">
        <f>IF('Campus &amp; Student Groups'!Y30="","",'Campus &amp; Student Groups'!Y30)</f>
        <v/>
      </c>
      <c r="Y150" s="26">
        <f>IF('Campus &amp; Student Groups'!Z30="","",'Campus &amp; Student Groups'!Z30)</f>
        <v/>
      </c>
      <c r="Z150" s="27">
        <f>IF('Campus &amp; Student Groups'!AA30="","",'Campus &amp; Student Groups'!AA30)</f>
        <v/>
      </c>
      <c r="AA150" s="26">
        <f>IF('Campus &amp; Student Groups'!AB30="","",'Campus &amp; Student Groups'!AB30)</f>
        <v/>
      </c>
      <c r="AB150" s="22">
        <f>IF('Campus &amp; Student Groups'!AC30="","",'Campus &amp; Student Groups'!AC30)</f>
        <v/>
      </c>
      <c r="AC150" s="22">
        <f>IF('Campus &amp; Student Groups'!AD30="","",'Campus &amp; Student Groups'!AD30)</f>
        <v/>
      </c>
      <c r="AD150" s="22">
        <f>IF('Campus &amp; Student Groups'!AE30="","",'Campus &amp; Student Groups'!AE30)</f>
        <v/>
      </c>
      <c r="AE150" s="22">
        <f>IF('Campus &amp; Student Groups'!AF30="","",'Campus &amp; Student Groups'!AF30)</f>
        <v/>
      </c>
      <c r="AF150" s="22">
        <f>IF('Campus &amp; Student Groups'!AG30="","",'Campus &amp; Student Groups'!AG30)</f>
        <v/>
      </c>
      <c r="AG150" s="23">
        <f>IF('Campus &amp; Student Groups'!AH30="","",'Campus &amp; Student Groups'!AH30)</f>
        <v/>
      </c>
      <c r="AH150" s="23">
        <f>IF('Campus &amp; Student Groups'!AI30="","",'Campus &amp; Student Groups'!AI30)</f>
        <v/>
      </c>
      <c r="AI150" s="23">
        <f>IF('Campus &amp; Student Groups'!AJ30="","",'Campus &amp; Student Groups'!AJ30)</f>
        <v/>
      </c>
      <c r="AJ150" s="23">
        <f>IF('Campus &amp; Student Groups'!AK30="","",'Campus &amp; Student Groups'!AK30)</f>
        <v/>
      </c>
      <c r="AK150" s="22">
        <f>IF('Campus &amp; Student Groups'!AL30="","",'Campus &amp; Student Groups'!AL30)</f>
        <v/>
      </c>
      <c r="AL150" s="18">
        <f>IF(V150="","",V150+ROW()/100000)</f>
        <v/>
      </c>
    </row>
    <row r="151" ht="18" customHeight="1">
      <c r="A151" s="16">
        <f>IF('Campus &amp; Student Groups'!B31="","","Campus &amp; Student Groups")</f>
        <v/>
      </c>
      <c r="B151" s="16">
        <f>IF('Campus &amp; Student Groups'!B31="","",'Campus &amp; Student Groups'!B31)</f>
        <v/>
      </c>
      <c r="C151" s="17">
        <f>IF('Campus &amp; Student Groups'!D31="","",'Campus &amp; Student Groups'!D31)</f>
        <v/>
      </c>
      <c r="D151" s="16">
        <f>IF('Campus &amp; Student Groups'!E31="","",'Campus &amp; Student Groups'!E31)</f>
        <v/>
      </c>
      <c r="E151" s="17">
        <f>IF('Campus &amp; Student Groups'!F31="","",'Campus &amp; Student Groups'!F31)</f>
        <v/>
      </c>
      <c r="F151" s="17">
        <f>IF('Campus &amp; Student Groups'!G31="","",'Campus &amp; Student Groups'!G31)</f>
        <v/>
      </c>
      <c r="G151" s="17">
        <f>IF('Campus &amp; Student Groups'!H31="","",'Campus &amp; Student Groups'!H31)</f>
        <v/>
      </c>
      <c r="H151" s="16">
        <f>IF('Campus &amp; Student Groups'!I31="","",'Campus &amp; Student Groups'!I31)</f>
        <v/>
      </c>
      <c r="I151" s="17">
        <f>IF('Campus &amp; Student Groups'!J31="","",'Campus &amp; Student Groups'!J31)</f>
        <v/>
      </c>
      <c r="J151" s="16">
        <f>IF('Campus &amp; Student Groups'!K31="","",'Campus &amp; Student Groups'!K31)</f>
        <v/>
      </c>
      <c r="K151" s="17">
        <f>IF('Campus &amp; Student Groups'!L31="","",'Campus &amp; Student Groups'!L31)</f>
        <v/>
      </c>
      <c r="L151" s="16">
        <f>IF('Campus &amp; Student Groups'!M31="","",'Campus &amp; Student Groups'!M31)</f>
        <v/>
      </c>
      <c r="M151" s="17">
        <f>IF('Campus &amp; Student Groups'!N31="","",'Campus &amp; Student Groups'!N31)</f>
        <v/>
      </c>
      <c r="N151" s="16">
        <f>IF('Campus &amp; Student Groups'!O31="","",'Campus &amp; Student Groups'!O31)</f>
        <v/>
      </c>
      <c r="O151" s="17">
        <f>IF('Campus &amp; Student Groups'!P31="","",'Campus &amp; Student Groups'!P31)</f>
        <v/>
      </c>
      <c r="P151" s="17">
        <f>IF('Campus &amp; Student Groups'!Q31="","",'Campus &amp; Student Groups'!Q31)</f>
        <v/>
      </c>
      <c r="Q151" s="15">
        <f>IF('Campus &amp; Student Groups'!R31="","",'Campus &amp; Student Groups'!R31)</f>
        <v/>
      </c>
      <c r="R151" s="19">
        <f>IF('Campus &amp; Student Groups'!S31="","",'Campus &amp; Student Groups'!S31)</f>
        <v/>
      </c>
      <c r="S151" s="16">
        <f>IF('Campus &amp; Student Groups'!T31="","",'Campus &amp; Student Groups'!T31)</f>
        <v/>
      </c>
      <c r="T151" s="15">
        <f>IF('Campus &amp; Student Groups'!U31="","",'Campus &amp; Student Groups'!U31)</f>
        <v/>
      </c>
      <c r="U151" s="17">
        <f>IF('Campus &amp; Student Groups'!V31="","",'Campus &amp; Student Groups'!V31)</f>
        <v/>
      </c>
      <c r="V151" s="15">
        <f>IF('Campus &amp; Student Groups'!W31="","",'Campus &amp; Student Groups'!W31)</f>
        <v/>
      </c>
      <c r="W151" s="17">
        <f>IF('Campus &amp; Student Groups'!X31="","",'Campus &amp; Student Groups'!X31)</f>
        <v/>
      </c>
      <c r="X151" s="17">
        <f>IF('Campus &amp; Student Groups'!Y31="","",'Campus &amp; Student Groups'!Y31)</f>
        <v/>
      </c>
      <c r="Y151" s="20">
        <f>IF('Campus &amp; Student Groups'!Z31="","",'Campus &amp; Student Groups'!Z31)</f>
        <v/>
      </c>
      <c r="Z151" s="21">
        <f>IF('Campus &amp; Student Groups'!AA31="","",'Campus &amp; Student Groups'!AA31)</f>
        <v/>
      </c>
      <c r="AA151" s="20">
        <f>IF('Campus &amp; Student Groups'!AB31="","",'Campus &amp; Student Groups'!AB31)</f>
        <v/>
      </c>
      <c r="AB151" s="16">
        <f>IF('Campus &amp; Student Groups'!AC31="","",'Campus &amp; Student Groups'!AC31)</f>
        <v/>
      </c>
      <c r="AC151" s="16">
        <f>IF('Campus &amp; Student Groups'!AD31="","",'Campus &amp; Student Groups'!AD31)</f>
        <v/>
      </c>
      <c r="AD151" s="16">
        <f>IF('Campus &amp; Student Groups'!AE31="","",'Campus &amp; Student Groups'!AE31)</f>
        <v/>
      </c>
      <c r="AE151" s="16">
        <f>IF('Campus &amp; Student Groups'!AF31="","",'Campus &amp; Student Groups'!AF31)</f>
        <v/>
      </c>
      <c r="AF151" s="16">
        <f>IF('Campus &amp; Student Groups'!AG31="","",'Campus &amp; Student Groups'!AG31)</f>
        <v/>
      </c>
      <c r="AG151" s="17">
        <f>IF('Campus &amp; Student Groups'!AH31="","",'Campus &amp; Student Groups'!AH31)</f>
        <v/>
      </c>
      <c r="AH151" s="17">
        <f>IF('Campus &amp; Student Groups'!AI31="","",'Campus &amp; Student Groups'!AI31)</f>
        <v/>
      </c>
      <c r="AI151" s="17">
        <f>IF('Campus &amp; Student Groups'!AJ31="","",'Campus &amp; Student Groups'!AJ31)</f>
        <v/>
      </c>
      <c r="AJ151" s="17">
        <f>IF('Campus &amp; Student Groups'!AK31="","",'Campus &amp; Student Groups'!AK31)</f>
        <v/>
      </c>
      <c r="AK151" s="16">
        <f>IF('Campus &amp; Student Groups'!AL31="","",'Campus &amp; Student Groups'!AL31)</f>
        <v/>
      </c>
      <c r="AL151" s="18">
        <f>IF(V151="","",V151+ROW()/100000)</f>
        <v/>
      </c>
    </row>
    <row r="152" ht="18" customHeight="1">
      <c r="A152" s="22">
        <f>IF('Campus &amp; Student Groups'!B32="","","Campus &amp; Student Groups")</f>
        <v/>
      </c>
      <c r="B152" s="22">
        <f>IF('Campus &amp; Student Groups'!B32="","",'Campus &amp; Student Groups'!B32)</f>
        <v/>
      </c>
      <c r="C152" s="23">
        <f>IF('Campus &amp; Student Groups'!D32="","",'Campus &amp; Student Groups'!D32)</f>
        <v/>
      </c>
      <c r="D152" s="22">
        <f>IF('Campus &amp; Student Groups'!E32="","",'Campus &amp; Student Groups'!E32)</f>
        <v/>
      </c>
      <c r="E152" s="23">
        <f>IF('Campus &amp; Student Groups'!F32="","",'Campus &amp; Student Groups'!F32)</f>
        <v/>
      </c>
      <c r="F152" s="23">
        <f>IF('Campus &amp; Student Groups'!G32="","",'Campus &amp; Student Groups'!G32)</f>
        <v/>
      </c>
      <c r="G152" s="23">
        <f>IF('Campus &amp; Student Groups'!H32="","",'Campus &amp; Student Groups'!H32)</f>
        <v/>
      </c>
      <c r="H152" s="22">
        <f>IF('Campus &amp; Student Groups'!I32="","",'Campus &amp; Student Groups'!I32)</f>
        <v/>
      </c>
      <c r="I152" s="23">
        <f>IF('Campus &amp; Student Groups'!J32="","",'Campus &amp; Student Groups'!J32)</f>
        <v/>
      </c>
      <c r="J152" s="22">
        <f>IF('Campus &amp; Student Groups'!K32="","",'Campus &amp; Student Groups'!K32)</f>
        <v/>
      </c>
      <c r="K152" s="23">
        <f>IF('Campus &amp; Student Groups'!L32="","",'Campus &amp; Student Groups'!L32)</f>
        <v/>
      </c>
      <c r="L152" s="22">
        <f>IF('Campus &amp; Student Groups'!M32="","",'Campus &amp; Student Groups'!M32)</f>
        <v/>
      </c>
      <c r="M152" s="23">
        <f>IF('Campus &amp; Student Groups'!N32="","",'Campus &amp; Student Groups'!N32)</f>
        <v/>
      </c>
      <c r="N152" s="22">
        <f>IF('Campus &amp; Student Groups'!O32="","",'Campus &amp; Student Groups'!O32)</f>
        <v/>
      </c>
      <c r="O152" s="23">
        <f>IF('Campus &amp; Student Groups'!P32="","",'Campus &amp; Student Groups'!P32)</f>
        <v/>
      </c>
      <c r="P152" s="23">
        <f>IF('Campus &amp; Student Groups'!Q32="","",'Campus &amp; Student Groups'!Q32)</f>
        <v/>
      </c>
      <c r="Q152" s="24">
        <f>IF('Campus &amp; Student Groups'!R32="","",'Campus &amp; Student Groups'!R32)</f>
        <v/>
      </c>
      <c r="R152" s="25">
        <f>IF('Campus &amp; Student Groups'!S32="","",'Campus &amp; Student Groups'!S32)</f>
        <v/>
      </c>
      <c r="S152" s="22">
        <f>IF('Campus &amp; Student Groups'!T32="","",'Campus &amp; Student Groups'!T32)</f>
        <v/>
      </c>
      <c r="T152" s="24">
        <f>IF('Campus &amp; Student Groups'!U32="","",'Campus &amp; Student Groups'!U32)</f>
        <v/>
      </c>
      <c r="U152" s="23">
        <f>IF('Campus &amp; Student Groups'!V32="","",'Campus &amp; Student Groups'!V32)</f>
        <v/>
      </c>
      <c r="V152" s="24">
        <f>IF('Campus &amp; Student Groups'!W32="","",'Campus &amp; Student Groups'!W32)</f>
        <v/>
      </c>
      <c r="W152" s="23">
        <f>IF('Campus &amp; Student Groups'!X32="","",'Campus &amp; Student Groups'!X32)</f>
        <v/>
      </c>
      <c r="X152" s="23">
        <f>IF('Campus &amp; Student Groups'!Y32="","",'Campus &amp; Student Groups'!Y32)</f>
        <v/>
      </c>
      <c r="Y152" s="26">
        <f>IF('Campus &amp; Student Groups'!Z32="","",'Campus &amp; Student Groups'!Z32)</f>
        <v/>
      </c>
      <c r="Z152" s="27">
        <f>IF('Campus &amp; Student Groups'!AA32="","",'Campus &amp; Student Groups'!AA32)</f>
        <v/>
      </c>
      <c r="AA152" s="26">
        <f>IF('Campus &amp; Student Groups'!AB32="","",'Campus &amp; Student Groups'!AB32)</f>
        <v/>
      </c>
      <c r="AB152" s="22">
        <f>IF('Campus &amp; Student Groups'!AC32="","",'Campus &amp; Student Groups'!AC32)</f>
        <v/>
      </c>
      <c r="AC152" s="22">
        <f>IF('Campus &amp; Student Groups'!AD32="","",'Campus &amp; Student Groups'!AD32)</f>
        <v/>
      </c>
      <c r="AD152" s="22">
        <f>IF('Campus &amp; Student Groups'!AE32="","",'Campus &amp; Student Groups'!AE32)</f>
        <v/>
      </c>
      <c r="AE152" s="22">
        <f>IF('Campus &amp; Student Groups'!AF32="","",'Campus &amp; Student Groups'!AF32)</f>
        <v/>
      </c>
      <c r="AF152" s="22">
        <f>IF('Campus &amp; Student Groups'!AG32="","",'Campus &amp; Student Groups'!AG32)</f>
        <v/>
      </c>
      <c r="AG152" s="23">
        <f>IF('Campus &amp; Student Groups'!AH32="","",'Campus &amp; Student Groups'!AH32)</f>
        <v/>
      </c>
      <c r="AH152" s="23">
        <f>IF('Campus &amp; Student Groups'!AI32="","",'Campus &amp; Student Groups'!AI32)</f>
        <v/>
      </c>
      <c r="AI152" s="23">
        <f>IF('Campus &amp; Student Groups'!AJ32="","",'Campus &amp; Student Groups'!AJ32)</f>
        <v/>
      </c>
      <c r="AJ152" s="23">
        <f>IF('Campus &amp; Student Groups'!AK32="","",'Campus &amp; Student Groups'!AK32)</f>
        <v/>
      </c>
      <c r="AK152" s="22">
        <f>IF('Campus &amp; Student Groups'!AL32="","",'Campus &amp; Student Groups'!AL32)</f>
        <v/>
      </c>
      <c r="AL152" s="18">
        <f>IF(V152="","",V152+ROW()/100000)</f>
        <v/>
      </c>
    </row>
    <row r="153" ht="18" customHeight="1">
      <c r="A153" s="16">
        <f>IF('Wellness &amp; Recovery'!B3="","","Wellness &amp; Recovery")</f>
        <v/>
      </c>
      <c r="B153" s="16">
        <f>IF('Wellness &amp; Recovery'!B3="","",'Wellness &amp; Recovery'!B3)</f>
        <v/>
      </c>
      <c r="C153" s="17">
        <f>IF('Wellness &amp; Recovery'!D3="","",'Wellness &amp; Recovery'!D3)</f>
        <v/>
      </c>
      <c r="D153" s="16">
        <f>IF('Wellness &amp; Recovery'!E3="","",'Wellness &amp; Recovery'!E3)</f>
        <v/>
      </c>
      <c r="E153" s="17">
        <f>IF('Wellness &amp; Recovery'!F3="","",'Wellness &amp; Recovery'!F3)</f>
        <v/>
      </c>
      <c r="F153" s="17">
        <f>IF('Wellness &amp; Recovery'!G3="","",'Wellness &amp; Recovery'!G3)</f>
        <v/>
      </c>
      <c r="G153" s="17">
        <f>IF('Wellness &amp; Recovery'!H3="","",'Wellness &amp; Recovery'!H3)</f>
        <v/>
      </c>
      <c r="H153" s="16">
        <f>IF('Wellness &amp; Recovery'!I3="","",'Wellness &amp; Recovery'!I3)</f>
        <v/>
      </c>
      <c r="I153" s="17">
        <f>IF('Wellness &amp; Recovery'!J3="","",'Wellness &amp; Recovery'!J3)</f>
        <v/>
      </c>
      <c r="J153" s="16">
        <f>IF('Wellness &amp; Recovery'!K3="","",'Wellness &amp; Recovery'!K3)</f>
        <v/>
      </c>
      <c r="K153" s="17">
        <f>IF('Wellness &amp; Recovery'!L3="","",'Wellness &amp; Recovery'!L3)</f>
        <v/>
      </c>
      <c r="L153" s="16">
        <f>IF('Wellness &amp; Recovery'!M3="","",'Wellness &amp; Recovery'!M3)</f>
        <v/>
      </c>
      <c r="M153" s="17">
        <f>IF('Wellness &amp; Recovery'!N3="","",'Wellness &amp; Recovery'!N3)</f>
        <v/>
      </c>
      <c r="N153" s="16">
        <f>IF('Wellness &amp; Recovery'!O3="","",'Wellness &amp; Recovery'!O3)</f>
        <v/>
      </c>
      <c r="O153" s="17">
        <f>IF('Wellness &amp; Recovery'!P3="","",'Wellness &amp; Recovery'!P3)</f>
        <v/>
      </c>
      <c r="P153" s="17">
        <f>IF('Wellness &amp; Recovery'!Q3="","",'Wellness &amp; Recovery'!Q3)</f>
        <v/>
      </c>
      <c r="Q153" s="15">
        <f>IF('Wellness &amp; Recovery'!R3="","",'Wellness &amp; Recovery'!R3)</f>
        <v/>
      </c>
      <c r="R153" s="19">
        <f>IF('Wellness &amp; Recovery'!S3="","",'Wellness &amp; Recovery'!S3)</f>
        <v/>
      </c>
      <c r="S153" s="16">
        <f>IF('Wellness &amp; Recovery'!T3="","",'Wellness &amp; Recovery'!T3)</f>
        <v/>
      </c>
      <c r="T153" s="15">
        <f>IF('Wellness &amp; Recovery'!U3="","",'Wellness &amp; Recovery'!U3)</f>
        <v/>
      </c>
      <c r="U153" s="17">
        <f>IF('Wellness &amp; Recovery'!V3="","",'Wellness &amp; Recovery'!V3)</f>
        <v/>
      </c>
      <c r="V153" s="15">
        <f>IF('Wellness &amp; Recovery'!W3="","",'Wellness &amp; Recovery'!W3)</f>
        <v/>
      </c>
      <c r="W153" s="17">
        <f>IF('Wellness &amp; Recovery'!X3="","",'Wellness &amp; Recovery'!X3)</f>
        <v/>
      </c>
      <c r="X153" s="17">
        <f>IF('Wellness &amp; Recovery'!Y3="","",'Wellness &amp; Recovery'!Y3)</f>
        <v/>
      </c>
      <c r="Y153" s="20">
        <f>IF('Wellness &amp; Recovery'!Z3="","",'Wellness &amp; Recovery'!Z3)</f>
        <v/>
      </c>
      <c r="Z153" s="21">
        <f>IF('Wellness &amp; Recovery'!AA3="","",'Wellness &amp; Recovery'!AA3)</f>
        <v/>
      </c>
      <c r="AA153" s="20">
        <f>IF('Wellness &amp; Recovery'!AB3="","",'Wellness &amp; Recovery'!AB3)</f>
        <v/>
      </c>
      <c r="AB153" s="16">
        <f>IF('Wellness &amp; Recovery'!AC3="","",'Wellness &amp; Recovery'!AC3)</f>
        <v/>
      </c>
      <c r="AC153" s="16">
        <f>IF('Wellness &amp; Recovery'!AD3="","",'Wellness &amp; Recovery'!AD3)</f>
        <v/>
      </c>
      <c r="AD153" s="16">
        <f>IF('Wellness &amp; Recovery'!AE3="","",'Wellness &amp; Recovery'!AE3)</f>
        <v/>
      </c>
      <c r="AE153" s="16">
        <f>IF('Wellness &amp; Recovery'!AF3="","",'Wellness &amp; Recovery'!AF3)</f>
        <v/>
      </c>
      <c r="AF153" s="16">
        <f>IF('Wellness &amp; Recovery'!AG3="","",'Wellness &amp; Recovery'!AG3)</f>
        <v/>
      </c>
      <c r="AG153" s="17">
        <f>IF('Wellness &amp; Recovery'!AH3="","",'Wellness &amp; Recovery'!AH3)</f>
        <v/>
      </c>
      <c r="AH153" s="17">
        <f>IF('Wellness &amp; Recovery'!AI3="","",'Wellness &amp; Recovery'!AI3)</f>
        <v/>
      </c>
      <c r="AI153" s="17">
        <f>IF('Wellness &amp; Recovery'!AJ3="","",'Wellness &amp; Recovery'!AJ3)</f>
        <v/>
      </c>
      <c r="AJ153" s="17">
        <f>IF('Wellness &amp; Recovery'!AK3="","",'Wellness &amp; Recovery'!AK3)</f>
        <v/>
      </c>
      <c r="AK153" s="16">
        <f>IF('Wellness &amp; Recovery'!AL3="","",'Wellness &amp; Recovery'!AL3)</f>
        <v/>
      </c>
      <c r="AL153" s="18">
        <f>IF(V153="","",V153+ROW()/100000)</f>
        <v/>
      </c>
    </row>
    <row r="154" ht="18" customHeight="1">
      <c r="A154" s="22">
        <f>IF('Wellness &amp; Recovery'!B4="","","Wellness &amp; Recovery")</f>
        <v/>
      </c>
      <c r="B154" s="22">
        <f>IF('Wellness &amp; Recovery'!B4="","",'Wellness &amp; Recovery'!B4)</f>
        <v/>
      </c>
      <c r="C154" s="23">
        <f>IF('Wellness &amp; Recovery'!D4="","",'Wellness &amp; Recovery'!D4)</f>
        <v/>
      </c>
      <c r="D154" s="22">
        <f>IF('Wellness &amp; Recovery'!E4="","",'Wellness &amp; Recovery'!E4)</f>
        <v/>
      </c>
      <c r="E154" s="23">
        <f>IF('Wellness &amp; Recovery'!F4="","",'Wellness &amp; Recovery'!F4)</f>
        <v/>
      </c>
      <c r="F154" s="23">
        <f>IF('Wellness &amp; Recovery'!G4="","",'Wellness &amp; Recovery'!G4)</f>
        <v/>
      </c>
      <c r="G154" s="23">
        <f>IF('Wellness &amp; Recovery'!H4="","",'Wellness &amp; Recovery'!H4)</f>
        <v/>
      </c>
      <c r="H154" s="22">
        <f>IF('Wellness &amp; Recovery'!I4="","",'Wellness &amp; Recovery'!I4)</f>
        <v/>
      </c>
      <c r="I154" s="23">
        <f>IF('Wellness &amp; Recovery'!J4="","",'Wellness &amp; Recovery'!J4)</f>
        <v/>
      </c>
      <c r="J154" s="22">
        <f>IF('Wellness &amp; Recovery'!K4="","",'Wellness &amp; Recovery'!K4)</f>
        <v/>
      </c>
      <c r="K154" s="23">
        <f>IF('Wellness &amp; Recovery'!L4="","",'Wellness &amp; Recovery'!L4)</f>
        <v/>
      </c>
      <c r="L154" s="22">
        <f>IF('Wellness &amp; Recovery'!M4="","",'Wellness &amp; Recovery'!M4)</f>
        <v/>
      </c>
      <c r="M154" s="23">
        <f>IF('Wellness &amp; Recovery'!N4="","",'Wellness &amp; Recovery'!N4)</f>
        <v/>
      </c>
      <c r="N154" s="22">
        <f>IF('Wellness &amp; Recovery'!O4="","",'Wellness &amp; Recovery'!O4)</f>
        <v/>
      </c>
      <c r="O154" s="23">
        <f>IF('Wellness &amp; Recovery'!P4="","",'Wellness &amp; Recovery'!P4)</f>
        <v/>
      </c>
      <c r="P154" s="23">
        <f>IF('Wellness &amp; Recovery'!Q4="","",'Wellness &amp; Recovery'!Q4)</f>
        <v/>
      </c>
      <c r="Q154" s="24">
        <f>IF('Wellness &amp; Recovery'!R4="","",'Wellness &amp; Recovery'!R4)</f>
        <v/>
      </c>
      <c r="R154" s="25">
        <f>IF('Wellness &amp; Recovery'!S4="","",'Wellness &amp; Recovery'!S4)</f>
        <v/>
      </c>
      <c r="S154" s="22">
        <f>IF('Wellness &amp; Recovery'!T4="","",'Wellness &amp; Recovery'!T4)</f>
        <v/>
      </c>
      <c r="T154" s="24">
        <f>IF('Wellness &amp; Recovery'!U4="","",'Wellness &amp; Recovery'!U4)</f>
        <v/>
      </c>
      <c r="U154" s="23">
        <f>IF('Wellness &amp; Recovery'!V4="","",'Wellness &amp; Recovery'!V4)</f>
        <v/>
      </c>
      <c r="V154" s="24">
        <f>IF('Wellness &amp; Recovery'!W4="","",'Wellness &amp; Recovery'!W4)</f>
        <v/>
      </c>
      <c r="W154" s="23">
        <f>IF('Wellness &amp; Recovery'!X4="","",'Wellness &amp; Recovery'!X4)</f>
        <v/>
      </c>
      <c r="X154" s="23">
        <f>IF('Wellness &amp; Recovery'!Y4="","",'Wellness &amp; Recovery'!Y4)</f>
        <v/>
      </c>
      <c r="Y154" s="26">
        <f>IF('Wellness &amp; Recovery'!Z4="","",'Wellness &amp; Recovery'!Z4)</f>
        <v/>
      </c>
      <c r="Z154" s="27">
        <f>IF('Wellness &amp; Recovery'!AA4="","",'Wellness &amp; Recovery'!AA4)</f>
        <v/>
      </c>
      <c r="AA154" s="26">
        <f>IF('Wellness &amp; Recovery'!AB4="","",'Wellness &amp; Recovery'!AB4)</f>
        <v/>
      </c>
      <c r="AB154" s="22">
        <f>IF('Wellness &amp; Recovery'!AC4="","",'Wellness &amp; Recovery'!AC4)</f>
        <v/>
      </c>
      <c r="AC154" s="22">
        <f>IF('Wellness &amp; Recovery'!AD4="","",'Wellness &amp; Recovery'!AD4)</f>
        <v/>
      </c>
      <c r="AD154" s="22">
        <f>IF('Wellness &amp; Recovery'!AE4="","",'Wellness &amp; Recovery'!AE4)</f>
        <v/>
      </c>
      <c r="AE154" s="22">
        <f>IF('Wellness &amp; Recovery'!AF4="","",'Wellness &amp; Recovery'!AF4)</f>
        <v/>
      </c>
      <c r="AF154" s="22">
        <f>IF('Wellness &amp; Recovery'!AG4="","",'Wellness &amp; Recovery'!AG4)</f>
        <v/>
      </c>
      <c r="AG154" s="23">
        <f>IF('Wellness &amp; Recovery'!AH4="","",'Wellness &amp; Recovery'!AH4)</f>
        <v/>
      </c>
      <c r="AH154" s="23">
        <f>IF('Wellness &amp; Recovery'!AI4="","",'Wellness &amp; Recovery'!AI4)</f>
        <v/>
      </c>
      <c r="AI154" s="23">
        <f>IF('Wellness &amp; Recovery'!AJ4="","",'Wellness &amp; Recovery'!AJ4)</f>
        <v/>
      </c>
      <c r="AJ154" s="23">
        <f>IF('Wellness &amp; Recovery'!AK4="","",'Wellness &amp; Recovery'!AK4)</f>
        <v/>
      </c>
      <c r="AK154" s="22">
        <f>IF('Wellness &amp; Recovery'!AL4="","",'Wellness &amp; Recovery'!AL4)</f>
        <v/>
      </c>
      <c r="AL154" s="18">
        <f>IF(V154="","",V154+ROW()/100000)</f>
        <v/>
      </c>
    </row>
    <row r="155" ht="18" customHeight="1">
      <c r="A155" s="16">
        <f>IF('Wellness &amp; Recovery'!B5="","","Wellness &amp; Recovery")</f>
        <v/>
      </c>
      <c r="B155" s="16">
        <f>IF('Wellness &amp; Recovery'!B5="","",'Wellness &amp; Recovery'!B5)</f>
        <v/>
      </c>
      <c r="C155" s="17">
        <f>IF('Wellness &amp; Recovery'!D5="","",'Wellness &amp; Recovery'!D5)</f>
        <v/>
      </c>
      <c r="D155" s="16">
        <f>IF('Wellness &amp; Recovery'!E5="","",'Wellness &amp; Recovery'!E5)</f>
        <v/>
      </c>
      <c r="E155" s="17">
        <f>IF('Wellness &amp; Recovery'!F5="","",'Wellness &amp; Recovery'!F5)</f>
        <v/>
      </c>
      <c r="F155" s="17">
        <f>IF('Wellness &amp; Recovery'!G5="","",'Wellness &amp; Recovery'!G5)</f>
        <v/>
      </c>
      <c r="G155" s="17">
        <f>IF('Wellness &amp; Recovery'!H5="","",'Wellness &amp; Recovery'!H5)</f>
        <v/>
      </c>
      <c r="H155" s="16">
        <f>IF('Wellness &amp; Recovery'!I5="","",'Wellness &amp; Recovery'!I5)</f>
        <v/>
      </c>
      <c r="I155" s="17">
        <f>IF('Wellness &amp; Recovery'!J5="","",'Wellness &amp; Recovery'!J5)</f>
        <v/>
      </c>
      <c r="J155" s="16">
        <f>IF('Wellness &amp; Recovery'!K5="","",'Wellness &amp; Recovery'!K5)</f>
        <v/>
      </c>
      <c r="K155" s="17">
        <f>IF('Wellness &amp; Recovery'!L5="","",'Wellness &amp; Recovery'!L5)</f>
        <v/>
      </c>
      <c r="L155" s="16">
        <f>IF('Wellness &amp; Recovery'!M5="","",'Wellness &amp; Recovery'!M5)</f>
        <v/>
      </c>
      <c r="M155" s="17">
        <f>IF('Wellness &amp; Recovery'!N5="","",'Wellness &amp; Recovery'!N5)</f>
        <v/>
      </c>
      <c r="N155" s="16">
        <f>IF('Wellness &amp; Recovery'!O5="","",'Wellness &amp; Recovery'!O5)</f>
        <v/>
      </c>
      <c r="O155" s="17">
        <f>IF('Wellness &amp; Recovery'!P5="","",'Wellness &amp; Recovery'!P5)</f>
        <v/>
      </c>
      <c r="P155" s="17">
        <f>IF('Wellness &amp; Recovery'!Q5="","",'Wellness &amp; Recovery'!Q5)</f>
        <v/>
      </c>
      <c r="Q155" s="15">
        <f>IF('Wellness &amp; Recovery'!R5="","",'Wellness &amp; Recovery'!R5)</f>
        <v/>
      </c>
      <c r="R155" s="19">
        <f>IF('Wellness &amp; Recovery'!S5="","",'Wellness &amp; Recovery'!S5)</f>
        <v/>
      </c>
      <c r="S155" s="16">
        <f>IF('Wellness &amp; Recovery'!T5="","",'Wellness &amp; Recovery'!T5)</f>
        <v/>
      </c>
      <c r="T155" s="15">
        <f>IF('Wellness &amp; Recovery'!U5="","",'Wellness &amp; Recovery'!U5)</f>
        <v/>
      </c>
      <c r="U155" s="17">
        <f>IF('Wellness &amp; Recovery'!V5="","",'Wellness &amp; Recovery'!V5)</f>
        <v/>
      </c>
      <c r="V155" s="15">
        <f>IF('Wellness &amp; Recovery'!W5="","",'Wellness &amp; Recovery'!W5)</f>
        <v/>
      </c>
      <c r="W155" s="17">
        <f>IF('Wellness &amp; Recovery'!X5="","",'Wellness &amp; Recovery'!X5)</f>
        <v/>
      </c>
      <c r="X155" s="17">
        <f>IF('Wellness &amp; Recovery'!Y5="","",'Wellness &amp; Recovery'!Y5)</f>
        <v/>
      </c>
      <c r="Y155" s="20">
        <f>IF('Wellness &amp; Recovery'!Z5="","",'Wellness &amp; Recovery'!Z5)</f>
        <v/>
      </c>
      <c r="Z155" s="21">
        <f>IF('Wellness &amp; Recovery'!AA5="","",'Wellness &amp; Recovery'!AA5)</f>
        <v/>
      </c>
      <c r="AA155" s="20">
        <f>IF('Wellness &amp; Recovery'!AB5="","",'Wellness &amp; Recovery'!AB5)</f>
        <v/>
      </c>
      <c r="AB155" s="16">
        <f>IF('Wellness &amp; Recovery'!AC5="","",'Wellness &amp; Recovery'!AC5)</f>
        <v/>
      </c>
      <c r="AC155" s="16">
        <f>IF('Wellness &amp; Recovery'!AD5="","",'Wellness &amp; Recovery'!AD5)</f>
        <v/>
      </c>
      <c r="AD155" s="16">
        <f>IF('Wellness &amp; Recovery'!AE5="","",'Wellness &amp; Recovery'!AE5)</f>
        <v/>
      </c>
      <c r="AE155" s="16">
        <f>IF('Wellness &amp; Recovery'!AF5="","",'Wellness &amp; Recovery'!AF5)</f>
        <v/>
      </c>
      <c r="AF155" s="16">
        <f>IF('Wellness &amp; Recovery'!AG5="","",'Wellness &amp; Recovery'!AG5)</f>
        <v/>
      </c>
      <c r="AG155" s="17">
        <f>IF('Wellness &amp; Recovery'!AH5="","",'Wellness &amp; Recovery'!AH5)</f>
        <v/>
      </c>
      <c r="AH155" s="17">
        <f>IF('Wellness &amp; Recovery'!AI5="","",'Wellness &amp; Recovery'!AI5)</f>
        <v/>
      </c>
      <c r="AI155" s="17">
        <f>IF('Wellness &amp; Recovery'!AJ5="","",'Wellness &amp; Recovery'!AJ5)</f>
        <v/>
      </c>
      <c r="AJ155" s="17">
        <f>IF('Wellness &amp; Recovery'!AK5="","",'Wellness &amp; Recovery'!AK5)</f>
        <v/>
      </c>
      <c r="AK155" s="16">
        <f>IF('Wellness &amp; Recovery'!AL5="","",'Wellness &amp; Recovery'!AL5)</f>
        <v/>
      </c>
      <c r="AL155" s="18">
        <f>IF(V155="","",V155+ROW()/100000)</f>
        <v/>
      </c>
    </row>
    <row r="156" ht="18" customHeight="1">
      <c r="A156" s="22">
        <f>IF('Wellness &amp; Recovery'!B6="","","Wellness &amp; Recovery")</f>
        <v/>
      </c>
      <c r="B156" s="22">
        <f>IF('Wellness &amp; Recovery'!B6="","",'Wellness &amp; Recovery'!B6)</f>
        <v/>
      </c>
      <c r="C156" s="23">
        <f>IF('Wellness &amp; Recovery'!D6="","",'Wellness &amp; Recovery'!D6)</f>
        <v/>
      </c>
      <c r="D156" s="22">
        <f>IF('Wellness &amp; Recovery'!E6="","",'Wellness &amp; Recovery'!E6)</f>
        <v/>
      </c>
      <c r="E156" s="23">
        <f>IF('Wellness &amp; Recovery'!F6="","",'Wellness &amp; Recovery'!F6)</f>
        <v/>
      </c>
      <c r="F156" s="23">
        <f>IF('Wellness &amp; Recovery'!G6="","",'Wellness &amp; Recovery'!G6)</f>
        <v/>
      </c>
      <c r="G156" s="23">
        <f>IF('Wellness &amp; Recovery'!H6="","",'Wellness &amp; Recovery'!H6)</f>
        <v/>
      </c>
      <c r="H156" s="22">
        <f>IF('Wellness &amp; Recovery'!I6="","",'Wellness &amp; Recovery'!I6)</f>
        <v/>
      </c>
      <c r="I156" s="23">
        <f>IF('Wellness &amp; Recovery'!J6="","",'Wellness &amp; Recovery'!J6)</f>
        <v/>
      </c>
      <c r="J156" s="22">
        <f>IF('Wellness &amp; Recovery'!K6="","",'Wellness &amp; Recovery'!K6)</f>
        <v/>
      </c>
      <c r="K156" s="23">
        <f>IF('Wellness &amp; Recovery'!L6="","",'Wellness &amp; Recovery'!L6)</f>
        <v/>
      </c>
      <c r="L156" s="22">
        <f>IF('Wellness &amp; Recovery'!M6="","",'Wellness &amp; Recovery'!M6)</f>
        <v/>
      </c>
      <c r="M156" s="23">
        <f>IF('Wellness &amp; Recovery'!N6="","",'Wellness &amp; Recovery'!N6)</f>
        <v/>
      </c>
      <c r="N156" s="22">
        <f>IF('Wellness &amp; Recovery'!O6="","",'Wellness &amp; Recovery'!O6)</f>
        <v/>
      </c>
      <c r="O156" s="23">
        <f>IF('Wellness &amp; Recovery'!P6="","",'Wellness &amp; Recovery'!P6)</f>
        <v/>
      </c>
      <c r="P156" s="23">
        <f>IF('Wellness &amp; Recovery'!Q6="","",'Wellness &amp; Recovery'!Q6)</f>
        <v/>
      </c>
      <c r="Q156" s="24">
        <f>IF('Wellness &amp; Recovery'!R6="","",'Wellness &amp; Recovery'!R6)</f>
        <v/>
      </c>
      <c r="R156" s="25">
        <f>IF('Wellness &amp; Recovery'!S6="","",'Wellness &amp; Recovery'!S6)</f>
        <v/>
      </c>
      <c r="S156" s="22">
        <f>IF('Wellness &amp; Recovery'!T6="","",'Wellness &amp; Recovery'!T6)</f>
        <v/>
      </c>
      <c r="T156" s="24">
        <f>IF('Wellness &amp; Recovery'!U6="","",'Wellness &amp; Recovery'!U6)</f>
        <v/>
      </c>
      <c r="U156" s="23">
        <f>IF('Wellness &amp; Recovery'!V6="","",'Wellness &amp; Recovery'!V6)</f>
        <v/>
      </c>
      <c r="V156" s="24">
        <f>IF('Wellness &amp; Recovery'!W6="","",'Wellness &amp; Recovery'!W6)</f>
        <v/>
      </c>
      <c r="W156" s="23">
        <f>IF('Wellness &amp; Recovery'!X6="","",'Wellness &amp; Recovery'!X6)</f>
        <v/>
      </c>
      <c r="X156" s="23">
        <f>IF('Wellness &amp; Recovery'!Y6="","",'Wellness &amp; Recovery'!Y6)</f>
        <v/>
      </c>
      <c r="Y156" s="26">
        <f>IF('Wellness &amp; Recovery'!Z6="","",'Wellness &amp; Recovery'!Z6)</f>
        <v/>
      </c>
      <c r="Z156" s="27">
        <f>IF('Wellness &amp; Recovery'!AA6="","",'Wellness &amp; Recovery'!AA6)</f>
        <v/>
      </c>
      <c r="AA156" s="26">
        <f>IF('Wellness &amp; Recovery'!AB6="","",'Wellness &amp; Recovery'!AB6)</f>
        <v/>
      </c>
      <c r="AB156" s="22">
        <f>IF('Wellness &amp; Recovery'!AC6="","",'Wellness &amp; Recovery'!AC6)</f>
        <v/>
      </c>
      <c r="AC156" s="22">
        <f>IF('Wellness &amp; Recovery'!AD6="","",'Wellness &amp; Recovery'!AD6)</f>
        <v/>
      </c>
      <c r="AD156" s="22">
        <f>IF('Wellness &amp; Recovery'!AE6="","",'Wellness &amp; Recovery'!AE6)</f>
        <v/>
      </c>
      <c r="AE156" s="22">
        <f>IF('Wellness &amp; Recovery'!AF6="","",'Wellness &amp; Recovery'!AF6)</f>
        <v/>
      </c>
      <c r="AF156" s="22">
        <f>IF('Wellness &amp; Recovery'!AG6="","",'Wellness &amp; Recovery'!AG6)</f>
        <v/>
      </c>
      <c r="AG156" s="23">
        <f>IF('Wellness &amp; Recovery'!AH6="","",'Wellness &amp; Recovery'!AH6)</f>
        <v/>
      </c>
      <c r="AH156" s="23">
        <f>IF('Wellness &amp; Recovery'!AI6="","",'Wellness &amp; Recovery'!AI6)</f>
        <v/>
      </c>
      <c r="AI156" s="23">
        <f>IF('Wellness &amp; Recovery'!AJ6="","",'Wellness &amp; Recovery'!AJ6)</f>
        <v/>
      </c>
      <c r="AJ156" s="23">
        <f>IF('Wellness &amp; Recovery'!AK6="","",'Wellness &amp; Recovery'!AK6)</f>
        <v/>
      </c>
      <c r="AK156" s="22">
        <f>IF('Wellness &amp; Recovery'!AL6="","",'Wellness &amp; Recovery'!AL6)</f>
        <v/>
      </c>
      <c r="AL156" s="18">
        <f>IF(V156="","",V156+ROW()/100000)</f>
        <v/>
      </c>
    </row>
    <row r="157" ht="18" customHeight="1">
      <c r="A157" s="16">
        <f>IF('Wellness &amp; Recovery'!B7="","","Wellness &amp; Recovery")</f>
        <v/>
      </c>
      <c r="B157" s="16">
        <f>IF('Wellness &amp; Recovery'!B7="","",'Wellness &amp; Recovery'!B7)</f>
        <v/>
      </c>
      <c r="C157" s="17">
        <f>IF('Wellness &amp; Recovery'!D7="","",'Wellness &amp; Recovery'!D7)</f>
        <v/>
      </c>
      <c r="D157" s="16">
        <f>IF('Wellness &amp; Recovery'!E7="","",'Wellness &amp; Recovery'!E7)</f>
        <v/>
      </c>
      <c r="E157" s="17">
        <f>IF('Wellness &amp; Recovery'!F7="","",'Wellness &amp; Recovery'!F7)</f>
        <v/>
      </c>
      <c r="F157" s="17">
        <f>IF('Wellness &amp; Recovery'!G7="","",'Wellness &amp; Recovery'!G7)</f>
        <v/>
      </c>
      <c r="G157" s="17">
        <f>IF('Wellness &amp; Recovery'!H7="","",'Wellness &amp; Recovery'!H7)</f>
        <v/>
      </c>
      <c r="H157" s="16">
        <f>IF('Wellness &amp; Recovery'!I7="","",'Wellness &amp; Recovery'!I7)</f>
        <v/>
      </c>
      <c r="I157" s="17">
        <f>IF('Wellness &amp; Recovery'!J7="","",'Wellness &amp; Recovery'!J7)</f>
        <v/>
      </c>
      <c r="J157" s="16">
        <f>IF('Wellness &amp; Recovery'!K7="","",'Wellness &amp; Recovery'!K7)</f>
        <v/>
      </c>
      <c r="K157" s="17">
        <f>IF('Wellness &amp; Recovery'!L7="","",'Wellness &amp; Recovery'!L7)</f>
        <v/>
      </c>
      <c r="L157" s="16">
        <f>IF('Wellness &amp; Recovery'!M7="","",'Wellness &amp; Recovery'!M7)</f>
        <v/>
      </c>
      <c r="M157" s="17">
        <f>IF('Wellness &amp; Recovery'!N7="","",'Wellness &amp; Recovery'!N7)</f>
        <v/>
      </c>
      <c r="N157" s="16">
        <f>IF('Wellness &amp; Recovery'!O7="","",'Wellness &amp; Recovery'!O7)</f>
        <v/>
      </c>
      <c r="O157" s="17">
        <f>IF('Wellness &amp; Recovery'!P7="","",'Wellness &amp; Recovery'!P7)</f>
        <v/>
      </c>
      <c r="P157" s="17">
        <f>IF('Wellness &amp; Recovery'!Q7="","",'Wellness &amp; Recovery'!Q7)</f>
        <v/>
      </c>
      <c r="Q157" s="15">
        <f>IF('Wellness &amp; Recovery'!R7="","",'Wellness &amp; Recovery'!R7)</f>
        <v/>
      </c>
      <c r="R157" s="19">
        <f>IF('Wellness &amp; Recovery'!S7="","",'Wellness &amp; Recovery'!S7)</f>
        <v/>
      </c>
      <c r="S157" s="16">
        <f>IF('Wellness &amp; Recovery'!T7="","",'Wellness &amp; Recovery'!T7)</f>
        <v/>
      </c>
      <c r="T157" s="15">
        <f>IF('Wellness &amp; Recovery'!U7="","",'Wellness &amp; Recovery'!U7)</f>
        <v/>
      </c>
      <c r="U157" s="17">
        <f>IF('Wellness &amp; Recovery'!V7="","",'Wellness &amp; Recovery'!V7)</f>
        <v/>
      </c>
      <c r="V157" s="15">
        <f>IF('Wellness &amp; Recovery'!W7="","",'Wellness &amp; Recovery'!W7)</f>
        <v/>
      </c>
      <c r="W157" s="17">
        <f>IF('Wellness &amp; Recovery'!X7="","",'Wellness &amp; Recovery'!X7)</f>
        <v/>
      </c>
      <c r="X157" s="17">
        <f>IF('Wellness &amp; Recovery'!Y7="","",'Wellness &amp; Recovery'!Y7)</f>
        <v/>
      </c>
      <c r="Y157" s="20">
        <f>IF('Wellness &amp; Recovery'!Z7="","",'Wellness &amp; Recovery'!Z7)</f>
        <v/>
      </c>
      <c r="Z157" s="21">
        <f>IF('Wellness &amp; Recovery'!AA7="","",'Wellness &amp; Recovery'!AA7)</f>
        <v/>
      </c>
      <c r="AA157" s="20">
        <f>IF('Wellness &amp; Recovery'!AB7="","",'Wellness &amp; Recovery'!AB7)</f>
        <v/>
      </c>
      <c r="AB157" s="16">
        <f>IF('Wellness &amp; Recovery'!AC7="","",'Wellness &amp; Recovery'!AC7)</f>
        <v/>
      </c>
      <c r="AC157" s="16">
        <f>IF('Wellness &amp; Recovery'!AD7="","",'Wellness &amp; Recovery'!AD7)</f>
        <v/>
      </c>
      <c r="AD157" s="16">
        <f>IF('Wellness &amp; Recovery'!AE7="","",'Wellness &amp; Recovery'!AE7)</f>
        <v/>
      </c>
      <c r="AE157" s="16">
        <f>IF('Wellness &amp; Recovery'!AF7="","",'Wellness &amp; Recovery'!AF7)</f>
        <v/>
      </c>
      <c r="AF157" s="16">
        <f>IF('Wellness &amp; Recovery'!AG7="","",'Wellness &amp; Recovery'!AG7)</f>
        <v/>
      </c>
      <c r="AG157" s="17">
        <f>IF('Wellness &amp; Recovery'!AH7="","",'Wellness &amp; Recovery'!AH7)</f>
        <v/>
      </c>
      <c r="AH157" s="17">
        <f>IF('Wellness &amp; Recovery'!AI7="","",'Wellness &amp; Recovery'!AI7)</f>
        <v/>
      </c>
      <c r="AI157" s="17">
        <f>IF('Wellness &amp; Recovery'!AJ7="","",'Wellness &amp; Recovery'!AJ7)</f>
        <v/>
      </c>
      <c r="AJ157" s="17">
        <f>IF('Wellness &amp; Recovery'!AK7="","",'Wellness &amp; Recovery'!AK7)</f>
        <v/>
      </c>
      <c r="AK157" s="16">
        <f>IF('Wellness &amp; Recovery'!AL7="","",'Wellness &amp; Recovery'!AL7)</f>
        <v/>
      </c>
      <c r="AL157" s="18">
        <f>IF(V157="","",V157+ROW()/100000)</f>
        <v/>
      </c>
    </row>
    <row r="158" ht="18" customHeight="1">
      <c r="A158" s="22">
        <f>IF('Wellness &amp; Recovery'!B8="","","Wellness &amp; Recovery")</f>
        <v/>
      </c>
      <c r="B158" s="22">
        <f>IF('Wellness &amp; Recovery'!B8="","",'Wellness &amp; Recovery'!B8)</f>
        <v/>
      </c>
      <c r="C158" s="23">
        <f>IF('Wellness &amp; Recovery'!D8="","",'Wellness &amp; Recovery'!D8)</f>
        <v/>
      </c>
      <c r="D158" s="22">
        <f>IF('Wellness &amp; Recovery'!E8="","",'Wellness &amp; Recovery'!E8)</f>
        <v/>
      </c>
      <c r="E158" s="23">
        <f>IF('Wellness &amp; Recovery'!F8="","",'Wellness &amp; Recovery'!F8)</f>
        <v/>
      </c>
      <c r="F158" s="23">
        <f>IF('Wellness &amp; Recovery'!G8="","",'Wellness &amp; Recovery'!G8)</f>
        <v/>
      </c>
      <c r="G158" s="23">
        <f>IF('Wellness &amp; Recovery'!H8="","",'Wellness &amp; Recovery'!H8)</f>
        <v/>
      </c>
      <c r="H158" s="22">
        <f>IF('Wellness &amp; Recovery'!I8="","",'Wellness &amp; Recovery'!I8)</f>
        <v/>
      </c>
      <c r="I158" s="23">
        <f>IF('Wellness &amp; Recovery'!J8="","",'Wellness &amp; Recovery'!J8)</f>
        <v/>
      </c>
      <c r="J158" s="22">
        <f>IF('Wellness &amp; Recovery'!K8="","",'Wellness &amp; Recovery'!K8)</f>
        <v/>
      </c>
      <c r="K158" s="23">
        <f>IF('Wellness &amp; Recovery'!L8="","",'Wellness &amp; Recovery'!L8)</f>
        <v/>
      </c>
      <c r="L158" s="22">
        <f>IF('Wellness &amp; Recovery'!M8="","",'Wellness &amp; Recovery'!M8)</f>
        <v/>
      </c>
      <c r="M158" s="23">
        <f>IF('Wellness &amp; Recovery'!N8="","",'Wellness &amp; Recovery'!N8)</f>
        <v/>
      </c>
      <c r="N158" s="22">
        <f>IF('Wellness &amp; Recovery'!O8="","",'Wellness &amp; Recovery'!O8)</f>
        <v/>
      </c>
      <c r="O158" s="23">
        <f>IF('Wellness &amp; Recovery'!P8="","",'Wellness &amp; Recovery'!P8)</f>
        <v/>
      </c>
      <c r="P158" s="23">
        <f>IF('Wellness &amp; Recovery'!Q8="","",'Wellness &amp; Recovery'!Q8)</f>
        <v/>
      </c>
      <c r="Q158" s="24">
        <f>IF('Wellness &amp; Recovery'!R8="","",'Wellness &amp; Recovery'!R8)</f>
        <v/>
      </c>
      <c r="R158" s="25">
        <f>IF('Wellness &amp; Recovery'!S8="","",'Wellness &amp; Recovery'!S8)</f>
        <v/>
      </c>
      <c r="S158" s="22">
        <f>IF('Wellness &amp; Recovery'!T8="","",'Wellness &amp; Recovery'!T8)</f>
        <v/>
      </c>
      <c r="T158" s="24">
        <f>IF('Wellness &amp; Recovery'!U8="","",'Wellness &amp; Recovery'!U8)</f>
        <v/>
      </c>
      <c r="U158" s="23">
        <f>IF('Wellness &amp; Recovery'!V8="","",'Wellness &amp; Recovery'!V8)</f>
        <v/>
      </c>
      <c r="V158" s="24">
        <f>IF('Wellness &amp; Recovery'!W8="","",'Wellness &amp; Recovery'!W8)</f>
        <v/>
      </c>
      <c r="W158" s="23">
        <f>IF('Wellness &amp; Recovery'!X8="","",'Wellness &amp; Recovery'!X8)</f>
        <v/>
      </c>
      <c r="X158" s="23">
        <f>IF('Wellness &amp; Recovery'!Y8="","",'Wellness &amp; Recovery'!Y8)</f>
        <v/>
      </c>
      <c r="Y158" s="26">
        <f>IF('Wellness &amp; Recovery'!Z8="","",'Wellness &amp; Recovery'!Z8)</f>
        <v/>
      </c>
      <c r="Z158" s="27">
        <f>IF('Wellness &amp; Recovery'!AA8="","",'Wellness &amp; Recovery'!AA8)</f>
        <v/>
      </c>
      <c r="AA158" s="26">
        <f>IF('Wellness &amp; Recovery'!AB8="","",'Wellness &amp; Recovery'!AB8)</f>
        <v/>
      </c>
      <c r="AB158" s="22">
        <f>IF('Wellness &amp; Recovery'!AC8="","",'Wellness &amp; Recovery'!AC8)</f>
        <v/>
      </c>
      <c r="AC158" s="22">
        <f>IF('Wellness &amp; Recovery'!AD8="","",'Wellness &amp; Recovery'!AD8)</f>
        <v/>
      </c>
      <c r="AD158" s="22">
        <f>IF('Wellness &amp; Recovery'!AE8="","",'Wellness &amp; Recovery'!AE8)</f>
        <v/>
      </c>
      <c r="AE158" s="22">
        <f>IF('Wellness &amp; Recovery'!AF8="","",'Wellness &amp; Recovery'!AF8)</f>
        <v/>
      </c>
      <c r="AF158" s="22">
        <f>IF('Wellness &amp; Recovery'!AG8="","",'Wellness &amp; Recovery'!AG8)</f>
        <v/>
      </c>
      <c r="AG158" s="23">
        <f>IF('Wellness &amp; Recovery'!AH8="","",'Wellness &amp; Recovery'!AH8)</f>
        <v/>
      </c>
      <c r="AH158" s="23">
        <f>IF('Wellness &amp; Recovery'!AI8="","",'Wellness &amp; Recovery'!AI8)</f>
        <v/>
      </c>
      <c r="AI158" s="23">
        <f>IF('Wellness &amp; Recovery'!AJ8="","",'Wellness &amp; Recovery'!AJ8)</f>
        <v/>
      </c>
      <c r="AJ158" s="23">
        <f>IF('Wellness &amp; Recovery'!AK8="","",'Wellness &amp; Recovery'!AK8)</f>
        <v/>
      </c>
      <c r="AK158" s="22">
        <f>IF('Wellness &amp; Recovery'!AL8="","",'Wellness &amp; Recovery'!AL8)</f>
        <v/>
      </c>
      <c r="AL158" s="18">
        <f>IF(V158="","",V158+ROW()/100000)</f>
        <v/>
      </c>
    </row>
    <row r="159" ht="18" customHeight="1">
      <c r="A159" s="16">
        <f>IF('Wellness &amp; Recovery'!B9="","","Wellness &amp; Recovery")</f>
        <v/>
      </c>
      <c r="B159" s="16">
        <f>IF('Wellness &amp; Recovery'!B9="","",'Wellness &amp; Recovery'!B9)</f>
        <v/>
      </c>
      <c r="C159" s="17">
        <f>IF('Wellness &amp; Recovery'!D9="","",'Wellness &amp; Recovery'!D9)</f>
        <v/>
      </c>
      <c r="D159" s="16">
        <f>IF('Wellness &amp; Recovery'!E9="","",'Wellness &amp; Recovery'!E9)</f>
        <v/>
      </c>
      <c r="E159" s="17">
        <f>IF('Wellness &amp; Recovery'!F9="","",'Wellness &amp; Recovery'!F9)</f>
        <v/>
      </c>
      <c r="F159" s="17">
        <f>IF('Wellness &amp; Recovery'!G9="","",'Wellness &amp; Recovery'!G9)</f>
        <v/>
      </c>
      <c r="G159" s="17">
        <f>IF('Wellness &amp; Recovery'!H9="","",'Wellness &amp; Recovery'!H9)</f>
        <v/>
      </c>
      <c r="H159" s="16">
        <f>IF('Wellness &amp; Recovery'!I9="","",'Wellness &amp; Recovery'!I9)</f>
        <v/>
      </c>
      <c r="I159" s="17">
        <f>IF('Wellness &amp; Recovery'!J9="","",'Wellness &amp; Recovery'!J9)</f>
        <v/>
      </c>
      <c r="J159" s="16">
        <f>IF('Wellness &amp; Recovery'!K9="","",'Wellness &amp; Recovery'!K9)</f>
        <v/>
      </c>
      <c r="K159" s="17">
        <f>IF('Wellness &amp; Recovery'!L9="","",'Wellness &amp; Recovery'!L9)</f>
        <v/>
      </c>
      <c r="L159" s="16">
        <f>IF('Wellness &amp; Recovery'!M9="","",'Wellness &amp; Recovery'!M9)</f>
        <v/>
      </c>
      <c r="M159" s="17">
        <f>IF('Wellness &amp; Recovery'!N9="","",'Wellness &amp; Recovery'!N9)</f>
        <v/>
      </c>
      <c r="N159" s="16">
        <f>IF('Wellness &amp; Recovery'!O9="","",'Wellness &amp; Recovery'!O9)</f>
        <v/>
      </c>
      <c r="O159" s="17">
        <f>IF('Wellness &amp; Recovery'!P9="","",'Wellness &amp; Recovery'!P9)</f>
        <v/>
      </c>
      <c r="P159" s="17">
        <f>IF('Wellness &amp; Recovery'!Q9="","",'Wellness &amp; Recovery'!Q9)</f>
        <v/>
      </c>
      <c r="Q159" s="15">
        <f>IF('Wellness &amp; Recovery'!R9="","",'Wellness &amp; Recovery'!R9)</f>
        <v/>
      </c>
      <c r="R159" s="19">
        <f>IF('Wellness &amp; Recovery'!S9="","",'Wellness &amp; Recovery'!S9)</f>
        <v/>
      </c>
      <c r="S159" s="16">
        <f>IF('Wellness &amp; Recovery'!T9="","",'Wellness &amp; Recovery'!T9)</f>
        <v/>
      </c>
      <c r="T159" s="15">
        <f>IF('Wellness &amp; Recovery'!U9="","",'Wellness &amp; Recovery'!U9)</f>
        <v/>
      </c>
      <c r="U159" s="17">
        <f>IF('Wellness &amp; Recovery'!V9="","",'Wellness &amp; Recovery'!V9)</f>
        <v/>
      </c>
      <c r="V159" s="15">
        <f>IF('Wellness &amp; Recovery'!W9="","",'Wellness &amp; Recovery'!W9)</f>
        <v/>
      </c>
      <c r="W159" s="17">
        <f>IF('Wellness &amp; Recovery'!X9="","",'Wellness &amp; Recovery'!X9)</f>
        <v/>
      </c>
      <c r="X159" s="17">
        <f>IF('Wellness &amp; Recovery'!Y9="","",'Wellness &amp; Recovery'!Y9)</f>
        <v/>
      </c>
      <c r="Y159" s="20">
        <f>IF('Wellness &amp; Recovery'!Z9="","",'Wellness &amp; Recovery'!Z9)</f>
        <v/>
      </c>
      <c r="Z159" s="21">
        <f>IF('Wellness &amp; Recovery'!AA9="","",'Wellness &amp; Recovery'!AA9)</f>
        <v/>
      </c>
      <c r="AA159" s="20">
        <f>IF('Wellness &amp; Recovery'!AB9="","",'Wellness &amp; Recovery'!AB9)</f>
        <v/>
      </c>
      <c r="AB159" s="16">
        <f>IF('Wellness &amp; Recovery'!AC9="","",'Wellness &amp; Recovery'!AC9)</f>
        <v/>
      </c>
      <c r="AC159" s="16">
        <f>IF('Wellness &amp; Recovery'!AD9="","",'Wellness &amp; Recovery'!AD9)</f>
        <v/>
      </c>
      <c r="AD159" s="16">
        <f>IF('Wellness &amp; Recovery'!AE9="","",'Wellness &amp; Recovery'!AE9)</f>
        <v/>
      </c>
      <c r="AE159" s="16">
        <f>IF('Wellness &amp; Recovery'!AF9="","",'Wellness &amp; Recovery'!AF9)</f>
        <v/>
      </c>
      <c r="AF159" s="16">
        <f>IF('Wellness &amp; Recovery'!AG9="","",'Wellness &amp; Recovery'!AG9)</f>
        <v/>
      </c>
      <c r="AG159" s="17">
        <f>IF('Wellness &amp; Recovery'!AH9="","",'Wellness &amp; Recovery'!AH9)</f>
        <v/>
      </c>
      <c r="AH159" s="17">
        <f>IF('Wellness &amp; Recovery'!AI9="","",'Wellness &amp; Recovery'!AI9)</f>
        <v/>
      </c>
      <c r="AI159" s="17">
        <f>IF('Wellness &amp; Recovery'!AJ9="","",'Wellness &amp; Recovery'!AJ9)</f>
        <v/>
      </c>
      <c r="AJ159" s="17">
        <f>IF('Wellness &amp; Recovery'!AK9="","",'Wellness &amp; Recovery'!AK9)</f>
        <v/>
      </c>
      <c r="AK159" s="16">
        <f>IF('Wellness &amp; Recovery'!AL9="","",'Wellness &amp; Recovery'!AL9)</f>
        <v/>
      </c>
      <c r="AL159" s="18">
        <f>IF(V159="","",V159+ROW()/100000)</f>
        <v/>
      </c>
    </row>
    <row r="160" ht="18" customHeight="1">
      <c r="A160" s="22">
        <f>IF('Wellness &amp; Recovery'!B10="","","Wellness &amp; Recovery")</f>
        <v/>
      </c>
      <c r="B160" s="22">
        <f>IF('Wellness &amp; Recovery'!B10="","",'Wellness &amp; Recovery'!B10)</f>
        <v/>
      </c>
      <c r="C160" s="23">
        <f>IF('Wellness &amp; Recovery'!D10="","",'Wellness &amp; Recovery'!D10)</f>
        <v/>
      </c>
      <c r="D160" s="22">
        <f>IF('Wellness &amp; Recovery'!E10="","",'Wellness &amp; Recovery'!E10)</f>
        <v/>
      </c>
      <c r="E160" s="23">
        <f>IF('Wellness &amp; Recovery'!F10="","",'Wellness &amp; Recovery'!F10)</f>
        <v/>
      </c>
      <c r="F160" s="23">
        <f>IF('Wellness &amp; Recovery'!G10="","",'Wellness &amp; Recovery'!G10)</f>
        <v/>
      </c>
      <c r="G160" s="23">
        <f>IF('Wellness &amp; Recovery'!H10="","",'Wellness &amp; Recovery'!H10)</f>
        <v/>
      </c>
      <c r="H160" s="22">
        <f>IF('Wellness &amp; Recovery'!I10="","",'Wellness &amp; Recovery'!I10)</f>
        <v/>
      </c>
      <c r="I160" s="23">
        <f>IF('Wellness &amp; Recovery'!J10="","",'Wellness &amp; Recovery'!J10)</f>
        <v/>
      </c>
      <c r="J160" s="22">
        <f>IF('Wellness &amp; Recovery'!K10="","",'Wellness &amp; Recovery'!K10)</f>
        <v/>
      </c>
      <c r="K160" s="23">
        <f>IF('Wellness &amp; Recovery'!L10="","",'Wellness &amp; Recovery'!L10)</f>
        <v/>
      </c>
      <c r="L160" s="22">
        <f>IF('Wellness &amp; Recovery'!M10="","",'Wellness &amp; Recovery'!M10)</f>
        <v/>
      </c>
      <c r="M160" s="23">
        <f>IF('Wellness &amp; Recovery'!N10="","",'Wellness &amp; Recovery'!N10)</f>
        <v/>
      </c>
      <c r="N160" s="22">
        <f>IF('Wellness &amp; Recovery'!O10="","",'Wellness &amp; Recovery'!O10)</f>
        <v/>
      </c>
      <c r="O160" s="23">
        <f>IF('Wellness &amp; Recovery'!P10="","",'Wellness &amp; Recovery'!P10)</f>
        <v/>
      </c>
      <c r="P160" s="23">
        <f>IF('Wellness &amp; Recovery'!Q10="","",'Wellness &amp; Recovery'!Q10)</f>
        <v/>
      </c>
      <c r="Q160" s="24">
        <f>IF('Wellness &amp; Recovery'!R10="","",'Wellness &amp; Recovery'!R10)</f>
        <v/>
      </c>
      <c r="R160" s="25">
        <f>IF('Wellness &amp; Recovery'!S10="","",'Wellness &amp; Recovery'!S10)</f>
        <v/>
      </c>
      <c r="S160" s="22">
        <f>IF('Wellness &amp; Recovery'!T10="","",'Wellness &amp; Recovery'!T10)</f>
        <v/>
      </c>
      <c r="T160" s="24">
        <f>IF('Wellness &amp; Recovery'!U10="","",'Wellness &amp; Recovery'!U10)</f>
        <v/>
      </c>
      <c r="U160" s="23">
        <f>IF('Wellness &amp; Recovery'!V10="","",'Wellness &amp; Recovery'!V10)</f>
        <v/>
      </c>
      <c r="V160" s="24">
        <f>IF('Wellness &amp; Recovery'!W10="","",'Wellness &amp; Recovery'!W10)</f>
        <v/>
      </c>
      <c r="W160" s="23">
        <f>IF('Wellness &amp; Recovery'!X10="","",'Wellness &amp; Recovery'!X10)</f>
        <v/>
      </c>
      <c r="X160" s="23">
        <f>IF('Wellness &amp; Recovery'!Y10="","",'Wellness &amp; Recovery'!Y10)</f>
        <v/>
      </c>
      <c r="Y160" s="26">
        <f>IF('Wellness &amp; Recovery'!Z10="","",'Wellness &amp; Recovery'!Z10)</f>
        <v/>
      </c>
      <c r="Z160" s="27">
        <f>IF('Wellness &amp; Recovery'!AA10="","",'Wellness &amp; Recovery'!AA10)</f>
        <v/>
      </c>
      <c r="AA160" s="26">
        <f>IF('Wellness &amp; Recovery'!AB10="","",'Wellness &amp; Recovery'!AB10)</f>
        <v/>
      </c>
      <c r="AB160" s="22">
        <f>IF('Wellness &amp; Recovery'!AC10="","",'Wellness &amp; Recovery'!AC10)</f>
        <v/>
      </c>
      <c r="AC160" s="22">
        <f>IF('Wellness &amp; Recovery'!AD10="","",'Wellness &amp; Recovery'!AD10)</f>
        <v/>
      </c>
      <c r="AD160" s="22">
        <f>IF('Wellness &amp; Recovery'!AE10="","",'Wellness &amp; Recovery'!AE10)</f>
        <v/>
      </c>
      <c r="AE160" s="22">
        <f>IF('Wellness &amp; Recovery'!AF10="","",'Wellness &amp; Recovery'!AF10)</f>
        <v/>
      </c>
      <c r="AF160" s="22">
        <f>IF('Wellness &amp; Recovery'!AG10="","",'Wellness &amp; Recovery'!AG10)</f>
        <v/>
      </c>
      <c r="AG160" s="23">
        <f>IF('Wellness &amp; Recovery'!AH10="","",'Wellness &amp; Recovery'!AH10)</f>
        <v/>
      </c>
      <c r="AH160" s="23">
        <f>IF('Wellness &amp; Recovery'!AI10="","",'Wellness &amp; Recovery'!AI10)</f>
        <v/>
      </c>
      <c r="AI160" s="23">
        <f>IF('Wellness &amp; Recovery'!AJ10="","",'Wellness &amp; Recovery'!AJ10)</f>
        <v/>
      </c>
      <c r="AJ160" s="23">
        <f>IF('Wellness &amp; Recovery'!AK10="","",'Wellness &amp; Recovery'!AK10)</f>
        <v/>
      </c>
      <c r="AK160" s="22">
        <f>IF('Wellness &amp; Recovery'!AL10="","",'Wellness &amp; Recovery'!AL10)</f>
        <v/>
      </c>
      <c r="AL160" s="18">
        <f>IF(V160="","",V160+ROW()/100000)</f>
        <v/>
      </c>
    </row>
    <row r="161" ht="18" customHeight="1">
      <c r="A161" s="16">
        <f>IF('Wellness &amp; Recovery'!B11="","","Wellness &amp; Recovery")</f>
        <v/>
      </c>
      <c r="B161" s="16">
        <f>IF('Wellness &amp; Recovery'!B11="","",'Wellness &amp; Recovery'!B11)</f>
        <v/>
      </c>
      <c r="C161" s="17">
        <f>IF('Wellness &amp; Recovery'!D11="","",'Wellness &amp; Recovery'!D11)</f>
        <v/>
      </c>
      <c r="D161" s="16">
        <f>IF('Wellness &amp; Recovery'!E11="","",'Wellness &amp; Recovery'!E11)</f>
        <v/>
      </c>
      <c r="E161" s="17">
        <f>IF('Wellness &amp; Recovery'!F11="","",'Wellness &amp; Recovery'!F11)</f>
        <v/>
      </c>
      <c r="F161" s="17">
        <f>IF('Wellness &amp; Recovery'!G11="","",'Wellness &amp; Recovery'!G11)</f>
        <v/>
      </c>
      <c r="G161" s="17">
        <f>IF('Wellness &amp; Recovery'!H11="","",'Wellness &amp; Recovery'!H11)</f>
        <v/>
      </c>
      <c r="H161" s="16">
        <f>IF('Wellness &amp; Recovery'!I11="","",'Wellness &amp; Recovery'!I11)</f>
        <v/>
      </c>
      <c r="I161" s="17">
        <f>IF('Wellness &amp; Recovery'!J11="","",'Wellness &amp; Recovery'!J11)</f>
        <v/>
      </c>
      <c r="J161" s="16">
        <f>IF('Wellness &amp; Recovery'!K11="","",'Wellness &amp; Recovery'!K11)</f>
        <v/>
      </c>
      <c r="K161" s="17">
        <f>IF('Wellness &amp; Recovery'!L11="","",'Wellness &amp; Recovery'!L11)</f>
        <v/>
      </c>
      <c r="L161" s="16">
        <f>IF('Wellness &amp; Recovery'!M11="","",'Wellness &amp; Recovery'!M11)</f>
        <v/>
      </c>
      <c r="M161" s="17">
        <f>IF('Wellness &amp; Recovery'!N11="","",'Wellness &amp; Recovery'!N11)</f>
        <v/>
      </c>
      <c r="N161" s="16">
        <f>IF('Wellness &amp; Recovery'!O11="","",'Wellness &amp; Recovery'!O11)</f>
        <v/>
      </c>
      <c r="O161" s="17">
        <f>IF('Wellness &amp; Recovery'!P11="","",'Wellness &amp; Recovery'!P11)</f>
        <v/>
      </c>
      <c r="P161" s="17">
        <f>IF('Wellness &amp; Recovery'!Q11="","",'Wellness &amp; Recovery'!Q11)</f>
        <v/>
      </c>
      <c r="Q161" s="15">
        <f>IF('Wellness &amp; Recovery'!R11="","",'Wellness &amp; Recovery'!R11)</f>
        <v/>
      </c>
      <c r="R161" s="19">
        <f>IF('Wellness &amp; Recovery'!S11="","",'Wellness &amp; Recovery'!S11)</f>
        <v/>
      </c>
      <c r="S161" s="16">
        <f>IF('Wellness &amp; Recovery'!T11="","",'Wellness &amp; Recovery'!T11)</f>
        <v/>
      </c>
      <c r="T161" s="15">
        <f>IF('Wellness &amp; Recovery'!U11="","",'Wellness &amp; Recovery'!U11)</f>
        <v/>
      </c>
      <c r="U161" s="17">
        <f>IF('Wellness &amp; Recovery'!V11="","",'Wellness &amp; Recovery'!V11)</f>
        <v/>
      </c>
      <c r="V161" s="15">
        <f>IF('Wellness &amp; Recovery'!W11="","",'Wellness &amp; Recovery'!W11)</f>
        <v/>
      </c>
      <c r="W161" s="17">
        <f>IF('Wellness &amp; Recovery'!X11="","",'Wellness &amp; Recovery'!X11)</f>
        <v/>
      </c>
      <c r="X161" s="17">
        <f>IF('Wellness &amp; Recovery'!Y11="","",'Wellness &amp; Recovery'!Y11)</f>
        <v/>
      </c>
      <c r="Y161" s="20">
        <f>IF('Wellness &amp; Recovery'!Z11="","",'Wellness &amp; Recovery'!Z11)</f>
        <v/>
      </c>
      <c r="Z161" s="21">
        <f>IF('Wellness &amp; Recovery'!AA11="","",'Wellness &amp; Recovery'!AA11)</f>
        <v/>
      </c>
      <c r="AA161" s="20">
        <f>IF('Wellness &amp; Recovery'!AB11="","",'Wellness &amp; Recovery'!AB11)</f>
        <v/>
      </c>
      <c r="AB161" s="16">
        <f>IF('Wellness &amp; Recovery'!AC11="","",'Wellness &amp; Recovery'!AC11)</f>
        <v/>
      </c>
      <c r="AC161" s="16">
        <f>IF('Wellness &amp; Recovery'!AD11="","",'Wellness &amp; Recovery'!AD11)</f>
        <v/>
      </c>
      <c r="AD161" s="16">
        <f>IF('Wellness &amp; Recovery'!AE11="","",'Wellness &amp; Recovery'!AE11)</f>
        <v/>
      </c>
      <c r="AE161" s="16">
        <f>IF('Wellness &amp; Recovery'!AF11="","",'Wellness &amp; Recovery'!AF11)</f>
        <v/>
      </c>
      <c r="AF161" s="16">
        <f>IF('Wellness &amp; Recovery'!AG11="","",'Wellness &amp; Recovery'!AG11)</f>
        <v/>
      </c>
      <c r="AG161" s="17">
        <f>IF('Wellness &amp; Recovery'!AH11="","",'Wellness &amp; Recovery'!AH11)</f>
        <v/>
      </c>
      <c r="AH161" s="17">
        <f>IF('Wellness &amp; Recovery'!AI11="","",'Wellness &amp; Recovery'!AI11)</f>
        <v/>
      </c>
      <c r="AI161" s="17">
        <f>IF('Wellness &amp; Recovery'!AJ11="","",'Wellness &amp; Recovery'!AJ11)</f>
        <v/>
      </c>
      <c r="AJ161" s="17">
        <f>IF('Wellness &amp; Recovery'!AK11="","",'Wellness &amp; Recovery'!AK11)</f>
        <v/>
      </c>
      <c r="AK161" s="16">
        <f>IF('Wellness &amp; Recovery'!AL11="","",'Wellness &amp; Recovery'!AL11)</f>
        <v/>
      </c>
      <c r="AL161" s="18">
        <f>IF(V161="","",V161+ROW()/100000)</f>
        <v/>
      </c>
    </row>
    <row r="162" ht="18" customHeight="1">
      <c r="A162" s="22">
        <f>IF('Wellness &amp; Recovery'!B12="","","Wellness &amp; Recovery")</f>
        <v/>
      </c>
      <c r="B162" s="22">
        <f>IF('Wellness &amp; Recovery'!B12="","",'Wellness &amp; Recovery'!B12)</f>
        <v/>
      </c>
      <c r="C162" s="23">
        <f>IF('Wellness &amp; Recovery'!D12="","",'Wellness &amp; Recovery'!D12)</f>
        <v/>
      </c>
      <c r="D162" s="22">
        <f>IF('Wellness &amp; Recovery'!E12="","",'Wellness &amp; Recovery'!E12)</f>
        <v/>
      </c>
      <c r="E162" s="23">
        <f>IF('Wellness &amp; Recovery'!F12="","",'Wellness &amp; Recovery'!F12)</f>
        <v/>
      </c>
      <c r="F162" s="23">
        <f>IF('Wellness &amp; Recovery'!G12="","",'Wellness &amp; Recovery'!G12)</f>
        <v/>
      </c>
      <c r="G162" s="23">
        <f>IF('Wellness &amp; Recovery'!H12="","",'Wellness &amp; Recovery'!H12)</f>
        <v/>
      </c>
      <c r="H162" s="22">
        <f>IF('Wellness &amp; Recovery'!I12="","",'Wellness &amp; Recovery'!I12)</f>
        <v/>
      </c>
      <c r="I162" s="23">
        <f>IF('Wellness &amp; Recovery'!J12="","",'Wellness &amp; Recovery'!J12)</f>
        <v/>
      </c>
      <c r="J162" s="22">
        <f>IF('Wellness &amp; Recovery'!K12="","",'Wellness &amp; Recovery'!K12)</f>
        <v/>
      </c>
      <c r="K162" s="23">
        <f>IF('Wellness &amp; Recovery'!L12="","",'Wellness &amp; Recovery'!L12)</f>
        <v/>
      </c>
      <c r="L162" s="22">
        <f>IF('Wellness &amp; Recovery'!M12="","",'Wellness &amp; Recovery'!M12)</f>
        <v/>
      </c>
      <c r="M162" s="23">
        <f>IF('Wellness &amp; Recovery'!N12="","",'Wellness &amp; Recovery'!N12)</f>
        <v/>
      </c>
      <c r="N162" s="22">
        <f>IF('Wellness &amp; Recovery'!O12="","",'Wellness &amp; Recovery'!O12)</f>
        <v/>
      </c>
      <c r="O162" s="23">
        <f>IF('Wellness &amp; Recovery'!P12="","",'Wellness &amp; Recovery'!P12)</f>
        <v/>
      </c>
      <c r="P162" s="23">
        <f>IF('Wellness &amp; Recovery'!Q12="","",'Wellness &amp; Recovery'!Q12)</f>
        <v/>
      </c>
      <c r="Q162" s="24">
        <f>IF('Wellness &amp; Recovery'!R12="","",'Wellness &amp; Recovery'!R12)</f>
        <v/>
      </c>
      <c r="R162" s="25">
        <f>IF('Wellness &amp; Recovery'!S12="","",'Wellness &amp; Recovery'!S12)</f>
        <v/>
      </c>
      <c r="S162" s="22">
        <f>IF('Wellness &amp; Recovery'!T12="","",'Wellness &amp; Recovery'!T12)</f>
        <v/>
      </c>
      <c r="T162" s="24">
        <f>IF('Wellness &amp; Recovery'!U12="","",'Wellness &amp; Recovery'!U12)</f>
        <v/>
      </c>
      <c r="U162" s="23">
        <f>IF('Wellness &amp; Recovery'!V12="","",'Wellness &amp; Recovery'!V12)</f>
        <v/>
      </c>
      <c r="V162" s="24">
        <f>IF('Wellness &amp; Recovery'!W12="","",'Wellness &amp; Recovery'!W12)</f>
        <v/>
      </c>
      <c r="W162" s="23">
        <f>IF('Wellness &amp; Recovery'!X12="","",'Wellness &amp; Recovery'!X12)</f>
        <v/>
      </c>
      <c r="X162" s="23">
        <f>IF('Wellness &amp; Recovery'!Y12="","",'Wellness &amp; Recovery'!Y12)</f>
        <v/>
      </c>
      <c r="Y162" s="26">
        <f>IF('Wellness &amp; Recovery'!Z12="","",'Wellness &amp; Recovery'!Z12)</f>
        <v/>
      </c>
      <c r="Z162" s="27">
        <f>IF('Wellness &amp; Recovery'!AA12="","",'Wellness &amp; Recovery'!AA12)</f>
        <v/>
      </c>
      <c r="AA162" s="26">
        <f>IF('Wellness &amp; Recovery'!AB12="","",'Wellness &amp; Recovery'!AB12)</f>
        <v/>
      </c>
      <c r="AB162" s="22">
        <f>IF('Wellness &amp; Recovery'!AC12="","",'Wellness &amp; Recovery'!AC12)</f>
        <v/>
      </c>
      <c r="AC162" s="22">
        <f>IF('Wellness &amp; Recovery'!AD12="","",'Wellness &amp; Recovery'!AD12)</f>
        <v/>
      </c>
      <c r="AD162" s="22">
        <f>IF('Wellness &amp; Recovery'!AE12="","",'Wellness &amp; Recovery'!AE12)</f>
        <v/>
      </c>
      <c r="AE162" s="22">
        <f>IF('Wellness &amp; Recovery'!AF12="","",'Wellness &amp; Recovery'!AF12)</f>
        <v/>
      </c>
      <c r="AF162" s="22">
        <f>IF('Wellness &amp; Recovery'!AG12="","",'Wellness &amp; Recovery'!AG12)</f>
        <v/>
      </c>
      <c r="AG162" s="23">
        <f>IF('Wellness &amp; Recovery'!AH12="","",'Wellness &amp; Recovery'!AH12)</f>
        <v/>
      </c>
      <c r="AH162" s="23">
        <f>IF('Wellness &amp; Recovery'!AI12="","",'Wellness &amp; Recovery'!AI12)</f>
        <v/>
      </c>
      <c r="AI162" s="23">
        <f>IF('Wellness &amp; Recovery'!AJ12="","",'Wellness &amp; Recovery'!AJ12)</f>
        <v/>
      </c>
      <c r="AJ162" s="23">
        <f>IF('Wellness &amp; Recovery'!AK12="","",'Wellness &amp; Recovery'!AK12)</f>
        <v/>
      </c>
      <c r="AK162" s="22">
        <f>IF('Wellness &amp; Recovery'!AL12="","",'Wellness &amp; Recovery'!AL12)</f>
        <v/>
      </c>
      <c r="AL162" s="18">
        <f>IF(V162="","",V162+ROW()/100000)</f>
        <v/>
      </c>
    </row>
    <row r="163" ht="18" customHeight="1">
      <c r="A163" s="16">
        <f>IF('Wellness &amp; Recovery'!B13="","","Wellness &amp; Recovery")</f>
        <v/>
      </c>
      <c r="B163" s="16">
        <f>IF('Wellness &amp; Recovery'!B13="","",'Wellness &amp; Recovery'!B13)</f>
        <v/>
      </c>
      <c r="C163" s="17">
        <f>IF('Wellness &amp; Recovery'!D13="","",'Wellness &amp; Recovery'!D13)</f>
        <v/>
      </c>
      <c r="D163" s="16">
        <f>IF('Wellness &amp; Recovery'!E13="","",'Wellness &amp; Recovery'!E13)</f>
        <v/>
      </c>
      <c r="E163" s="17">
        <f>IF('Wellness &amp; Recovery'!F13="","",'Wellness &amp; Recovery'!F13)</f>
        <v/>
      </c>
      <c r="F163" s="17">
        <f>IF('Wellness &amp; Recovery'!G13="","",'Wellness &amp; Recovery'!G13)</f>
        <v/>
      </c>
      <c r="G163" s="17">
        <f>IF('Wellness &amp; Recovery'!H13="","",'Wellness &amp; Recovery'!H13)</f>
        <v/>
      </c>
      <c r="H163" s="16">
        <f>IF('Wellness &amp; Recovery'!I13="","",'Wellness &amp; Recovery'!I13)</f>
        <v/>
      </c>
      <c r="I163" s="17">
        <f>IF('Wellness &amp; Recovery'!J13="","",'Wellness &amp; Recovery'!J13)</f>
        <v/>
      </c>
      <c r="J163" s="16">
        <f>IF('Wellness &amp; Recovery'!K13="","",'Wellness &amp; Recovery'!K13)</f>
        <v/>
      </c>
      <c r="K163" s="17">
        <f>IF('Wellness &amp; Recovery'!L13="","",'Wellness &amp; Recovery'!L13)</f>
        <v/>
      </c>
      <c r="L163" s="16">
        <f>IF('Wellness &amp; Recovery'!M13="","",'Wellness &amp; Recovery'!M13)</f>
        <v/>
      </c>
      <c r="M163" s="17">
        <f>IF('Wellness &amp; Recovery'!N13="","",'Wellness &amp; Recovery'!N13)</f>
        <v/>
      </c>
      <c r="N163" s="16">
        <f>IF('Wellness &amp; Recovery'!O13="","",'Wellness &amp; Recovery'!O13)</f>
        <v/>
      </c>
      <c r="O163" s="17">
        <f>IF('Wellness &amp; Recovery'!P13="","",'Wellness &amp; Recovery'!P13)</f>
        <v/>
      </c>
      <c r="P163" s="17">
        <f>IF('Wellness &amp; Recovery'!Q13="","",'Wellness &amp; Recovery'!Q13)</f>
        <v/>
      </c>
      <c r="Q163" s="15">
        <f>IF('Wellness &amp; Recovery'!R13="","",'Wellness &amp; Recovery'!R13)</f>
        <v/>
      </c>
      <c r="R163" s="19">
        <f>IF('Wellness &amp; Recovery'!S13="","",'Wellness &amp; Recovery'!S13)</f>
        <v/>
      </c>
      <c r="S163" s="16">
        <f>IF('Wellness &amp; Recovery'!T13="","",'Wellness &amp; Recovery'!T13)</f>
        <v/>
      </c>
      <c r="T163" s="15">
        <f>IF('Wellness &amp; Recovery'!U13="","",'Wellness &amp; Recovery'!U13)</f>
        <v/>
      </c>
      <c r="U163" s="17">
        <f>IF('Wellness &amp; Recovery'!V13="","",'Wellness &amp; Recovery'!V13)</f>
        <v/>
      </c>
      <c r="V163" s="15">
        <f>IF('Wellness &amp; Recovery'!W13="","",'Wellness &amp; Recovery'!W13)</f>
        <v/>
      </c>
      <c r="W163" s="17">
        <f>IF('Wellness &amp; Recovery'!X13="","",'Wellness &amp; Recovery'!X13)</f>
        <v/>
      </c>
      <c r="X163" s="17">
        <f>IF('Wellness &amp; Recovery'!Y13="","",'Wellness &amp; Recovery'!Y13)</f>
        <v/>
      </c>
      <c r="Y163" s="20">
        <f>IF('Wellness &amp; Recovery'!Z13="","",'Wellness &amp; Recovery'!Z13)</f>
        <v/>
      </c>
      <c r="Z163" s="21">
        <f>IF('Wellness &amp; Recovery'!AA13="","",'Wellness &amp; Recovery'!AA13)</f>
        <v/>
      </c>
      <c r="AA163" s="20">
        <f>IF('Wellness &amp; Recovery'!AB13="","",'Wellness &amp; Recovery'!AB13)</f>
        <v/>
      </c>
      <c r="AB163" s="16">
        <f>IF('Wellness &amp; Recovery'!AC13="","",'Wellness &amp; Recovery'!AC13)</f>
        <v/>
      </c>
      <c r="AC163" s="16">
        <f>IF('Wellness &amp; Recovery'!AD13="","",'Wellness &amp; Recovery'!AD13)</f>
        <v/>
      </c>
      <c r="AD163" s="16">
        <f>IF('Wellness &amp; Recovery'!AE13="","",'Wellness &amp; Recovery'!AE13)</f>
        <v/>
      </c>
      <c r="AE163" s="16">
        <f>IF('Wellness &amp; Recovery'!AF13="","",'Wellness &amp; Recovery'!AF13)</f>
        <v/>
      </c>
      <c r="AF163" s="16">
        <f>IF('Wellness &amp; Recovery'!AG13="","",'Wellness &amp; Recovery'!AG13)</f>
        <v/>
      </c>
      <c r="AG163" s="17">
        <f>IF('Wellness &amp; Recovery'!AH13="","",'Wellness &amp; Recovery'!AH13)</f>
        <v/>
      </c>
      <c r="AH163" s="17">
        <f>IF('Wellness &amp; Recovery'!AI13="","",'Wellness &amp; Recovery'!AI13)</f>
        <v/>
      </c>
      <c r="AI163" s="17">
        <f>IF('Wellness &amp; Recovery'!AJ13="","",'Wellness &amp; Recovery'!AJ13)</f>
        <v/>
      </c>
      <c r="AJ163" s="17">
        <f>IF('Wellness &amp; Recovery'!AK13="","",'Wellness &amp; Recovery'!AK13)</f>
        <v/>
      </c>
      <c r="AK163" s="16">
        <f>IF('Wellness &amp; Recovery'!AL13="","",'Wellness &amp; Recovery'!AL13)</f>
        <v/>
      </c>
      <c r="AL163" s="18">
        <f>IF(V163="","",V163+ROW()/100000)</f>
        <v/>
      </c>
    </row>
    <row r="164" ht="18" customHeight="1">
      <c r="A164" s="22">
        <f>IF('Wellness &amp; Recovery'!B14="","","Wellness &amp; Recovery")</f>
        <v/>
      </c>
      <c r="B164" s="22">
        <f>IF('Wellness &amp; Recovery'!B14="","",'Wellness &amp; Recovery'!B14)</f>
        <v/>
      </c>
      <c r="C164" s="23">
        <f>IF('Wellness &amp; Recovery'!D14="","",'Wellness &amp; Recovery'!D14)</f>
        <v/>
      </c>
      <c r="D164" s="22">
        <f>IF('Wellness &amp; Recovery'!E14="","",'Wellness &amp; Recovery'!E14)</f>
        <v/>
      </c>
      <c r="E164" s="23">
        <f>IF('Wellness &amp; Recovery'!F14="","",'Wellness &amp; Recovery'!F14)</f>
        <v/>
      </c>
      <c r="F164" s="23">
        <f>IF('Wellness &amp; Recovery'!G14="","",'Wellness &amp; Recovery'!G14)</f>
        <v/>
      </c>
      <c r="G164" s="23">
        <f>IF('Wellness &amp; Recovery'!H14="","",'Wellness &amp; Recovery'!H14)</f>
        <v/>
      </c>
      <c r="H164" s="22">
        <f>IF('Wellness &amp; Recovery'!I14="","",'Wellness &amp; Recovery'!I14)</f>
        <v/>
      </c>
      <c r="I164" s="23">
        <f>IF('Wellness &amp; Recovery'!J14="","",'Wellness &amp; Recovery'!J14)</f>
        <v/>
      </c>
      <c r="J164" s="22">
        <f>IF('Wellness &amp; Recovery'!K14="","",'Wellness &amp; Recovery'!K14)</f>
        <v/>
      </c>
      <c r="K164" s="23">
        <f>IF('Wellness &amp; Recovery'!L14="","",'Wellness &amp; Recovery'!L14)</f>
        <v/>
      </c>
      <c r="L164" s="22">
        <f>IF('Wellness &amp; Recovery'!M14="","",'Wellness &amp; Recovery'!M14)</f>
        <v/>
      </c>
      <c r="M164" s="23">
        <f>IF('Wellness &amp; Recovery'!N14="","",'Wellness &amp; Recovery'!N14)</f>
        <v/>
      </c>
      <c r="N164" s="22">
        <f>IF('Wellness &amp; Recovery'!O14="","",'Wellness &amp; Recovery'!O14)</f>
        <v/>
      </c>
      <c r="O164" s="23">
        <f>IF('Wellness &amp; Recovery'!P14="","",'Wellness &amp; Recovery'!P14)</f>
        <v/>
      </c>
      <c r="P164" s="23">
        <f>IF('Wellness &amp; Recovery'!Q14="","",'Wellness &amp; Recovery'!Q14)</f>
        <v/>
      </c>
      <c r="Q164" s="24">
        <f>IF('Wellness &amp; Recovery'!R14="","",'Wellness &amp; Recovery'!R14)</f>
        <v/>
      </c>
      <c r="R164" s="25">
        <f>IF('Wellness &amp; Recovery'!S14="","",'Wellness &amp; Recovery'!S14)</f>
        <v/>
      </c>
      <c r="S164" s="22">
        <f>IF('Wellness &amp; Recovery'!T14="","",'Wellness &amp; Recovery'!T14)</f>
        <v/>
      </c>
      <c r="T164" s="24">
        <f>IF('Wellness &amp; Recovery'!U14="","",'Wellness &amp; Recovery'!U14)</f>
        <v/>
      </c>
      <c r="U164" s="23">
        <f>IF('Wellness &amp; Recovery'!V14="","",'Wellness &amp; Recovery'!V14)</f>
        <v/>
      </c>
      <c r="V164" s="24">
        <f>IF('Wellness &amp; Recovery'!W14="","",'Wellness &amp; Recovery'!W14)</f>
        <v/>
      </c>
      <c r="W164" s="23">
        <f>IF('Wellness &amp; Recovery'!X14="","",'Wellness &amp; Recovery'!X14)</f>
        <v/>
      </c>
      <c r="X164" s="23">
        <f>IF('Wellness &amp; Recovery'!Y14="","",'Wellness &amp; Recovery'!Y14)</f>
        <v/>
      </c>
      <c r="Y164" s="26">
        <f>IF('Wellness &amp; Recovery'!Z14="","",'Wellness &amp; Recovery'!Z14)</f>
        <v/>
      </c>
      <c r="Z164" s="27">
        <f>IF('Wellness &amp; Recovery'!AA14="","",'Wellness &amp; Recovery'!AA14)</f>
        <v/>
      </c>
      <c r="AA164" s="26">
        <f>IF('Wellness &amp; Recovery'!AB14="","",'Wellness &amp; Recovery'!AB14)</f>
        <v/>
      </c>
      <c r="AB164" s="22">
        <f>IF('Wellness &amp; Recovery'!AC14="","",'Wellness &amp; Recovery'!AC14)</f>
        <v/>
      </c>
      <c r="AC164" s="22">
        <f>IF('Wellness &amp; Recovery'!AD14="","",'Wellness &amp; Recovery'!AD14)</f>
        <v/>
      </c>
      <c r="AD164" s="22">
        <f>IF('Wellness &amp; Recovery'!AE14="","",'Wellness &amp; Recovery'!AE14)</f>
        <v/>
      </c>
      <c r="AE164" s="22">
        <f>IF('Wellness &amp; Recovery'!AF14="","",'Wellness &amp; Recovery'!AF14)</f>
        <v/>
      </c>
      <c r="AF164" s="22">
        <f>IF('Wellness &amp; Recovery'!AG14="","",'Wellness &amp; Recovery'!AG14)</f>
        <v/>
      </c>
      <c r="AG164" s="23">
        <f>IF('Wellness &amp; Recovery'!AH14="","",'Wellness &amp; Recovery'!AH14)</f>
        <v/>
      </c>
      <c r="AH164" s="23">
        <f>IF('Wellness &amp; Recovery'!AI14="","",'Wellness &amp; Recovery'!AI14)</f>
        <v/>
      </c>
      <c r="AI164" s="23">
        <f>IF('Wellness &amp; Recovery'!AJ14="","",'Wellness &amp; Recovery'!AJ14)</f>
        <v/>
      </c>
      <c r="AJ164" s="23">
        <f>IF('Wellness &amp; Recovery'!AK14="","",'Wellness &amp; Recovery'!AK14)</f>
        <v/>
      </c>
      <c r="AK164" s="22">
        <f>IF('Wellness &amp; Recovery'!AL14="","",'Wellness &amp; Recovery'!AL14)</f>
        <v/>
      </c>
      <c r="AL164" s="18">
        <f>IF(V164="","",V164+ROW()/100000)</f>
        <v/>
      </c>
    </row>
    <row r="165" ht="18" customHeight="1">
      <c r="A165" s="16">
        <f>IF('Wellness &amp; Recovery'!B15="","","Wellness &amp; Recovery")</f>
        <v/>
      </c>
      <c r="B165" s="16">
        <f>IF('Wellness &amp; Recovery'!B15="","",'Wellness &amp; Recovery'!B15)</f>
        <v/>
      </c>
      <c r="C165" s="17">
        <f>IF('Wellness &amp; Recovery'!D15="","",'Wellness &amp; Recovery'!D15)</f>
        <v/>
      </c>
      <c r="D165" s="16">
        <f>IF('Wellness &amp; Recovery'!E15="","",'Wellness &amp; Recovery'!E15)</f>
        <v/>
      </c>
      <c r="E165" s="17">
        <f>IF('Wellness &amp; Recovery'!F15="","",'Wellness &amp; Recovery'!F15)</f>
        <v/>
      </c>
      <c r="F165" s="17">
        <f>IF('Wellness &amp; Recovery'!G15="","",'Wellness &amp; Recovery'!G15)</f>
        <v/>
      </c>
      <c r="G165" s="17">
        <f>IF('Wellness &amp; Recovery'!H15="","",'Wellness &amp; Recovery'!H15)</f>
        <v/>
      </c>
      <c r="H165" s="16">
        <f>IF('Wellness &amp; Recovery'!I15="","",'Wellness &amp; Recovery'!I15)</f>
        <v/>
      </c>
      <c r="I165" s="17">
        <f>IF('Wellness &amp; Recovery'!J15="","",'Wellness &amp; Recovery'!J15)</f>
        <v/>
      </c>
      <c r="J165" s="16">
        <f>IF('Wellness &amp; Recovery'!K15="","",'Wellness &amp; Recovery'!K15)</f>
        <v/>
      </c>
      <c r="K165" s="17">
        <f>IF('Wellness &amp; Recovery'!L15="","",'Wellness &amp; Recovery'!L15)</f>
        <v/>
      </c>
      <c r="L165" s="16">
        <f>IF('Wellness &amp; Recovery'!M15="","",'Wellness &amp; Recovery'!M15)</f>
        <v/>
      </c>
      <c r="M165" s="17">
        <f>IF('Wellness &amp; Recovery'!N15="","",'Wellness &amp; Recovery'!N15)</f>
        <v/>
      </c>
      <c r="N165" s="16">
        <f>IF('Wellness &amp; Recovery'!O15="","",'Wellness &amp; Recovery'!O15)</f>
        <v/>
      </c>
      <c r="O165" s="17">
        <f>IF('Wellness &amp; Recovery'!P15="","",'Wellness &amp; Recovery'!P15)</f>
        <v/>
      </c>
      <c r="P165" s="17">
        <f>IF('Wellness &amp; Recovery'!Q15="","",'Wellness &amp; Recovery'!Q15)</f>
        <v/>
      </c>
      <c r="Q165" s="15">
        <f>IF('Wellness &amp; Recovery'!R15="","",'Wellness &amp; Recovery'!R15)</f>
        <v/>
      </c>
      <c r="R165" s="19">
        <f>IF('Wellness &amp; Recovery'!S15="","",'Wellness &amp; Recovery'!S15)</f>
        <v/>
      </c>
      <c r="S165" s="16">
        <f>IF('Wellness &amp; Recovery'!T15="","",'Wellness &amp; Recovery'!T15)</f>
        <v/>
      </c>
      <c r="T165" s="15">
        <f>IF('Wellness &amp; Recovery'!U15="","",'Wellness &amp; Recovery'!U15)</f>
        <v/>
      </c>
      <c r="U165" s="17">
        <f>IF('Wellness &amp; Recovery'!V15="","",'Wellness &amp; Recovery'!V15)</f>
        <v/>
      </c>
      <c r="V165" s="15">
        <f>IF('Wellness &amp; Recovery'!W15="","",'Wellness &amp; Recovery'!W15)</f>
        <v/>
      </c>
      <c r="W165" s="17">
        <f>IF('Wellness &amp; Recovery'!X15="","",'Wellness &amp; Recovery'!X15)</f>
        <v/>
      </c>
      <c r="X165" s="17">
        <f>IF('Wellness &amp; Recovery'!Y15="","",'Wellness &amp; Recovery'!Y15)</f>
        <v/>
      </c>
      <c r="Y165" s="20">
        <f>IF('Wellness &amp; Recovery'!Z15="","",'Wellness &amp; Recovery'!Z15)</f>
        <v/>
      </c>
      <c r="Z165" s="21">
        <f>IF('Wellness &amp; Recovery'!AA15="","",'Wellness &amp; Recovery'!AA15)</f>
        <v/>
      </c>
      <c r="AA165" s="20">
        <f>IF('Wellness &amp; Recovery'!AB15="","",'Wellness &amp; Recovery'!AB15)</f>
        <v/>
      </c>
      <c r="AB165" s="16">
        <f>IF('Wellness &amp; Recovery'!AC15="","",'Wellness &amp; Recovery'!AC15)</f>
        <v/>
      </c>
      <c r="AC165" s="16">
        <f>IF('Wellness &amp; Recovery'!AD15="","",'Wellness &amp; Recovery'!AD15)</f>
        <v/>
      </c>
      <c r="AD165" s="16">
        <f>IF('Wellness &amp; Recovery'!AE15="","",'Wellness &amp; Recovery'!AE15)</f>
        <v/>
      </c>
      <c r="AE165" s="16">
        <f>IF('Wellness &amp; Recovery'!AF15="","",'Wellness &amp; Recovery'!AF15)</f>
        <v/>
      </c>
      <c r="AF165" s="16">
        <f>IF('Wellness &amp; Recovery'!AG15="","",'Wellness &amp; Recovery'!AG15)</f>
        <v/>
      </c>
      <c r="AG165" s="17">
        <f>IF('Wellness &amp; Recovery'!AH15="","",'Wellness &amp; Recovery'!AH15)</f>
        <v/>
      </c>
      <c r="AH165" s="17">
        <f>IF('Wellness &amp; Recovery'!AI15="","",'Wellness &amp; Recovery'!AI15)</f>
        <v/>
      </c>
      <c r="AI165" s="17">
        <f>IF('Wellness &amp; Recovery'!AJ15="","",'Wellness &amp; Recovery'!AJ15)</f>
        <v/>
      </c>
      <c r="AJ165" s="17">
        <f>IF('Wellness &amp; Recovery'!AK15="","",'Wellness &amp; Recovery'!AK15)</f>
        <v/>
      </c>
      <c r="AK165" s="16">
        <f>IF('Wellness &amp; Recovery'!AL15="","",'Wellness &amp; Recovery'!AL15)</f>
        <v/>
      </c>
      <c r="AL165" s="18">
        <f>IF(V165="","",V165+ROW()/100000)</f>
        <v/>
      </c>
    </row>
    <row r="166" ht="18" customHeight="1">
      <c r="A166" s="22">
        <f>IF('Wellness &amp; Recovery'!B16="","","Wellness &amp; Recovery")</f>
        <v/>
      </c>
      <c r="B166" s="22">
        <f>IF('Wellness &amp; Recovery'!B16="","",'Wellness &amp; Recovery'!B16)</f>
        <v/>
      </c>
      <c r="C166" s="23">
        <f>IF('Wellness &amp; Recovery'!D16="","",'Wellness &amp; Recovery'!D16)</f>
        <v/>
      </c>
      <c r="D166" s="22">
        <f>IF('Wellness &amp; Recovery'!E16="","",'Wellness &amp; Recovery'!E16)</f>
        <v/>
      </c>
      <c r="E166" s="23">
        <f>IF('Wellness &amp; Recovery'!F16="","",'Wellness &amp; Recovery'!F16)</f>
        <v/>
      </c>
      <c r="F166" s="23">
        <f>IF('Wellness &amp; Recovery'!G16="","",'Wellness &amp; Recovery'!G16)</f>
        <v/>
      </c>
      <c r="G166" s="23">
        <f>IF('Wellness &amp; Recovery'!H16="","",'Wellness &amp; Recovery'!H16)</f>
        <v/>
      </c>
      <c r="H166" s="22">
        <f>IF('Wellness &amp; Recovery'!I16="","",'Wellness &amp; Recovery'!I16)</f>
        <v/>
      </c>
      <c r="I166" s="23">
        <f>IF('Wellness &amp; Recovery'!J16="","",'Wellness &amp; Recovery'!J16)</f>
        <v/>
      </c>
      <c r="J166" s="22">
        <f>IF('Wellness &amp; Recovery'!K16="","",'Wellness &amp; Recovery'!K16)</f>
        <v/>
      </c>
      <c r="K166" s="23">
        <f>IF('Wellness &amp; Recovery'!L16="","",'Wellness &amp; Recovery'!L16)</f>
        <v/>
      </c>
      <c r="L166" s="22">
        <f>IF('Wellness &amp; Recovery'!M16="","",'Wellness &amp; Recovery'!M16)</f>
        <v/>
      </c>
      <c r="M166" s="23">
        <f>IF('Wellness &amp; Recovery'!N16="","",'Wellness &amp; Recovery'!N16)</f>
        <v/>
      </c>
      <c r="N166" s="22">
        <f>IF('Wellness &amp; Recovery'!O16="","",'Wellness &amp; Recovery'!O16)</f>
        <v/>
      </c>
      <c r="O166" s="23">
        <f>IF('Wellness &amp; Recovery'!P16="","",'Wellness &amp; Recovery'!P16)</f>
        <v/>
      </c>
      <c r="P166" s="23">
        <f>IF('Wellness &amp; Recovery'!Q16="","",'Wellness &amp; Recovery'!Q16)</f>
        <v/>
      </c>
      <c r="Q166" s="24">
        <f>IF('Wellness &amp; Recovery'!R16="","",'Wellness &amp; Recovery'!R16)</f>
        <v/>
      </c>
      <c r="R166" s="25">
        <f>IF('Wellness &amp; Recovery'!S16="","",'Wellness &amp; Recovery'!S16)</f>
        <v/>
      </c>
      <c r="S166" s="22">
        <f>IF('Wellness &amp; Recovery'!T16="","",'Wellness &amp; Recovery'!T16)</f>
        <v/>
      </c>
      <c r="T166" s="24">
        <f>IF('Wellness &amp; Recovery'!U16="","",'Wellness &amp; Recovery'!U16)</f>
        <v/>
      </c>
      <c r="U166" s="23">
        <f>IF('Wellness &amp; Recovery'!V16="","",'Wellness &amp; Recovery'!V16)</f>
        <v/>
      </c>
      <c r="V166" s="24">
        <f>IF('Wellness &amp; Recovery'!W16="","",'Wellness &amp; Recovery'!W16)</f>
        <v/>
      </c>
      <c r="W166" s="23">
        <f>IF('Wellness &amp; Recovery'!X16="","",'Wellness &amp; Recovery'!X16)</f>
        <v/>
      </c>
      <c r="X166" s="23">
        <f>IF('Wellness &amp; Recovery'!Y16="","",'Wellness &amp; Recovery'!Y16)</f>
        <v/>
      </c>
      <c r="Y166" s="26">
        <f>IF('Wellness &amp; Recovery'!Z16="","",'Wellness &amp; Recovery'!Z16)</f>
        <v/>
      </c>
      <c r="Z166" s="27">
        <f>IF('Wellness &amp; Recovery'!AA16="","",'Wellness &amp; Recovery'!AA16)</f>
        <v/>
      </c>
      <c r="AA166" s="26">
        <f>IF('Wellness &amp; Recovery'!AB16="","",'Wellness &amp; Recovery'!AB16)</f>
        <v/>
      </c>
      <c r="AB166" s="22">
        <f>IF('Wellness &amp; Recovery'!AC16="","",'Wellness &amp; Recovery'!AC16)</f>
        <v/>
      </c>
      <c r="AC166" s="22">
        <f>IF('Wellness &amp; Recovery'!AD16="","",'Wellness &amp; Recovery'!AD16)</f>
        <v/>
      </c>
      <c r="AD166" s="22">
        <f>IF('Wellness &amp; Recovery'!AE16="","",'Wellness &amp; Recovery'!AE16)</f>
        <v/>
      </c>
      <c r="AE166" s="22">
        <f>IF('Wellness &amp; Recovery'!AF16="","",'Wellness &amp; Recovery'!AF16)</f>
        <v/>
      </c>
      <c r="AF166" s="22">
        <f>IF('Wellness &amp; Recovery'!AG16="","",'Wellness &amp; Recovery'!AG16)</f>
        <v/>
      </c>
      <c r="AG166" s="23">
        <f>IF('Wellness &amp; Recovery'!AH16="","",'Wellness &amp; Recovery'!AH16)</f>
        <v/>
      </c>
      <c r="AH166" s="23">
        <f>IF('Wellness &amp; Recovery'!AI16="","",'Wellness &amp; Recovery'!AI16)</f>
        <v/>
      </c>
      <c r="AI166" s="23">
        <f>IF('Wellness &amp; Recovery'!AJ16="","",'Wellness &amp; Recovery'!AJ16)</f>
        <v/>
      </c>
      <c r="AJ166" s="23">
        <f>IF('Wellness &amp; Recovery'!AK16="","",'Wellness &amp; Recovery'!AK16)</f>
        <v/>
      </c>
      <c r="AK166" s="22">
        <f>IF('Wellness &amp; Recovery'!AL16="","",'Wellness &amp; Recovery'!AL16)</f>
        <v/>
      </c>
      <c r="AL166" s="18">
        <f>IF(V166="","",V166+ROW()/100000)</f>
        <v/>
      </c>
    </row>
    <row r="167" ht="18" customHeight="1">
      <c r="A167" s="16">
        <f>IF('Wellness &amp; Recovery'!B17="","","Wellness &amp; Recovery")</f>
        <v/>
      </c>
      <c r="B167" s="16">
        <f>IF('Wellness &amp; Recovery'!B17="","",'Wellness &amp; Recovery'!B17)</f>
        <v/>
      </c>
      <c r="C167" s="17">
        <f>IF('Wellness &amp; Recovery'!D17="","",'Wellness &amp; Recovery'!D17)</f>
        <v/>
      </c>
      <c r="D167" s="16">
        <f>IF('Wellness &amp; Recovery'!E17="","",'Wellness &amp; Recovery'!E17)</f>
        <v/>
      </c>
      <c r="E167" s="17">
        <f>IF('Wellness &amp; Recovery'!F17="","",'Wellness &amp; Recovery'!F17)</f>
        <v/>
      </c>
      <c r="F167" s="17">
        <f>IF('Wellness &amp; Recovery'!G17="","",'Wellness &amp; Recovery'!G17)</f>
        <v/>
      </c>
      <c r="G167" s="17">
        <f>IF('Wellness &amp; Recovery'!H17="","",'Wellness &amp; Recovery'!H17)</f>
        <v/>
      </c>
      <c r="H167" s="16">
        <f>IF('Wellness &amp; Recovery'!I17="","",'Wellness &amp; Recovery'!I17)</f>
        <v/>
      </c>
      <c r="I167" s="17">
        <f>IF('Wellness &amp; Recovery'!J17="","",'Wellness &amp; Recovery'!J17)</f>
        <v/>
      </c>
      <c r="J167" s="16">
        <f>IF('Wellness &amp; Recovery'!K17="","",'Wellness &amp; Recovery'!K17)</f>
        <v/>
      </c>
      <c r="K167" s="17">
        <f>IF('Wellness &amp; Recovery'!L17="","",'Wellness &amp; Recovery'!L17)</f>
        <v/>
      </c>
      <c r="L167" s="16">
        <f>IF('Wellness &amp; Recovery'!M17="","",'Wellness &amp; Recovery'!M17)</f>
        <v/>
      </c>
      <c r="M167" s="17">
        <f>IF('Wellness &amp; Recovery'!N17="","",'Wellness &amp; Recovery'!N17)</f>
        <v/>
      </c>
      <c r="N167" s="16">
        <f>IF('Wellness &amp; Recovery'!O17="","",'Wellness &amp; Recovery'!O17)</f>
        <v/>
      </c>
      <c r="O167" s="17">
        <f>IF('Wellness &amp; Recovery'!P17="","",'Wellness &amp; Recovery'!P17)</f>
        <v/>
      </c>
      <c r="P167" s="17">
        <f>IF('Wellness &amp; Recovery'!Q17="","",'Wellness &amp; Recovery'!Q17)</f>
        <v/>
      </c>
      <c r="Q167" s="15">
        <f>IF('Wellness &amp; Recovery'!R17="","",'Wellness &amp; Recovery'!R17)</f>
        <v/>
      </c>
      <c r="R167" s="19">
        <f>IF('Wellness &amp; Recovery'!S17="","",'Wellness &amp; Recovery'!S17)</f>
        <v/>
      </c>
      <c r="S167" s="16">
        <f>IF('Wellness &amp; Recovery'!T17="","",'Wellness &amp; Recovery'!T17)</f>
        <v/>
      </c>
      <c r="T167" s="15">
        <f>IF('Wellness &amp; Recovery'!U17="","",'Wellness &amp; Recovery'!U17)</f>
        <v/>
      </c>
      <c r="U167" s="17">
        <f>IF('Wellness &amp; Recovery'!V17="","",'Wellness &amp; Recovery'!V17)</f>
        <v/>
      </c>
      <c r="V167" s="15">
        <f>IF('Wellness &amp; Recovery'!W17="","",'Wellness &amp; Recovery'!W17)</f>
        <v/>
      </c>
      <c r="W167" s="17">
        <f>IF('Wellness &amp; Recovery'!X17="","",'Wellness &amp; Recovery'!X17)</f>
        <v/>
      </c>
      <c r="X167" s="17">
        <f>IF('Wellness &amp; Recovery'!Y17="","",'Wellness &amp; Recovery'!Y17)</f>
        <v/>
      </c>
      <c r="Y167" s="20">
        <f>IF('Wellness &amp; Recovery'!Z17="","",'Wellness &amp; Recovery'!Z17)</f>
        <v/>
      </c>
      <c r="Z167" s="21">
        <f>IF('Wellness &amp; Recovery'!AA17="","",'Wellness &amp; Recovery'!AA17)</f>
        <v/>
      </c>
      <c r="AA167" s="20">
        <f>IF('Wellness &amp; Recovery'!AB17="","",'Wellness &amp; Recovery'!AB17)</f>
        <v/>
      </c>
      <c r="AB167" s="16">
        <f>IF('Wellness &amp; Recovery'!AC17="","",'Wellness &amp; Recovery'!AC17)</f>
        <v/>
      </c>
      <c r="AC167" s="16">
        <f>IF('Wellness &amp; Recovery'!AD17="","",'Wellness &amp; Recovery'!AD17)</f>
        <v/>
      </c>
      <c r="AD167" s="16">
        <f>IF('Wellness &amp; Recovery'!AE17="","",'Wellness &amp; Recovery'!AE17)</f>
        <v/>
      </c>
      <c r="AE167" s="16">
        <f>IF('Wellness &amp; Recovery'!AF17="","",'Wellness &amp; Recovery'!AF17)</f>
        <v/>
      </c>
      <c r="AF167" s="16">
        <f>IF('Wellness &amp; Recovery'!AG17="","",'Wellness &amp; Recovery'!AG17)</f>
        <v/>
      </c>
      <c r="AG167" s="17">
        <f>IF('Wellness &amp; Recovery'!AH17="","",'Wellness &amp; Recovery'!AH17)</f>
        <v/>
      </c>
      <c r="AH167" s="17">
        <f>IF('Wellness &amp; Recovery'!AI17="","",'Wellness &amp; Recovery'!AI17)</f>
        <v/>
      </c>
      <c r="AI167" s="17">
        <f>IF('Wellness &amp; Recovery'!AJ17="","",'Wellness &amp; Recovery'!AJ17)</f>
        <v/>
      </c>
      <c r="AJ167" s="17">
        <f>IF('Wellness &amp; Recovery'!AK17="","",'Wellness &amp; Recovery'!AK17)</f>
        <v/>
      </c>
      <c r="AK167" s="16">
        <f>IF('Wellness &amp; Recovery'!AL17="","",'Wellness &amp; Recovery'!AL17)</f>
        <v/>
      </c>
      <c r="AL167" s="18">
        <f>IF(V167="","",V167+ROW()/100000)</f>
        <v/>
      </c>
    </row>
    <row r="168" ht="18" customHeight="1">
      <c r="A168" s="22">
        <f>IF('Wellness &amp; Recovery'!B18="","","Wellness &amp; Recovery")</f>
        <v/>
      </c>
      <c r="B168" s="22">
        <f>IF('Wellness &amp; Recovery'!B18="","",'Wellness &amp; Recovery'!B18)</f>
        <v/>
      </c>
      <c r="C168" s="23">
        <f>IF('Wellness &amp; Recovery'!D18="","",'Wellness &amp; Recovery'!D18)</f>
        <v/>
      </c>
      <c r="D168" s="22">
        <f>IF('Wellness &amp; Recovery'!E18="","",'Wellness &amp; Recovery'!E18)</f>
        <v/>
      </c>
      <c r="E168" s="23">
        <f>IF('Wellness &amp; Recovery'!F18="","",'Wellness &amp; Recovery'!F18)</f>
        <v/>
      </c>
      <c r="F168" s="23">
        <f>IF('Wellness &amp; Recovery'!G18="","",'Wellness &amp; Recovery'!G18)</f>
        <v/>
      </c>
      <c r="G168" s="23">
        <f>IF('Wellness &amp; Recovery'!H18="","",'Wellness &amp; Recovery'!H18)</f>
        <v/>
      </c>
      <c r="H168" s="22">
        <f>IF('Wellness &amp; Recovery'!I18="","",'Wellness &amp; Recovery'!I18)</f>
        <v/>
      </c>
      <c r="I168" s="23">
        <f>IF('Wellness &amp; Recovery'!J18="","",'Wellness &amp; Recovery'!J18)</f>
        <v/>
      </c>
      <c r="J168" s="22">
        <f>IF('Wellness &amp; Recovery'!K18="","",'Wellness &amp; Recovery'!K18)</f>
        <v/>
      </c>
      <c r="K168" s="23">
        <f>IF('Wellness &amp; Recovery'!L18="","",'Wellness &amp; Recovery'!L18)</f>
        <v/>
      </c>
      <c r="L168" s="22">
        <f>IF('Wellness &amp; Recovery'!M18="","",'Wellness &amp; Recovery'!M18)</f>
        <v/>
      </c>
      <c r="M168" s="23">
        <f>IF('Wellness &amp; Recovery'!N18="","",'Wellness &amp; Recovery'!N18)</f>
        <v/>
      </c>
      <c r="N168" s="22">
        <f>IF('Wellness &amp; Recovery'!O18="","",'Wellness &amp; Recovery'!O18)</f>
        <v/>
      </c>
      <c r="O168" s="23">
        <f>IF('Wellness &amp; Recovery'!P18="","",'Wellness &amp; Recovery'!P18)</f>
        <v/>
      </c>
      <c r="P168" s="23">
        <f>IF('Wellness &amp; Recovery'!Q18="","",'Wellness &amp; Recovery'!Q18)</f>
        <v/>
      </c>
      <c r="Q168" s="24">
        <f>IF('Wellness &amp; Recovery'!R18="","",'Wellness &amp; Recovery'!R18)</f>
        <v/>
      </c>
      <c r="R168" s="25">
        <f>IF('Wellness &amp; Recovery'!S18="","",'Wellness &amp; Recovery'!S18)</f>
        <v/>
      </c>
      <c r="S168" s="22">
        <f>IF('Wellness &amp; Recovery'!T18="","",'Wellness &amp; Recovery'!T18)</f>
        <v/>
      </c>
      <c r="T168" s="24">
        <f>IF('Wellness &amp; Recovery'!U18="","",'Wellness &amp; Recovery'!U18)</f>
        <v/>
      </c>
      <c r="U168" s="23">
        <f>IF('Wellness &amp; Recovery'!V18="","",'Wellness &amp; Recovery'!V18)</f>
        <v/>
      </c>
      <c r="V168" s="24">
        <f>IF('Wellness &amp; Recovery'!W18="","",'Wellness &amp; Recovery'!W18)</f>
        <v/>
      </c>
      <c r="W168" s="23">
        <f>IF('Wellness &amp; Recovery'!X18="","",'Wellness &amp; Recovery'!X18)</f>
        <v/>
      </c>
      <c r="X168" s="23">
        <f>IF('Wellness &amp; Recovery'!Y18="","",'Wellness &amp; Recovery'!Y18)</f>
        <v/>
      </c>
      <c r="Y168" s="26">
        <f>IF('Wellness &amp; Recovery'!Z18="","",'Wellness &amp; Recovery'!Z18)</f>
        <v/>
      </c>
      <c r="Z168" s="27">
        <f>IF('Wellness &amp; Recovery'!AA18="","",'Wellness &amp; Recovery'!AA18)</f>
        <v/>
      </c>
      <c r="AA168" s="26">
        <f>IF('Wellness &amp; Recovery'!AB18="","",'Wellness &amp; Recovery'!AB18)</f>
        <v/>
      </c>
      <c r="AB168" s="22">
        <f>IF('Wellness &amp; Recovery'!AC18="","",'Wellness &amp; Recovery'!AC18)</f>
        <v/>
      </c>
      <c r="AC168" s="22">
        <f>IF('Wellness &amp; Recovery'!AD18="","",'Wellness &amp; Recovery'!AD18)</f>
        <v/>
      </c>
      <c r="AD168" s="22">
        <f>IF('Wellness &amp; Recovery'!AE18="","",'Wellness &amp; Recovery'!AE18)</f>
        <v/>
      </c>
      <c r="AE168" s="22">
        <f>IF('Wellness &amp; Recovery'!AF18="","",'Wellness &amp; Recovery'!AF18)</f>
        <v/>
      </c>
      <c r="AF168" s="22">
        <f>IF('Wellness &amp; Recovery'!AG18="","",'Wellness &amp; Recovery'!AG18)</f>
        <v/>
      </c>
      <c r="AG168" s="23">
        <f>IF('Wellness &amp; Recovery'!AH18="","",'Wellness &amp; Recovery'!AH18)</f>
        <v/>
      </c>
      <c r="AH168" s="23">
        <f>IF('Wellness &amp; Recovery'!AI18="","",'Wellness &amp; Recovery'!AI18)</f>
        <v/>
      </c>
      <c r="AI168" s="23">
        <f>IF('Wellness &amp; Recovery'!AJ18="","",'Wellness &amp; Recovery'!AJ18)</f>
        <v/>
      </c>
      <c r="AJ168" s="23">
        <f>IF('Wellness &amp; Recovery'!AK18="","",'Wellness &amp; Recovery'!AK18)</f>
        <v/>
      </c>
      <c r="AK168" s="22">
        <f>IF('Wellness &amp; Recovery'!AL18="","",'Wellness &amp; Recovery'!AL18)</f>
        <v/>
      </c>
      <c r="AL168" s="18">
        <f>IF(V168="","",V168+ROW()/100000)</f>
        <v/>
      </c>
    </row>
    <row r="169" ht="18" customHeight="1">
      <c r="A169" s="16">
        <f>IF('Wellness &amp; Recovery'!B19="","","Wellness &amp; Recovery")</f>
        <v/>
      </c>
      <c r="B169" s="16">
        <f>IF('Wellness &amp; Recovery'!B19="","",'Wellness &amp; Recovery'!B19)</f>
        <v/>
      </c>
      <c r="C169" s="17">
        <f>IF('Wellness &amp; Recovery'!D19="","",'Wellness &amp; Recovery'!D19)</f>
        <v/>
      </c>
      <c r="D169" s="16">
        <f>IF('Wellness &amp; Recovery'!E19="","",'Wellness &amp; Recovery'!E19)</f>
        <v/>
      </c>
      <c r="E169" s="17">
        <f>IF('Wellness &amp; Recovery'!F19="","",'Wellness &amp; Recovery'!F19)</f>
        <v/>
      </c>
      <c r="F169" s="17">
        <f>IF('Wellness &amp; Recovery'!G19="","",'Wellness &amp; Recovery'!G19)</f>
        <v/>
      </c>
      <c r="G169" s="17">
        <f>IF('Wellness &amp; Recovery'!H19="","",'Wellness &amp; Recovery'!H19)</f>
        <v/>
      </c>
      <c r="H169" s="16">
        <f>IF('Wellness &amp; Recovery'!I19="","",'Wellness &amp; Recovery'!I19)</f>
        <v/>
      </c>
      <c r="I169" s="17">
        <f>IF('Wellness &amp; Recovery'!J19="","",'Wellness &amp; Recovery'!J19)</f>
        <v/>
      </c>
      <c r="J169" s="16">
        <f>IF('Wellness &amp; Recovery'!K19="","",'Wellness &amp; Recovery'!K19)</f>
        <v/>
      </c>
      <c r="K169" s="17">
        <f>IF('Wellness &amp; Recovery'!L19="","",'Wellness &amp; Recovery'!L19)</f>
        <v/>
      </c>
      <c r="L169" s="16">
        <f>IF('Wellness &amp; Recovery'!M19="","",'Wellness &amp; Recovery'!M19)</f>
        <v/>
      </c>
      <c r="M169" s="17">
        <f>IF('Wellness &amp; Recovery'!N19="","",'Wellness &amp; Recovery'!N19)</f>
        <v/>
      </c>
      <c r="N169" s="16">
        <f>IF('Wellness &amp; Recovery'!O19="","",'Wellness &amp; Recovery'!O19)</f>
        <v/>
      </c>
      <c r="O169" s="17">
        <f>IF('Wellness &amp; Recovery'!P19="","",'Wellness &amp; Recovery'!P19)</f>
        <v/>
      </c>
      <c r="P169" s="17">
        <f>IF('Wellness &amp; Recovery'!Q19="","",'Wellness &amp; Recovery'!Q19)</f>
        <v/>
      </c>
      <c r="Q169" s="15">
        <f>IF('Wellness &amp; Recovery'!R19="","",'Wellness &amp; Recovery'!R19)</f>
        <v/>
      </c>
      <c r="R169" s="19">
        <f>IF('Wellness &amp; Recovery'!S19="","",'Wellness &amp; Recovery'!S19)</f>
        <v/>
      </c>
      <c r="S169" s="16">
        <f>IF('Wellness &amp; Recovery'!T19="","",'Wellness &amp; Recovery'!T19)</f>
        <v/>
      </c>
      <c r="T169" s="15">
        <f>IF('Wellness &amp; Recovery'!U19="","",'Wellness &amp; Recovery'!U19)</f>
        <v/>
      </c>
      <c r="U169" s="17">
        <f>IF('Wellness &amp; Recovery'!V19="","",'Wellness &amp; Recovery'!V19)</f>
        <v/>
      </c>
      <c r="V169" s="15">
        <f>IF('Wellness &amp; Recovery'!W19="","",'Wellness &amp; Recovery'!W19)</f>
        <v/>
      </c>
      <c r="W169" s="17">
        <f>IF('Wellness &amp; Recovery'!X19="","",'Wellness &amp; Recovery'!X19)</f>
        <v/>
      </c>
      <c r="X169" s="17">
        <f>IF('Wellness &amp; Recovery'!Y19="","",'Wellness &amp; Recovery'!Y19)</f>
        <v/>
      </c>
      <c r="Y169" s="20">
        <f>IF('Wellness &amp; Recovery'!Z19="","",'Wellness &amp; Recovery'!Z19)</f>
        <v/>
      </c>
      <c r="Z169" s="21">
        <f>IF('Wellness &amp; Recovery'!AA19="","",'Wellness &amp; Recovery'!AA19)</f>
        <v/>
      </c>
      <c r="AA169" s="20">
        <f>IF('Wellness &amp; Recovery'!AB19="","",'Wellness &amp; Recovery'!AB19)</f>
        <v/>
      </c>
      <c r="AB169" s="16">
        <f>IF('Wellness &amp; Recovery'!AC19="","",'Wellness &amp; Recovery'!AC19)</f>
        <v/>
      </c>
      <c r="AC169" s="16">
        <f>IF('Wellness &amp; Recovery'!AD19="","",'Wellness &amp; Recovery'!AD19)</f>
        <v/>
      </c>
      <c r="AD169" s="16">
        <f>IF('Wellness &amp; Recovery'!AE19="","",'Wellness &amp; Recovery'!AE19)</f>
        <v/>
      </c>
      <c r="AE169" s="16">
        <f>IF('Wellness &amp; Recovery'!AF19="","",'Wellness &amp; Recovery'!AF19)</f>
        <v/>
      </c>
      <c r="AF169" s="16">
        <f>IF('Wellness &amp; Recovery'!AG19="","",'Wellness &amp; Recovery'!AG19)</f>
        <v/>
      </c>
      <c r="AG169" s="17">
        <f>IF('Wellness &amp; Recovery'!AH19="","",'Wellness &amp; Recovery'!AH19)</f>
        <v/>
      </c>
      <c r="AH169" s="17">
        <f>IF('Wellness &amp; Recovery'!AI19="","",'Wellness &amp; Recovery'!AI19)</f>
        <v/>
      </c>
      <c r="AI169" s="17">
        <f>IF('Wellness &amp; Recovery'!AJ19="","",'Wellness &amp; Recovery'!AJ19)</f>
        <v/>
      </c>
      <c r="AJ169" s="17">
        <f>IF('Wellness &amp; Recovery'!AK19="","",'Wellness &amp; Recovery'!AK19)</f>
        <v/>
      </c>
      <c r="AK169" s="16">
        <f>IF('Wellness &amp; Recovery'!AL19="","",'Wellness &amp; Recovery'!AL19)</f>
        <v/>
      </c>
      <c r="AL169" s="18">
        <f>IF(V169="","",V169+ROW()/100000)</f>
        <v/>
      </c>
    </row>
    <row r="170" ht="18" customHeight="1">
      <c r="A170" s="22">
        <f>IF('Wellness &amp; Recovery'!B20="","","Wellness &amp; Recovery")</f>
        <v/>
      </c>
      <c r="B170" s="22">
        <f>IF('Wellness &amp; Recovery'!B20="","",'Wellness &amp; Recovery'!B20)</f>
        <v/>
      </c>
      <c r="C170" s="23">
        <f>IF('Wellness &amp; Recovery'!D20="","",'Wellness &amp; Recovery'!D20)</f>
        <v/>
      </c>
      <c r="D170" s="22">
        <f>IF('Wellness &amp; Recovery'!E20="","",'Wellness &amp; Recovery'!E20)</f>
        <v/>
      </c>
      <c r="E170" s="23">
        <f>IF('Wellness &amp; Recovery'!F20="","",'Wellness &amp; Recovery'!F20)</f>
        <v/>
      </c>
      <c r="F170" s="23">
        <f>IF('Wellness &amp; Recovery'!G20="","",'Wellness &amp; Recovery'!G20)</f>
        <v/>
      </c>
      <c r="G170" s="23">
        <f>IF('Wellness &amp; Recovery'!H20="","",'Wellness &amp; Recovery'!H20)</f>
        <v/>
      </c>
      <c r="H170" s="22">
        <f>IF('Wellness &amp; Recovery'!I20="","",'Wellness &amp; Recovery'!I20)</f>
        <v/>
      </c>
      <c r="I170" s="23">
        <f>IF('Wellness &amp; Recovery'!J20="","",'Wellness &amp; Recovery'!J20)</f>
        <v/>
      </c>
      <c r="J170" s="22">
        <f>IF('Wellness &amp; Recovery'!K20="","",'Wellness &amp; Recovery'!K20)</f>
        <v/>
      </c>
      <c r="K170" s="23">
        <f>IF('Wellness &amp; Recovery'!L20="","",'Wellness &amp; Recovery'!L20)</f>
        <v/>
      </c>
      <c r="L170" s="22">
        <f>IF('Wellness &amp; Recovery'!M20="","",'Wellness &amp; Recovery'!M20)</f>
        <v/>
      </c>
      <c r="M170" s="23">
        <f>IF('Wellness &amp; Recovery'!N20="","",'Wellness &amp; Recovery'!N20)</f>
        <v/>
      </c>
      <c r="N170" s="22">
        <f>IF('Wellness &amp; Recovery'!O20="","",'Wellness &amp; Recovery'!O20)</f>
        <v/>
      </c>
      <c r="O170" s="23">
        <f>IF('Wellness &amp; Recovery'!P20="","",'Wellness &amp; Recovery'!P20)</f>
        <v/>
      </c>
      <c r="P170" s="23">
        <f>IF('Wellness &amp; Recovery'!Q20="","",'Wellness &amp; Recovery'!Q20)</f>
        <v/>
      </c>
      <c r="Q170" s="24">
        <f>IF('Wellness &amp; Recovery'!R20="","",'Wellness &amp; Recovery'!R20)</f>
        <v/>
      </c>
      <c r="R170" s="25">
        <f>IF('Wellness &amp; Recovery'!S20="","",'Wellness &amp; Recovery'!S20)</f>
        <v/>
      </c>
      <c r="S170" s="22">
        <f>IF('Wellness &amp; Recovery'!T20="","",'Wellness &amp; Recovery'!T20)</f>
        <v/>
      </c>
      <c r="T170" s="24">
        <f>IF('Wellness &amp; Recovery'!U20="","",'Wellness &amp; Recovery'!U20)</f>
        <v/>
      </c>
      <c r="U170" s="23">
        <f>IF('Wellness &amp; Recovery'!V20="","",'Wellness &amp; Recovery'!V20)</f>
        <v/>
      </c>
      <c r="V170" s="24">
        <f>IF('Wellness &amp; Recovery'!W20="","",'Wellness &amp; Recovery'!W20)</f>
        <v/>
      </c>
      <c r="W170" s="23">
        <f>IF('Wellness &amp; Recovery'!X20="","",'Wellness &amp; Recovery'!X20)</f>
        <v/>
      </c>
      <c r="X170" s="23">
        <f>IF('Wellness &amp; Recovery'!Y20="","",'Wellness &amp; Recovery'!Y20)</f>
        <v/>
      </c>
      <c r="Y170" s="26">
        <f>IF('Wellness &amp; Recovery'!Z20="","",'Wellness &amp; Recovery'!Z20)</f>
        <v/>
      </c>
      <c r="Z170" s="27">
        <f>IF('Wellness &amp; Recovery'!AA20="","",'Wellness &amp; Recovery'!AA20)</f>
        <v/>
      </c>
      <c r="AA170" s="26">
        <f>IF('Wellness &amp; Recovery'!AB20="","",'Wellness &amp; Recovery'!AB20)</f>
        <v/>
      </c>
      <c r="AB170" s="22">
        <f>IF('Wellness &amp; Recovery'!AC20="","",'Wellness &amp; Recovery'!AC20)</f>
        <v/>
      </c>
      <c r="AC170" s="22">
        <f>IF('Wellness &amp; Recovery'!AD20="","",'Wellness &amp; Recovery'!AD20)</f>
        <v/>
      </c>
      <c r="AD170" s="22">
        <f>IF('Wellness &amp; Recovery'!AE20="","",'Wellness &amp; Recovery'!AE20)</f>
        <v/>
      </c>
      <c r="AE170" s="22">
        <f>IF('Wellness &amp; Recovery'!AF20="","",'Wellness &amp; Recovery'!AF20)</f>
        <v/>
      </c>
      <c r="AF170" s="22">
        <f>IF('Wellness &amp; Recovery'!AG20="","",'Wellness &amp; Recovery'!AG20)</f>
        <v/>
      </c>
      <c r="AG170" s="23">
        <f>IF('Wellness &amp; Recovery'!AH20="","",'Wellness &amp; Recovery'!AH20)</f>
        <v/>
      </c>
      <c r="AH170" s="23">
        <f>IF('Wellness &amp; Recovery'!AI20="","",'Wellness &amp; Recovery'!AI20)</f>
        <v/>
      </c>
      <c r="AI170" s="23">
        <f>IF('Wellness &amp; Recovery'!AJ20="","",'Wellness &amp; Recovery'!AJ20)</f>
        <v/>
      </c>
      <c r="AJ170" s="23">
        <f>IF('Wellness &amp; Recovery'!AK20="","",'Wellness &amp; Recovery'!AK20)</f>
        <v/>
      </c>
      <c r="AK170" s="22">
        <f>IF('Wellness &amp; Recovery'!AL20="","",'Wellness &amp; Recovery'!AL20)</f>
        <v/>
      </c>
      <c r="AL170" s="18">
        <f>IF(V170="","",V170+ROW()/100000)</f>
        <v/>
      </c>
    </row>
    <row r="171" ht="18" customHeight="1">
      <c r="A171" s="16">
        <f>IF('Wellness &amp; Recovery'!B21="","","Wellness &amp; Recovery")</f>
        <v/>
      </c>
      <c r="B171" s="16">
        <f>IF('Wellness &amp; Recovery'!B21="","",'Wellness &amp; Recovery'!B21)</f>
        <v/>
      </c>
      <c r="C171" s="17">
        <f>IF('Wellness &amp; Recovery'!D21="","",'Wellness &amp; Recovery'!D21)</f>
        <v/>
      </c>
      <c r="D171" s="16">
        <f>IF('Wellness &amp; Recovery'!E21="","",'Wellness &amp; Recovery'!E21)</f>
        <v/>
      </c>
      <c r="E171" s="17">
        <f>IF('Wellness &amp; Recovery'!F21="","",'Wellness &amp; Recovery'!F21)</f>
        <v/>
      </c>
      <c r="F171" s="17">
        <f>IF('Wellness &amp; Recovery'!G21="","",'Wellness &amp; Recovery'!G21)</f>
        <v/>
      </c>
      <c r="G171" s="17">
        <f>IF('Wellness &amp; Recovery'!H21="","",'Wellness &amp; Recovery'!H21)</f>
        <v/>
      </c>
      <c r="H171" s="16">
        <f>IF('Wellness &amp; Recovery'!I21="","",'Wellness &amp; Recovery'!I21)</f>
        <v/>
      </c>
      <c r="I171" s="17">
        <f>IF('Wellness &amp; Recovery'!J21="","",'Wellness &amp; Recovery'!J21)</f>
        <v/>
      </c>
      <c r="J171" s="16">
        <f>IF('Wellness &amp; Recovery'!K21="","",'Wellness &amp; Recovery'!K21)</f>
        <v/>
      </c>
      <c r="K171" s="17">
        <f>IF('Wellness &amp; Recovery'!L21="","",'Wellness &amp; Recovery'!L21)</f>
        <v/>
      </c>
      <c r="L171" s="16">
        <f>IF('Wellness &amp; Recovery'!M21="","",'Wellness &amp; Recovery'!M21)</f>
        <v/>
      </c>
      <c r="M171" s="17">
        <f>IF('Wellness &amp; Recovery'!N21="","",'Wellness &amp; Recovery'!N21)</f>
        <v/>
      </c>
      <c r="N171" s="16">
        <f>IF('Wellness &amp; Recovery'!O21="","",'Wellness &amp; Recovery'!O21)</f>
        <v/>
      </c>
      <c r="O171" s="17">
        <f>IF('Wellness &amp; Recovery'!P21="","",'Wellness &amp; Recovery'!P21)</f>
        <v/>
      </c>
      <c r="P171" s="17">
        <f>IF('Wellness &amp; Recovery'!Q21="","",'Wellness &amp; Recovery'!Q21)</f>
        <v/>
      </c>
      <c r="Q171" s="15">
        <f>IF('Wellness &amp; Recovery'!R21="","",'Wellness &amp; Recovery'!R21)</f>
        <v/>
      </c>
      <c r="R171" s="19">
        <f>IF('Wellness &amp; Recovery'!S21="","",'Wellness &amp; Recovery'!S21)</f>
        <v/>
      </c>
      <c r="S171" s="16">
        <f>IF('Wellness &amp; Recovery'!T21="","",'Wellness &amp; Recovery'!T21)</f>
        <v/>
      </c>
      <c r="T171" s="15">
        <f>IF('Wellness &amp; Recovery'!U21="","",'Wellness &amp; Recovery'!U21)</f>
        <v/>
      </c>
      <c r="U171" s="17">
        <f>IF('Wellness &amp; Recovery'!V21="","",'Wellness &amp; Recovery'!V21)</f>
        <v/>
      </c>
      <c r="V171" s="15">
        <f>IF('Wellness &amp; Recovery'!W21="","",'Wellness &amp; Recovery'!W21)</f>
        <v/>
      </c>
      <c r="W171" s="17">
        <f>IF('Wellness &amp; Recovery'!X21="","",'Wellness &amp; Recovery'!X21)</f>
        <v/>
      </c>
      <c r="X171" s="17">
        <f>IF('Wellness &amp; Recovery'!Y21="","",'Wellness &amp; Recovery'!Y21)</f>
        <v/>
      </c>
      <c r="Y171" s="20">
        <f>IF('Wellness &amp; Recovery'!Z21="","",'Wellness &amp; Recovery'!Z21)</f>
        <v/>
      </c>
      <c r="Z171" s="21">
        <f>IF('Wellness &amp; Recovery'!AA21="","",'Wellness &amp; Recovery'!AA21)</f>
        <v/>
      </c>
      <c r="AA171" s="20">
        <f>IF('Wellness &amp; Recovery'!AB21="","",'Wellness &amp; Recovery'!AB21)</f>
        <v/>
      </c>
      <c r="AB171" s="16">
        <f>IF('Wellness &amp; Recovery'!AC21="","",'Wellness &amp; Recovery'!AC21)</f>
        <v/>
      </c>
      <c r="AC171" s="16">
        <f>IF('Wellness &amp; Recovery'!AD21="","",'Wellness &amp; Recovery'!AD21)</f>
        <v/>
      </c>
      <c r="AD171" s="16">
        <f>IF('Wellness &amp; Recovery'!AE21="","",'Wellness &amp; Recovery'!AE21)</f>
        <v/>
      </c>
      <c r="AE171" s="16">
        <f>IF('Wellness &amp; Recovery'!AF21="","",'Wellness &amp; Recovery'!AF21)</f>
        <v/>
      </c>
      <c r="AF171" s="16">
        <f>IF('Wellness &amp; Recovery'!AG21="","",'Wellness &amp; Recovery'!AG21)</f>
        <v/>
      </c>
      <c r="AG171" s="17">
        <f>IF('Wellness &amp; Recovery'!AH21="","",'Wellness &amp; Recovery'!AH21)</f>
        <v/>
      </c>
      <c r="AH171" s="17">
        <f>IF('Wellness &amp; Recovery'!AI21="","",'Wellness &amp; Recovery'!AI21)</f>
        <v/>
      </c>
      <c r="AI171" s="17">
        <f>IF('Wellness &amp; Recovery'!AJ21="","",'Wellness &amp; Recovery'!AJ21)</f>
        <v/>
      </c>
      <c r="AJ171" s="17">
        <f>IF('Wellness &amp; Recovery'!AK21="","",'Wellness &amp; Recovery'!AK21)</f>
        <v/>
      </c>
      <c r="AK171" s="16">
        <f>IF('Wellness &amp; Recovery'!AL21="","",'Wellness &amp; Recovery'!AL21)</f>
        <v/>
      </c>
      <c r="AL171" s="18">
        <f>IF(V171="","",V171+ROW()/100000)</f>
        <v/>
      </c>
    </row>
    <row r="172" ht="18" customHeight="1">
      <c r="A172" s="22">
        <f>IF('Wellness &amp; Recovery'!B22="","","Wellness &amp; Recovery")</f>
        <v/>
      </c>
      <c r="B172" s="22">
        <f>IF('Wellness &amp; Recovery'!B22="","",'Wellness &amp; Recovery'!B22)</f>
        <v/>
      </c>
      <c r="C172" s="23">
        <f>IF('Wellness &amp; Recovery'!D22="","",'Wellness &amp; Recovery'!D22)</f>
        <v/>
      </c>
      <c r="D172" s="22">
        <f>IF('Wellness &amp; Recovery'!E22="","",'Wellness &amp; Recovery'!E22)</f>
        <v/>
      </c>
      <c r="E172" s="23">
        <f>IF('Wellness &amp; Recovery'!F22="","",'Wellness &amp; Recovery'!F22)</f>
        <v/>
      </c>
      <c r="F172" s="23">
        <f>IF('Wellness &amp; Recovery'!G22="","",'Wellness &amp; Recovery'!G22)</f>
        <v/>
      </c>
      <c r="G172" s="23">
        <f>IF('Wellness &amp; Recovery'!H22="","",'Wellness &amp; Recovery'!H22)</f>
        <v/>
      </c>
      <c r="H172" s="22">
        <f>IF('Wellness &amp; Recovery'!I22="","",'Wellness &amp; Recovery'!I22)</f>
        <v/>
      </c>
      <c r="I172" s="23">
        <f>IF('Wellness &amp; Recovery'!J22="","",'Wellness &amp; Recovery'!J22)</f>
        <v/>
      </c>
      <c r="J172" s="22">
        <f>IF('Wellness &amp; Recovery'!K22="","",'Wellness &amp; Recovery'!K22)</f>
        <v/>
      </c>
      <c r="K172" s="23">
        <f>IF('Wellness &amp; Recovery'!L22="","",'Wellness &amp; Recovery'!L22)</f>
        <v/>
      </c>
      <c r="L172" s="22">
        <f>IF('Wellness &amp; Recovery'!M22="","",'Wellness &amp; Recovery'!M22)</f>
        <v/>
      </c>
      <c r="M172" s="23">
        <f>IF('Wellness &amp; Recovery'!N22="","",'Wellness &amp; Recovery'!N22)</f>
        <v/>
      </c>
      <c r="N172" s="22">
        <f>IF('Wellness &amp; Recovery'!O22="","",'Wellness &amp; Recovery'!O22)</f>
        <v/>
      </c>
      <c r="O172" s="23">
        <f>IF('Wellness &amp; Recovery'!P22="","",'Wellness &amp; Recovery'!P22)</f>
        <v/>
      </c>
      <c r="P172" s="23">
        <f>IF('Wellness &amp; Recovery'!Q22="","",'Wellness &amp; Recovery'!Q22)</f>
        <v/>
      </c>
      <c r="Q172" s="24">
        <f>IF('Wellness &amp; Recovery'!R22="","",'Wellness &amp; Recovery'!R22)</f>
        <v/>
      </c>
      <c r="R172" s="25">
        <f>IF('Wellness &amp; Recovery'!S22="","",'Wellness &amp; Recovery'!S22)</f>
        <v/>
      </c>
      <c r="S172" s="22">
        <f>IF('Wellness &amp; Recovery'!T22="","",'Wellness &amp; Recovery'!T22)</f>
        <v/>
      </c>
      <c r="T172" s="24">
        <f>IF('Wellness &amp; Recovery'!U22="","",'Wellness &amp; Recovery'!U22)</f>
        <v/>
      </c>
      <c r="U172" s="23">
        <f>IF('Wellness &amp; Recovery'!V22="","",'Wellness &amp; Recovery'!V22)</f>
        <v/>
      </c>
      <c r="V172" s="24">
        <f>IF('Wellness &amp; Recovery'!W22="","",'Wellness &amp; Recovery'!W22)</f>
        <v/>
      </c>
      <c r="W172" s="23">
        <f>IF('Wellness &amp; Recovery'!X22="","",'Wellness &amp; Recovery'!X22)</f>
        <v/>
      </c>
      <c r="X172" s="23">
        <f>IF('Wellness &amp; Recovery'!Y22="","",'Wellness &amp; Recovery'!Y22)</f>
        <v/>
      </c>
      <c r="Y172" s="26">
        <f>IF('Wellness &amp; Recovery'!Z22="","",'Wellness &amp; Recovery'!Z22)</f>
        <v/>
      </c>
      <c r="Z172" s="27">
        <f>IF('Wellness &amp; Recovery'!AA22="","",'Wellness &amp; Recovery'!AA22)</f>
        <v/>
      </c>
      <c r="AA172" s="26">
        <f>IF('Wellness &amp; Recovery'!AB22="","",'Wellness &amp; Recovery'!AB22)</f>
        <v/>
      </c>
      <c r="AB172" s="22">
        <f>IF('Wellness &amp; Recovery'!AC22="","",'Wellness &amp; Recovery'!AC22)</f>
        <v/>
      </c>
      <c r="AC172" s="22">
        <f>IF('Wellness &amp; Recovery'!AD22="","",'Wellness &amp; Recovery'!AD22)</f>
        <v/>
      </c>
      <c r="AD172" s="22">
        <f>IF('Wellness &amp; Recovery'!AE22="","",'Wellness &amp; Recovery'!AE22)</f>
        <v/>
      </c>
      <c r="AE172" s="22">
        <f>IF('Wellness &amp; Recovery'!AF22="","",'Wellness &amp; Recovery'!AF22)</f>
        <v/>
      </c>
      <c r="AF172" s="22">
        <f>IF('Wellness &amp; Recovery'!AG22="","",'Wellness &amp; Recovery'!AG22)</f>
        <v/>
      </c>
      <c r="AG172" s="23">
        <f>IF('Wellness &amp; Recovery'!AH22="","",'Wellness &amp; Recovery'!AH22)</f>
        <v/>
      </c>
      <c r="AH172" s="23">
        <f>IF('Wellness &amp; Recovery'!AI22="","",'Wellness &amp; Recovery'!AI22)</f>
        <v/>
      </c>
      <c r="AI172" s="23">
        <f>IF('Wellness &amp; Recovery'!AJ22="","",'Wellness &amp; Recovery'!AJ22)</f>
        <v/>
      </c>
      <c r="AJ172" s="23">
        <f>IF('Wellness &amp; Recovery'!AK22="","",'Wellness &amp; Recovery'!AK22)</f>
        <v/>
      </c>
      <c r="AK172" s="22">
        <f>IF('Wellness &amp; Recovery'!AL22="","",'Wellness &amp; Recovery'!AL22)</f>
        <v/>
      </c>
      <c r="AL172" s="18">
        <f>IF(V172="","",V172+ROW()/100000)</f>
        <v/>
      </c>
    </row>
    <row r="173" ht="18" customHeight="1">
      <c r="A173" s="16">
        <f>IF('Wellness &amp; Recovery'!B23="","","Wellness &amp; Recovery")</f>
        <v/>
      </c>
      <c r="B173" s="16">
        <f>IF('Wellness &amp; Recovery'!B23="","",'Wellness &amp; Recovery'!B23)</f>
        <v/>
      </c>
      <c r="C173" s="17">
        <f>IF('Wellness &amp; Recovery'!D23="","",'Wellness &amp; Recovery'!D23)</f>
        <v/>
      </c>
      <c r="D173" s="16">
        <f>IF('Wellness &amp; Recovery'!E23="","",'Wellness &amp; Recovery'!E23)</f>
        <v/>
      </c>
      <c r="E173" s="17">
        <f>IF('Wellness &amp; Recovery'!F23="","",'Wellness &amp; Recovery'!F23)</f>
        <v/>
      </c>
      <c r="F173" s="17">
        <f>IF('Wellness &amp; Recovery'!G23="","",'Wellness &amp; Recovery'!G23)</f>
        <v/>
      </c>
      <c r="G173" s="17">
        <f>IF('Wellness &amp; Recovery'!H23="","",'Wellness &amp; Recovery'!H23)</f>
        <v/>
      </c>
      <c r="H173" s="16">
        <f>IF('Wellness &amp; Recovery'!I23="","",'Wellness &amp; Recovery'!I23)</f>
        <v/>
      </c>
      <c r="I173" s="17">
        <f>IF('Wellness &amp; Recovery'!J23="","",'Wellness &amp; Recovery'!J23)</f>
        <v/>
      </c>
      <c r="J173" s="16">
        <f>IF('Wellness &amp; Recovery'!K23="","",'Wellness &amp; Recovery'!K23)</f>
        <v/>
      </c>
      <c r="K173" s="17">
        <f>IF('Wellness &amp; Recovery'!L23="","",'Wellness &amp; Recovery'!L23)</f>
        <v/>
      </c>
      <c r="L173" s="16">
        <f>IF('Wellness &amp; Recovery'!M23="","",'Wellness &amp; Recovery'!M23)</f>
        <v/>
      </c>
      <c r="M173" s="17">
        <f>IF('Wellness &amp; Recovery'!N23="","",'Wellness &amp; Recovery'!N23)</f>
        <v/>
      </c>
      <c r="N173" s="16">
        <f>IF('Wellness &amp; Recovery'!O23="","",'Wellness &amp; Recovery'!O23)</f>
        <v/>
      </c>
      <c r="O173" s="17">
        <f>IF('Wellness &amp; Recovery'!P23="","",'Wellness &amp; Recovery'!P23)</f>
        <v/>
      </c>
      <c r="P173" s="17">
        <f>IF('Wellness &amp; Recovery'!Q23="","",'Wellness &amp; Recovery'!Q23)</f>
        <v/>
      </c>
      <c r="Q173" s="15">
        <f>IF('Wellness &amp; Recovery'!R23="","",'Wellness &amp; Recovery'!R23)</f>
        <v/>
      </c>
      <c r="R173" s="19">
        <f>IF('Wellness &amp; Recovery'!S23="","",'Wellness &amp; Recovery'!S23)</f>
        <v/>
      </c>
      <c r="S173" s="16">
        <f>IF('Wellness &amp; Recovery'!T23="","",'Wellness &amp; Recovery'!T23)</f>
        <v/>
      </c>
      <c r="T173" s="15">
        <f>IF('Wellness &amp; Recovery'!U23="","",'Wellness &amp; Recovery'!U23)</f>
        <v/>
      </c>
      <c r="U173" s="17">
        <f>IF('Wellness &amp; Recovery'!V23="","",'Wellness &amp; Recovery'!V23)</f>
        <v/>
      </c>
      <c r="V173" s="15">
        <f>IF('Wellness &amp; Recovery'!W23="","",'Wellness &amp; Recovery'!W23)</f>
        <v/>
      </c>
      <c r="W173" s="17">
        <f>IF('Wellness &amp; Recovery'!X23="","",'Wellness &amp; Recovery'!X23)</f>
        <v/>
      </c>
      <c r="X173" s="17">
        <f>IF('Wellness &amp; Recovery'!Y23="","",'Wellness &amp; Recovery'!Y23)</f>
        <v/>
      </c>
      <c r="Y173" s="20">
        <f>IF('Wellness &amp; Recovery'!Z23="","",'Wellness &amp; Recovery'!Z23)</f>
        <v/>
      </c>
      <c r="Z173" s="21">
        <f>IF('Wellness &amp; Recovery'!AA23="","",'Wellness &amp; Recovery'!AA23)</f>
        <v/>
      </c>
      <c r="AA173" s="20">
        <f>IF('Wellness &amp; Recovery'!AB23="","",'Wellness &amp; Recovery'!AB23)</f>
        <v/>
      </c>
      <c r="AB173" s="16">
        <f>IF('Wellness &amp; Recovery'!AC23="","",'Wellness &amp; Recovery'!AC23)</f>
        <v/>
      </c>
      <c r="AC173" s="16">
        <f>IF('Wellness &amp; Recovery'!AD23="","",'Wellness &amp; Recovery'!AD23)</f>
        <v/>
      </c>
      <c r="AD173" s="16">
        <f>IF('Wellness &amp; Recovery'!AE23="","",'Wellness &amp; Recovery'!AE23)</f>
        <v/>
      </c>
      <c r="AE173" s="16">
        <f>IF('Wellness &amp; Recovery'!AF23="","",'Wellness &amp; Recovery'!AF23)</f>
        <v/>
      </c>
      <c r="AF173" s="16">
        <f>IF('Wellness &amp; Recovery'!AG23="","",'Wellness &amp; Recovery'!AG23)</f>
        <v/>
      </c>
      <c r="AG173" s="17">
        <f>IF('Wellness &amp; Recovery'!AH23="","",'Wellness &amp; Recovery'!AH23)</f>
        <v/>
      </c>
      <c r="AH173" s="17">
        <f>IF('Wellness &amp; Recovery'!AI23="","",'Wellness &amp; Recovery'!AI23)</f>
        <v/>
      </c>
      <c r="AI173" s="17">
        <f>IF('Wellness &amp; Recovery'!AJ23="","",'Wellness &amp; Recovery'!AJ23)</f>
        <v/>
      </c>
      <c r="AJ173" s="17">
        <f>IF('Wellness &amp; Recovery'!AK23="","",'Wellness &amp; Recovery'!AK23)</f>
        <v/>
      </c>
      <c r="AK173" s="16">
        <f>IF('Wellness &amp; Recovery'!AL23="","",'Wellness &amp; Recovery'!AL23)</f>
        <v/>
      </c>
      <c r="AL173" s="18">
        <f>IF(V173="","",V173+ROW()/100000)</f>
        <v/>
      </c>
    </row>
    <row r="174" ht="18" customHeight="1">
      <c r="A174" s="22">
        <f>IF('Wellness &amp; Recovery'!B24="","","Wellness &amp; Recovery")</f>
        <v/>
      </c>
      <c r="B174" s="22">
        <f>IF('Wellness &amp; Recovery'!B24="","",'Wellness &amp; Recovery'!B24)</f>
        <v/>
      </c>
      <c r="C174" s="23">
        <f>IF('Wellness &amp; Recovery'!D24="","",'Wellness &amp; Recovery'!D24)</f>
        <v/>
      </c>
      <c r="D174" s="22">
        <f>IF('Wellness &amp; Recovery'!E24="","",'Wellness &amp; Recovery'!E24)</f>
        <v/>
      </c>
      <c r="E174" s="23">
        <f>IF('Wellness &amp; Recovery'!F24="","",'Wellness &amp; Recovery'!F24)</f>
        <v/>
      </c>
      <c r="F174" s="23">
        <f>IF('Wellness &amp; Recovery'!G24="","",'Wellness &amp; Recovery'!G24)</f>
        <v/>
      </c>
      <c r="G174" s="23">
        <f>IF('Wellness &amp; Recovery'!H24="","",'Wellness &amp; Recovery'!H24)</f>
        <v/>
      </c>
      <c r="H174" s="22">
        <f>IF('Wellness &amp; Recovery'!I24="","",'Wellness &amp; Recovery'!I24)</f>
        <v/>
      </c>
      <c r="I174" s="23">
        <f>IF('Wellness &amp; Recovery'!J24="","",'Wellness &amp; Recovery'!J24)</f>
        <v/>
      </c>
      <c r="J174" s="22">
        <f>IF('Wellness &amp; Recovery'!K24="","",'Wellness &amp; Recovery'!K24)</f>
        <v/>
      </c>
      <c r="K174" s="23">
        <f>IF('Wellness &amp; Recovery'!L24="","",'Wellness &amp; Recovery'!L24)</f>
        <v/>
      </c>
      <c r="L174" s="22">
        <f>IF('Wellness &amp; Recovery'!M24="","",'Wellness &amp; Recovery'!M24)</f>
        <v/>
      </c>
      <c r="M174" s="23">
        <f>IF('Wellness &amp; Recovery'!N24="","",'Wellness &amp; Recovery'!N24)</f>
        <v/>
      </c>
      <c r="N174" s="22">
        <f>IF('Wellness &amp; Recovery'!O24="","",'Wellness &amp; Recovery'!O24)</f>
        <v/>
      </c>
      <c r="O174" s="23">
        <f>IF('Wellness &amp; Recovery'!P24="","",'Wellness &amp; Recovery'!P24)</f>
        <v/>
      </c>
      <c r="P174" s="23">
        <f>IF('Wellness &amp; Recovery'!Q24="","",'Wellness &amp; Recovery'!Q24)</f>
        <v/>
      </c>
      <c r="Q174" s="24">
        <f>IF('Wellness &amp; Recovery'!R24="","",'Wellness &amp; Recovery'!R24)</f>
        <v/>
      </c>
      <c r="R174" s="25">
        <f>IF('Wellness &amp; Recovery'!S24="","",'Wellness &amp; Recovery'!S24)</f>
        <v/>
      </c>
      <c r="S174" s="22">
        <f>IF('Wellness &amp; Recovery'!T24="","",'Wellness &amp; Recovery'!T24)</f>
        <v/>
      </c>
      <c r="T174" s="24">
        <f>IF('Wellness &amp; Recovery'!U24="","",'Wellness &amp; Recovery'!U24)</f>
        <v/>
      </c>
      <c r="U174" s="23">
        <f>IF('Wellness &amp; Recovery'!V24="","",'Wellness &amp; Recovery'!V24)</f>
        <v/>
      </c>
      <c r="V174" s="24">
        <f>IF('Wellness &amp; Recovery'!W24="","",'Wellness &amp; Recovery'!W24)</f>
        <v/>
      </c>
      <c r="W174" s="23">
        <f>IF('Wellness &amp; Recovery'!X24="","",'Wellness &amp; Recovery'!X24)</f>
        <v/>
      </c>
      <c r="X174" s="23">
        <f>IF('Wellness &amp; Recovery'!Y24="","",'Wellness &amp; Recovery'!Y24)</f>
        <v/>
      </c>
      <c r="Y174" s="26">
        <f>IF('Wellness &amp; Recovery'!Z24="","",'Wellness &amp; Recovery'!Z24)</f>
        <v/>
      </c>
      <c r="Z174" s="27">
        <f>IF('Wellness &amp; Recovery'!AA24="","",'Wellness &amp; Recovery'!AA24)</f>
        <v/>
      </c>
      <c r="AA174" s="26">
        <f>IF('Wellness &amp; Recovery'!AB24="","",'Wellness &amp; Recovery'!AB24)</f>
        <v/>
      </c>
      <c r="AB174" s="22">
        <f>IF('Wellness &amp; Recovery'!AC24="","",'Wellness &amp; Recovery'!AC24)</f>
        <v/>
      </c>
      <c r="AC174" s="22">
        <f>IF('Wellness &amp; Recovery'!AD24="","",'Wellness &amp; Recovery'!AD24)</f>
        <v/>
      </c>
      <c r="AD174" s="22">
        <f>IF('Wellness &amp; Recovery'!AE24="","",'Wellness &amp; Recovery'!AE24)</f>
        <v/>
      </c>
      <c r="AE174" s="22">
        <f>IF('Wellness &amp; Recovery'!AF24="","",'Wellness &amp; Recovery'!AF24)</f>
        <v/>
      </c>
      <c r="AF174" s="22">
        <f>IF('Wellness &amp; Recovery'!AG24="","",'Wellness &amp; Recovery'!AG24)</f>
        <v/>
      </c>
      <c r="AG174" s="23">
        <f>IF('Wellness &amp; Recovery'!AH24="","",'Wellness &amp; Recovery'!AH24)</f>
        <v/>
      </c>
      <c r="AH174" s="23">
        <f>IF('Wellness &amp; Recovery'!AI24="","",'Wellness &amp; Recovery'!AI24)</f>
        <v/>
      </c>
      <c r="AI174" s="23">
        <f>IF('Wellness &amp; Recovery'!AJ24="","",'Wellness &amp; Recovery'!AJ24)</f>
        <v/>
      </c>
      <c r="AJ174" s="23">
        <f>IF('Wellness &amp; Recovery'!AK24="","",'Wellness &amp; Recovery'!AK24)</f>
        <v/>
      </c>
      <c r="AK174" s="22">
        <f>IF('Wellness &amp; Recovery'!AL24="","",'Wellness &amp; Recovery'!AL24)</f>
        <v/>
      </c>
      <c r="AL174" s="18">
        <f>IF(V174="","",V174+ROW()/100000)</f>
        <v/>
      </c>
    </row>
    <row r="175" ht="18" customHeight="1">
      <c r="A175" s="16">
        <f>IF('Wellness &amp; Recovery'!B25="","","Wellness &amp; Recovery")</f>
        <v/>
      </c>
      <c r="B175" s="16">
        <f>IF('Wellness &amp; Recovery'!B25="","",'Wellness &amp; Recovery'!B25)</f>
        <v/>
      </c>
      <c r="C175" s="17">
        <f>IF('Wellness &amp; Recovery'!D25="","",'Wellness &amp; Recovery'!D25)</f>
        <v/>
      </c>
      <c r="D175" s="16">
        <f>IF('Wellness &amp; Recovery'!E25="","",'Wellness &amp; Recovery'!E25)</f>
        <v/>
      </c>
      <c r="E175" s="17">
        <f>IF('Wellness &amp; Recovery'!F25="","",'Wellness &amp; Recovery'!F25)</f>
        <v/>
      </c>
      <c r="F175" s="17">
        <f>IF('Wellness &amp; Recovery'!G25="","",'Wellness &amp; Recovery'!G25)</f>
        <v/>
      </c>
      <c r="G175" s="17">
        <f>IF('Wellness &amp; Recovery'!H25="","",'Wellness &amp; Recovery'!H25)</f>
        <v/>
      </c>
      <c r="H175" s="16">
        <f>IF('Wellness &amp; Recovery'!I25="","",'Wellness &amp; Recovery'!I25)</f>
        <v/>
      </c>
      <c r="I175" s="17">
        <f>IF('Wellness &amp; Recovery'!J25="","",'Wellness &amp; Recovery'!J25)</f>
        <v/>
      </c>
      <c r="J175" s="16">
        <f>IF('Wellness &amp; Recovery'!K25="","",'Wellness &amp; Recovery'!K25)</f>
        <v/>
      </c>
      <c r="K175" s="17">
        <f>IF('Wellness &amp; Recovery'!L25="","",'Wellness &amp; Recovery'!L25)</f>
        <v/>
      </c>
      <c r="L175" s="16">
        <f>IF('Wellness &amp; Recovery'!M25="","",'Wellness &amp; Recovery'!M25)</f>
        <v/>
      </c>
      <c r="M175" s="17">
        <f>IF('Wellness &amp; Recovery'!N25="","",'Wellness &amp; Recovery'!N25)</f>
        <v/>
      </c>
      <c r="N175" s="16">
        <f>IF('Wellness &amp; Recovery'!O25="","",'Wellness &amp; Recovery'!O25)</f>
        <v/>
      </c>
      <c r="O175" s="17">
        <f>IF('Wellness &amp; Recovery'!P25="","",'Wellness &amp; Recovery'!P25)</f>
        <v/>
      </c>
      <c r="P175" s="17">
        <f>IF('Wellness &amp; Recovery'!Q25="","",'Wellness &amp; Recovery'!Q25)</f>
        <v/>
      </c>
      <c r="Q175" s="15">
        <f>IF('Wellness &amp; Recovery'!R25="","",'Wellness &amp; Recovery'!R25)</f>
        <v/>
      </c>
      <c r="R175" s="19">
        <f>IF('Wellness &amp; Recovery'!S25="","",'Wellness &amp; Recovery'!S25)</f>
        <v/>
      </c>
      <c r="S175" s="16">
        <f>IF('Wellness &amp; Recovery'!T25="","",'Wellness &amp; Recovery'!T25)</f>
        <v/>
      </c>
      <c r="T175" s="15">
        <f>IF('Wellness &amp; Recovery'!U25="","",'Wellness &amp; Recovery'!U25)</f>
        <v/>
      </c>
      <c r="U175" s="17">
        <f>IF('Wellness &amp; Recovery'!V25="","",'Wellness &amp; Recovery'!V25)</f>
        <v/>
      </c>
      <c r="V175" s="15">
        <f>IF('Wellness &amp; Recovery'!W25="","",'Wellness &amp; Recovery'!W25)</f>
        <v/>
      </c>
      <c r="W175" s="17">
        <f>IF('Wellness &amp; Recovery'!X25="","",'Wellness &amp; Recovery'!X25)</f>
        <v/>
      </c>
      <c r="X175" s="17">
        <f>IF('Wellness &amp; Recovery'!Y25="","",'Wellness &amp; Recovery'!Y25)</f>
        <v/>
      </c>
      <c r="Y175" s="20">
        <f>IF('Wellness &amp; Recovery'!Z25="","",'Wellness &amp; Recovery'!Z25)</f>
        <v/>
      </c>
      <c r="Z175" s="21">
        <f>IF('Wellness &amp; Recovery'!AA25="","",'Wellness &amp; Recovery'!AA25)</f>
        <v/>
      </c>
      <c r="AA175" s="20">
        <f>IF('Wellness &amp; Recovery'!AB25="","",'Wellness &amp; Recovery'!AB25)</f>
        <v/>
      </c>
      <c r="AB175" s="16">
        <f>IF('Wellness &amp; Recovery'!AC25="","",'Wellness &amp; Recovery'!AC25)</f>
        <v/>
      </c>
      <c r="AC175" s="16">
        <f>IF('Wellness &amp; Recovery'!AD25="","",'Wellness &amp; Recovery'!AD25)</f>
        <v/>
      </c>
      <c r="AD175" s="16">
        <f>IF('Wellness &amp; Recovery'!AE25="","",'Wellness &amp; Recovery'!AE25)</f>
        <v/>
      </c>
      <c r="AE175" s="16">
        <f>IF('Wellness &amp; Recovery'!AF25="","",'Wellness &amp; Recovery'!AF25)</f>
        <v/>
      </c>
      <c r="AF175" s="16">
        <f>IF('Wellness &amp; Recovery'!AG25="","",'Wellness &amp; Recovery'!AG25)</f>
        <v/>
      </c>
      <c r="AG175" s="17">
        <f>IF('Wellness &amp; Recovery'!AH25="","",'Wellness &amp; Recovery'!AH25)</f>
        <v/>
      </c>
      <c r="AH175" s="17">
        <f>IF('Wellness &amp; Recovery'!AI25="","",'Wellness &amp; Recovery'!AI25)</f>
        <v/>
      </c>
      <c r="AI175" s="17">
        <f>IF('Wellness &amp; Recovery'!AJ25="","",'Wellness &amp; Recovery'!AJ25)</f>
        <v/>
      </c>
      <c r="AJ175" s="17">
        <f>IF('Wellness &amp; Recovery'!AK25="","",'Wellness &amp; Recovery'!AK25)</f>
        <v/>
      </c>
      <c r="AK175" s="16">
        <f>IF('Wellness &amp; Recovery'!AL25="","",'Wellness &amp; Recovery'!AL25)</f>
        <v/>
      </c>
      <c r="AL175" s="18">
        <f>IF(V175="","",V175+ROW()/100000)</f>
        <v/>
      </c>
    </row>
    <row r="176" ht="18" customHeight="1">
      <c r="A176" s="22">
        <f>IF('Wellness &amp; Recovery'!B26="","","Wellness &amp; Recovery")</f>
        <v/>
      </c>
      <c r="B176" s="22">
        <f>IF('Wellness &amp; Recovery'!B26="","",'Wellness &amp; Recovery'!B26)</f>
        <v/>
      </c>
      <c r="C176" s="23">
        <f>IF('Wellness &amp; Recovery'!D26="","",'Wellness &amp; Recovery'!D26)</f>
        <v/>
      </c>
      <c r="D176" s="22">
        <f>IF('Wellness &amp; Recovery'!E26="","",'Wellness &amp; Recovery'!E26)</f>
        <v/>
      </c>
      <c r="E176" s="23">
        <f>IF('Wellness &amp; Recovery'!F26="","",'Wellness &amp; Recovery'!F26)</f>
        <v/>
      </c>
      <c r="F176" s="23">
        <f>IF('Wellness &amp; Recovery'!G26="","",'Wellness &amp; Recovery'!G26)</f>
        <v/>
      </c>
      <c r="G176" s="23">
        <f>IF('Wellness &amp; Recovery'!H26="","",'Wellness &amp; Recovery'!H26)</f>
        <v/>
      </c>
      <c r="H176" s="22">
        <f>IF('Wellness &amp; Recovery'!I26="","",'Wellness &amp; Recovery'!I26)</f>
        <v/>
      </c>
      <c r="I176" s="23">
        <f>IF('Wellness &amp; Recovery'!J26="","",'Wellness &amp; Recovery'!J26)</f>
        <v/>
      </c>
      <c r="J176" s="22">
        <f>IF('Wellness &amp; Recovery'!K26="","",'Wellness &amp; Recovery'!K26)</f>
        <v/>
      </c>
      <c r="K176" s="23">
        <f>IF('Wellness &amp; Recovery'!L26="","",'Wellness &amp; Recovery'!L26)</f>
        <v/>
      </c>
      <c r="L176" s="22">
        <f>IF('Wellness &amp; Recovery'!M26="","",'Wellness &amp; Recovery'!M26)</f>
        <v/>
      </c>
      <c r="M176" s="23">
        <f>IF('Wellness &amp; Recovery'!N26="","",'Wellness &amp; Recovery'!N26)</f>
        <v/>
      </c>
      <c r="N176" s="22">
        <f>IF('Wellness &amp; Recovery'!O26="","",'Wellness &amp; Recovery'!O26)</f>
        <v/>
      </c>
      <c r="O176" s="23">
        <f>IF('Wellness &amp; Recovery'!P26="","",'Wellness &amp; Recovery'!P26)</f>
        <v/>
      </c>
      <c r="P176" s="23">
        <f>IF('Wellness &amp; Recovery'!Q26="","",'Wellness &amp; Recovery'!Q26)</f>
        <v/>
      </c>
      <c r="Q176" s="24">
        <f>IF('Wellness &amp; Recovery'!R26="","",'Wellness &amp; Recovery'!R26)</f>
        <v/>
      </c>
      <c r="R176" s="25">
        <f>IF('Wellness &amp; Recovery'!S26="","",'Wellness &amp; Recovery'!S26)</f>
        <v/>
      </c>
      <c r="S176" s="22">
        <f>IF('Wellness &amp; Recovery'!T26="","",'Wellness &amp; Recovery'!T26)</f>
        <v/>
      </c>
      <c r="T176" s="24">
        <f>IF('Wellness &amp; Recovery'!U26="","",'Wellness &amp; Recovery'!U26)</f>
        <v/>
      </c>
      <c r="U176" s="23">
        <f>IF('Wellness &amp; Recovery'!V26="","",'Wellness &amp; Recovery'!V26)</f>
        <v/>
      </c>
      <c r="V176" s="24">
        <f>IF('Wellness &amp; Recovery'!W26="","",'Wellness &amp; Recovery'!W26)</f>
        <v/>
      </c>
      <c r="W176" s="23">
        <f>IF('Wellness &amp; Recovery'!X26="","",'Wellness &amp; Recovery'!X26)</f>
        <v/>
      </c>
      <c r="X176" s="23">
        <f>IF('Wellness &amp; Recovery'!Y26="","",'Wellness &amp; Recovery'!Y26)</f>
        <v/>
      </c>
      <c r="Y176" s="26">
        <f>IF('Wellness &amp; Recovery'!Z26="","",'Wellness &amp; Recovery'!Z26)</f>
        <v/>
      </c>
      <c r="Z176" s="27">
        <f>IF('Wellness &amp; Recovery'!AA26="","",'Wellness &amp; Recovery'!AA26)</f>
        <v/>
      </c>
      <c r="AA176" s="26">
        <f>IF('Wellness &amp; Recovery'!AB26="","",'Wellness &amp; Recovery'!AB26)</f>
        <v/>
      </c>
      <c r="AB176" s="22">
        <f>IF('Wellness &amp; Recovery'!AC26="","",'Wellness &amp; Recovery'!AC26)</f>
        <v/>
      </c>
      <c r="AC176" s="22">
        <f>IF('Wellness &amp; Recovery'!AD26="","",'Wellness &amp; Recovery'!AD26)</f>
        <v/>
      </c>
      <c r="AD176" s="22">
        <f>IF('Wellness &amp; Recovery'!AE26="","",'Wellness &amp; Recovery'!AE26)</f>
        <v/>
      </c>
      <c r="AE176" s="22">
        <f>IF('Wellness &amp; Recovery'!AF26="","",'Wellness &amp; Recovery'!AF26)</f>
        <v/>
      </c>
      <c r="AF176" s="22">
        <f>IF('Wellness &amp; Recovery'!AG26="","",'Wellness &amp; Recovery'!AG26)</f>
        <v/>
      </c>
      <c r="AG176" s="23">
        <f>IF('Wellness &amp; Recovery'!AH26="","",'Wellness &amp; Recovery'!AH26)</f>
        <v/>
      </c>
      <c r="AH176" s="23">
        <f>IF('Wellness &amp; Recovery'!AI26="","",'Wellness &amp; Recovery'!AI26)</f>
        <v/>
      </c>
      <c r="AI176" s="23">
        <f>IF('Wellness &amp; Recovery'!AJ26="","",'Wellness &amp; Recovery'!AJ26)</f>
        <v/>
      </c>
      <c r="AJ176" s="23">
        <f>IF('Wellness &amp; Recovery'!AK26="","",'Wellness &amp; Recovery'!AK26)</f>
        <v/>
      </c>
      <c r="AK176" s="22">
        <f>IF('Wellness &amp; Recovery'!AL26="","",'Wellness &amp; Recovery'!AL26)</f>
        <v/>
      </c>
      <c r="AL176" s="18">
        <f>IF(V176="","",V176+ROW()/100000)</f>
        <v/>
      </c>
    </row>
    <row r="177" ht="18" customHeight="1">
      <c r="A177" s="16">
        <f>IF('Wellness &amp; Recovery'!B27="","","Wellness &amp; Recovery")</f>
        <v/>
      </c>
      <c r="B177" s="16">
        <f>IF('Wellness &amp; Recovery'!B27="","",'Wellness &amp; Recovery'!B27)</f>
        <v/>
      </c>
      <c r="C177" s="17">
        <f>IF('Wellness &amp; Recovery'!D27="","",'Wellness &amp; Recovery'!D27)</f>
        <v/>
      </c>
      <c r="D177" s="16">
        <f>IF('Wellness &amp; Recovery'!E27="","",'Wellness &amp; Recovery'!E27)</f>
        <v/>
      </c>
      <c r="E177" s="17">
        <f>IF('Wellness &amp; Recovery'!F27="","",'Wellness &amp; Recovery'!F27)</f>
        <v/>
      </c>
      <c r="F177" s="17">
        <f>IF('Wellness &amp; Recovery'!G27="","",'Wellness &amp; Recovery'!G27)</f>
        <v/>
      </c>
      <c r="G177" s="17">
        <f>IF('Wellness &amp; Recovery'!H27="","",'Wellness &amp; Recovery'!H27)</f>
        <v/>
      </c>
      <c r="H177" s="16">
        <f>IF('Wellness &amp; Recovery'!I27="","",'Wellness &amp; Recovery'!I27)</f>
        <v/>
      </c>
      <c r="I177" s="17">
        <f>IF('Wellness &amp; Recovery'!J27="","",'Wellness &amp; Recovery'!J27)</f>
        <v/>
      </c>
      <c r="J177" s="16">
        <f>IF('Wellness &amp; Recovery'!K27="","",'Wellness &amp; Recovery'!K27)</f>
        <v/>
      </c>
      <c r="K177" s="17">
        <f>IF('Wellness &amp; Recovery'!L27="","",'Wellness &amp; Recovery'!L27)</f>
        <v/>
      </c>
      <c r="L177" s="16">
        <f>IF('Wellness &amp; Recovery'!M27="","",'Wellness &amp; Recovery'!M27)</f>
        <v/>
      </c>
      <c r="M177" s="17">
        <f>IF('Wellness &amp; Recovery'!N27="","",'Wellness &amp; Recovery'!N27)</f>
        <v/>
      </c>
      <c r="N177" s="16">
        <f>IF('Wellness &amp; Recovery'!O27="","",'Wellness &amp; Recovery'!O27)</f>
        <v/>
      </c>
      <c r="O177" s="17">
        <f>IF('Wellness &amp; Recovery'!P27="","",'Wellness &amp; Recovery'!P27)</f>
        <v/>
      </c>
      <c r="P177" s="17">
        <f>IF('Wellness &amp; Recovery'!Q27="","",'Wellness &amp; Recovery'!Q27)</f>
        <v/>
      </c>
      <c r="Q177" s="15">
        <f>IF('Wellness &amp; Recovery'!R27="","",'Wellness &amp; Recovery'!R27)</f>
        <v/>
      </c>
      <c r="R177" s="19">
        <f>IF('Wellness &amp; Recovery'!S27="","",'Wellness &amp; Recovery'!S27)</f>
        <v/>
      </c>
      <c r="S177" s="16">
        <f>IF('Wellness &amp; Recovery'!T27="","",'Wellness &amp; Recovery'!T27)</f>
        <v/>
      </c>
      <c r="T177" s="15">
        <f>IF('Wellness &amp; Recovery'!U27="","",'Wellness &amp; Recovery'!U27)</f>
        <v/>
      </c>
      <c r="U177" s="17">
        <f>IF('Wellness &amp; Recovery'!V27="","",'Wellness &amp; Recovery'!V27)</f>
        <v/>
      </c>
      <c r="V177" s="15">
        <f>IF('Wellness &amp; Recovery'!W27="","",'Wellness &amp; Recovery'!W27)</f>
        <v/>
      </c>
      <c r="W177" s="17">
        <f>IF('Wellness &amp; Recovery'!X27="","",'Wellness &amp; Recovery'!X27)</f>
        <v/>
      </c>
      <c r="X177" s="17">
        <f>IF('Wellness &amp; Recovery'!Y27="","",'Wellness &amp; Recovery'!Y27)</f>
        <v/>
      </c>
      <c r="Y177" s="20">
        <f>IF('Wellness &amp; Recovery'!Z27="","",'Wellness &amp; Recovery'!Z27)</f>
        <v/>
      </c>
      <c r="Z177" s="21">
        <f>IF('Wellness &amp; Recovery'!AA27="","",'Wellness &amp; Recovery'!AA27)</f>
        <v/>
      </c>
      <c r="AA177" s="20">
        <f>IF('Wellness &amp; Recovery'!AB27="","",'Wellness &amp; Recovery'!AB27)</f>
        <v/>
      </c>
      <c r="AB177" s="16">
        <f>IF('Wellness &amp; Recovery'!AC27="","",'Wellness &amp; Recovery'!AC27)</f>
        <v/>
      </c>
      <c r="AC177" s="16">
        <f>IF('Wellness &amp; Recovery'!AD27="","",'Wellness &amp; Recovery'!AD27)</f>
        <v/>
      </c>
      <c r="AD177" s="16">
        <f>IF('Wellness &amp; Recovery'!AE27="","",'Wellness &amp; Recovery'!AE27)</f>
        <v/>
      </c>
      <c r="AE177" s="16">
        <f>IF('Wellness &amp; Recovery'!AF27="","",'Wellness &amp; Recovery'!AF27)</f>
        <v/>
      </c>
      <c r="AF177" s="16">
        <f>IF('Wellness &amp; Recovery'!AG27="","",'Wellness &amp; Recovery'!AG27)</f>
        <v/>
      </c>
      <c r="AG177" s="17">
        <f>IF('Wellness &amp; Recovery'!AH27="","",'Wellness &amp; Recovery'!AH27)</f>
        <v/>
      </c>
      <c r="AH177" s="17">
        <f>IF('Wellness &amp; Recovery'!AI27="","",'Wellness &amp; Recovery'!AI27)</f>
        <v/>
      </c>
      <c r="AI177" s="17">
        <f>IF('Wellness &amp; Recovery'!AJ27="","",'Wellness &amp; Recovery'!AJ27)</f>
        <v/>
      </c>
      <c r="AJ177" s="17">
        <f>IF('Wellness &amp; Recovery'!AK27="","",'Wellness &amp; Recovery'!AK27)</f>
        <v/>
      </c>
      <c r="AK177" s="16">
        <f>IF('Wellness &amp; Recovery'!AL27="","",'Wellness &amp; Recovery'!AL27)</f>
        <v/>
      </c>
      <c r="AL177" s="18">
        <f>IF(V177="","",V177+ROW()/100000)</f>
        <v/>
      </c>
    </row>
    <row r="178" ht="18" customHeight="1">
      <c r="A178" s="22">
        <f>IF('Wellness &amp; Recovery'!B28="","","Wellness &amp; Recovery")</f>
        <v/>
      </c>
      <c r="B178" s="22">
        <f>IF('Wellness &amp; Recovery'!B28="","",'Wellness &amp; Recovery'!B28)</f>
        <v/>
      </c>
      <c r="C178" s="23">
        <f>IF('Wellness &amp; Recovery'!D28="","",'Wellness &amp; Recovery'!D28)</f>
        <v/>
      </c>
      <c r="D178" s="22">
        <f>IF('Wellness &amp; Recovery'!E28="","",'Wellness &amp; Recovery'!E28)</f>
        <v/>
      </c>
      <c r="E178" s="23">
        <f>IF('Wellness &amp; Recovery'!F28="","",'Wellness &amp; Recovery'!F28)</f>
        <v/>
      </c>
      <c r="F178" s="23">
        <f>IF('Wellness &amp; Recovery'!G28="","",'Wellness &amp; Recovery'!G28)</f>
        <v/>
      </c>
      <c r="G178" s="23">
        <f>IF('Wellness &amp; Recovery'!H28="","",'Wellness &amp; Recovery'!H28)</f>
        <v/>
      </c>
      <c r="H178" s="22">
        <f>IF('Wellness &amp; Recovery'!I28="","",'Wellness &amp; Recovery'!I28)</f>
        <v/>
      </c>
      <c r="I178" s="23">
        <f>IF('Wellness &amp; Recovery'!J28="","",'Wellness &amp; Recovery'!J28)</f>
        <v/>
      </c>
      <c r="J178" s="22">
        <f>IF('Wellness &amp; Recovery'!K28="","",'Wellness &amp; Recovery'!K28)</f>
        <v/>
      </c>
      <c r="K178" s="23">
        <f>IF('Wellness &amp; Recovery'!L28="","",'Wellness &amp; Recovery'!L28)</f>
        <v/>
      </c>
      <c r="L178" s="22">
        <f>IF('Wellness &amp; Recovery'!M28="","",'Wellness &amp; Recovery'!M28)</f>
        <v/>
      </c>
      <c r="M178" s="23">
        <f>IF('Wellness &amp; Recovery'!N28="","",'Wellness &amp; Recovery'!N28)</f>
        <v/>
      </c>
      <c r="N178" s="22">
        <f>IF('Wellness &amp; Recovery'!O28="","",'Wellness &amp; Recovery'!O28)</f>
        <v/>
      </c>
      <c r="O178" s="23">
        <f>IF('Wellness &amp; Recovery'!P28="","",'Wellness &amp; Recovery'!P28)</f>
        <v/>
      </c>
      <c r="P178" s="23">
        <f>IF('Wellness &amp; Recovery'!Q28="","",'Wellness &amp; Recovery'!Q28)</f>
        <v/>
      </c>
      <c r="Q178" s="24">
        <f>IF('Wellness &amp; Recovery'!R28="","",'Wellness &amp; Recovery'!R28)</f>
        <v/>
      </c>
      <c r="R178" s="25">
        <f>IF('Wellness &amp; Recovery'!S28="","",'Wellness &amp; Recovery'!S28)</f>
        <v/>
      </c>
      <c r="S178" s="22">
        <f>IF('Wellness &amp; Recovery'!T28="","",'Wellness &amp; Recovery'!T28)</f>
        <v/>
      </c>
      <c r="T178" s="24">
        <f>IF('Wellness &amp; Recovery'!U28="","",'Wellness &amp; Recovery'!U28)</f>
        <v/>
      </c>
      <c r="U178" s="23">
        <f>IF('Wellness &amp; Recovery'!V28="","",'Wellness &amp; Recovery'!V28)</f>
        <v/>
      </c>
      <c r="V178" s="24">
        <f>IF('Wellness &amp; Recovery'!W28="","",'Wellness &amp; Recovery'!W28)</f>
        <v/>
      </c>
      <c r="W178" s="23">
        <f>IF('Wellness &amp; Recovery'!X28="","",'Wellness &amp; Recovery'!X28)</f>
        <v/>
      </c>
      <c r="X178" s="23">
        <f>IF('Wellness &amp; Recovery'!Y28="","",'Wellness &amp; Recovery'!Y28)</f>
        <v/>
      </c>
      <c r="Y178" s="26">
        <f>IF('Wellness &amp; Recovery'!Z28="","",'Wellness &amp; Recovery'!Z28)</f>
        <v/>
      </c>
      <c r="Z178" s="27">
        <f>IF('Wellness &amp; Recovery'!AA28="","",'Wellness &amp; Recovery'!AA28)</f>
        <v/>
      </c>
      <c r="AA178" s="26">
        <f>IF('Wellness &amp; Recovery'!AB28="","",'Wellness &amp; Recovery'!AB28)</f>
        <v/>
      </c>
      <c r="AB178" s="22">
        <f>IF('Wellness &amp; Recovery'!AC28="","",'Wellness &amp; Recovery'!AC28)</f>
        <v/>
      </c>
      <c r="AC178" s="22">
        <f>IF('Wellness &amp; Recovery'!AD28="","",'Wellness &amp; Recovery'!AD28)</f>
        <v/>
      </c>
      <c r="AD178" s="22">
        <f>IF('Wellness &amp; Recovery'!AE28="","",'Wellness &amp; Recovery'!AE28)</f>
        <v/>
      </c>
      <c r="AE178" s="22">
        <f>IF('Wellness &amp; Recovery'!AF28="","",'Wellness &amp; Recovery'!AF28)</f>
        <v/>
      </c>
      <c r="AF178" s="22">
        <f>IF('Wellness &amp; Recovery'!AG28="","",'Wellness &amp; Recovery'!AG28)</f>
        <v/>
      </c>
      <c r="AG178" s="23">
        <f>IF('Wellness &amp; Recovery'!AH28="","",'Wellness &amp; Recovery'!AH28)</f>
        <v/>
      </c>
      <c r="AH178" s="23">
        <f>IF('Wellness &amp; Recovery'!AI28="","",'Wellness &amp; Recovery'!AI28)</f>
        <v/>
      </c>
      <c r="AI178" s="23">
        <f>IF('Wellness &amp; Recovery'!AJ28="","",'Wellness &amp; Recovery'!AJ28)</f>
        <v/>
      </c>
      <c r="AJ178" s="23">
        <f>IF('Wellness &amp; Recovery'!AK28="","",'Wellness &amp; Recovery'!AK28)</f>
        <v/>
      </c>
      <c r="AK178" s="22">
        <f>IF('Wellness &amp; Recovery'!AL28="","",'Wellness &amp; Recovery'!AL28)</f>
        <v/>
      </c>
      <c r="AL178" s="18">
        <f>IF(V178="","",V178+ROW()/100000)</f>
        <v/>
      </c>
    </row>
    <row r="179" ht="18" customHeight="1">
      <c r="A179" s="16">
        <f>IF('Wellness &amp; Recovery'!B29="","","Wellness &amp; Recovery")</f>
        <v/>
      </c>
      <c r="B179" s="16">
        <f>IF('Wellness &amp; Recovery'!B29="","",'Wellness &amp; Recovery'!B29)</f>
        <v/>
      </c>
      <c r="C179" s="17">
        <f>IF('Wellness &amp; Recovery'!D29="","",'Wellness &amp; Recovery'!D29)</f>
        <v/>
      </c>
      <c r="D179" s="16">
        <f>IF('Wellness &amp; Recovery'!E29="","",'Wellness &amp; Recovery'!E29)</f>
        <v/>
      </c>
      <c r="E179" s="17">
        <f>IF('Wellness &amp; Recovery'!F29="","",'Wellness &amp; Recovery'!F29)</f>
        <v/>
      </c>
      <c r="F179" s="17">
        <f>IF('Wellness &amp; Recovery'!G29="","",'Wellness &amp; Recovery'!G29)</f>
        <v/>
      </c>
      <c r="G179" s="17">
        <f>IF('Wellness &amp; Recovery'!H29="","",'Wellness &amp; Recovery'!H29)</f>
        <v/>
      </c>
      <c r="H179" s="16">
        <f>IF('Wellness &amp; Recovery'!I29="","",'Wellness &amp; Recovery'!I29)</f>
        <v/>
      </c>
      <c r="I179" s="17">
        <f>IF('Wellness &amp; Recovery'!J29="","",'Wellness &amp; Recovery'!J29)</f>
        <v/>
      </c>
      <c r="J179" s="16">
        <f>IF('Wellness &amp; Recovery'!K29="","",'Wellness &amp; Recovery'!K29)</f>
        <v/>
      </c>
      <c r="K179" s="17">
        <f>IF('Wellness &amp; Recovery'!L29="","",'Wellness &amp; Recovery'!L29)</f>
        <v/>
      </c>
      <c r="L179" s="16">
        <f>IF('Wellness &amp; Recovery'!M29="","",'Wellness &amp; Recovery'!M29)</f>
        <v/>
      </c>
      <c r="M179" s="17">
        <f>IF('Wellness &amp; Recovery'!N29="","",'Wellness &amp; Recovery'!N29)</f>
        <v/>
      </c>
      <c r="N179" s="16">
        <f>IF('Wellness &amp; Recovery'!O29="","",'Wellness &amp; Recovery'!O29)</f>
        <v/>
      </c>
      <c r="O179" s="17">
        <f>IF('Wellness &amp; Recovery'!P29="","",'Wellness &amp; Recovery'!P29)</f>
        <v/>
      </c>
      <c r="P179" s="17">
        <f>IF('Wellness &amp; Recovery'!Q29="","",'Wellness &amp; Recovery'!Q29)</f>
        <v/>
      </c>
      <c r="Q179" s="15">
        <f>IF('Wellness &amp; Recovery'!R29="","",'Wellness &amp; Recovery'!R29)</f>
        <v/>
      </c>
      <c r="R179" s="19">
        <f>IF('Wellness &amp; Recovery'!S29="","",'Wellness &amp; Recovery'!S29)</f>
        <v/>
      </c>
      <c r="S179" s="16">
        <f>IF('Wellness &amp; Recovery'!T29="","",'Wellness &amp; Recovery'!T29)</f>
        <v/>
      </c>
      <c r="T179" s="15">
        <f>IF('Wellness &amp; Recovery'!U29="","",'Wellness &amp; Recovery'!U29)</f>
        <v/>
      </c>
      <c r="U179" s="17">
        <f>IF('Wellness &amp; Recovery'!V29="","",'Wellness &amp; Recovery'!V29)</f>
        <v/>
      </c>
      <c r="V179" s="15">
        <f>IF('Wellness &amp; Recovery'!W29="","",'Wellness &amp; Recovery'!W29)</f>
        <v/>
      </c>
      <c r="W179" s="17">
        <f>IF('Wellness &amp; Recovery'!X29="","",'Wellness &amp; Recovery'!X29)</f>
        <v/>
      </c>
      <c r="X179" s="17">
        <f>IF('Wellness &amp; Recovery'!Y29="","",'Wellness &amp; Recovery'!Y29)</f>
        <v/>
      </c>
      <c r="Y179" s="20">
        <f>IF('Wellness &amp; Recovery'!Z29="","",'Wellness &amp; Recovery'!Z29)</f>
        <v/>
      </c>
      <c r="Z179" s="21">
        <f>IF('Wellness &amp; Recovery'!AA29="","",'Wellness &amp; Recovery'!AA29)</f>
        <v/>
      </c>
      <c r="AA179" s="20">
        <f>IF('Wellness &amp; Recovery'!AB29="","",'Wellness &amp; Recovery'!AB29)</f>
        <v/>
      </c>
      <c r="AB179" s="16">
        <f>IF('Wellness &amp; Recovery'!AC29="","",'Wellness &amp; Recovery'!AC29)</f>
        <v/>
      </c>
      <c r="AC179" s="16">
        <f>IF('Wellness &amp; Recovery'!AD29="","",'Wellness &amp; Recovery'!AD29)</f>
        <v/>
      </c>
      <c r="AD179" s="16">
        <f>IF('Wellness &amp; Recovery'!AE29="","",'Wellness &amp; Recovery'!AE29)</f>
        <v/>
      </c>
      <c r="AE179" s="16">
        <f>IF('Wellness &amp; Recovery'!AF29="","",'Wellness &amp; Recovery'!AF29)</f>
        <v/>
      </c>
      <c r="AF179" s="16">
        <f>IF('Wellness &amp; Recovery'!AG29="","",'Wellness &amp; Recovery'!AG29)</f>
        <v/>
      </c>
      <c r="AG179" s="17">
        <f>IF('Wellness &amp; Recovery'!AH29="","",'Wellness &amp; Recovery'!AH29)</f>
        <v/>
      </c>
      <c r="AH179" s="17">
        <f>IF('Wellness &amp; Recovery'!AI29="","",'Wellness &amp; Recovery'!AI29)</f>
        <v/>
      </c>
      <c r="AI179" s="17">
        <f>IF('Wellness &amp; Recovery'!AJ29="","",'Wellness &amp; Recovery'!AJ29)</f>
        <v/>
      </c>
      <c r="AJ179" s="17">
        <f>IF('Wellness &amp; Recovery'!AK29="","",'Wellness &amp; Recovery'!AK29)</f>
        <v/>
      </c>
      <c r="AK179" s="16">
        <f>IF('Wellness &amp; Recovery'!AL29="","",'Wellness &amp; Recovery'!AL29)</f>
        <v/>
      </c>
      <c r="AL179" s="18">
        <f>IF(V179="","",V179+ROW()/100000)</f>
        <v/>
      </c>
    </row>
    <row r="180" ht="18" customHeight="1">
      <c r="A180" s="22">
        <f>IF('Wellness &amp; Recovery'!B30="","","Wellness &amp; Recovery")</f>
        <v/>
      </c>
      <c r="B180" s="22">
        <f>IF('Wellness &amp; Recovery'!B30="","",'Wellness &amp; Recovery'!B30)</f>
        <v/>
      </c>
      <c r="C180" s="23">
        <f>IF('Wellness &amp; Recovery'!D30="","",'Wellness &amp; Recovery'!D30)</f>
        <v/>
      </c>
      <c r="D180" s="22">
        <f>IF('Wellness &amp; Recovery'!E30="","",'Wellness &amp; Recovery'!E30)</f>
        <v/>
      </c>
      <c r="E180" s="23">
        <f>IF('Wellness &amp; Recovery'!F30="","",'Wellness &amp; Recovery'!F30)</f>
        <v/>
      </c>
      <c r="F180" s="23">
        <f>IF('Wellness &amp; Recovery'!G30="","",'Wellness &amp; Recovery'!G30)</f>
        <v/>
      </c>
      <c r="G180" s="23">
        <f>IF('Wellness &amp; Recovery'!H30="","",'Wellness &amp; Recovery'!H30)</f>
        <v/>
      </c>
      <c r="H180" s="22">
        <f>IF('Wellness &amp; Recovery'!I30="","",'Wellness &amp; Recovery'!I30)</f>
        <v/>
      </c>
      <c r="I180" s="23">
        <f>IF('Wellness &amp; Recovery'!J30="","",'Wellness &amp; Recovery'!J30)</f>
        <v/>
      </c>
      <c r="J180" s="22">
        <f>IF('Wellness &amp; Recovery'!K30="","",'Wellness &amp; Recovery'!K30)</f>
        <v/>
      </c>
      <c r="K180" s="23">
        <f>IF('Wellness &amp; Recovery'!L30="","",'Wellness &amp; Recovery'!L30)</f>
        <v/>
      </c>
      <c r="L180" s="22">
        <f>IF('Wellness &amp; Recovery'!M30="","",'Wellness &amp; Recovery'!M30)</f>
        <v/>
      </c>
      <c r="M180" s="23">
        <f>IF('Wellness &amp; Recovery'!N30="","",'Wellness &amp; Recovery'!N30)</f>
        <v/>
      </c>
      <c r="N180" s="22">
        <f>IF('Wellness &amp; Recovery'!O30="","",'Wellness &amp; Recovery'!O30)</f>
        <v/>
      </c>
      <c r="O180" s="23">
        <f>IF('Wellness &amp; Recovery'!P30="","",'Wellness &amp; Recovery'!P30)</f>
        <v/>
      </c>
      <c r="P180" s="23">
        <f>IF('Wellness &amp; Recovery'!Q30="","",'Wellness &amp; Recovery'!Q30)</f>
        <v/>
      </c>
      <c r="Q180" s="24">
        <f>IF('Wellness &amp; Recovery'!R30="","",'Wellness &amp; Recovery'!R30)</f>
        <v/>
      </c>
      <c r="R180" s="25">
        <f>IF('Wellness &amp; Recovery'!S30="","",'Wellness &amp; Recovery'!S30)</f>
        <v/>
      </c>
      <c r="S180" s="22">
        <f>IF('Wellness &amp; Recovery'!T30="","",'Wellness &amp; Recovery'!T30)</f>
        <v/>
      </c>
      <c r="T180" s="24">
        <f>IF('Wellness &amp; Recovery'!U30="","",'Wellness &amp; Recovery'!U30)</f>
        <v/>
      </c>
      <c r="U180" s="23">
        <f>IF('Wellness &amp; Recovery'!V30="","",'Wellness &amp; Recovery'!V30)</f>
        <v/>
      </c>
      <c r="V180" s="24">
        <f>IF('Wellness &amp; Recovery'!W30="","",'Wellness &amp; Recovery'!W30)</f>
        <v/>
      </c>
      <c r="W180" s="23">
        <f>IF('Wellness &amp; Recovery'!X30="","",'Wellness &amp; Recovery'!X30)</f>
        <v/>
      </c>
      <c r="X180" s="23">
        <f>IF('Wellness &amp; Recovery'!Y30="","",'Wellness &amp; Recovery'!Y30)</f>
        <v/>
      </c>
      <c r="Y180" s="26">
        <f>IF('Wellness &amp; Recovery'!Z30="","",'Wellness &amp; Recovery'!Z30)</f>
        <v/>
      </c>
      <c r="Z180" s="27">
        <f>IF('Wellness &amp; Recovery'!AA30="","",'Wellness &amp; Recovery'!AA30)</f>
        <v/>
      </c>
      <c r="AA180" s="26">
        <f>IF('Wellness &amp; Recovery'!AB30="","",'Wellness &amp; Recovery'!AB30)</f>
        <v/>
      </c>
      <c r="AB180" s="22">
        <f>IF('Wellness &amp; Recovery'!AC30="","",'Wellness &amp; Recovery'!AC30)</f>
        <v/>
      </c>
      <c r="AC180" s="22">
        <f>IF('Wellness &amp; Recovery'!AD30="","",'Wellness &amp; Recovery'!AD30)</f>
        <v/>
      </c>
      <c r="AD180" s="22">
        <f>IF('Wellness &amp; Recovery'!AE30="","",'Wellness &amp; Recovery'!AE30)</f>
        <v/>
      </c>
      <c r="AE180" s="22">
        <f>IF('Wellness &amp; Recovery'!AF30="","",'Wellness &amp; Recovery'!AF30)</f>
        <v/>
      </c>
      <c r="AF180" s="22">
        <f>IF('Wellness &amp; Recovery'!AG30="","",'Wellness &amp; Recovery'!AG30)</f>
        <v/>
      </c>
      <c r="AG180" s="23">
        <f>IF('Wellness &amp; Recovery'!AH30="","",'Wellness &amp; Recovery'!AH30)</f>
        <v/>
      </c>
      <c r="AH180" s="23">
        <f>IF('Wellness &amp; Recovery'!AI30="","",'Wellness &amp; Recovery'!AI30)</f>
        <v/>
      </c>
      <c r="AI180" s="23">
        <f>IF('Wellness &amp; Recovery'!AJ30="","",'Wellness &amp; Recovery'!AJ30)</f>
        <v/>
      </c>
      <c r="AJ180" s="23">
        <f>IF('Wellness &amp; Recovery'!AK30="","",'Wellness &amp; Recovery'!AK30)</f>
        <v/>
      </c>
      <c r="AK180" s="22">
        <f>IF('Wellness &amp; Recovery'!AL30="","",'Wellness &amp; Recovery'!AL30)</f>
        <v/>
      </c>
      <c r="AL180" s="18">
        <f>IF(V180="","",V180+ROW()/100000)</f>
        <v/>
      </c>
    </row>
    <row r="181" ht="18" customHeight="1">
      <c r="A181" s="16">
        <f>IF('Wellness &amp; Recovery'!B31="","","Wellness &amp; Recovery")</f>
        <v/>
      </c>
      <c r="B181" s="16">
        <f>IF('Wellness &amp; Recovery'!B31="","",'Wellness &amp; Recovery'!B31)</f>
        <v/>
      </c>
      <c r="C181" s="17">
        <f>IF('Wellness &amp; Recovery'!D31="","",'Wellness &amp; Recovery'!D31)</f>
        <v/>
      </c>
      <c r="D181" s="16">
        <f>IF('Wellness &amp; Recovery'!E31="","",'Wellness &amp; Recovery'!E31)</f>
        <v/>
      </c>
      <c r="E181" s="17">
        <f>IF('Wellness &amp; Recovery'!F31="","",'Wellness &amp; Recovery'!F31)</f>
        <v/>
      </c>
      <c r="F181" s="17">
        <f>IF('Wellness &amp; Recovery'!G31="","",'Wellness &amp; Recovery'!G31)</f>
        <v/>
      </c>
      <c r="G181" s="17">
        <f>IF('Wellness &amp; Recovery'!H31="","",'Wellness &amp; Recovery'!H31)</f>
        <v/>
      </c>
      <c r="H181" s="16">
        <f>IF('Wellness &amp; Recovery'!I31="","",'Wellness &amp; Recovery'!I31)</f>
        <v/>
      </c>
      <c r="I181" s="17">
        <f>IF('Wellness &amp; Recovery'!J31="","",'Wellness &amp; Recovery'!J31)</f>
        <v/>
      </c>
      <c r="J181" s="16">
        <f>IF('Wellness &amp; Recovery'!K31="","",'Wellness &amp; Recovery'!K31)</f>
        <v/>
      </c>
      <c r="K181" s="17">
        <f>IF('Wellness &amp; Recovery'!L31="","",'Wellness &amp; Recovery'!L31)</f>
        <v/>
      </c>
      <c r="L181" s="16">
        <f>IF('Wellness &amp; Recovery'!M31="","",'Wellness &amp; Recovery'!M31)</f>
        <v/>
      </c>
      <c r="M181" s="17">
        <f>IF('Wellness &amp; Recovery'!N31="","",'Wellness &amp; Recovery'!N31)</f>
        <v/>
      </c>
      <c r="N181" s="16">
        <f>IF('Wellness &amp; Recovery'!O31="","",'Wellness &amp; Recovery'!O31)</f>
        <v/>
      </c>
      <c r="O181" s="17">
        <f>IF('Wellness &amp; Recovery'!P31="","",'Wellness &amp; Recovery'!P31)</f>
        <v/>
      </c>
      <c r="P181" s="17">
        <f>IF('Wellness &amp; Recovery'!Q31="","",'Wellness &amp; Recovery'!Q31)</f>
        <v/>
      </c>
      <c r="Q181" s="15">
        <f>IF('Wellness &amp; Recovery'!R31="","",'Wellness &amp; Recovery'!R31)</f>
        <v/>
      </c>
      <c r="R181" s="19">
        <f>IF('Wellness &amp; Recovery'!S31="","",'Wellness &amp; Recovery'!S31)</f>
        <v/>
      </c>
      <c r="S181" s="16">
        <f>IF('Wellness &amp; Recovery'!T31="","",'Wellness &amp; Recovery'!T31)</f>
        <v/>
      </c>
      <c r="T181" s="15">
        <f>IF('Wellness &amp; Recovery'!U31="","",'Wellness &amp; Recovery'!U31)</f>
        <v/>
      </c>
      <c r="U181" s="17">
        <f>IF('Wellness &amp; Recovery'!V31="","",'Wellness &amp; Recovery'!V31)</f>
        <v/>
      </c>
      <c r="V181" s="15">
        <f>IF('Wellness &amp; Recovery'!W31="","",'Wellness &amp; Recovery'!W31)</f>
        <v/>
      </c>
      <c r="W181" s="17">
        <f>IF('Wellness &amp; Recovery'!X31="","",'Wellness &amp; Recovery'!X31)</f>
        <v/>
      </c>
      <c r="X181" s="17">
        <f>IF('Wellness &amp; Recovery'!Y31="","",'Wellness &amp; Recovery'!Y31)</f>
        <v/>
      </c>
      <c r="Y181" s="20">
        <f>IF('Wellness &amp; Recovery'!Z31="","",'Wellness &amp; Recovery'!Z31)</f>
        <v/>
      </c>
      <c r="Z181" s="21">
        <f>IF('Wellness &amp; Recovery'!AA31="","",'Wellness &amp; Recovery'!AA31)</f>
        <v/>
      </c>
      <c r="AA181" s="20">
        <f>IF('Wellness &amp; Recovery'!AB31="","",'Wellness &amp; Recovery'!AB31)</f>
        <v/>
      </c>
      <c r="AB181" s="16">
        <f>IF('Wellness &amp; Recovery'!AC31="","",'Wellness &amp; Recovery'!AC31)</f>
        <v/>
      </c>
      <c r="AC181" s="16">
        <f>IF('Wellness &amp; Recovery'!AD31="","",'Wellness &amp; Recovery'!AD31)</f>
        <v/>
      </c>
      <c r="AD181" s="16">
        <f>IF('Wellness &amp; Recovery'!AE31="","",'Wellness &amp; Recovery'!AE31)</f>
        <v/>
      </c>
      <c r="AE181" s="16">
        <f>IF('Wellness &amp; Recovery'!AF31="","",'Wellness &amp; Recovery'!AF31)</f>
        <v/>
      </c>
      <c r="AF181" s="16">
        <f>IF('Wellness &amp; Recovery'!AG31="","",'Wellness &amp; Recovery'!AG31)</f>
        <v/>
      </c>
      <c r="AG181" s="17">
        <f>IF('Wellness &amp; Recovery'!AH31="","",'Wellness &amp; Recovery'!AH31)</f>
        <v/>
      </c>
      <c r="AH181" s="17">
        <f>IF('Wellness &amp; Recovery'!AI31="","",'Wellness &amp; Recovery'!AI31)</f>
        <v/>
      </c>
      <c r="AI181" s="17">
        <f>IF('Wellness &amp; Recovery'!AJ31="","",'Wellness &amp; Recovery'!AJ31)</f>
        <v/>
      </c>
      <c r="AJ181" s="17">
        <f>IF('Wellness &amp; Recovery'!AK31="","",'Wellness &amp; Recovery'!AK31)</f>
        <v/>
      </c>
      <c r="AK181" s="16">
        <f>IF('Wellness &amp; Recovery'!AL31="","",'Wellness &amp; Recovery'!AL31)</f>
        <v/>
      </c>
      <c r="AL181" s="18">
        <f>IF(V181="","",V181+ROW()/100000)</f>
        <v/>
      </c>
    </row>
    <row r="182" ht="18" customHeight="1">
      <c r="A182" s="22">
        <f>IF('Wellness &amp; Recovery'!B32="","","Wellness &amp; Recovery")</f>
        <v/>
      </c>
      <c r="B182" s="22">
        <f>IF('Wellness &amp; Recovery'!B32="","",'Wellness &amp; Recovery'!B32)</f>
        <v/>
      </c>
      <c r="C182" s="23">
        <f>IF('Wellness &amp; Recovery'!D32="","",'Wellness &amp; Recovery'!D32)</f>
        <v/>
      </c>
      <c r="D182" s="22">
        <f>IF('Wellness &amp; Recovery'!E32="","",'Wellness &amp; Recovery'!E32)</f>
        <v/>
      </c>
      <c r="E182" s="23">
        <f>IF('Wellness &amp; Recovery'!F32="","",'Wellness &amp; Recovery'!F32)</f>
        <v/>
      </c>
      <c r="F182" s="23">
        <f>IF('Wellness &amp; Recovery'!G32="","",'Wellness &amp; Recovery'!G32)</f>
        <v/>
      </c>
      <c r="G182" s="23">
        <f>IF('Wellness &amp; Recovery'!H32="","",'Wellness &amp; Recovery'!H32)</f>
        <v/>
      </c>
      <c r="H182" s="22">
        <f>IF('Wellness &amp; Recovery'!I32="","",'Wellness &amp; Recovery'!I32)</f>
        <v/>
      </c>
      <c r="I182" s="23">
        <f>IF('Wellness &amp; Recovery'!J32="","",'Wellness &amp; Recovery'!J32)</f>
        <v/>
      </c>
      <c r="J182" s="22">
        <f>IF('Wellness &amp; Recovery'!K32="","",'Wellness &amp; Recovery'!K32)</f>
        <v/>
      </c>
      <c r="K182" s="23">
        <f>IF('Wellness &amp; Recovery'!L32="","",'Wellness &amp; Recovery'!L32)</f>
        <v/>
      </c>
      <c r="L182" s="22">
        <f>IF('Wellness &amp; Recovery'!M32="","",'Wellness &amp; Recovery'!M32)</f>
        <v/>
      </c>
      <c r="M182" s="23">
        <f>IF('Wellness &amp; Recovery'!N32="","",'Wellness &amp; Recovery'!N32)</f>
        <v/>
      </c>
      <c r="N182" s="22">
        <f>IF('Wellness &amp; Recovery'!O32="","",'Wellness &amp; Recovery'!O32)</f>
        <v/>
      </c>
      <c r="O182" s="23">
        <f>IF('Wellness &amp; Recovery'!P32="","",'Wellness &amp; Recovery'!P32)</f>
        <v/>
      </c>
      <c r="P182" s="23">
        <f>IF('Wellness &amp; Recovery'!Q32="","",'Wellness &amp; Recovery'!Q32)</f>
        <v/>
      </c>
      <c r="Q182" s="24">
        <f>IF('Wellness &amp; Recovery'!R32="","",'Wellness &amp; Recovery'!R32)</f>
        <v/>
      </c>
      <c r="R182" s="25">
        <f>IF('Wellness &amp; Recovery'!S32="","",'Wellness &amp; Recovery'!S32)</f>
        <v/>
      </c>
      <c r="S182" s="22">
        <f>IF('Wellness &amp; Recovery'!T32="","",'Wellness &amp; Recovery'!T32)</f>
        <v/>
      </c>
      <c r="T182" s="24">
        <f>IF('Wellness &amp; Recovery'!U32="","",'Wellness &amp; Recovery'!U32)</f>
        <v/>
      </c>
      <c r="U182" s="23">
        <f>IF('Wellness &amp; Recovery'!V32="","",'Wellness &amp; Recovery'!V32)</f>
        <v/>
      </c>
      <c r="V182" s="24">
        <f>IF('Wellness &amp; Recovery'!W32="","",'Wellness &amp; Recovery'!W32)</f>
        <v/>
      </c>
      <c r="W182" s="23">
        <f>IF('Wellness &amp; Recovery'!X32="","",'Wellness &amp; Recovery'!X32)</f>
        <v/>
      </c>
      <c r="X182" s="23">
        <f>IF('Wellness &amp; Recovery'!Y32="","",'Wellness &amp; Recovery'!Y32)</f>
        <v/>
      </c>
      <c r="Y182" s="26">
        <f>IF('Wellness &amp; Recovery'!Z32="","",'Wellness &amp; Recovery'!Z32)</f>
        <v/>
      </c>
      <c r="Z182" s="27">
        <f>IF('Wellness &amp; Recovery'!AA32="","",'Wellness &amp; Recovery'!AA32)</f>
        <v/>
      </c>
      <c r="AA182" s="26">
        <f>IF('Wellness &amp; Recovery'!AB32="","",'Wellness &amp; Recovery'!AB32)</f>
        <v/>
      </c>
      <c r="AB182" s="22">
        <f>IF('Wellness &amp; Recovery'!AC32="","",'Wellness &amp; Recovery'!AC32)</f>
        <v/>
      </c>
      <c r="AC182" s="22">
        <f>IF('Wellness &amp; Recovery'!AD32="","",'Wellness &amp; Recovery'!AD32)</f>
        <v/>
      </c>
      <c r="AD182" s="22">
        <f>IF('Wellness &amp; Recovery'!AE32="","",'Wellness &amp; Recovery'!AE32)</f>
        <v/>
      </c>
      <c r="AE182" s="22">
        <f>IF('Wellness &amp; Recovery'!AF32="","",'Wellness &amp; Recovery'!AF32)</f>
        <v/>
      </c>
      <c r="AF182" s="22">
        <f>IF('Wellness &amp; Recovery'!AG32="","",'Wellness &amp; Recovery'!AG32)</f>
        <v/>
      </c>
      <c r="AG182" s="23">
        <f>IF('Wellness &amp; Recovery'!AH32="","",'Wellness &amp; Recovery'!AH32)</f>
        <v/>
      </c>
      <c r="AH182" s="23">
        <f>IF('Wellness &amp; Recovery'!AI32="","",'Wellness &amp; Recovery'!AI32)</f>
        <v/>
      </c>
      <c r="AI182" s="23">
        <f>IF('Wellness &amp; Recovery'!AJ32="","",'Wellness &amp; Recovery'!AJ32)</f>
        <v/>
      </c>
      <c r="AJ182" s="23">
        <f>IF('Wellness &amp; Recovery'!AK32="","",'Wellness &amp; Recovery'!AK32)</f>
        <v/>
      </c>
      <c r="AK182" s="22">
        <f>IF('Wellness &amp; Recovery'!AL32="","",'Wellness &amp; Recovery'!AL32)</f>
        <v/>
      </c>
      <c r="AL182" s="18">
        <f>IF(V182="","",V182+ROW()/100000)</f>
        <v/>
      </c>
    </row>
    <row r="183" ht="18" customHeight="1">
      <c r="A183" s="16">
        <f>IF('Ambassadors &amp; Creators'!B3="","","Ambassadors &amp; Creators")</f>
        <v/>
      </c>
      <c r="B183" s="16">
        <f>IF('Ambassadors &amp; Creators'!B3="","",'Ambassadors &amp; Creators'!B3)</f>
        <v/>
      </c>
      <c r="C183" s="17">
        <f>IF('Ambassadors &amp; Creators'!D3="","",'Ambassadors &amp; Creators'!D3)</f>
        <v/>
      </c>
      <c r="D183" s="16">
        <f>IF('Ambassadors &amp; Creators'!E3="","",'Ambassadors &amp; Creators'!E3)</f>
        <v/>
      </c>
      <c r="E183" s="17">
        <f>IF('Ambassadors &amp; Creators'!F3="","",'Ambassadors &amp; Creators'!F3)</f>
        <v/>
      </c>
      <c r="F183" s="17">
        <f>IF('Ambassadors &amp; Creators'!G3="","",'Ambassadors &amp; Creators'!G3)</f>
        <v/>
      </c>
      <c r="G183" s="17">
        <f>IF('Ambassadors &amp; Creators'!H3="","",'Ambassadors &amp; Creators'!H3)</f>
        <v/>
      </c>
      <c r="H183" s="16">
        <f>IF('Ambassadors &amp; Creators'!I3="","",'Ambassadors &amp; Creators'!I3)</f>
        <v/>
      </c>
      <c r="I183" s="17">
        <f>IF('Ambassadors &amp; Creators'!J3="","",'Ambassadors &amp; Creators'!J3)</f>
        <v/>
      </c>
      <c r="J183" s="16">
        <f>IF('Ambassadors &amp; Creators'!K3="","",'Ambassadors &amp; Creators'!K3)</f>
        <v/>
      </c>
      <c r="K183" s="17">
        <f>IF('Ambassadors &amp; Creators'!L3="","",'Ambassadors &amp; Creators'!L3)</f>
        <v/>
      </c>
      <c r="L183" s="16">
        <f>IF('Ambassadors &amp; Creators'!M3="","",'Ambassadors &amp; Creators'!M3)</f>
        <v/>
      </c>
      <c r="M183" s="17">
        <f>IF('Ambassadors &amp; Creators'!N3="","",'Ambassadors &amp; Creators'!N3)</f>
        <v/>
      </c>
      <c r="N183" s="16">
        <f>IF('Ambassadors &amp; Creators'!O3="","",'Ambassadors &amp; Creators'!O3)</f>
        <v/>
      </c>
      <c r="O183" s="17">
        <f>IF('Ambassadors &amp; Creators'!P3="","",'Ambassadors &amp; Creators'!P3)</f>
        <v/>
      </c>
      <c r="P183" s="17">
        <f>IF('Ambassadors &amp; Creators'!Q3="","",'Ambassadors &amp; Creators'!Q3)</f>
        <v/>
      </c>
      <c r="Q183" s="15">
        <f>IF('Ambassadors &amp; Creators'!R3="","",'Ambassadors &amp; Creators'!R3)</f>
        <v/>
      </c>
      <c r="R183" s="19">
        <f>IF('Ambassadors &amp; Creators'!S3="","",'Ambassadors &amp; Creators'!S3)</f>
        <v/>
      </c>
      <c r="S183" s="16">
        <f>IF('Ambassadors &amp; Creators'!T3="","",'Ambassadors &amp; Creators'!T3)</f>
        <v/>
      </c>
      <c r="T183" s="15">
        <f>IF('Ambassadors &amp; Creators'!U3="","",'Ambassadors &amp; Creators'!U3)</f>
        <v/>
      </c>
      <c r="U183" s="17">
        <f>IF('Ambassadors &amp; Creators'!V3="","",'Ambassadors &amp; Creators'!V3)</f>
        <v/>
      </c>
      <c r="V183" s="15">
        <f>IF('Ambassadors &amp; Creators'!W3="","",'Ambassadors &amp; Creators'!W3)</f>
        <v/>
      </c>
      <c r="W183" s="17">
        <f>IF('Ambassadors &amp; Creators'!X3="","",'Ambassadors &amp; Creators'!X3)</f>
        <v/>
      </c>
      <c r="X183" s="17">
        <f>IF('Ambassadors &amp; Creators'!Y3="","",'Ambassadors &amp; Creators'!Y3)</f>
        <v/>
      </c>
      <c r="Y183" s="20">
        <f>IF('Ambassadors &amp; Creators'!Z3="","",'Ambassadors &amp; Creators'!Z3)</f>
        <v/>
      </c>
      <c r="Z183" s="21">
        <f>IF('Ambassadors &amp; Creators'!AA3="","",'Ambassadors &amp; Creators'!AA3)</f>
        <v/>
      </c>
      <c r="AA183" s="20">
        <f>IF('Ambassadors &amp; Creators'!AB3="","",'Ambassadors &amp; Creators'!AB3)</f>
        <v/>
      </c>
      <c r="AB183" s="16">
        <f>IF('Ambassadors &amp; Creators'!AC3="","",'Ambassadors &amp; Creators'!AC3)</f>
        <v/>
      </c>
      <c r="AC183" s="16">
        <f>IF('Ambassadors &amp; Creators'!AD3="","",'Ambassadors &amp; Creators'!AD3)</f>
        <v/>
      </c>
      <c r="AD183" s="16">
        <f>IF('Ambassadors &amp; Creators'!AE3="","",'Ambassadors &amp; Creators'!AE3)</f>
        <v/>
      </c>
      <c r="AE183" s="16">
        <f>IF('Ambassadors &amp; Creators'!AF3="","",'Ambassadors &amp; Creators'!AF3)</f>
        <v/>
      </c>
      <c r="AF183" s="16">
        <f>IF('Ambassadors &amp; Creators'!AG3="","",'Ambassadors &amp; Creators'!AG3)</f>
        <v/>
      </c>
      <c r="AG183" s="17">
        <f>IF('Ambassadors &amp; Creators'!AH3="","",'Ambassadors &amp; Creators'!AH3)</f>
        <v/>
      </c>
      <c r="AH183" s="17">
        <f>IF('Ambassadors &amp; Creators'!AI3="","",'Ambassadors &amp; Creators'!AI3)</f>
        <v/>
      </c>
      <c r="AI183" s="17">
        <f>IF('Ambassadors &amp; Creators'!AJ3="","",'Ambassadors &amp; Creators'!AJ3)</f>
        <v/>
      </c>
      <c r="AJ183" s="17">
        <f>IF('Ambassadors &amp; Creators'!AK3="","",'Ambassadors &amp; Creators'!AK3)</f>
        <v/>
      </c>
      <c r="AK183" s="16">
        <f>IF('Ambassadors &amp; Creators'!AL3="","",'Ambassadors &amp; Creators'!AL3)</f>
        <v/>
      </c>
      <c r="AL183" s="18">
        <f>IF(V183="","",V183+ROW()/100000)</f>
        <v/>
      </c>
    </row>
    <row r="184" ht="18" customHeight="1">
      <c r="A184" s="22">
        <f>IF('Ambassadors &amp; Creators'!B4="","","Ambassadors &amp; Creators")</f>
        <v/>
      </c>
      <c r="B184" s="22">
        <f>IF('Ambassadors &amp; Creators'!B4="","",'Ambassadors &amp; Creators'!B4)</f>
        <v/>
      </c>
      <c r="C184" s="23">
        <f>IF('Ambassadors &amp; Creators'!D4="","",'Ambassadors &amp; Creators'!D4)</f>
        <v/>
      </c>
      <c r="D184" s="22">
        <f>IF('Ambassadors &amp; Creators'!E4="","",'Ambassadors &amp; Creators'!E4)</f>
        <v/>
      </c>
      <c r="E184" s="23">
        <f>IF('Ambassadors &amp; Creators'!F4="","",'Ambassadors &amp; Creators'!F4)</f>
        <v/>
      </c>
      <c r="F184" s="23">
        <f>IF('Ambassadors &amp; Creators'!G4="","",'Ambassadors &amp; Creators'!G4)</f>
        <v/>
      </c>
      <c r="G184" s="23">
        <f>IF('Ambassadors &amp; Creators'!H4="","",'Ambassadors &amp; Creators'!H4)</f>
        <v/>
      </c>
      <c r="H184" s="22">
        <f>IF('Ambassadors &amp; Creators'!I4="","",'Ambassadors &amp; Creators'!I4)</f>
        <v/>
      </c>
      <c r="I184" s="23">
        <f>IF('Ambassadors &amp; Creators'!J4="","",'Ambassadors &amp; Creators'!J4)</f>
        <v/>
      </c>
      <c r="J184" s="22">
        <f>IF('Ambassadors &amp; Creators'!K4="","",'Ambassadors &amp; Creators'!K4)</f>
        <v/>
      </c>
      <c r="K184" s="23">
        <f>IF('Ambassadors &amp; Creators'!L4="","",'Ambassadors &amp; Creators'!L4)</f>
        <v/>
      </c>
      <c r="L184" s="22">
        <f>IF('Ambassadors &amp; Creators'!M4="","",'Ambassadors &amp; Creators'!M4)</f>
        <v/>
      </c>
      <c r="M184" s="23">
        <f>IF('Ambassadors &amp; Creators'!N4="","",'Ambassadors &amp; Creators'!N4)</f>
        <v/>
      </c>
      <c r="N184" s="22">
        <f>IF('Ambassadors &amp; Creators'!O4="","",'Ambassadors &amp; Creators'!O4)</f>
        <v/>
      </c>
      <c r="O184" s="23">
        <f>IF('Ambassadors &amp; Creators'!P4="","",'Ambassadors &amp; Creators'!P4)</f>
        <v/>
      </c>
      <c r="P184" s="23">
        <f>IF('Ambassadors &amp; Creators'!Q4="","",'Ambassadors &amp; Creators'!Q4)</f>
        <v/>
      </c>
      <c r="Q184" s="24">
        <f>IF('Ambassadors &amp; Creators'!R4="","",'Ambassadors &amp; Creators'!R4)</f>
        <v/>
      </c>
      <c r="R184" s="25">
        <f>IF('Ambassadors &amp; Creators'!S4="","",'Ambassadors &amp; Creators'!S4)</f>
        <v/>
      </c>
      <c r="S184" s="22">
        <f>IF('Ambassadors &amp; Creators'!T4="","",'Ambassadors &amp; Creators'!T4)</f>
        <v/>
      </c>
      <c r="T184" s="24">
        <f>IF('Ambassadors &amp; Creators'!U4="","",'Ambassadors &amp; Creators'!U4)</f>
        <v/>
      </c>
      <c r="U184" s="23">
        <f>IF('Ambassadors &amp; Creators'!V4="","",'Ambassadors &amp; Creators'!V4)</f>
        <v/>
      </c>
      <c r="V184" s="24">
        <f>IF('Ambassadors &amp; Creators'!W4="","",'Ambassadors &amp; Creators'!W4)</f>
        <v/>
      </c>
      <c r="W184" s="23">
        <f>IF('Ambassadors &amp; Creators'!X4="","",'Ambassadors &amp; Creators'!X4)</f>
        <v/>
      </c>
      <c r="X184" s="23">
        <f>IF('Ambassadors &amp; Creators'!Y4="","",'Ambassadors &amp; Creators'!Y4)</f>
        <v/>
      </c>
      <c r="Y184" s="26">
        <f>IF('Ambassadors &amp; Creators'!Z4="","",'Ambassadors &amp; Creators'!Z4)</f>
        <v/>
      </c>
      <c r="Z184" s="27">
        <f>IF('Ambassadors &amp; Creators'!AA4="","",'Ambassadors &amp; Creators'!AA4)</f>
        <v/>
      </c>
      <c r="AA184" s="26">
        <f>IF('Ambassadors &amp; Creators'!AB4="","",'Ambassadors &amp; Creators'!AB4)</f>
        <v/>
      </c>
      <c r="AB184" s="22">
        <f>IF('Ambassadors &amp; Creators'!AC4="","",'Ambassadors &amp; Creators'!AC4)</f>
        <v/>
      </c>
      <c r="AC184" s="22">
        <f>IF('Ambassadors &amp; Creators'!AD4="","",'Ambassadors &amp; Creators'!AD4)</f>
        <v/>
      </c>
      <c r="AD184" s="22">
        <f>IF('Ambassadors &amp; Creators'!AE4="","",'Ambassadors &amp; Creators'!AE4)</f>
        <v/>
      </c>
      <c r="AE184" s="22">
        <f>IF('Ambassadors &amp; Creators'!AF4="","",'Ambassadors &amp; Creators'!AF4)</f>
        <v/>
      </c>
      <c r="AF184" s="22">
        <f>IF('Ambassadors &amp; Creators'!AG4="","",'Ambassadors &amp; Creators'!AG4)</f>
        <v/>
      </c>
      <c r="AG184" s="23">
        <f>IF('Ambassadors &amp; Creators'!AH4="","",'Ambassadors &amp; Creators'!AH4)</f>
        <v/>
      </c>
      <c r="AH184" s="23">
        <f>IF('Ambassadors &amp; Creators'!AI4="","",'Ambassadors &amp; Creators'!AI4)</f>
        <v/>
      </c>
      <c r="AI184" s="23">
        <f>IF('Ambassadors &amp; Creators'!AJ4="","",'Ambassadors &amp; Creators'!AJ4)</f>
        <v/>
      </c>
      <c r="AJ184" s="23">
        <f>IF('Ambassadors &amp; Creators'!AK4="","",'Ambassadors &amp; Creators'!AK4)</f>
        <v/>
      </c>
      <c r="AK184" s="22">
        <f>IF('Ambassadors &amp; Creators'!AL4="","",'Ambassadors &amp; Creators'!AL4)</f>
        <v/>
      </c>
      <c r="AL184" s="18">
        <f>IF(V184="","",V184+ROW()/100000)</f>
        <v/>
      </c>
    </row>
    <row r="185" ht="18" customHeight="1">
      <c r="A185" s="16">
        <f>IF('Ambassadors &amp; Creators'!B5="","","Ambassadors &amp; Creators")</f>
        <v/>
      </c>
      <c r="B185" s="16">
        <f>IF('Ambassadors &amp; Creators'!B5="","",'Ambassadors &amp; Creators'!B5)</f>
        <v/>
      </c>
      <c r="C185" s="17">
        <f>IF('Ambassadors &amp; Creators'!D5="","",'Ambassadors &amp; Creators'!D5)</f>
        <v/>
      </c>
      <c r="D185" s="16">
        <f>IF('Ambassadors &amp; Creators'!E5="","",'Ambassadors &amp; Creators'!E5)</f>
        <v/>
      </c>
      <c r="E185" s="17">
        <f>IF('Ambassadors &amp; Creators'!F5="","",'Ambassadors &amp; Creators'!F5)</f>
        <v/>
      </c>
      <c r="F185" s="17">
        <f>IF('Ambassadors &amp; Creators'!G5="","",'Ambassadors &amp; Creators'!G5)</f>
        <v/>
      </c>
      <c r="G185" s="17">
        <f>IF('Ambassadors &amp; Creators'!H5="","",'Ambassadors &amp; Creators'!H5)</f>
        <v/>
      </c>
      <c r="H185" s="16">
        <f>IF('Ambassadors &amp; Creators'!I5="","",'Ambassadors &amp; Creators'!I5)</f>
        <v/>
      </c>
      <c r="I185" s="17">
        <f>IF('Ambassadors &amp; Creators'!J5="","",'Ambassadors &amp; Creators'!J5)</f>
        <v/>
      </c>
      <c r="J185" s="16">
        <f>IF('Ambassadors &amp; Creators'!K5="","",'Ambassadors &amp; Creators'!K5)</f>
        <v/>
      </c>
      <c r="K185" s="17">
        <f>IF('Ambassadors &amp; Creators'!L5="","",'Ambassadors &amp; Creators'!L5)</f>
        <v/>
      </c>
      <c r="L185" s="16">
        <f>IF('Ambassadors &amp; Creators'!M5="","",'Ambassadors &amp; Creators'!M5)</f>
        <v/>
      </c>
      <c r="M185" s="17">
        <f>IF('Ambassadors &amp; Creators'!N5="","",'Ambassadors &amp; Creators'!N5)</f>
        <v/>
      </c>
      <c r="N185" s="16">
        <f>IF('Ambassadors &amp; Creators'!O5="","",'Ambassadors &amp; Creators'!O5)</f>
        <v/>
      </c>
      <c r="O185" s="17">
        <f>IF('Ambassadors &amp; Creators'!P5="","",'Ambassadors &amp; Creators'!P5)</f>
        <v/>
      </c>
      <c r="P185" s="17">
        <f>IF('Ambassadors &amp; Creators'!Q5="","",'Ambassadors &amp; Creators'!Q5)</f>
        <v/>
      </c>
      <c r="Q185" s="15">
        <f>IF('Ambassadors &amp; Creators'!R5="","",'Ambassadors &amp; Creators'!R5)</f>
        <v/>
      </c>
      <c r="R185" s="19">
        <f>IF('Ambassadors &amp; Creators'!S5="","",'Ambassadors &amp; Creators'!S5)</f>
        <v/>
      </c>
      <c r="S185" s="16">
        <f>IF('Ambassadors &amp; Creators'!T5="","",'Ambassadors &amp; Creators'!T5)</f>
        <v/>
      </c>
      <c r="T185" s="15">
        <f>IF('Ambassadors &amp; Creators'!U5="","",'Ambassadors &amp; Creators'!U5)</f>
        <v/>
      </c>
      <c r="U185" s="17">
        <f>IF('Ambassadors &amp; Creators'!V5="","",'Ambassadors &amp; Creators'!V5)</f>
        <v/>
      </c>
      <c r="V185" s="15">
        <f>IF('Ambassadors &amp; Creators'!W5="","",'Ambassadors &amp; Creators'!W5)</f>
        <v/>
      </c>
      <c r="W185" s="17">
        <f>IF('Ambassadors &amp; Creators'!X5="","",'Ambassadors &amp; Creators'!X5)</f>
        <v/>
      </c>
      <c r="X185" s="17">
        <f>IF('Ambassadors &amp; Creators'!Y5="","",'Ambassadors &amp; Creators'!Y5)</f>
        <v/>
      </c>
      <c r="Y185" s="20">
        <f>IF('Ambassadors &amp; Creators'!Z5="","",'Ambassadors &amp; Creators'!Z5)</f>
        <v/>
      </c>
      <c r="Z185" s="21">
        <f>IF('Ambassadors &amp; Creators'!AA5="","",'Ambassadors &amp; Creators'!AA5)</f>
        <v/>
      </c>
      <c r="AA185" s="20">
        <f>IF('Ambassadors &amp; Creators'!AB5="","",'Ambassadors &amp; Creators'!AB5)</f>
        <v/>
      </c>
      <c r="AB185" s="16">
        <f>IF('Ambassadors &amp; Creators'!AC5="","",'Ambassadors &amp; Creators'!AC5)</f>
        <v/>
      </c>
      <c r="AC185" s="16">
        <f>IF('Ambassadors &amp; Creators'!AD5="","",'Ambassadors &amp; Creators'!AD5)</f>
        <v/>
      </c>
      <c r="AD185" s="16">
        <f>IF('Ambassadors &amp; Creators'!AE5="","",'Ambassadors &amp; Creators'!AE5)</f>
        <v/>
      </c>
      <c r="AE185" s="16">
        <f>IF('Ambassadors &amp; Creators'!AF5="","",'Ambassadors &amp; Creators'!AF5)</f>
        <v/>
      </c>
      <c r="AF185" s="16">
        <f>IF('Ambassadors &amp; Creators'!AG5="","",'Ambassadors &amp; Creators'!AG5)</f>
        <v/>
      </c>
      <c r="AG185" s="17">
        <f>IF('Ambassadors &amp; Creators'!AH5="","",'Ambassadors &amp; Creators'!AH5)</f>
        <v/>
      </c>
      <c r="AH185" s="17">
        <f>IF('Ambassadors &amp; Creators'!AI5="","",'Ambassadors &amp; Creators'!AI5)</f>
        <v/>
      </c>
      <c r="AI185" s="17">
        <f>IF('Ambassadors &amp; Creators'!AJ5="","",'Ambassadors &amp; Creators'!AJ5)</f>
        <v/>
      </c>
      <c r="AJ185" s="17">
        <f>IF('Ambassadors &amp; Creators'!AK5="","",'Ambassadors &amp; Creators'!AK5)</f>
        <v/>
      </c>
      <c r="AK185" s="16">
        <f>IF('Ambassadors &amp; Creators'!AL5="","",'Ambassadors &amp; Creators'!AL5)</f>
        <v/>
      </c>
      <c r="AL185" s="18">
        <f>IF(V185="","",V185+ROW()/100000)</f>
        <v/>
      </c>
    </row>
    <row r="186" ht="18" customHeight="1">
      <c r="A186" s="22">
        <f>IF('Ambassadors &amp; Creators'!B6="","","Ambassadors &amp; Creators")</f>
        <v/>
      </c>
      <c r="B186" s="22">
        <f>IF('Ambassadors &amp; Creators'!B6="","",'Ambassadors &amp; Creators'!B6)</f>
        <v/>
      </c>
      <c r="C186" s="23">
        <f>IF('Ambassadors &amp; Creators'!D6="","",'Ambassadors &amp; Creators'!D6)</f>
        <v/>
      </c>
      <c r="D186" s="22">
        <f>IF('Ambassadors &amp; Creators'!E6="","",'Ambassadors &amp; Creators'!E6)</f>
        <v/>
      </c>
      <c r="E186" s="23">
        <f>IF('Ambassadors &amp; Creators'!F6="","",'Ambassadors &amp; Creators'!F6)</f>
        <v/>
      </c>
      <c r="F186" s="23">
        <f>IF('Ambassadors &amp; Creators'!G6="","",'Ambassadors &amp; Creators'!G6)</f>
        <v/>
      </c>
      <c r="G186" s="23">
        <f>IF('Ambassadors &amp; Creators'!H6="","",'Ambassadors &amp; Creators'!H6)</f>
        <v/>
      </c>
      <c r="H186" s="22">
        <f>IF('Ambassadors &amp; Creators'!I6="","",'Ambassadors &amp; Creators'!I6)</f>
        <v/>
      </c>
      <c r="I186" s="23">
        <f>IF('Ambassadors &amp; Creators'!J6="","",'Ambassadors &amp; Creators'!J6)</f>
        <v/>
      </c>
      <c r="J186" s="22">
        <f>IF('Ambassadors &amp; Creators'!K6="","",'Ambassadors &amp; Creators'!K6)</f>
        <v/>
      </c>
      <c r="K186" s="23">
        <f>IF('Ambassadors &amp; Creators'!L6="","",'Ambassadors &amp; Creators'!L6)</f>
        <v/>
      </c>
      <c r="L186" s="22">
        <f>IF('Ambassadors &amp; Creators'!M6="","",'Ambassadors &amp; Creators'!M6)</f>
        <v/>
      </c>
      <c r="M186" s="23">
        <f>IF('Ambassadors &amp; Creators'!N6="","",'Ambassadors &amp; Creators'!N6)</f>
        <v/>
      </c>
      <c r="N186" s="22">
        <f>IF('Ambassadors &amp; Creators'!O6="","",'Ambassadors &amp; Creators'!O6)</f>
        <v/>
      </c>
      <c r="O186" s="23">
        <f>IF('Ambassadors &amp; Creators'!P6="","",'Ambassadors &amp; Creators'!P6)</f>
        <v/>
      </c>
      <c r="P186" s="23">
        <f>IF('Ambassadors &amp; Creators'!Q6="","",'Ambassadors &amp; Creators'!Q6)</f>
        <v/>
      </c>
      <c r="Q186" s="24">
        <f>IF('Ambassadors &amp; Creators'!R6="","",'Ambassadors &amp; Creators'!R6)</f>
        <v/>
      </c>
      <c r="R186" s="25">
        <f>IF('Ambassadors &amp; Creators'!S6="","",'Ambassadors &amp; Creators'!S6)</f>
        <v/>
      </c>
      <c r="S186" s="22">
        <f>IF('Ambassadors &amp; Creators'!T6="","",'Ambassadors &amp; Creators'!T6)</f>
        <v/>
      </c>
      <c r="T186" s="24">
        <f>IF('Ambassadors &amp; Creators'!U6="","",'Ambassadors &amp; Creators'!U6)</f>
        <v/>
      </c>
      <c r="U186" s="23">
        <f>IF('Ambassadors &amp; Creators'!V6="","",'Ambassadors &amp; Creators'!V6)</f>
        <v/>
      </c>
      <c r="V186" s="24">
        <f>IF('Ambassadors &amp; Creators'!W6="","",'Ambassadors &amp; Creators'!W6)</f>
        <v/>
      </c>
      <c r="W186" s="23">
        <f>IF('Ambassadors &amp; Creators'!X6="","",'Ambassadors &amp; Creators'!X6)</f>
        <v/>
      </c>
      <c r="X186" s="23">
        <f>IF('Ambassadors &amp; Creators'!Y6="","",'Ambassadors &amp; Creators'!Y6)</f>
        <v/>
      </c>
      <c r="Y186" s="26">
        <f>IF('Ambassadors &amp; Creators'!Z6="","",'Ambassadors &amp; Creators'!Z6)</f>
        <v/>
      </c>
      <c r="Z186" s="27">
        <f>IF('Ambassadors &amp; Creators'!AA6="","",'Ambassadors &amp; Creators'!AA6)</f>
        <v/>
      </c>
      <c r="AA186" s="26">
        <f>IF('Ambassadors &amp; Creators'!AB6="","",'Ambassadors &amp; Creators'!AB6)</f>
        <v/>
      </c>
      <c r="AB186" s="22">
        <f>IF('Ambassadors &amp; Creators'!AC6="","",'Ambassadors &amp; Creators'!AC6)</f>
        <v/>
      </c>
      <c r="AC186" s="22">
        <f>IF('Ambassadors &amp; Creators'!AD6="","",'Ambassadors &amp; Creators'!AD6)</f>
        <v/>
      </c>
      <c r="AD186" s="22">
        <f>IF('Ambassadors &amp; Creators'!AE6="","",'Ambassadors &amp; Creators'!AE6)</f>
        <v/>
      </c>
      <c r="AE186" s="22">
        <f>IF('Ambassadors &amp; Creators'!AF6="","",'Ambassadors &amp; Creators'!AF6)</f>
        <v/>
      </c>
      <c r="AF186" s="22">
        <f>IF('Ambassadors &amp; Creators'!AG6="","",'Ambassadors &amp; Creators'!AG6)</f>
        <v/>
      </c>
      <c r="AG186" s="23">
        <f>IF('Ambassadors &amp; Creators'!AH6="","",'Ambassadors &amp; Creators'!AH6)</f>
        <v/>
      </c>
      <c r="AH186" s="23">
        <f>IF('Ambassadors &amp; Creators'!AI6="","",'Ambassadors &amp; Creators'!AI6)</f>
        <v/>
      </c>
      <c r="AI186" s="23">
        <f>IF('Ambassadors &amp; Creators'!AJ6="","",'Ambassadors &amp; Creators'!AJ6)</f>
        <v/>
      </c>
      <c r="AJ186" s="23">
        <f>IF('Ambassadors &amp; Creators'!AK6="","",'Ambassadors &amp; Creators'!AK6)</f>
        <v/>
      </c>
      <c r="AK186" s="22">
        <f>IF('Ambassadors &amp; Creators'!AL6="","",'Ambassadors &amp; Creators'!AL6)</f>
        <v/>
      </c>
      <c r="AL186" s="18">
        <f>IF(V186="","",V186+ROW()/100000)</f>
        <v/>
      </c>
    </row>
    <row r="187" ht="18" customHeight="1">
      <c r="A187" s="16">
        <f>IF('Ambassadors &amp; Creators'!B7="","","Ambassadors &amp; Creators")</f>
        <v/>
      </c>
      <c r="B187" s="16">
        <f>IF('Ambassadors &amp; Creators'!B7="","",'Ambassadors &amp; Creators'!B7)</f>
        <v/>
      </c>
      <c r="C187" s="17">
        <f>IF('Ambassadors &amp; Creators'!D7="","",'Ambassadors &amp; Creators'!D7)</f>
        <v/>
      </c>
      <c r="D187" s="16">
        <f>IF('Ambassadors &amp; Creators'!E7="","",'Ambassadors &amp; Creators'!E7)</f>
        <v/>
      </c>
      <c r="E187" s="17">
        <f>IF('Ambassadors &amp; Creators'!F7="","",'Ambassadors &amp; Creators'!F7)</f>
        <v/>
      </c>
      <c r="F187" s="17">
        <f>IF('Ambassadors &amp; Creators'!G7="","",'Ambassadors &amp; Creators'!G7)</f>
        <v/>
      </c>
      <c r="G187" s="17">
        <f>IF('Ambassadors &amp; Creators'!H7="","",'Ambassadors &amp; Creators'!H7)</f>
        <v/>
      </c>
      <c r="H187" s="16">
        <f>IF('Ambassadors &amp; Creators'!I7="","",'Ambassadors &amp; Creators'!I7)</f>
        <v/>
      </c>
      <c r="I187" s="17">
        <f>IF('Ambassadors &amp; Creators'!J7="","",'Ambassadors &amp; Creators'!J7)</f>
        <v/>
      </c>
      <c r="J187" s="16">
        <f>IF('Ambassadors &amp; Creators'!K7="","",'Ambassadors &amp; Creators'!K7)</f>
        <v/>
      </c>
      <c r="K187" s="17">
        <f>IF('Ambassadors &amp; Creators'!L7="","",'Ambassadors &amp; Creators'!L7)</f>
        <v/>
      </c>
      <c r="L187" s="16">
        <f>IF('Ambassadors &amp; Creators'!M7="","",'Ambassadors &amp; Creators'!M7)</f>
        <v/>
      </c>
      <c r="M187" s="17">
        <f>IF('Ambassadors &amp; Creators'!N7="","",'Ambassadors &amp; Creators'!N7)</f>
        <v/>
      </c>
      <c r="N187" s="16">
        <f>IF('Ambassadors &amp; Creators'!O7="","",'Ambassadors &amp; Creators'!O7)</f>
        <v/>
      </c>
      <c r="O187" s="17">
        <f>IF('Ambassadors &amp; Creators'!P7="","",'Ambassadors &amp; Creators'!P7)</f>
        <v/>
      </c>
      <c r="P187" s="17">
        <f>IF('Ambassadors &amp; Creators'!Q7="","",'Ambassadors &amp; Creators'!Q7)</f>
        <v/>
      </c>
      <c r="Q187" s="15">
        <f>IF('Ambassadors &amp; Creators'!R7="","",'Ambassadors &amp; Creators'!R7)</f>
        <v/>
      </c>
      <c r="R187" s="19">
        <f>IF('Ambassadors &amp; Creators'!S7="","",'Ambassadors &amp; Creators'!S7)</f>
        <v/>
      </c>
      <c r="S187" s="16">
        <f>IF('Ambassadors &amp; Creators'!T7="","",'Ambassadors &amp; Creators'!T7)</f>
        <v/>
      </c>
      <c r="T187" s="15">
        <f>IF('Ambassadors &amp; Creators'!U7="","",'Ambassadors &amp; Creators'!U7)</f>
        <v/>
      </c>
      <c r="U187" s="17">
        <f>IF('Ambassadors &amp; Creators'!V7="","",'Ambassadors &amp; Creators'!V7)</f>
        <v/>
      </c>
      <c r="V187" s="15">
        <f>IF('Ambassadors &amp; Creators'!W7="","",'Ambassadors &amp; Creators'!W7)</f>
        <v/>
      </c>
      <c r="W187" s="17">
        <f>IF('Ambassadors &amp; Creators'!X7="","",'Ambassadors &amp; Creators'!X7)</f>
        <v/>
      </c>
      <c r="X187" s="17">
        <f>IF('Ambassadors &amp; Creators'!Y7="","",'Ambassadors &amp; Creators'!Y7)</f>
        <v/>
      </c>
      <c r="Y187" s="20">
        <f>IF('Ambassadors &amp; Creators'!Z7="","",'Ambassadors &amp; Creators'!Z7)</f>
        <v/>
      </c>
      <c r="Z187" s="21">
        <f>IF('Ambassadors &amp; Creators'!AA7="","",'Ambassadors &amp; Creators'!AA7)</f>
        <v/>
      </c>
      <c r="AA187" s="20">
        <f>IF('Ambassadors &amp; Creators'!AB7="","",'Ambassadors &amp; Creators'!AB7)</f>
        <v/>
      </c>
      <c r="AB187" s="16">
        <f>IF('Ambassadors &amp; Creators'!AC7="","",'Ambassadors &amp; Creators'!AC7)</f>
        <v/>
      </c>
      <c r="AC187" s="16">
        <f>IF('Ambassadors &amp; Creators'!AD7="","",'Ambassadors &amp; Creators'!AD7)</f>
        <v/>
      </c>
      <c r="AD187" s="16">
        <f>IF('Ambassadors &amp; Creators'!AE7="","",'Ambassadors &amp; Creators'!AE7)</f>
        <v/>
      </c>
      <c r="AE187" s="16">
        <f>IF('Ambassadors &amp; Creators'!AF7="","",'Ambassadors &amp; Creators'!AF7)</f>
        <v/>
      </c>
      <c r="AF187" s="16">
        <f>IF('Ambassadors &amp; Creators'!AG7="","",'Ambassadors &amp; Creators'!AG7)</f>
        <v/>
      </c>
      <c r="AG187" s="17">
        <f>IF('Ambassadors &amp; Creators'!AH7="","",'Ambassadors &amp; Creators'!AH7)</f>
        <v/>
      </c>
      <c r="AH187" s="17">
        <f>IF('Ambassadors &amp; Creators'!AI7="","",'Ambassadors &amp; Creators'!AI7)</f>
        <v/>
      </c>
      <c r="AI187" s="17">
        <f>IF('Ambassadors &amp; Creators'!AJ7="","",'Ambassadors &amp; Creators'!AJ7)</f>
        <v/>
      </c>
      <c r="AJ187" s="17">
        <f>IF('Ambassadors &amp; Creators'!AK7="","",'Ambassadors &amp; Creators'!AK7)</f>
        <v/>
      </c>
      <c r="AK187" s="16">
        <f>IF('Ambassadors &amp; Creators'!AL7="","",'Ambassadors &amp; Creators'!AL7)</f>
        <v/>
      </c>
      <c r="AL187" s="18">
        <f>IF(V187="","",V187+ROW()/100000)</f>
        <v/>
      </c>
    </row>
    <row r="188" ht="18" customHeight="1">
      <c r="A188" s="22">
        <f>IF('Ambassadors &amp; Creators'!B8="","","Ambassadors &amp; Creators")</f>
        <v/>
      </c>
      <c r="B188" s="22">
        <f>IF('Ambassadors &amp; Creators'!B8="","",'Ambassadors &amp; Creators'!B8)</f>
        <v/>
      </c>
      <c r="C188" s="23">
        <f>IF('Ambassadors &amp; Creators'!D8="","",'Ambassadors &amp; Creators'!D8)</f>
        <v/>
      </c>
      <c r="D188" s="22">
        <f>IF('Ambassadors &amp; Creators'!E8="","",'Ambassadors &amp; Creators'!E8)</f>
        <v/>
      </c>
      <c r="E188" s="23">
        <f>IF('Ambassadors &amp; Creators'!F8="","",'Ambassadors &amp; Creators'!F8)</f>
        <v/>
      </c>
      <c r="F188" s="23">
        <f>IF('Ambassadors &amp; Creators'!G8="","",'Ambassadors &amp; Creators'!G8)</f>
        <v/>
      </c>
      <c r="G188" s="23">
        <f>IF('Ambassadors &amp; Creators'!H8="","",'Ambassadors &amp; Creators'!H8)</f>
        <v/>
      </c>
      <c r="H188" s="22">
        <f>IF('Ambassadors &amp; Creators'!I8="","",'Ambassadors &amp; Creators'!I8)</f>
        <v/>
      </c>
      <c r="I188" s="23">
        <f>IF('Ambassadors &amp; Creators'!J8="","",'Ambassadors &amp; Creators'!J8)</f>
        <v/>
      </c>
      <c r="J188" s="22">
        <f>IF('Ambassadors &amp; Creators'!K8="","",'Ambassadors &amp; Creators'!K8)</f>
        <v/>
      </c>
      <c r="K188" s="23">
        <f>IF('Ambassadors &amp; Creators'!L8="","",'Ambassadors &amp; Creators'!L8)</f>
        <v/>
      </c>
      <c r="L188" s="22">
        <f>IF('Ambassadors &amp; Creators'!M8="","",'Ambassadors &amp; Creators'!M8)</f>
        <v/>
      </c>
      <c r="M188" s="23">
        <f>IF('Ambassadors &amp; Creators'!N8="","",'Ambassadors &amp; Creators'!N8)</f>
        <v/>
      </c>
      <c r="N188" s="22">
        <f>IF('Ambassadors &amp; Creators'!O8="","",'Ambassadors &amp; Creators'!O8)</f>
        <v/>
      </c>
      <c r="O188" s="23">
        <f>IF('Ambassadors &amp; Creators'!P8="","",'Ambassadors &amp; Creators'!P8)</f>
        <v/>
      </c>
      <c r="P188" s="23">
        <f>IF('Ambassadors &amp; Creators'!Q8="","",'Ambassadors &amp; Creators'!Q8)</f>
        <v/>
      </c>
      <c r="Q188" s="24">
        <f>IF('Ambassadors &amp; Creators'!R8="","",'Ambassadors &amp; Creators'!R8)</f>
        <v/>
      </c>
      <c r="R188" s="25">
        <f>IF('Ambassadors &amp; Creators'!S8="","",'Ambassadors &amp; Creators'!S8)</f>
        <v/>
      </c>
      <c r="S188" s="22">
        <f>IF('Ambassadors &amp; Creators'!T8="","",'Ambassadors &amp; Creators'!T8)</f>
        <v/>
      </c>
      <c r="T188" s="24">
        <f>IF('Ambassadors &amp; Creators'!U8="","",'Ambassadors &amp; Creators'!U8)</f>
        <v/>
      </c>
      <c r="U188" s="23">
        <f>IF('Ambassadors &amp; Creators'!V8="","",'Ambassadors &amp; Creators'!V8)</f>
        <v/>
      </c>
      <c r="V188" s="24">
        <f>IF('Ambassadors &amp; Creators'!W8="","",'Ambassadors &amp; Creators'!W8)</f>
        <v/>
      </c>
      <c r="W188" s="23">
        <f>IF('Ambassadors &amp; Creators'!X8="","",'Ambassadors &amp; Creators'!X8)</f>
        <v/>
      </c>
      <c r="X188" s="23">
        <f>IF('Ambassadors &amp; Creators'!Y8="","",'Ambassadors &amp; Creators'!Y8)</f>
        <v/>
      </c>
      <c r="Y188" s="26">
        <f>IF('Ambassadors &amp; Creators'!Z8="","",'Ambassadors &amp; Creators'!Z8)</f>
        <v/>
      </c>
      <c r="Z188" s="27">
        <f>IF('Ambassadors &amp; Creators'!AA8="","",'Ambassadors &amp; Creators'!AA8)</f>
        <v/>
      </c>
      <c r="AA188" s="26">
        <f>IF('Ambassadors &amp; Creators'!AB8="","",'Ambassadors &amp; Creators'!AB8)</f>
        <v/>
      </c>
      <c r="AB188" s="22">
        <f>IF('Ambassadors &amp; Creators'!AC8="","",'Ambassadors &amp; Creators'!AC8)</f>
        <v/>
      </c>
      <c r="AC188" s="22">
        <f>IF('Ambassadors &amp; Creators'!AD8="","",'Ambassadors &amp; Creators'!AD8)</f>
        <v/>
      </c>
      <c r="AD188" s="22">
        <f>IF('Ambassadors &amp; Creators'!AE8="","",'Ambassadors &amp; Creators'!AE8)</f>
        <v/>
      </c>
      <c r="AE188" s="22">
        <f>IF('Ambassadors &amp; Creators'!AF8="","",'Ambassadors &amp; Creators'!AF8)</f>
        <v/>
      </c>
      <c r="AF188" s="22">
        <f>IF('Ambassadors &amp; Creators'!AG8="","",'Ambassadors &amp; Creators'!AG8)</f>
        <v/>
      </c>
      <c r="AG188" s="23">
        <f>IF('Ambassadors &amp; Creators'!AH8="","",'Ambassadors &amp; Creators'!AH8)</f>
        <v/>
      </c>
      <c r="AH188" s="23">
        <f>IF('Ambassadors &amp; Creators'!AI8="","",'Ambassadors &amp; Creators'!AI8)</f>
        <v/>
      </c>
      <c r="AI188" s="23">
        <f>IF('Ambassadors &amp; Creators'!AJ8="","",'Ambassadors &amp; Creators'!AJ8)</f>
        <v/>
      </c>
      <c r="AJ188" s="23">
        <f>IF('Ambassadors &amp; Creators'!AK8="","",'Ambassadors &amp; Creators'!AK8)</f>
        <v/>
      </c>
      <c r="AK188" s="22">
        <f>IF('Ambassadors &amp; Creators'!AL8="","",'Ambassadors &amp; Creators'!AL8)</f>
        <v/>
      </c>
      <c r="AL188" s="18">
        <f>IF(V188="","",V188+ROW()/100000)</f>
        <v/>
      </c>
    </row>
    <row r="189" ht="18" customHeight="1">
      <c r="A189" s="16">
        <f>IF('Ambassadors &amp; Creators'!B9="","","Ambassadors &amp; Creators")</f>
        <v/>
      </c>
      <c r="B189" s="16">
        <f>IF('Ambassadors &amp; Creators'!B9="","",'Ambassadors &amp; Creators'!B9)</f>
        <v/>
      </c>
      <c r="C189" s="17">
        <f>IF('Ambassadors &amp; Creators'!D9="","",'Ambassadors &amp; Creators'!D9)</f>
        <v/>
      </c>
      <c r="D189" s="16">
        <f>IF('Ambassadors &amp; Creators'!E9="","",'Ambassadors &amp; Creators'!E9)</f>
        <v/>
      </c>
      <c r="E189" s="17">
        <f>IF('Ambassadors &amp; Creators'!F9="","",'Ambassadors &amp; Creators'!F9)</f>
        <v/>
      </c>
      <c r="F189" s="17">
        <f>IF('Ambassadors &amp; Creators'!G9="","",'Ambassadors &amp; Creators'!G9)</f>
        <v/>
      </c>
      <c r="G189" s="17">
        <f>IF('Ambassadors &amp; Creators'!H9="","",'Ambassadors &amp; Creators'!H9)</f>
        <v/>
      </c>
      <c r="H189" s="16">
        <f>IF('Ambassadors &amp; Creators'!I9="","",'Ambassadors &amp; Creators'!I9)</f>
        <v/>
      </c>
      <c r="I189" s="17">
        <f>IF('Ambassadors &amp; Creators'!J9="","",'Ambassadors &amp; Creators'!J9)</f>
        <v/>
      </c>
      <c r="J189" s="16">
        <f>IF('Ambassadors &amp; Creators'!K9="","",'Ambassadors &amp; Creators'!K9)</f>
        <v/>
      </c>
      <c r="K189" s="17">
        <f>IF('Ambassadors &amp; Creators'!L9="","",'Ambassadors &amp; Creators'!L9)</f>
        <v/>
      </c>
      <c r="L189" s="16">
        <f>IF('Ambassadors &amp; Creators'!M9="","",'Ambassadors &amp; Creators'!M9)</f>
        <v/>
      </c>
      <c r="M189" s="17">
        <f>IF('Ambassadors &amp; Creators'!N9="","",'Ambassadors &amp; Creators'!N9)</f>
        <v/>
      </c>
      <c r="N189" s="16">
        <f>IF('Ambassadors &amp; Creators'!O9="","",'Ambassadors &amp; Creators'!O9)</f>
        <v/>
      </c>
      <c r="O189" s="17">
        <f>IF('Ambassadors &amp; Creators'!P9="","",'Ambassadors &amp; Creators'!P9)</f>
        <v/>
      </c>
      <c r="P189" s="17">
        <f>IF('Ambassadors &amp; Creators'!Q9="","",'Ambassadors &amp; Creators'!Q9)</f>
        <v/>
      </c>
      <c r="Q189" s="15">
        <f>IF('Ambassadors &amp; Creators'!R9="","",'Ambassadors &amp; Creators'!R9)</f>
        <v/>
      </c>
      <c r="R189" s="19">
        <f>IF('Ambassadors &amp; Creators'!S9="","",'Ambassadors &amp; Creators'!S9)</f>
        <v/>
      </c>
      <c r="S189" s="16">
        <f>IF('Ambassadors &amp; Creators'!T9="","",'Ambassadors &amp; Creators'!T9)</f>
        <v/>
      </c>
      <c r="T189" s="15">
        <f>IF('Ambassadors &amp; Creators'!U9="","",'Ambassadors &amp; Creators'!U9)</f>
        <v/>
      </c>
      <c r="U189" s="17">
        <f>IF('Ambassadors &amp; Creators'!V9="","",'Ambassadors &amp; Creators'!V9)</f>
        <v/>
      </c>
      <c r="V189" s="15">
        <f>IF('Ambassadors &amp; Creators'!W9="","",'Ambassadors &amp; Creators'!W9)</f>
        <v/>
      </c>
      <c r="W189" s="17">
        <f>IF('Ambassadors &amp; Creators'!X9="","",'Ambassadors &amp; Creators'!X9)</f>
        <v/>
      </c>
      <c r="X189" s="17">
        <f>IF('Ambassadors &amp; Creators'!Y9="","",'Ambassadors &amp; Creators'!Y9)</f>
        <v/>
      </c>
      <c r="Y189" s="20">
        <f>IF('Ambassadors &amp; Creators'!Z9="","",'Ambassadors &amp; Creators'!Z9)</f>
        <v/>
      </c>
      <c r="Z189" s="21">
        <f>IF('Ambassadors &amp; Creators'!AA9="","",'Ambassadors &amp; Creators'!AA9)</f>
        <v/>
      </c>
      <c r="AA189" s="20">
        <f>IF('Ambassadors &amp; Creators'!AB9="","",'Ambassadors &amp; Creators'!AB9)</f>
        <v/>
      </c>
      <c r="AB189" s="16">
        <f>IF('Ambassadors &amp; Creators'!AC9="","",'Ambassadors &amp; Creators'!AC9)</f>
        <v/>
      </c>
      <c r="AC189" s="16">
        <f>IF('Ambassadors &amp; Creators'!AD9="","",'Ambassadors &amp; Creators'!AD9)</f>
        <v/>
      </c>
      <c r="AD189" s="16">
        <f>IF('Ambassadors &amp; Creators'!AE9="","",'Ambassadors &amp; Creators'!AE9)</f>
        <v/>
      </c>
      <c r="AE189" s="16">
        <f>IF('Ambassadors &amp; Creators'!AF9="","",'Ambassadors &amp; Creators'!AF9)</f>
        <v/>
      </c>
      <c r="AF189" s="16">
        <f>IF('Ambassadors &amp; Creators'!AG9="","",'Ambassadors &amp; Creators'!AG9)</f>
        <v/>
      </c>
      <c r="AG189" s="17">
        <f>IF('Ambassadors &amp; Creators'!AH9="","",'Ambassadors &amp; Creators'!AH9)</f>
        <v/>
      </c>
      <c r="AH189" s="17">
        <f>IF('Ambassadors &amp; Creators'!AI9="","",'Ambassadors &amp; Creators'!AI9)</f>
        <v/>
      </c>
      <c r="AI189" s="17">
        <f>IF('Ambassadors &amp; Creators'!AJ9="","",'Ambassadors &amp; Creators'!AJ9)</f>
        <v/>
      </c>
      <c r="AJ189" s="17">
        <f>IF('Ambassadors &amp; Creators'!AK9="","",'Ambassadors &amp; Creators'!AK9)</f>
        <v/>
      </c>
      <c r="AK189" s="16">
        <f>IF('Ambassadors &amp; Creators'!AL9="","",'Ambassadors &amp; Creators'!AL9)</f>
        <v/>
      </c>
      <c r="AL189" s="18">
        <f>IF(V189="","",V189+ROW()/100000)</f>
        <v/>
      </c>
    </row>
    <row r="190" ht="18" customHeight="1">
      <c r="A190" s="22">
        <f>IF('Ambassadors &amp; Creators'!B10="","","Ambassadors &amp; Creators")</f>
        <v/>
      </c>
      <c r="B190" s="22">
        <f>IF('Ambassadors &amp; Creators'!B10="","",'Ambassadors &amp; Creators'!B10)</f>
        <v/>
      </c>
      <c r="C190" s="23">
        <f>IF('Ambassadors &amp; Creators'!D10="","",'Ambassadors &amp; Creators'!D10)</f>
        <v/>
      </c>
      <c r="D190" s="22">
        <f>IF('Ambassadors &amp; Creators'!E10="","",'Ambassadors &amp; Creators'!E10)</f>
        <v/>
      </c>
      <c r="E190" s="23">
        <f>IF('Ambassadors &amp; Creators'!F10="","",'Ambassadors &amp; Creators'!F10)</f>
        <v/>
      </c>
      <c r="F190" s="23">
        <f>IF('Ambassadors &amp; Creators'!G10="","",'Ambassadors &amp; Creators'!G10)</f>
        <v/>
      </c>
      <c r="G190" s="23">
        <f>IF('Ambassadors &amp; Creators'!H10="","",'Ambassadors &amp; Creators'!H10)</f>
        <v/>
      </c>
      <c r="H190" s="22">
        <f>IF('Ambassadors &amp; Creators'!I10="","",'Ambassadors &amp; Creators'!I10)</f>
        <v/>
      </c>
      <c r="I190" s="23">
        <f>IF('Ambassadors &amp; Creators'!J10="","",'Ambassadors &amp; Creators'!J10)</f>
        <v/>
      </c>
      <c r="J190" s="22">
        <f>IF('Ambassadors &amp; Creators'!K10="","",'Ambassadors &amp; Creators'!K10)</f>
        <v/>
      </c>
      <c r="K190" s="23">
        <f>IF('Ambassadors &amp; Creators'!L10="","",'Ambassadors &amp; Creators'!L10)</f>
        <v/>
      </c>
      <c r="L190" s="22">
        <f>IF('Ambassadors &amp; Creators'!M10="","",'Ambassadors &amp; Creators'!M10)</f>
        <v/>
      </c>
      <c r="M190" s="23">
        <f>IF('Ambassadors &amp; Creators'!N10="","",'Ambassadors &amp; Creators'!N10)</f>
        <v/>
      </c>
      <c r="N190" s="22">
        <f>IF('Ambassadors &amp; Creators'!O10="","",'Ambassadors &amp; Creators'!O10)</f>
        <v/>
      </c>
      <c r="O190" s="23">
        <f>IF('Ambassadors &amp; Creators'!P10="","",'Ambassadors &amp; Creators'!P10)</f>
        <v/>
      </c>
      <c r="P190" s="23">
        <f>IF('Ambassadors &amp; Creators'!Q10="","",'Ambassadors &amp; Creators'!Q10)</f>
        <v/>
      </c>
      <c r="Q190" s="24">
        <f>IF('Ambassadors &amp; Creators'!R10="","",'Ambassadors &amp; Creators'!R10)</f>
        <v/>
      </c>
      <c r="R190" s="25">
        <f>IF('Ambassadors &amp; Creators'!S10="","",'Ambassadors &amp; Creators'!S10)</f>
        <v/>
      </c>
      <c r="S190" s="22">
        <f>IF('Ambassadors &amp; Creators'!T10="","",'Ambassadors &amp; Creators'!T10)</f>
        <v/>
      </c>
      <c r="T190" s="24">
        <f>IF('Ambassadors &amp; Creators'!U10="","",'Ambassadors &amp; Creators'!U10)</f>
        <v/>
      </c>
      <c r="U190" s="23">
        <f>IF('Ambassadors &amp; Creators'!V10="","",'Ambassadors &amp; Creators'!V10)</f>
        <v/>
      </c>
      <c r="V190" s="24">
        <f>IF('Ambassadors &amp; Creators'!W10="","",'Ambassadors &amp; Creators'!W10)</f>
        <v/>
      </c>
      <c r="W190" s="23">
        <f>IF('Ambassadors &amp; Creators'!X10="","",'Ambassadors &amp; Creators'!X10)</f>
        <v/>
      </c>
      <c r="X190" s="23">
        <f>IF('Ambassadors &amp; Creators'!Y10="","",'Ambassadors &amp; Creators'!Y10)</f>
        <v/>
      </c>
      <c r="Y190" s="26">
        <f>IF('Ambassadors &amp; Creators'!Z10="","",'Ambassadors &amp; Creators'!Z10)</f>
        <v/>
      </c>
      <c r="Z190" s="27">
        <f>IF('Ambassadors &amp; Creators'!AA10="","",'Ambassadors &amp; Creators'!AA10)</f>
        <v/>
      </c>
      <c r="AA190" s="26">
        <f>IF('Ambassadors &amp; Creators'!AB10="","",'Ambassadors &amp; Creators'!AB10)</f>
        <v/>
      </c>
      <c r="AB190" s="22">
        <f>IF('Ambassadors &amp; Creators'!AC10="","",'Ambassadors &amp; Creators'!AC10)</f>
        <v/>
      </c>
      <c r="AC190" s="22">
        <f>IF('Ambassadors &amp; Creators'!AD10="","",'Ambassadors &amp; Creators'!AD10)</f>
        <v/>
      </c>
      <c r="AD190" s="22">
        <f>IF('Ambassadors &amp; Creators'!AE10="","",'Ambassadors &amp; Creators'!AE10)</f>
        <v/>
      </c>
      <c r="AE190" s="22">
        <f>IF('Ambassadors &amp; Creators'!AF10="","",'Ambassadors &amp; Creators'!AF10)</f>
        <v/>
      </c>
      <c r="AF190" s="22">
        <f>IF('Ambassadors &amp; Creators'!AG10="","",'Ambassadors &amp; Creators'!AG10)</f>
        <v/>
      </c>
      <c r="AG190" s="23">
        <f>IF('Ambassadors &amp; Creators'!AH10="","",'Ambassadors &amp; Creators'!AH10)</f>
        <v/>
      </c>
      <c r="AH190" s="23">
        <f>IF('Ambassadors &amp; Creators'!AI10="","",'Ambassadors &amp; Creators'!AI10)</f>
        <v/>
      </c>
      <c r="AI190" s="23">
        <f>IF('Ambassadors &amp; Creators'!AJ10="","",'Ambassadors &amp; Creators'!AJ10)</f>
        <v/>
      </c>
      <c r="AJ190" s="23">
        <f>IF('Ambassadors &amp; Creators'!AK10="","",'Ambassadors &amp; Creators'!AK10)</f>
        <v/>
      </c>
      <c r="AK190" s="22">
        <f>IF('Ambassadors &amp; Creators'!AL10="","",'Ambassadors &amp; Creators'!AL10)</f>
        <v/>
      </c>
      <c r="AL190" s="18">
        <f>IF(V190="","",V190+ROW()/100000)</f>
        <v/>
      </c>
    </row>
    <row r="191" ht="18" customHeight="1">
      <c r="A191" s="16">
        <f>IF('Ambassadors &amp; Creators'!B11="","","Ambassadors &amp; Creators")</f>
        <v/>
      </c>
      <c r="B191" s="16">
        <f>IF('Ambassadors &amp; Creators'!B11="","",'Ambassadors &amp; Creators'!B11)</f>
        <v/>
      </c>
      <c r="C191" s="17">
        <f>IF('Ambassadors &amp; Creators'!D11="","",'Ambassadors &amp; Creators'!D11)</f>
        <v/>
      </c>
      <c r="D191" s="16">
        <f>IF('Ambassadors &amp; Creators'!E11="","",'Ambassadors &amp; Creators'!E11)</f>
        <v/>
      </c>
      <c r="E191" s="17">
        <f>IF('Ambassadors &amp; Creators'!F11="","",'Ambassadors &amp; Creators'!F11)</f>
        <v/>
      </c>
      <c r="F191" s="17">
        <f>IF('Ambassadors &amp; Creators'!G11="","",'Ambassadors &amp; Creators'!G11)</f>
        <v/>
      </c>
      <c r="G191" s="17">
        <f>IF('Ambassadors &amp; Creators'!H11="","",'Ambassadors &amp; Creators'!H11)</f>
        <v/>
      </c>
      <c r="H191" s="16">
        <f>IF('Ambassadors &amp; Creators'!I11="","",'Ambassadors &amp; Creators'!I11)</f>
        <v/>
      </c>
      <c r="I191" s="17">
        <f>IF('Ambassadors &amp; Creators'!J11="","",'Ambassadors &amp; Creators'!J11)</f>
        <v/>
      </c>
      <c r="J191" s="16">
        <f>IF('Ambassadors &amp; Creators'!K11="","",'Ambassadors &amp; Creators'!K11)</f>
        <v/>
      </c>
      <c r="K191" s="17">
        <f>IF('Ambassadors &amp; Creators'!L11="","",'Ambassadors &amp; Creators'!L11)</f>
        <v/>
      </c>
      <c r="L191" s="16">
        <f>IF('Ambassadors &amp; Creators'!M11="","",'Ambassadors &amp; Creators'!M11)</f>
        <v/>
      </c>
      <c r="M191" s="17">
        <f>IF('Ambassadors &amp; Creators'!N11="","",'Ambassadors &amp; Creators'!N11)</f>
        <v/>
      </c>
      <c r="N191" s="16">
        <f>IF('Ambassadors &amp; Creators'!O11="","",'Ambassadors &amp; Creators'!O11)</f>
        <v/>
      </c>
      <c r="O191" s="17">
        <f>IF('Ambassadors &amp; Creators'!P11="","",'Ambassadors &amp; Creators'!P11)</f>
        <v/>
      </c>
      <c r="P191" s="17">
        <f>IF('Ambassadors &amp; Creators'!Q11="","",'Ambassadors &amp; Creators'!Q11)</f>
        <v/>
      </c>
      <c r="Q191" s="15">
        <f>IF('Ambassadors &amp; Creators'!R11="","",'Ambassadors &amp; Creators'!R11)</f>
        <v/>
      </c>
      <c r="R191" s="19">
        <f>IF('Ambassadors &amp; Creators'!S11="","",'Ambassadors &amp; Creators'!S11)</f>
        <v/>
      </c>
      <c r="S191" s="16">
        <f>IF('Ambassadors &amp; Creators'!T11="","",'Ambassadors &amp; Creators'!T11)</f>
        <v/>
      </c>
      <c r="T191" s="15">
        <f>IF('Ambassadors &amp; Creators'!U11="","",'Ambassadors &amp; Creators'!U11)</f>
        <v/>
      </c>
      <c r="U191" s="17">
        <f>IF('Ambassadors &amp; Creators'!V11="","",'Ambassadors &amp; Creators'!V11)</f>
        <v/>
      </c>
      <c r="V191" s="15">
        <f>IF('Ambassadors &amp; Creators'!W11="","",'Ambassadors &amp; Creators'!W11)</f>
        <v/>
      </c>
      <c r="W191" s="17">
        <f>IF('Ambassadors &amp; Creators'!X11="","",'Ambassadors &amp; Creators'!X11)</f>
        <v/>
      </c>
      <c r="X191" s="17">
        <f>IF('Ambassadors &amp; Creators'!Y11="","",'Ambassadors &amp; Creators'!Y11)</f>
        <v/>
      </c>
      <c r="Y191" s="20">
        <f>IF('Ambassadors &amp; Creators'!Z11="","",'Ambassadors &amp; Creators'!Z11)</f>
        <v/>
      </c>
      <c r="Z191" s="21">
        <f>IF('Ambassadors &amp; Creators'!AA11="","",'Ambassadors &amp; Creators'!AA11)</f>
        <v/>
      </c>
      <c r="AA191" s="20">
        <f>IF('Ambassadors &amp; Creators'!AB11="","",'Ambassadors &amp; Creators'!AB11)</f>
        <v/>
      </c>
      <c r="AB191" s="16">
        <f>IF('Ambassadors &amp; Creators'!AC11="","",'Ambassadors &amp; Creators'!AC11)</f>
        <v/>
      </c>
      <c r="AC191" s="16">
        <f>IF('Ambassadors &amp; Creators'!AD11="","",'Ambassadors &amp; Creators'!AD11)</f>
        <v/>
      </c>
      <c r="AD191" s="16">
        <f>IF('Ambassadors &amp; Creators'!AE11="","",'Ambassadors &amp; Creators'!AE11)</f>
        <v/>
      </c>
      <c r="AE191" s="16">
        <f>IF('Ambassadors &amp; Creators'!AF11="","",'Ambassadors &amp; Creators'!AF11)</f>
        <v/>
      </c>
      <c r="AF191" s="16">
        <f>IF('Ambassadors &amp; Creators'!AG11="","",'Ambassadors &amp; Creators'!AG11)</f>
        <v/>
      </c>
      <c r="AG191" s="17">
        <f>IF('Ambassadors &amp; Creators'!AH11="","",'Ambassadors &amp; Creators'!AH11)</f>
        <v/>
      </c>
      <c r="AH191" s="17">
        <f>IF('Ambassadors &amp; Creators'!AI11="","",'Ambassadors &amp; Creators'!AI11)</f>
        <v/>
      </c>
      <c r="AI191" s="17">
        <f>IF('Ambassadors &amp; Creators'!AJ11="","",'Ambassadors &amp; Creators'!AJ11)</f>
        <v/>
      </c>
      <c r="AJ191" s="17">
        <f>IF('Ambassadors &amp; Creators'!AK11="","",'Ambassadors &amp; Creators'!AK11)</f>
        <v/>
      </c>
      <c r="AK191" s="16">
        <f>IF('Ambassadors &amp; Creators'!AL11="","",'Ambassadors &amp; Creators'!AL11)</f>
        <v/>
      </c>
      <c r="AL191" s="18">
        <f>IF(V191="","",V191+ROW()/100000)</f>
        <v/>
      </c>
    </row>
    <row r="192" ht="18" customHeight="1">
      <c r="A192" s="22">
        <f>IF('Ambassadors &amp; Creators'!B12="","","Ambassadors &amp; Creators")</f>
        <v/>
      </c>
      <c r="B192" s="22">
        <f>IF('Ambassadors &amp; Creators'!B12="","",'Ambassadors &amp; Creators'!B12)</f>
        <v/>
      </c>
      <c r="C192" s="23">
        <f>IF('Ambassadors &amp; Creators'!D12="","",'Ambassadors &amp; Creators'!D12)</f>
        <v/>
      </c>
      <c r="D192" s="22">
        <f>IF('Ambassadors &amp; Creators'!E12="","",'Ambassadors &amp; Creators'!E12)</f>
        <v/>
      </c>
      <c r="E192" s="23">
        <f>IF('Ambassadors &amp; Creators'!F12="","",'Ambassadors &amp; Creators'!F12)</f>
        <v/>
      </c>
      <c r="F192" s="23">
        <f>IF('Ambassadors &amp; Creators'!G12="","",'Ambassadors &amp; Creators'!G12)</f>
        <v/>
      </c>
      <c r="G192" s="23">
        <f>IF('Ambassadors &amp; Creators'!H12="","",'Ambassadors &amp; Creators'!H12)</f>
        <v/>
      </c>
      <c r="H192" s="22">
        <f>IF('Ambassadors &amp; Creators'!I12="","",'Ambassadors &amp; Creators'!I12)</f>
        <v/>
      </c>
      <c r="I192" s="23">
        <f>IF('Ambassadors &amp; Creators'!J12="","",'Ambassadors &amp; Creators'!J12)</f>
        <v/>
      </c>
      <c r="J192" s="22">
        <f>IF('Ambassadors &amp; Creators'!K12="","",'Ambassadors &amp; Creators'!K12)</f>
        <v/>
      </c>
      <c r="K192" s="23">
        <f>IF('Ambassadors &amp; Creators'!L12="","",'Ambassadors &amp; Creators'!L12)</f>
        <v/>
      </c>
      <c r="L192" s="22">
        <f>IF('Ambassadors &amp; Creators'!M12="","",'Ambassadors &amp; Creators'!M12)</f>
        <v/>
      </c>
      <c r="M192" s="23">
        <f>IF('Ambassadors &amp; Creators'!N12="","",'Ambassadors &amp; Creators'!N12)</f>
        <v/>
      </c>
      <c r="N192" s="22">
        <f>IF('Ambassadors &amp; Creators'!O12="","",'Ambassadors &amp; Creators'!O12)</f>
        <v/>
      </c>
      <c r="O192" s="23">
        <f>IF('Ambassadors &amp; Creators'!P12="","",'Ambassadors &amp; Creators'!P12)</f>
        <v/>
      </c>
      <c r="P192" s="23">
        <f>IF('Ambassadors &amp; Creators'!Q12="","",'Ambassadors &amp; Creators'!Q12)</f>
        <v/>
      </c>
      <c r="Q192" s="24">
        <f>IF('Ambassadors &amp; Creators'!R12="","",'Ambassadors &amp; Creators'!R12)</f>
        <v/>
      </c>
      <c r="R192" s="25">
        <f>IF('Ambassadors &amp; Creators'!S12="","",'Ambassadors &amp; Creators'!S12)</f>
        <v/>
      </c>
      <c r="S192" s="22">
        <f>IF('Ambassadors &amp; Creators'!T12="","",'Ambassadors &amp; Creators'!T12)</f>
        <v/>
      </c>
      <c r="T192" s="24">
        <f>IF('Ambassadors &amp; Creators'!U12="","",'Ambassadors &amp; Creators'!U12)</f>
        <v/>
      </c>
      <c r="U192" s="23">
        <f>IF('Ambassadors &amp; Creators'!V12="","",'Ambassadors &amp; Creators'!V12)</f>
        <v/>
      </c>
      <c r="V192" s="24">
        <f>IF('Ambassadors &amp; Creators'!W12="","",'Ambassadors &amp; Creators'!W12)</f>
        <v/>
      </c>
      <c r="W192" s="23">
        <f>IF('Ambassadors &amp; Creators'!X12="","",'Ambassadors &amp; Creators'!X12)</f>
        <v/>
      </c>
      <c r="X192" s="23">
        <f>IF('Ambassadors &amp; Creators'!Y12="","",'Ambassadors &amp; Creators'!Y12)</f>
        <v/>
      </c>
      <c r="Y192" s="26">
        <f>IF('Ambassadors &amp; Creators'!Z12="","",'Ambassadors &amp; Creators'!Z12)</f>
        <v/>
      </c>
      <c r="Z192" s="27">
        <f>IF('Ambassadors &amp; Creators'!AA12="","",'Ambassadors &amp; Creators'!AA12)</f>
        <v/>
      </c>
      <c r="AA192" s="26">
        <f>IF('Ambassadors &amp; Creators'!AB12="","",'Ambassadors &amp; Creators'!AB12)</f>
        <v/>
      </c>
      <c r="AB192" s="22">
        <f>IF('Ambassadors &amp; Creators'!AC12="","",'Ambassadors &amp; Creators'!AC12)</f>
        <v/>
      </c>
      <c r="AC192" s="22">
        <f>IF('Ambassadors &amp; Creators'!AD12="","",'Ambassadors &amp; Creators'!AD12)</f>
        <v/>
      </c>
      <c r="AD192" s="22">
        <f>IF('Ambassadors &amp; Creators'!AE12="","",'Ambassadors &amp; Creators'!AE12)</f>
        <v/>
      </c>
      <c r="AE192" s="22">
        <f>IF('Ambassadors &amp; Creators'!AF12="","",'Ambassadors &amp; Creators'!AF12)</f>
        <v/>
      </c>
      <c r="AF192" s="22">
        <f>IF('Ambassadors &amp; Creators'!AG12="","",'Ambassadors &amp; Creators'!AG12)</f>
        <v/>
      </c>
      <c r="AG192" s="23">
        <f>IF('Ambassadors &amp; Creators'!AH12="","",'Ambassadors &amp; Creators'!AH12)</f>
        <v/>
      </c>
      <c r="AH192" s="23">
        <f>IF('Ambassadors &amp; Creators'!AI12="","",'Ambassadors &amp; Creators'!AI12)</f>
        <v/>
      </c>
      <c r="AI192" s="23">
        <f>IF('Ambassadors &amp; Creators'!AJ12="","",'Ambassadors &amp; Creators'!AJ12)</f>
        <v/>
      </c>
      <c r="AJ192" s="23">
        <f>IF('Ambassadors &amp; Creators'!AK12="","",'Ambassadors &amp; Creators'!AK12)</f>
        <v/>
      </c>
      <c r="AK192" s="22">
        <f>IF('Ambassadors &amp; Creators'!AL12="","",'Ambassadors &amp; Creators'!AL12)</f>
        <v/>
      </c>
      <c r="AL192" s="18">
        <f>IF(V192="","",V192+ROW()/100000)</f>
        <v/>
      </c>
    </row>
    <row r="193" ht="18" customHeight="1">
      <c r="A193" s="16">
        <f>IF('Ambassadors &amp; Creators'!B13="","","Ambassadors &amp; Creators")</f>
        <v/>
      </c>
      <c r="B193" s="16">
        <f>IF('Ambassadors &amp; Creators'!B13="","",'Ambassadors &amp; Creators'!B13)</f>
        <v/>
      </c>
      <c r="C193" s="17">
        <f>IF('Ambassadors &amp; Creators'!D13="","",'Ambassadors &amp; Creators'!D13)</f>
        <v/>
      </c>
      <c r="D193" s="16">
        <f>IF('Ambassadors &amp; Creators'!E13="","",'Ambassadors &amp; Creators'!E13)</f>
        <v/>
      </c>
      <c r="E193" s="17">
        <f>IF('Ambassadors &amp; Creators'!F13="","",'Ambassadors &amp; Creators'!F13)</f>
        <v/>
      </c>
      <c r="F193" s="17">
        <f>IF('Ambassadors &amp; Creators'!G13="","",'Ambassadors &amp; Creators'!G13)</f>
        <v/>
      </c>
      <c r="G193" s="17">
        <f>IF('Ambassadors &amp; Creators'!H13="","",'Ambassadors &amp; Creators'!H13)</f>
        <v/>
      </c>
      <c r="H193" s="16">
        <f>IF('Ambassadors &amp; Creators'!I13="","",'Ambassadors &amp; Creators'!I13)</f>
        <v/>
      </c>
      <c r="I193" s="17">
        <f>IF('Ambassadors &amp; Creators'!J13="","",'Ambassadors &amp; Creators'!J13)</f>
        <v/>
      </c>
      <c r="J193" s="16">
        <f>IF('Ambassadors &amp; Creators'!K13="","",'Ambassadors &amp; Creators'!K13)</f>
        <v/>
      </c>
      <c r="K193" s="17">
        <f>IF('Ambassadors &amp; Creators'!L13="","",'Ambassadors &amp; Creators'!L13)</f>
        <v/>
      </c>
      <c r="L193" s="16">
        <f>IF('Ambassadors &amp; Creators'!M13="","",'Ambassadors &amp; Creators'!M13)</f>
        <v/>
      </c>
      <c r="M193" s="17">
        <f>IF('Ambassadors &amp; Creators'!N13="","",'Ambassadors &amp; Creators'!N13)</f>
        <v/>
      </c>
      <c r="N193" s="16">
        <f>IF('Ambassadors &amp; Creators'!O13="","",'Ambassadors &amp; Creators'!O13)</f>
        <v/>
      </c>
      <c r="O193" s="17">
        <f>IF('Ambassadors &amp; Creators'!P13="","",'Ambassadors &amp; Creators'!P13)</f>
        <v/>
      </c>
      <c r="P193" s="17">
        <f>IF('Ambassadors &amp; Creators'!Q13="","",'Ambassadors &amp; Creators'!Q13)</f>
        <v/>
      </c>
      <c r="Q193" s="15">
        <f>IF('Ambassadors &amp; Creators'!R13="","",'Ambassadors &amp; Creators'!R13)</f>
        <v/>
      </c>
      <c r="R193" s="19">
        <f>IF('Ambassadors &amp; Creators'!S13="","",'Ambassadors &amp; Creators'!S13)</f>
        <v/>
      </c>
      <c r="S193" s="16">
        <f>IF('Ambassadors &amp; Creators'!T13="","",'Ambassadors &amp; Creators'!T13)</f>
        <v/>
      </c>
      <c r="T193" s="15">
        <f>IF('Ambassadors &amp; Creators'!U13="","",'Ambassadors &amp; Creators'!U13)</f>
        <v/>
      </c>
      <c r="U193" s="17">
        <f>IF('Ambassadors &amp; Creators'!V13="","",'Ambassadors &amp; Creators'!V13)</f>
        <v/>
      </c>
      <c r="V193" s="15">
        <f>IF('Ambassadors &amp; Creators'!W13="","",'Ambassadors &amp; Creators'!W13)</f>
        <v/>
      </c>
      <c r="W193" s="17">
        <f>IF('Ambassadors &amp; Creators'!X13="","",'Ambassadors &amp; Creators'!X13)</f>
        <v/>
      </c>
      <c r="X193" s="17">
        <f>IF('Ambassadors &amp; Creators'!Y13="","",'Ambassadors &amp; Creators'!Y13)</f>
        <v/>
      </c>
      <c r="Y193" s="20">
        <f>IF('Ambassadors &amp; Creators'!Z13="","",'Ambassadors &amp; Creators'!Z13)</f>
        <v/>
      </c>
      <c r="Z193" s="21">
        <f>IF('Ambassadors &amp; Creators'!AA13="","",'Ambassadors &amp; Creators'!AA13)</f>
        <v/>
      </c>
      <c r="AA193" s="20">
        <f>IF('Ambassadors &amp; Creators'!AB13="","",'Ambassadors &amp; Creators'!AB13)</f>
        <v/>
      </c>
      <c r="AB193" s="16">
        <f>IF('Ambassadors &amp; Creators'!AC13="","",'Ambassadors &amp; Creators'!AC13)</f>
        <v/>
      </c>
      <c r="AC193" s="16">
        <f>IF('Ambassadors &amp; Creators'!AD13="","",'Ambassadors &amp; Creators'!AD13)</f>
        <v/>
      </c>
      <c r="AD193" s="16">
        <f>IF('Ambassadors &amp; Creators'!AE13="","",'Ambassadors &amp; Creators'!AE13)</f>
        <v/>
      </c>
      <c r="AE193" s="16">
        <f>IF('Ambassadors &amp; Creators'!AF13="","",'Ambassadors &amp; Creators'!AF13)</f>
        <v/>
      </c>
      <c r="AF193" s="16">
        <f>IF('Ambassadors &amp; Creators'!AG13="","",'Ambassadors &amp; Creators'!AG13)</f>
        <v/>
      </c>
      <c r="AG193" s="17">
        <f>IF('Ambassadors &amp; Creators'!AH13="","",'Ambassadors &amp; Creators'!AH13)</f>
        <v/>
      </c>
      <c r="AH193" s="17">
        <f>IF('Ambassadors &amp; Creators'!AI13="","",'Ambassadors &amp; Creators'!AI13)</f>
        <v/>
      </c>
      <c r="AI193" s="17">
        <f>IF('Ambassadors &amp; Creators'!AJ13="","",'Ambassadors &amp; Creators'!AJ13)</f>
        <v/>
      </c>
      <c r="AJ193" s="17">
        <f>IF('Ambassadors &amp; Creators'!AK13="","",'Ambassadors &amp; Creators'!AK13)</f>
        <v/>
      </c>
      <c r="AK193" s="16">
        <f>IF('Ambassadors &amp; Creators'!AL13="","",'Ambassadors &amp; Creators'!AL13)</f>
        <v/>
      </c>
      <c r="AL193" s="18">
        <f>IF(V193="","",V193+ROW()/100000)</f>
        <v/>
      </c>
    </row>
    <row r="194" ht="18" customHeight="1">
      <c r="A194" s="22">
        <f>IF('Ambassadors &amp; Creators'!B14="","","Ambassadors &amp; Creators")</f>
        <v/>
      </c>
      <c r="B194" s="22">
        <f>IF('Ambassadors &amp; Creators'!B14="","",'Ambassadors &amp; Creators'!B14)</f>
        <v/>
      </c>
      <c r="C194" s="23">
        <f>IF('Ambassadors &amp; Creators'!D14="","",'Ambassadors &amp; Creators'!D14)</f>
        <v/>
      </c>
      <c r="D194" s="22">
        <f>IF('Ambassadors &amp; Creators'!E14="","",'Ambassadors &amp; Creators'!E14)</f>
        <v/>
      </c>
      <c r="E194" s="23">
        <f>IF('Ambassadors &amp; Creators'!F14="","",'Ambassadors &amp; Creators'!F14)</f>
        <v/>
      </c>
      <c r="F194" s="23">
        <f>IF('Ambassadors &amp; Creators'!G14="","",'Ambassadors &amp; Creators'!G14)</f>
        <v/>
      </c>
      <c r="G194" s="23">
        <f>IF('Ambassadors &amp; Creators'!H14="","",'Ambassadors &amp; Creators'!H14)</f>
        <v/>
      </c>
      <c r="H194" s="22">
        <f>IF('Ambassadors &amp; Creators'!I14="","",'Ambassadors &amp; Creators'!I14)</f>
        <v/>
      </c>
      <c r="I194" s="23">
        <f>IF('Ambassadors &amp; Creators'!J14="","",'Ambassadors &amp; Creators'!J14)</f>
        <v/>
      </c>
      <c r="J194" s="22">
        <f>IF('Ambassadors &amp; Creators'!K14="","",'Ambassadors &amp; Creators'!K14)</f>
        <v/>
      </c>
      <c r="K194" s="23">
        <f>IF('Ambassadors &amp; Creators'!L14="","",'Ambassadors &amp; Creators'!L14)</f>
        <v/>
      </c>
      <c r="L194" s="22">
        <f>IF('Ambassadors &amp; Creators'!M14="","",'Ambassadors &amp; Creators'!M14)</f>
        <v/>
      </c>
      <c r="M194" s="23">
        <f>IF('Ambassadors &amp; Creators'!N14="","",'Ambassadors &amp; Creators'!N14)</f>
        <v/>
      </c>
      <c r="N194" s="22">
        <f>IF('Ambassadors &amp; Creators'!O14="","",'Ambassadors &amp; Creators'!O14)</f>
        <v/>
      </c>
      <c r="O194" s="23">
        <f>IF('Ambassadors &amp; Creators'!P14="","",'Ambassadors &amp; Creators'!P14)</f>
        <v/>
      </c>
      <c r="P194" s="23">
        <f>IF('Ambassadors &amp; Creators'!Q14="","",'Ambassadors &amp; Creators'!Q14)</f>
        <v/>
      </c>
      <c r="Q194" s="24">
        <f>IF('Ambassadors &amp; Creators'!R14="","",'Ambassadors &amp; Creators'!R14)</f>
        <v/>
      </c>
      <c r="R194" s="25">
        <f>IF('Ambassadors &amp; Creators'!S14="","",'Ambassadors &amp; Creators'!S14)</f>
        <v/>
      </c>
      <c r="S194" s="22">
        <f>IF('Ambassadors &amp; Creators'!T14="","",'Ambassadors &amp; Creators'!T14)</f>
        <v/>
      </c>
      <c r="T194" s="24">
        <f>IF('Ambassadors &amp; Creators'!U14="","",'Ambassadors &amp; Creators'!U14)</f>
        <v/>
      </c>
      <c r="U194" s="23">
        <f>IF('Ambassadors &amp; Creators'!V14="","",'Ambassadors &amp; Creators'!V14)</f>
        <v/>
      </c>
      <c r="V194" s="24">
        <f>IF('Ambassadors &amp; Creators'!W14="","",'Ambassadors &amp; Creators'!W14)</f>
        <v/>
      </c>
      <c r="W194" s="23">
        <f>IF('Ambassadors &amp; Creators'!X14="","",'Ambassadors &amp; Creators'!X14)</f>
        <v/>
      </c>
      <c r="X194" s="23">
        <f>IF('Ambassadors &amp; Creators'!Y14="","",'Ambassadors &amp; Creators'!Y14)</f>
        <v/>
      </c>
      <c r="Y194" s="26">
        <f>IF('Ambassadors &amp; Creators'!Z14="","",'Ambassadors &amp; Creators'!Z14)</f>
        <v/>
      </c>
      <c r="Z194" s="27">
        <f>IF('Ambassadors &amp; Creators'!AA14="","",'Ambassadors &amp; Creators'!AA14)</f>
        <v/>
      </c>
      <c r="AA194" s="26">
        <f>IF('Ambassadors &amp; Creators'!AB14="","",'Ambassadors &amp; Creators'!AB14)</f>
        <v/>
      </c>
      <c r="AB194" s="22">
        <f>IF('Ambassadors &amp; Creators'!AC14="","",'Ambassadors &amp; Creators'!AC14)</f>
        <v/>
      </c>
      <c r="AC194" s="22">
        <f>IF('Ambassadors &amp; Creators'!AD14="","",'Ambassadors &amp; Creators'!AD14)</f>
        <v/>
      </c>
      <c r="AD194" s="22">
        <f>IF('Ambassadors &amp; Creators'!AE14="","",'Ambassadors &amp; Creators'!AE14)</f>
        <v/>
      </c>
      <c r="AE194" s="22">
        <f>IF('Ambassadors &amp; Creators'!AF14="","",'Ambassadors &amp; Creators'!AF14)</f>
        <v/>
      </c>
      <c r="AF194" s="22">
        <f>IF('Ambassadors &amp; Creators'!AG14="","",'Ambassadors &amp; Creators'!AG14)</f>
        <v/>
      </c>
      <c r="AG194" s="23">
        <f>IF('Ambassadors &amp; Creators'!AH14="","",'Ambassadors &amp; Creators'!AH14)</f>
        <v/>
      </c>
      <c r="AH194" s="23">
        <f>IF('Ambassadors &amp; Creators'!AI14="","",'Ambassadors &amp; Creators'!AI14)</f>
        <v/>
      </c>
      <c r="AI194" s="23">
        <f>IF('Ambassadors &amp; Creators'!AJ14="","",'Ambassadors &amp; Creators'!AJ14)</f>
        <v/>
      </c>
      <c r="AJ194" s="23">
        <f>IF('Ambassadors &amp; Creators'!AK14="","",'Ambassadors &amp; Creators'!AK14)</f>
        <v/>
      </c>
      <c r="AK194" s="22">
        <f>IF('Ambassadors &amp; Creators'!AL14="","",'Ambassadors &amp; Creators'!AL14)</f>
        <v/>
      </c>
      <c r="AL194" s="18">
        <f>IF(V194="","",V194+ROW()/100000)</f>
        <v/>
      </c>
    </row>
    <row r="195" ht="18" customHeight="1">
      <c r="A195" s="16">
        <f>IF('Ambassadors &amp; Creators'!B15="","","Ambassadors &amp; Creators")</f>
        <v/>
      </c>
      <c r="B195" s="16">
        <f>IF('Ambassadors &amp; Creators'!B15="","",'Ambassadors &amp; Creators'!B15)</f>
        <v/>
      </c>
      <c r="C195" s="17">
        <f>IF('Ambassadors &amp; Creators'!D15="","",'Ambassadors &amp; Creators'!D15)</f>
        <v/>
      </c>
      <c r="D195" s="16">
        <f>IF('Ambassadors &amp; Creators'!E15="","",'Ambassadors &amp; Creators'!E15)</f>
        <v/>
      </c>
      <c r="E195" s="17">
        <f>IF('Ambassadors &amp; Creators'!F15="","",'Ambassadors &amp; Creators'!F15)</f>
        <v/>
      </c>
      <c r="F195" s="17">
        <f>IF('Ambassadors &amp; Creators'!G15="","",'Ambassadors &amp; Creators'!G15)</f>
        <v/>
      </c>
      <c r="G195" s="17">
        <f>IF('Ambassadors &amp; Creators'!H15="","",'Ambassadors &amp; Creators'!H15)</f>
        <v/>
      </c>
      <c r="H195" s="16">
        <f>IF('Ambassadors &amp; Creators'!I15="","",'Ambassadors &amp; Creators'!I15)</f>
        <v/>
      </c>
      <c r="I195" s="17">
        <f>IF('Ambassadors &amp; Creators'!J15="","",'Ambassadors &amp; Creators'!J15)</f>
        <v/>
      </c>
      <c r="J195" s="16">
        <f>IF('Ambassadors &amp; Creators'!K15="","",'Ambassadors &amp; Creators'!K15)</f>
        <v/>
      </c>
      <c r="K195" s="17">
        <f>IF('Ambassadors &amp; Creators'!L15="","",'Ambassadors &amp; Creators'!L15)</f>
        <v/>
      </c>
      <c r="L195" s="16">
        <f>IF('Ambassadors &amp; Creators'!M15="","",'Ambassadors &amp; Creators'!M15)</f>
        <v/>
      </c>
      <c r="M195" s="17">
        <f>IF('Ambassadors &amp; Creators'!N15="","",'Ambassadors &amp; Creators'!N15)</f>
        <v/>
      </c>
      <c r="N195" s="16">
        <f>IF('Ambassadors &amp; Creators'!O15="","",'Ambassadors &amp; Creators'!O15)</f>
        <v/>
      </c>
      <c r="O195" s="17">
        <f>IF('Ambassadors &amp; Creators'!P15="","",'Ambassadors &amp; Creators'!P15)</f>
        <v/>
      </c>
      <c r="P195" s="17">
        <f>IF('Ambassadors &amp; Creators'!Q15="","",'Ambassadors &amp; Creators'!Q15)</f>
        <v/>
      </c>
      <c r="Q195" s="15">
        <f>IF('Ambassadors &amp; Creators'!R15="","",'Ambassadors &amp; Creators'!R15)</f>
        <v/>
      </c>
      <c r="R195" s="19">
        <f>IF('Ambassadors &amp; Creators'!S15="","",'Ambassadors &amp; Creators'!S15)</f>
        <v/>
      </c>
      <c r="S195" s="16">
        <f>IF('Ambassadors &amp; Creators'!T15="","",'Ambassadors &amp; Creators'!T15)</f>
        <v/>
      </c>
      <c r="T195" s="15">
        <f>IF('Ambassadors &amp; Creators'!U15="","",'Ambassadors &amp; Creators'!U15)</f>
        <v/>
      </c>
      <c r="U195" s="17">
        <f>IF('Ambassadors &amp; Creators'!V15="","",'Ambassadors &amp; Creators'!V15)</f>
        <v/>
      </c>
      <c r="V195" s="15">
        <f>IF('Ambassadors &amp; Creators'!W15="","",'Ambassadors &amp; Creators'!W15)</f>
        <v/>
      </c>
      <c r="W195" s="17">
        <f>IF('Ambassadors &amp; Creators'!X15="","",'Ambassadors &amp; Creators'!X15)</f>
        <v/>
      </c>
      <c r="X195" s="17">
        <f>IF('Ambassadors &amp; Creators'!Y15="","",'Ambassadors &amp; Creators'!Y15)</f>
        <v/>
      </c>
      <c r="Y195" s="20">
        <f>IF('Ambassadors &amp; Creators'!Z15="","",'Ambassadors &amp; Creators'!Z15)</f>
        <v/>
      </c>
      <c r="Z195" s="21">
        <f>IF('Ambassadors &amp; Creators'!AA15="","",'Ambassadors &amp; Creators'!AA15)</f>
        <v/>
      </c>
      <c r="AA195" s="20">
        <f>IF('Ambassadors &amp; Creators'!AB15="","",'Ambassadors &amp; Creators'!AB15)</f>
        <v/>
      </c>
      <c r="AB195" s="16">
        <f>IF('Ambassadors &amp; Creators'!AC15="","",'Ambassadors &amp; Creators'!AC15)</f>
        <v/>
      </c>
      <c r="AC195" s="16">
        <f>IF('Ambassadors &amp; Creators'!AD15="","",'Ambassadors &amp; Creators'!AD15)</f>
        <v/>
      </c>
      <c r="AD195" s="16">
        <f>IF('Ambassadors &amp; Creators'!AE15="","",'Ambassadors &amp; Creators'!AE15)</f>
        <v/>
      </c>
      <c r="AE195" s="16">
        <f>IF('Ambassadors &amp; Creators'!AF15="","",'Ambassadors &amp; Creators'!AF15)</f>
        <v/>
      </c>
      <c r="AF195" s="16">
        <f>IF('Ambassadors &amp; Creators'!AG15="","",'Ambassadors &amp; Creators'!AG15)</f>
        <v/>
      </c>
      <c r="AG195" s="17">
        <f>IF('Ambassadors &amp; Creators'!AH15="","",'Ambassadors &amp; Creators'!AH15)</f>
        <v/>
      </c>
      <c r="AH195" s="17">
        <f>IF('Ambassadors &amp; Creators'!AI15="","",'Ambassadors &amp; Creators'!AI15)</f>
        <v/>
      </c>
      <c r="AI195" s="17">
        <f>IF('Ambassadors &amp; Creators'!AJ15="","",'Ambassadors &amp; Creators'!AJ15)</f>
        <v/>
      </c>
      <c r="AJ195" s="17">
        <f>IF('Ambassadors &amp; Creators'!AK15="","",'Ambassadors &amp; Creators'!AK15)</f>
        <v/>
      </c>
      <c r="AK195" s="16">
        <f>IF('Ambassadors &amp; Creators'!AL15="","",'Ambassadors &amp; Creators'!AL15)</f>
        <v/>
      </c>
      <c r="AL195" s="18">
        <f>IF(V195="","",V195+ROW()/100000)</f>
        <v/>
      </c>
    </row>
    <row r="196" ht="18" customHeight="1">
      <c r="A196" s="22">
        <f>IF('Ambassadors &amp; Creators'!B16="","","Ambassadors &amp; Creators")</f>
        <v/>
      </c>
      <c r="B196" s="22">
        <f>IF('Ambassadors &amp; Creators'!B16="","",'Ambassadors &amp; Creators'!B16)</f>
        <v/>
      </c>
      <c r="C196" s="23">
        <f>IF('Ambassadors &amp; Creators'!D16="","",'Ambassadors &amp; Creators'!D16)</f>
        <v/>
      </c>
      <c r="D196" s="22">
        <f>IF('Ambassadors &amp; Creators'!E16="","",'Ambassadors &amp; Creators'!E16)</f>
        <v/>
      </c>
      <c r="E196" s="23">
        <f>IF('Ambassadors &amp; Creators'!F16="","",'Ambassadors &amp; Creators'!F16)</f>
        <v/>
      </c>
      <c r="F196" s="23">
        <f>IF('Ambassadors &amp; Creators'!G16="","",'Ambassadors &amp; Creators'!G16)</f>
        <v/>
      </c>
      <c r="G196" s="23">
        <f>IF('Ambassadors &amp; Creators'!H16="","",'Ambassadors &amp; Creators'!H16)</f>
        <v/>
      </c>
      <c r="H196" s="22">
        <f>IF('Ambassadors &amp; Creators'!I16="","",'Ambassadors &amp; Creators'!I16)</f>
        <v/>
      </c>
      <c r="I196" s="23">
        <f>IF('Ambassadors &amp; Creators'!J16="","",'Ambassadors &amp; Creators'!J16)</f>
        <v/>
      </c>
      <c r="J196" s="22">
        <f>IF('Ambassadors &amp; Creators'!K16="","",'Ambassadors &amp; Creators'!K16)</f>
        <v/>
      </c>
      <c r="K196" s="23">
        <f>IF('Ambassadors &amp; Creators'!L16="","",'Ambassadors &amp; Creators'!L16)</f>
        <v/>
      </c>
      <c r="L196" s="22">
        <f>IF('Ambassadors &amp; Creators'!M16="","",'Ambassadors &amp; Creators'!M16)</f>
        <v/>
      </c>
      <c r="M196" s="23">
        <f>IF('Ambassadors &amp; Creators'!N16="","",'Ambassadors &amp; Creators'!N16)</f>
        <v/>
      </c>
      <c r="N196" s="22">
        <f>IF('Ambassadors &amp; Creators'!O16="","",'Ambassadors &amp; Creators'!O16)</f>
        <v/>
      </c>
      <c r="O196" s="23">
        <f>IF('Ambassadors &amp; Creators'!P16="","",'Ambassadors &amp; Creators'!P16)</f>
        <v/>
      </c>
      <c r="P196" s="23">
        <f>IF('Ambassadors &amp; Creators'!Q16="","",'Ambassadors &amp; Creators'!Q16)</f>
        <v/>
      </c>
      <c r="Q196" s="24">
        <f>IF('Ambassadors &amp; Creators'!R16="","",'Ambassadors &amp; Creators'!R16)</f>
        <v/>
      </c>
      <c r="R196" s="25">
        <f>IF('Ambassadors &amp; Creators'!S16="","",'Ambassadors &amp; Creators'!S16)</f>
        <v/>
      </c>
      <c r="S196" s="22">
        <f>IF('Ambassadors &amp; Creators'!T16="","",'Ambassadors &amp; Creators'!T16)</f>
        <v/>
      </c>
      <c r="T196" s="24">
        <f>IF('Ambassadors &amp; Creators'!U16="","",'Ambassadors &amp; Creators'!U16)</f>
        <v/>
      </c>
      <c r="U196" s="23">
        <f>IF('Ambassadors &amp; Creators'!V16="","",'Ambassadors &amp; Creators'!V16)</f>
        <v/>
      </c>
      <c r="V196" s="24">
        <f>IF('Ambassadors &amp; Creators'!W16="","",'Ambassadors &amp; Creators'!W16)</f>
        <v/>
      </c>
      <c r="W196" s="23">
        <f>IF('Ambassadors &amp; Creators'!X16="","",'Ambassadors &amp; Creators'!X16)</f>
        <v/>
      </c>
      <c r="X196" s="23">
        <f>IF('Ambassadors &amp; Creators'!Y16="","",'Ambassadors &amp; Creators'!Y16)</f>
        <v/>
      </c>
      <c r="Y196" s="26">
        <f>IF('Ambassadors &amp; Creators'!Z16="","",'Ambassadors &amp; Creators'!Z16)</f>
        <v/>
      </c>
      <c r="Z196" s="27">
        <f>IF('Ambassadors &amp; Creators'!AA16="","",'Ambassadors &amp; Creators'!AA16)</f>
        <v/>
      </c>
      <c r="AA196" s="26">
        <f>IF('Ambassadors &amp; Creators'!AB16="","",'Ambassadors &amp; Creators'!AB16)</f>
        <v/>
      </c>
      <c r="AB196" s="22">
        <f>IF('Ambassadors &amp; Creators'!AC16="","",'Ambassadors &amp; Creators'!AC16)</f>
        <v/>
      </c>
      <c r="AC196" s="22">
        <f>IF('Ambassadors &amp; Creators'!AD16="","",'Ambassadors &amp; Creators'!AD16)</f>
        <v/>
      </c>
      <c r="AD196" s="22">
        <f>IF('Ambassadors &amp; Creators'!AE16="","",'Ambassadors &amp; Creators'!AE16)</f>
        <v/>
      </c>
      <c r="AE196" s="22">
        <f>IF('Ambassadors &amp; Creators'!AF16="","",'Ambassadors &amp; Creators'!AF16)</f>
        <v/>
      </c>
      <c r="AF196" s="22">
        <f>IF('Ambassadors &amp; Creators'!AG16="","",'Ambassadors &amp; Creators'!AG16)</f>
        <v/>
      </c>
      <c r="AG196" s="23">
        <f>IF('Ambassadors &amp; Creators'!AH16="","",'Ambassadors &amp; Creators'!AH16)</f>
        <v/>
      </c>
      <c r="AH196" s="23">
        <f>IF('Ambassadors &amp; Creators'!AI16="","",'Ambassadors &amp; Creators'!AI16)</f>
        <v/>
      </c>
      <c r="AI196" s="23">
        <f>IF('Ambassadors &amp; Creators'!AJ16="","",'Ambassadors &amp; Creators'!AJ16)</f>
        <v/>
      </c>
      <c r="AJ196" s="23">
        <f>IF('Ambassadors &amp; Creators'!AK16="","",'Ambassadors &amp; Creators'!AK16)</f>
        <v/>
      </c>
      <c r="AK196" s="22">
        <f>IF('Ambassadors &amp; Creators'!AL16="","",'Ambassadors &amp; Creators'!AL16)</f>
        <v/>
      </c>
      <c r="AL196" s="18">
        <f>IF(V196="","",V196+ROW()/100000)</f>
        <v/>
      </c>
    </row>
    <row r="197" ht="18" customHeight="1">
      <c r="A197" s="16">
        <f>IF('Ambassadors &amp; Creators'!B17="","","Ambassadors &amp; Creators")</f>
        <v/>
      </c>
      <c r="B197" s="16">
        <f>IF('Ambassadors &amp; Creators'!B17="","",'Ambassadors &amp; Creators'!B17)</f>
        <v/>
      </c>
      <c r="C197" s="17">
        <f>IF('Ambassadors &amp; Creators'!D17="","",'Ambassadors &amp; Creators'!D17)</f>
        <v/>
      </c>
      <c r="D197" s="16">
        <f>IF('Ambassadors &amp; Creators'!E17="","",'Ambassadors &amp; Creators'!E17)</f>
        <v/>
      </c>
      <c r="E197" s="17">
        <f>IF('Ambassadors &amp; Creators'!F17="","",'Ambassadors &amp; Creators'!F17)</f>
        <v/>
      </c>
      <c r="F197" s="17">
        <f>IF('Ambassadors &amp; Creators'!G17="","",'Ambassadors &amp; Creators'!G17)</f>
        <v/>
      </c>
      <c r="G197" s="17">
        <f>IF('Ambassadors &amp; Creators'!H17="","",'Ambassadors &amp; Creators'!H17)</f>
        <v/>
      </c>
      <c r="H197" s="16">
        <f>IF('Ambassadors &amp; Creators'!I17="","",'Ambassadors &amp; Creators'!I17)</f>
        <v/>
      </c>
      <c r="I197" s="17">
        <f>IF('Ambassadors &amp; Creators'!J17="","",'Ambassadors &amp; Creators'!J17)</f>
        <v/>
      </c>
      <c r="J197" s="16">
        <f>IF('Ambassadors &amp; Creators'!K17="","",'Ambassadors &amp; Creators'!K17)</f>
        <v/>
      </c>
      <c r="K197" s="17">
        <f>IF('Ambassadors &amp; Creators'!L17="","",'Ambassadors &amp; Creators'!L17)</f>
        <v/>
      </c>
      <c r="L197" s="16">
        <f>IF('Ambassadors &amp; Creators'!M17="","",'Ambassadors &amp; Creators'!M17)</f>
        <v/>
      </c>
      <c r="M197" s="17">
        <f>IF('Ambassadors &amp; Creators'!N17="","",'Ambassadors &amp; Creators'!N17)</f>
        <v/>
      </c>
      <c r="N197" s="16">
        <f>IF('Ambassadors &amp; Creators'!O17="","",'Ambassadors &amp; Creators'!O17)</f>
        <v/>
      </c>
      <c r="O197" s="17">
        <f>IF('Ambassadors &amp; Creators'!P17="","",'Ambassadors &amp; Creators'!P17)</f>
        <v/>
      </c>
      <c r="P197" s="17">
        <f>IF('Ambassadors &amp; Creators'!Q17="","",'Ambassadors &amp; Creators'!Q17)</f>
        <v/>
      </c>
      <c r="Q197" s="15">
        <f>IF('Ambassadors &amp; Creators'!R17="","",'Ambassadors &amp; Creators'!R17)</f>
        <v/>
      </c>
      <c r="R197" s="19">
        <f>IF('Ambassadors &amp; Creators'!S17="","",'Ambassadors &amp; Creators'!S17)</f>
        <v/>
      </c>
      <c r="S197" s="16">
        <f>IF('Ambassadors &amp; Creators'!T17="","",'Ambassadors &amp; Creators'!T17)</f>
        <v/>
      </c>
      <c r="T197" s="15">
        <f>IF('Ambassadors &amp; Creators'!U17="","",'Ambassadors &amp; Creators'!U17)</f>
        <v/>
      </c>
      <c r="U197" s="17">
        <f>IF('Ambassadors &amp; Creators'!V17="","",'Ambassadors &amp; Creators'!V17)</f>
        <v/>
      </c>
      <c r="V197" s="15">
        <f>IF('Ambassadors &amp; Creators'!W17="","",'Ambassadors &amp; Creators'!W17)</f>
        <v/>
      </c>
      <c r="W197" s="17">
        <f>IF('Ambassadors &amp; Creators'!X17="","",'Ambassadors &amp; Creators'!X17)</f>
        <v/>
      </c>
      <c r="X197" s="17">
        <f>IF('Ambassadors &amp; Creators'!Y17="","",'Ambassadors &amp; Creators'!Y17)</f>
        <v/>
      </c>
      <c r="Y197" s="20">
        <f>IF('Ambassadors &amp; Creators'!Z17="","",'Ambassadors &amp; Creators'!Z17)</f>
        <v/>
      </c>
      <c r="Z197" s="21">
        <f>IF('Ambassadors &amp; Creators'!AA17="","",'Ambassadors &amp; Creators'!AA17)</f>
        <v/>
      </c>
      <c r="AA197" s="20">
        <f>IF('Ambassadors &amp; Creators'!AB17="","",'Ambassadors &amp; Creators'!AB17)</f>
        <v/>
      </c>
      <c r="AB197" s="16">
        <f>IF('Ambassadors &amp; Creators'!AC17="","",'Ambassadors &amp; Creators'!AC17)</f>
        <v/>
      </c>
      <c r="AC197" s="16">
        <f>IF('Ambassadors &amp; Creators'!AD17="","",'Ambassadors &amp; Creators'!AD17)</f>
        <v/>
      </c>
      <c r="AD197" s="16">
        <f>IF('Ambassadors &amp; Creators'!AE17="","",'Ambassadors &amp; Creators'!AE17)</f>
        <v/>
      </c>
      <c r="AE197" s="16">
        <f>IF('Ambassadors &amp; Creators'!AF17="","",'Ambassadors &amp; Creators'!AF17)</f>
        <v/>
      </c>
      <c r="AF197" s="16">
        <f>IF('Ambassadors &amp; Creators'!AG17="","",'Ambassadors &amp; Creators'!AG17)</f>
        <v/>
      </c>
      <c r="AG197" s="17">
        <f>IF('Ambassadors &amp; Creators'!AH17="","",'Ambassadors &amp; Creators'!AH17)</f>
        <v/>
      </c>
      <c r="AH197" s="17">
        <f>IF('Ambassadors &amp; Creators'!AI17="","",'Ambassadors &amp; Creators'!AI17)</f>
        <v/>
      </c>
      <c r="AI197" s="17">
        <f>IF('Ambassadors &amp; Creators'!AJ17="","",'Ambassadors &amp; Creators'!AJ17)</f>
        <v/>
      </c>
      <c r="AJ197" s="17">
        <f>IF('Ambassadors &amp; Creators'!AK17="","",'Ambassadors &amp; Creators'!AK17)</f>
        <v/>
      </c>
      <c r="AK197" s="16">
        <f>IF('Ambassadors &amp; Creators'!AL17="","",'Ambassadors &amp; Creators'!AL17)</f>
        <v/>
      </c>
      <c r="AL197" s="18">
        <f>IF(V197="","",V197+ROW()/100000)</f>
        <v/>
      </c>
    </row>
    <row r="198" ht="18" customHeight="1">
      <c r="A198" s="22">
        <f>IF('Ambassadors &amp; Creators'!B18="","","Ambassadors &amp; Creators")</f>
        <v/>
      </c>
      <c r="B198" s="22">
        <f>IF('Ambassadors &amp; Creators'!B18="","",'Ambassadors &amp; Creators'!B18)</f>
        <v/>
      </c>
      <c r="C198" s="23">
        <f>IF('Ambassadors &amp; Creators'!D18="","",'Ambassadors &amp; Creators'!D18)</f>
        <v/>
      </c>
      <c r="D198" s="22">
        <f>IF('Ambassadors &amp; Creators'!E18="","",'Ambassadors &amp; Creators'!E18)</f>
        <v/>
      </c>
      <c r="E198" s="23">
        <f>IF('Ambassadors &amp; Creators'!F18="","",'Ambassadors &amp; Creators'!F18)</f>
        <v/>
      </c>
      <c r="F198" s="23">
        <f>IF('Ambassadors &amp; Creators'!G18="","",'Ambassadors &amp; Creators'!G18)</f>
        <v/>
      </c>
      <c r="G198" s="23">
        <f>IF('Ambassadors &amp; Creators'!H18="","",'Ambassadors &amp; Creators'!H18)</f>
        <v/>
      </c>
      <c r="H198" s="22">
        <f>IF('Ambassadors &amp; Creators'!I18="","",'Ambassadors &amp; Creators'!I18)</f>
        <v/>
      </c>
      <c r="I198" s="23">
        <f>IF('Ambassadors &amp; Creators'!J18="","",'Ambassadors &amp; Creators'!J18)</f>
        <v/>
      </c>
      <c r="J198" s="22">
        <f>IF('Ambassadors &amp; Creators'!K18="","",'Ambassadors &amp; Creators'!K18)</f>
        <v/>
      </c>
      <c r="K198" s="23">
        <f>IF('Ambassadors &amp; Creators'!L18="","",'Ambassadors &amp; Creators'!L18)</f>
        <v/>
      </c>
      <c r="L198" s="22">
        <f>IF('Ambassadors &amp; Creators'!M18="","",'Ambassadors &amp; Creators'!M18)</f>
        <v/>
      </c>
      <c r="M198" s="23">
        <f>IF('Ambassadors &amp; Creators'!N18="","",'Ambassadors &amp; Creators'!N18)</f>
        <v/>
      </c>
      <c r="N198" s="22">
        <f>IF('Ambassadors &amp; Creators'!O18="","",'Ambassadors &amp; Creators'!O18)</f>
        <v/>
      </c>
      <c r="O198" s="23">
        <f>IF('Ambassadors &amp; Creators'!P18="","",'Ambassadors &amp; Creators'!P18)</f>
        <v/>
      </c>
      <c r="P198" s="23">
        <f>IF('Ambassadors &amp; Creators'!Q18="","",'Ambassadors &amp; Creators'!Q18)</f>
        <v/>
      </c>
      <c r="Q198" s="24">
        <f>IF('Ambassadors &amp; Creators'!R18="","",'Ambassadors &amp; Creators'!R18)</f>
        <v/>
      </c>
      <c r="R198" s="25">
        <f>IF('Ambassadors &amp; Creators'!S18="","",'Ambassadors &amp; Creators'!S18)</f>
        <v/>
      </c>
      <c r="S198" s="22">
        <f>IF('Ambassadors &amp; Creators'!T18="","",'Ambassadors &amp; Creators'!T18)</f>
        <v/>
      </c>
      <c r="T198" s="24">
        <f>IF('Ambassadors &amp; Creators'!U18="","",'Ambassadors &amp; Creators'!U18)</f>
        <v/>
      </c>
      <c r="U198" s="23">
        <f>IF('Ambassadors &amp; Creators'!V18="","",'Ambassadors &amp; Creators'!V18)</f>
        <v/>
      </c>
      <c r="V198" s="24">
        <f>IF('Ambassadors &amp; Creators'!W18="","",'Ambassadors &amp; Creators'!W18)</f>
        <v/>
      </c>
      <c r="W198" s="23">
        <f>IF('Ambassadors &amp; Creators'!X18="","",'Ambassadors &amp; Creators'!X18)</f>
        <v/>
      </c>
      <c r="X198" s="23">
        <f>IF('Ambassadors &amp; Creators'!Y18="","",'Ambassadors &amp; Creators'!Y18)</f>
        <v/>
      </c>
      <c r="Y198" s="26">
        <f>IF('Ambassadors &amp; Creators'!Z18="","",'Ambassadors &amp; Creators'!Z18)</f>
        <v/>
      </c>
      <c r="Z198" s="27">
        <f>IF('Ambassadors &amp; Creators'!AA18="","",'Ambassadors &amp; Creators'!AA18)</f>
        <v/>
      </c>
      <c r="AA198" s="26">
        <f>IF('Ambassadors &amp; Creators'!AB18="","",'Ambassadors &amp; Creators'!AB18)</f>
        <v/>
      </c>
      <c r="AB198" s="22">
        <f>IF('Ambassadors &amp; Creators'!AC18="","",'Ambassadors &amp; Creators'!AC18)</f>
        <v/>
      </c>
      <c r="AC198" s="22">
        <f>IF('Ambassadors &amp; Creators'!AD18="","",'Ambassadors &amp; Creators'!AD18)</f>
        <v/>
      </c>
      <c r="AD198" s="22">
        <f>IF('Ambassadors &amp; Creators'!AE18="","",'Ambassadors &amp; Creators'!AE18)</f>
        <v/>
      </c>
      <c r="AE198" s="22">
        <f>IF('Ambassadors &amp; Creators'!AF18="","",'Ambassadors &amp; Creators'!AF18)</f>
        <v/>
      </c>
      <c r="AF198" s="22">
        <f>IF('Ambassadors &amp; Creators'!AG18="","",'Ambassadors &amp; Creators'!AG18)</f>
        <v/>
      </c>
      <c r="AG198" s="23">
        <f>IF('Ambassadors &amp; Creators'!AH18="","",'Ambassadors &amp; Creators'!AH18)</f>
        <v/>
      </c>
      <c r="AH198" s="23">
        <f>IF('Ambassadors &amp; Creators'!AI18="","",'Ambassadors &amp; Creators'!AI18)</f>
        <v/>
      </c>
      <c r="AI198" s="23">
        <f>IF('Ambassadors &amp; Creators'!AJ18="","",'Ambassadors &amp; Creators'!AJ18)</f>
        <v/>
      </c>
      <c r="AJ198" s="23">
        <f>IF('Ambassadors &amp; Creators'!AK18="","",'Ambassadors &amp; Creators'!AK18)</f>
        <v/>
      </c>
      <c r="AK198" s="22">
        <f>IF('Ambassadors &amp; Creators'!AL18="","",'Ambassadors &amp; Creators'!AL18)</f>
        <v/>
      </c>
      <c r="AL198" s="18">
        <f>IF(V198="","",V198+ROW()/100000)</f>
        <v/>
      </c>
    </row>
    <row r="199" ht="18" customHeight="1">
      <c r="A199" s="16">
        <f>IF('Ambassadors &amp; Creators'!B19="","","Ambassadors &amp; Creators")</f>
        <v/>
      </c>
      <c r="B199" s="16">
        <f>IF('Ambassadors &amp; Creators'!B19="","",'Ambassadors &amp; Creators'!B19)</f>
        <v/>
      </c>
      <c r="C199" s="17">
        <f>IF('Ambassadors &amp; Creators'!D19="","",'Ambassadors &amp; Creators'!D19)</f>
        <v/>
      </c>
      <c r="D199" s="16">
        <f>IF('Ambassadors &amp; Creators'!E19="","",'Ambassadors &amp; Creators'!E19)</f>
        <v/>
      </c>
      <c r="E199" s="17">
        <f>IF('Ambassadors &amp; Creators'!F19="","",'Ambassadors &amp; Creators'!F19)</f>
        <v/>
      </c>
      <c r="F199" s="17">
        <f>IF('Ambassadors &amp; Creators'!G19="","",'Ambassadors &amp; Creators'!G19)</f>
        <v/>
      </c>
      <c r="G199" s="17">
        <f>IF('Ambassadors &amp; Creators'!H19="","",'Ambassadors &amp; Creators'!H19)</f>
        <v/>
      </c>
      <c r="H199" s="16">
        <f>IF('Ambassadors &amp; Creators'!I19="","",'Ambassadors &amp; Creators'!I19)</f>
        <v/>
      </c>
      <c r="I199" s="17">
        <f>IF('Ambassadors &amp; Creators'!J19="","",'Ambassadors &amp; Creators'!J19)</f>
        <v/>
      </c>
      <c r="J199" s="16">
        <f>IF('Ambassadors &amp; Creators'!K19="","",'Ambassadors &amp; Creators'!K19)</f>
        <v/>
      </c>
      <c r="K199" s="17">
        <f>IF('Ambassadors &amp; Creators'!L19="","",'Ambassadors &amp; Creators'!L19)</f>
        <v/>
      </c>
      <c r="L199" s="16">
        <f>IF('Ambassadors &amp; Creators'!M19="","",'Ambassadors &amp; Creators'!M19)</f>
        <v/>
      </c>
      <c r="M199" s="17">
        <f>IF('Ambassadors &amp; Creators'!N19="","",'Ambassadors &amp; Creators'!N19)</f>
        <v/>
      </c>
      <c r="N199" s="16">
        <f>IF('Ambassadors &amp; Creators'!O19="","",'Ambassadors &amp; Creators'!O19)</f>
        <v/>
      </c>
      <c r="O199" s="17">
        <f>IF('Ambassadors &amp; Creators'!P19="","",'Ambassadors &amp; Creators'!P19)</f>
        <v/>
      </c>
      <c r="P199" s="17">
        <f>IF('Ambassadors &amp; Creators'!Q19="","",'Ambassadors &amp; Creators'!Q19)</f>
        <v/>
      </c>
      <c r="Q199" s="15">
        <f>IF('Ambassadors &amp; Creators'!R19="","",'Ambassadors &amp; Creators'!R19)</f>
        <v/>
      </c>
      <c r="R199" s="19">
        <f>IF('Ambassadors &amp; Creators'!S19="","",'Ambassadors &amp; Creators'!S19)</f>
        <v/>
      </c>
      <c r="S199" s="16">
        <f>IF('Ambassadors &amp; Creators'!T19="","",'Ambassadors &amp; Creators'!T19)</f>
        <v/>
      </c>
      <c r="T199" s="15">
        <f>IF('Ambassadors &amp; Creators'!U19="","",'Ambassadors &amp; Creators'!U19)</f>
        <v/>
      </c>
      <c r="U199" s="17">
        <f>IF('Ambassadors &amp; Creators'!V19="","",'Ambassadors &amp; Creators'!V19)</f>
        <v/>
      </c>
      <c r="V199" s="15">
        <f>IF('Ambassadors &amp; Creators'!W19="","",'Ambassadors &amp; Creators'!W19)</f>
        <v/>
      </c>
      <c r="W199" s="17">
        <f>IF('Ambassadors &amp; Creators'!X19="","",'Ambassadors &amp; Creators'!X19)</f>
        <v/>
      </c>
      <c r="X199" s="17">
        <f>IF('Ambassadors &amp; Creators'!Y19="","",'Ambassadors &amp; Creators'!Y19)</f>
        <v/>
      </c>
      <c r="Y199" s="20">
        <f>IF('Ambassadors &amp; Creators'!Z19="","",'Ambassadors &amp; Creators'!Z19)</f>
        <v/>
      </c>
      <c r="Z199" s="21">
        <f>IF('Ambassadors &amp; Creators'!AA19="","",'Ambassadors &amp; Creators'!AA19)</f>
        <v/>
      </c>
      <c r="AA199" s="20">
        <f>IF('Ambassadors &amp; Creators'!AB19="","",'Ambassadors &amp; Creators'!AB19)</f>
        <v/>
      </c>
      <c r="AB199" s="16">
        <f>IF('Ambassadors &amp; Creators'!AC19="","",'Ambassadors &amp; Creators'!AC19)</f>
        <v/>
      </c>
      <c r="AC199" s="16">
        <f>IF('Ambassadors &amp; Creators'!AD19="","",'Ambassadors &amp; Creators'!AD19)</f>
        <v/>
      </c>
      <c r="AD199" s="16">
        <f>IF('Ambassadors &amp; Creators'!AE19="","",'Ambassadors &amp; Creators'!AE19)</f>
        <v/>
      </c>
      <c r="AE199" s="16">
        <f>IF('Ambassadors &amp; Creators'!AF19="","",'Ambassadors &amp; Creators'!AF19)</f>
        <v/>
      </c>
      <c r="AF199" s="16">
        <f>IF('Ambassadors &amp; Creators'!AG19="","",'Ambassadors &amp; Creators'!AG19)</f>
        <v/>
      </c>
      <c r="AG199" s="17">
        <f>IF('Ambassadors &amp; Creators'!AH19="","",'Ambassadors &amp; Creators'!AH19)</f>
        <v/>
      </c>
      <c r="AH199" s="17">
        <f>IF('Ambassadors &amp; Creators'!AI19="","",'Ambassadors &amp; Creators'!AI19)</f>
        <v/>
      </c>
      <c r="AI199" s="17">
        <f>IF('Ambassadors &amp; Creators'!AJ19="","",'Ambassadors &amp; Creators'!AJ19)</f>
        <v/>
      </c>
      <c r="AJ199" s="17">
        <f>IF('Ambassadors &amp; Creators'!AK19="","",'Ambassadors &amp; Creators'!AK19)</f>
        <v/>
      </c>
      <c r="AK199" s="16">
        <f>IF('Ambassadors &amp; Creators'!AL19="","",'Ambassadors &amp; Creators'!AL19)</f>
        <v/>
      </c>
      <c r="AL199" s="18">
        <f>IF(V199="","",V199+ROW()/100000)</f>
        <v/>
      </c>
    </row>
    <row r="200" ht="18" customHeight="1">
      <c r="A200" s="22">
        <f>IF('Ambassadors &amp; Creators'!B20="","","Ambassadors &amp; Creators")</f>
        <v/>
      </c>
      <c r="B200" s="22">
        <f>IF('Ambassadors &amp; Creators'!B20="","",'Ambassadors &amp; Creators'!B20)</f>
        <v/>
      </c>
      <c r="C200" s="23">
        <f>IF('Ambassadors &amp; Creators'!D20="","",'Ambassadors &amp; Creators'!D20)</f>
        <v/>
      </c>
      <c r="D200" s="22">
        <f>IF('Ambassadors &amp; Creators'!E20="","",'Ambassadors &amp; Creators'!E20)</f>
        <v/>
      </c>
      <c r="E200" s="23">
        <f>IF('Ambassadors &amp; Creators'!F20="","",'Ambassadors &amp; Creators'!F20)</f>
        <v/>
      </c>
      <c r="F200" s="23">
        <f>IF('Ambassadors &amp; Creators'!G20="","",'Ambassadors &amp; Creators'!G20)</f>
        <v/>
      </c>
      <c r="G200" s="23">
        <f>IF('Ambassadors &amp; Creators'!H20="","",'Ambassadors &amp; Creators'!H20)</f>
        <v/>
      </c>
      <c r="H200" s="22">
        <f>IF('Ambassadors &amp; Creators'!I20="","",'Ambassadors &amp; Creators'!I20)</f>
        <v/>
      </c>
      <c r="I200" s="23">
        <f>IF('Ambassadors &amp; Creators'!J20="","",'Ambassadors &amp; Creators'!J20)</f>
        <v/>
      </c>
      <c r="J200" s="22">
        <f>IF('Ambassadors &amp; Creators'!K20="","",'Ambassadors &amp; Creators'!K20)</f>
        <v/>
      </c>
      <c r="K200" s="23">
        <f>IF('Ambassadors &amp; Creators'!L20="","",'Ambassadors &amp; Creators'!L20)</f>
        <v/>
      </c>
      <c r="L200" s="22">
        <f>IF('Ambassadors &amp; Creators'!M20="","",'Ambassadors &amp; Creators'!M20)</f>
        <v/>
      </c>
      <c r="M200" s="23">
        <f>IF('Ambassadors &amp; Creators'!N20="","",'Ambassadors &amp; Creators'!N20)</f>
        <v/>
      </c>
      <c r="N200" s="22">
        <f>IF('Ambassadors &amp; Creators'!O20="","",'Ambassadors &amp; Creators'!O20)</f>
        <v/>
      </c>
      <c r="O200" s="23">
        <f>IF('Ambassadors &amp; Creators'!P20="","",'Ambassadors &amp; Creators'!P20)</f>
        <v/>
      </c>
      <c r="P200" s="23">
        <f>IF('Ambassadors &amp; Creators'!Q20="","",'Ambassadors &amp; Creators'!Q20)</f>
        <v/>
      </c>
      <c r="Q200" s="24">
        <f>IF('Ambassadors &amp; Creators'!R20="","",'Ambassadors &amp; Creators'!R20)</f>
        <v/>
      </c>
      <c r="R200" s="25">
        <f>IF('Ambassadors &amp; Creators'!S20="","",'Ambassadors &amp; Creators'!S20)</f>
        <v/>
      </c>
      <c r="S200" s="22">
        <f>IF('Ambassadors &amp; Creators'!T20="","",'Ambassadors &amp; Creators'!T20)</f>
        <v/>
      </c>
      <c r="T200" s="24">
        <f>IF('Ambassadors &amp; Creators'!U20="","",'Ambassadors &amp; Creators'!U20)</f>
        <v/>
      </c>
      <c r="U200" s="23">
        <f>IF('Ambassadors &amp; Creators'!V20="","",'Ambassadors &amp; Creators'!V20)</f>
        <v/>
      </c>
      <c r="V200" s="24">
        <f>IF('Ambassadors &amp; Creators'!W20="","",'Ambassadors &amp; Creators'!W20)</f>
        <v/>
      </c>
      <c r="W200" s="23">
        <f>IF('Ambassadors &amp; Creators'!X20="","",'Ambassadors &amp; Creators'!X20)</f>
        <v/>
      </c>
      <c r="X200" s="23">
        <f>IF('Ambassadors &amp; Creators'!Y20="","",'Ambassadors &amp; Creators'!Y20)</f>
        <v/>
      </c>
      <c r="Y200" s="26">
        <f>IF('Ambassadors &amp; Creators'!Z20="","",'Ambassadors &amp; Creators'!Z20)</f>
        <v/>
      </c>
      <c r="Z200" s="27">
        <f>IF('Ambassadors &amp; Creators'!AA20="","",'Ambassadors &amp; Creators'!AA20)</f>
        <v/>
      </c>
      <c r="AA200" s="26">
        <f>IF('Ambassadors &amp; Creators'!AB20="","",'Ambassadors &amp; Creators'!AB20)</f>
        <v/>
      </c>
      <c r="AB200" s="22">
        <f>IF('Ambassadors &amp; Creators'!AC20="","",'Ambassadors &amp; Creators'!AC20)</f>
        <v/>
      </c>
      <c r="AC200" s="22">
        <f>IF('Ambassadors &amp; Creators'!AD20="","",'Ambassadors &amp; Creators'!AD20)</f>
        <v/>
      </c>
      <c r="AD200" s="22">
        <f>IF('Ambassadors &amp; Creators'!AE20="","",'Ambassadors &amp; Creators'!AE20)</f>
        <v/>
      </c>
      <c r="AE200" s="22">
        <f>IF('Ambassadors &amp; Creators'!AF20="","",'Ambassadors &amp; Creators'!AF20)</f>
        <v/>
      </c>
      <c r="AF200" s="22">
        <f>IF('Ambassadors &amp; Creators'!AG20="","",'Ambassadors &amp; Creators'!AG20)</f>
        <v/>
      </c>
      <c r="AG200" s="23">
        <f>IF('Ambassadors &amp; Creators'!AH20="","",'Ambassadors &amp; Creators'!AH20)</f>
        <v/>
      </c>
      <c r="AH200" s="23">
        <f>IF('Ambassadors &amp; Creators'!AI20="","",'Ambassadors &amp; Creators'!AI20)</f>
        <v/>
      </c>
      <c r="AI200" s="23">
        <f>IF('Ambassadors &amp; Creators'!AJ20="","",'Ambassadors &amp; Creators'!AJ20)</f>
        <v/>
      </c>
      <c r="AJ200" s="23">
        <f>IF('Ambassadors &amp; Creators'!AK20="","",'Ambassadors &amp; Creators'!AK20)</f>
        <v/>
      </c>
      <c r="AK200" s="22">
        <f>IF('Ambassadors &amp; Creators'!AL20="","",'Ambassadors &amp; Creators'!AL20)</f>
        <v/>
      </c>
      <c r="AL200" s="18">
        <f>IF(V200="","",V200+ROW()/100000)</f>
        <v/>
      </c>
    </row>
    <row r="201" ht="18" customHeight="1">
      <c r="A201" s="16">
        <f>IF('Ambassadors &amp; Creators'!B21="","","Ambassadors &amp; Creators")</f>
        <v/>
      </c>
      <c r="B201" s="16">
        <f>IF('Ambassadors &amp; Creators'!B21="","",'Ambassadors &amp; Creators'!B21)</f>
        <v/>
      </c>
      <c r="C201" s="17">
        <f>IF('Ambassadors &amp; Creators'!D21="","",'Ambassadors &amp; Creators'!D21)</f>
        <v/>
      </c>
      <c r="D201" s="16">
        <f>IF('Ambassadors &amp; Creators'!E21="","",'Ambassadors &amp; Creators'!E21)</f>
        <v/>
      </c>
      <c r="E201" s="17">
        <f>IF('Ambassadors &amp; Creators'!F21="","",'Ambassadors &amp; Creators'!F21)</f>
        <v/>
      </c>
      <c r="F201" s="17">
        <f>IF('Ambassadors &amp; Creators'!G21="","",'Ambassadors &amp; Creators'!G21)</f>
        <v/>
      </c>
      <c r="G201" s="17">
        <f>IF('Ambassadors &amp; Creators'!H21="","",'Ambassadors &amp; Creators'!H21)</f>
        <v/>
      </c>
      <c r="H201" s="16">
        <f>IF('Ambassadors &amp; Creators'!I21="","",'Ambassadors &amp; Creators'!I21)</f>
        <v/>
      </c>
      <c r="I201" s="17">
        <f>IF('Ambassadors &amp; Creators'!J21="","",'Ambassadors &amp; Creators'!J21)</f>
        <v/>
      </c>
      <c r="J201" s="16">
        <f>IF('Ambassadors &amp; Creators'!K21="","",'Ambassadors &amp; Creators'!K21)</f>
        <v/>
      </c>
      <c r="K201" s="17">
        <f>IF('Ambassadors &amp; Creators'!L21="","",'Ambassadors &amp; Creators'!L21)</f>
        <v/>
      </c>
      <c r="L201" s="16">
        <f>IF('Ambassadors &amp; Creators'!M21="","",'Ambassadors &amp; Creators'!M21)</f>
        <v/>
      </c>
      <c r="M201" s="17">
        <f>IF('Ambassadors &amp; Creators'!N21="","",'Ambassadors &amp; Creators'!N21)</f>
        <v/>
      </c>
      <c r="N201" s="16">
        <f>IF('Ambassadors &amp; Creators'!O21="","",'Ambassadors &amp; Creators'!O21)</f>
        <v/>
      </c>
      <c r="O201" s="17">
        <f>IF('Ambassadors &amp; Creators'!P21="","",'Ambassadors &amp; Creators'!P21)</f>
        <v/>
      </c>
      <c r="P201" s="17">
        <f>IF('Ambassadors &amp; Creators'!Q21="","",'Ambassadors &amp; Creators'!Q21)</f>
        <v/>
      </c>
      <c r="Q201" s="15">
        <f>IF('Ambassadors &amp; Creators'!R21="","",'Ambassadors &amp; Creators'!R21)</f>
        <v/>
      </c>
      <c r="R201" s="19">
        <f>IF('Ambassadors &amp; Creators'!S21="","",'Ambassadors &amp; Creators'!S21)</f>
        <v/>
      </c>
      <c r="S201" s="16">
        <f>IF('Ambassadors &amp; Creators'!T21="","",'Ambassadors &amp; Creators'!T21)</f>
        <v/>
      </c>
      <c r="T201" s="15">
        <f>IF('Ambassadors &amp; Creators'!U21="","",'Ambassadors &amp; Creators'!U21)</f>
        <v/>
      </c>
      <c r="U201" s="17">
        <f>IF('Ambassadors &amp; Creators'!V21="","",'Ambassadors &amp; Creators'!V21)</f>
        <v/>
      </c>
      <c r="V201" s="15">
        <f>IF('Ambassadors &amp; Creators'!W21="","",'Ambassadors &amp; Creators'!W21)</f>
        <v/>
      </c>
      <c r="W201" s="17">
        <f>IF('Ambassadors &amp; Creators'!X21="","",'Ambassadors &amp; Creators'!X21)</f>
        <v/>
      </c>
      <c r="X201" s="17">
        <f>IF('Ambassadors &amp; Creators'!Y21="","",'Ambassadors &amp; Creators'!Y21)</f>
        <v/>
      </c>
      <c r="Y201" s="20">
        <f>IF('Ambassadors &amp; Creators'!Z21="","",'Ambassadors &amp; Creators'!Z21)</f>
        <v/>
      </c>
      <c r="Z201" s="21">
        <f>IF('Ambassadors &amp; Creators'!AA21="","",'Ambassadors &amp; Creators'!AA21)</f>
        <v/>
      </c>
      <c r="AA201" s="20">
        <f>IF('Ambassadors &amp; Creators'!AB21="","",'Ambassadors &amp; Creators'!AB21)</f>
        <v/>
      </c>
      <c r="AB201" s="16">
        <f>IF('Ambassadors &amp; Creators'!AC21="","",'Ambassadors &amp; Creators'!AC21)</f>
        <v/>
      </c>
      <c r="AC201" s="16">
        <f>IF('Ambassadors &amp; Creators'!AD21="","",'Ambassadors &amp; Creators'!AD21)</f>
        <v/>
      </c>
      <c r="AD201" s="16">
        <f>IF('Ambassadors &amp; Creators'!AE21="","",'Ambassadors &amp; Creators'!AE21)</f>
        <v/>
      </c>
      <c r="AE201" s="16">
        <f>IF('Ambassadors &amp; Creators'!AF21="","",'Ambassadors &amp; Creators'!AF21)</f>
        <v/>
      </c>
      <c r="AF201" s="16">
        <f>IF('Ambassadors &amp; Creators'!AG21="","",'Ambassadors &amp; Creators'!AG21)</f>
        <v/>
      </c>
      <c r="AG201" s="17">
        <f>IF('Ambassadors &amp; Creators'!AH21="","",'Ambassadors &amp; Creators'!AH21)</f>
        <v/>
      </c>
      <c r="AH201" s="17">
        <f>IF('Ambassadors &amp; Creators'!AI21="","",'Ambassadors &amp; Creators'!AI21)</f>
        <v/>
      </c>
      <c r="AI201" s="17">
        <f>IF('Ambassadors &amp; Creators'!AJ21="","",'Ambassadors &amp; Creators'!AJ21)</f>
        <v/>
      </c>
      <c r="AJ201" s="17">
        <f>IF('Ambassadors &amp; Creators'!AK21="","",'Ambassadors &amp; Creators'!AK21)</f>
        <v/>
      </c>
      <c r="AK201" s="16">
        <f>IF('Ambassadors &amp; Creators'!AL21="","",'Ambassadors &amp; Creators'!AL21)</f>
        <v/>
      </c>
      <c r="AL201" s="18">
        <f>IF(V201="","",V201+ROW()/100000)</f>
        <v/>
      </c>
    </row>
    <row r="202" ht="18" customHeight="1">
      <c r="A202" s="22">
        <f>IF('Ambassadors &amp; Creators'!B22="","","Ambassadors &amp; Creators")</f>
        <v/>
      </c>
      <c r="B202" s="22">
        <f>IF('Ambassadors &amp; Creators'!B22="","",'Ambassadors &amp; Creators'!B22)</f>
        <v/>
      </c>
      <c r="C202" s="23">
        <f>IF('Ambassadors &amp; Creators'!D22="","",'Ambassadors &amp; Creators'!D22)</f>
        <v/>
      </c>
      <c r="D202" s="22">
        <f>IF('Ambassadors &amp; Creators'!E22="","",'Ambassadors &amp; Creators'!E22)</f>
        <v/>
      </c>
      <c r="E202" s="23">
        <f>IF('Ambassadors &amp; Creators'!F22="","",'Ambassadors &amp; Creators'!F22)</f>
        <v/>
      </c>
      <c r="F202" s="23">
        <f>IF('Ambassadors &amp; Creators'!G22="","",'Ambassadors &amp; Creators'!G22)</f>
        <v/>
      </c>
      <c r="G202" s="23">
        <f>IF('Ambassadors &amp; Creators'!H22="","",'Ambassadors &amp; Creators'!H22)</f>
        <v/>
      </c>
      <c r="H202" s="22">
        <f>IF('Ambassadors &amp; Creators'!I22="","",'Ambassadors &amp; Creators'!I22)</f>
        <v/>
      </c>
      <c r="I202" s="23">
        <f>IF('Ambassadors &amp; Creators'!J22="","",'Ambassadors &amp; Creators'!J22)</f>
        <v/>
      </c>
      <c r="J202" s="22">
        <f>IF('Ambassadors &amp; Creators'!K22="","",'Ambassadors &amp; Creators'!K22)</f>
        <v/>
      </c>
      <c r="K202" s="23">
        <f>IF('Ambassadors &amp; Creators'!L22="","",'Ambassadors &amp; Creators'!L22)</f>
        <v/>
      </c>
      <c r="L202" s="22">
        <f>IF('Ambassadors &amp; Creators'!M22="","",'Ambassadors &amp; Creators'!M22)</f>
        <v/>
      </c>
      <c r="M202" s="23">
        <f>IF('Ambassadors &amp; Creators'!N22="","",'Ambassadors &amp; Creators'!N22)</f>
        <v/>
      </c>
      <c r="N202" s="22">
        <f>IF('Ambassadors &amp; Creators'!O22="","",'Ambassadors &amp; Creators'!O22)</f>
        <v/>
      </c>
      <c r="O202" s="23">
        <f>IF('Ambassadors &amp; Creators'!P22="","",'Ambassadors &amp; Creators'!P22)</f>
        <v/>
      </c>
      <c r="P202" s="23">
        <f>IF('Ambassadors &amp; Creators'!Q22="","",'Ambassadors &amp; Creators'!Q22)</f>
        <v/>
      </c>
      <c r="Q202" s="24">
        <f>IF('Ambassadors &amp; Creators'!R22="","",'Ambassadors &amp; Creators'!R22)</f>
        <v/>
      </c>
      <c r="R202" s="25">
        <f>IF('Ambassadors &amp; Creators'!S22="","",'Ambassadors &amp; Creators'!S22)</f>
        <v/>
      </c>
      <c r="S202" s="22">
        <f>IF('Ambassadors &amp; Creators'!T22="","",'Ambassadors &amp; Creators'!T22)</f>
        <v/>
      </c>
      <c r="T202" s="24">
        <f>IF('Ambassadors &amp; Creators'!U22="","",'Ambassadors &amp; Creators'!U22)</f>
        <v/>
      </c>
      <c r="U202" s="23">
        <f>IF('Ambassadors &amp; Creators'!V22="","",'Ambassadors &amp; Creators'!V22)</f>
        <v/>
      </c>
      <c r="V202" s="24">
        <f>IF('Ambassadors &amp; Creators'!W22="","",'Ambassadors &amp; Creators'!W22)</f>
        <v/>
      </c>
      <c r="W202" s="23">
        <f>IF('Ambassadors &amp; Creators'!X22="","",'Ambassadors &amp; Creators'!X22)</f>
        <v/>
      </c>
      <c r="X202" s="23">
        <f>IF('Ambassadors &amp; Creators'!Y22="","",'Ambassadors &amp; Creators'!Y22)</f>
        <v/>
      </c>
      <c r="Y202" s="26">
        <f>IF('Ambassadors &amp; Creators'!Z22="","",'Ambassadors &amp; Creators'!Z22)</f>
        <v/>
      </c>
      <c r="Z202" s="27">
        <f>IF('Ambassadors &amp; Creators'!AA22="","",'Ambassadors &amp; Creators'!AA22)</f>
        <v/>
      </c>
      <c r="AA202" s="26">
        <f>IF('Ambassadors &amp; Creators'!AB22="","",'Ambassadors &amp; Creators'!AB22)</f>
        <v/>
      </c>
      <c r="AB202" s="22">
        <f>IF('Ambassadors &amp; Creators'!AC22="","",'Ambassadors &amp; Creators'!AC22)</f>
        <v/>
      </c>
      <c r="AC202" s="22">
        <f>IF('Ambassadors &amp; Creators'!AD22="","",'Ambassadors &amp; Creators'!AD22)</f>
        <v/>
      </c>
      <c r="AD202" s="22">
        <f>IF('Ambassadors &amp; Creators'!AE22="","",'Ambassadors &amp; Creators'!AE22)</f>
        <v/>
      </c>
      <c r="AE202" s="22">
        <f>IF('Ambassadors &amp; Creators'!AF22="","",'Ambassadors &amp; Creators'!AF22)</f>
        <v/>
      </c>
      <c r="AF202" s="22">
        <f>IF('Ambassadors &amp; Creators'!AG22="","",'Ambassadors &amp; Creators'!AG22)</f>
        <v/>
      </c>
      <c r="AG202" s="23">
        <f>IF('Ambassadors &amp; Creators'!AH22="","",'Ambassadors &amp; Creators'!AH22)</f>
        <v/>
      </c>
      <c r="AH202" s="23">
        <f>IF('Ambassadors &amp; Creators'!AI22="","",'Ambassadors &amp; Creators'!AI22)</f>
        <v/>
      </c>
      <c r="AI202" s="23">
        <f>IF('Ambassadors &amp; Creators'!AJ22="","",'Ambassadors &amp; Creators'!AJ22)</f>
        <v/>
      </c>
      <c r="AJ202" s="23">
        <f>IF('Ambassadors &amp; Creators'!AK22="","",'Ambassadors &amp; Creators'!AK22)</f>
        <v/>
      </c>
      <c r="AK202" s="22">
        <f>IF('Ambassadors &amp; Creators'!AL22="","",'Ambassadors &amp; Creators'!AL22)</f>
        <v/>
      </c>
      <c r="AL202" s="18">
        <f>IF(V202="","",V202+ROW()/100000)</f>
        <v/>
      </c>
    </row>
    <row r="203" ht="18" customHeight="1">
      <c r="A203" s="16">
        <f>IF('Ambassadors &amp; Creators'!B23="","","Ambassadors &amp; Creators")</f>
        <v/>
      </c>
      <c r="B203" s="16">
        <f>IF('Ambassadors &amp; Creators'!B23="","",'Ambassadors &amp; Creators'!B23)</f>
        <v/>
      </c>
      <c r="C203" s="17">
        <f>IF('Ambassadors &amp; Creators'!D23="","",'Ambassadors &amp; Creators'!D23)</f>
        <v/>
      </c>
      <c r="D203" s="16">
        <f>IF('Ambassadors &amp; Creators'!E23="","",'Ambassadors &amp; Creators'!E23)</f>
        <v/>
      </c>
      <c r="E203" s="17">
        <f>IF('Ambassadors &amp; Creators'!F23="","",'Ambassadors &amp; Creators'!F23)</f>
        <v/>
      </c>
      <c r="F203" s="17">
        <f>IF('Ambassadors &amp; Creators'!G23="","",'Ambassadors &amp; Creators'!G23)</f>
        <v/>
      </c>
      <c r="G203" s="17">
        <f>IF('Ambassadors &amp; Creators'!H23="","",'Ambassadors &amp; Creators'!H23)</f>
        <v/>
      </c>
      <c r="H203" s="16">
        <f>IF('Ambassadors &amp; Creators'!I23="","",'Ambassadors &amp; Creators'!I23)</f>
        <v/>
      </c>
      <c r="I203" s="17">
        <f>IF('Ambassadors &amp; Creators'!J23="","",'Ambassadors &amp; Creators'!J23)</f>
        <v/>
      </c>
      <c r="J203" s="16">
        <f>IF('Ambassadors &amp; Creators'!K23="","",'Ambassadors &amp; Creators'!K23)</f>
        <v/>
      </c>
      <c r="K203" s="17">
        <f>IF('Ambassadors &amp; Creators'!L23="","",'Ambassadors &amp; Creators'!L23)</f>
        <v/>
      </c>
      <c r="L203" s="16">
        <f>IF('Ambassadors &amp; Creators'!M23="","",'Ambassadors &amp; Creators'!M23)</f>
        <v/>
      </c>
      <c r="M203" s="17">
        <f>IF('Ambassadors &amp; Creators'!N23="","",'Ambassadors &amp; Creators'!N23)</f>
        <v/>
      </c>
      <c r="N203" s="16">
        <f>IF('Ambassadors &amp; Creators'!O23="","",'Ambassadors &amp; Creators'!O23)</f>
        <v/>
      </c>
      <c r="O203" s="17">
        <f>IF('Ambassadors &amp; Creators'!P23="","",'Ambassadors &amp; Creators'!P23)</f>
        <v/>
      </c>
      <c r="P203" s="17">
        <f>IF('Ambassadors &amp; Creators'!Q23="","",'Ambassadors &amp; Creators'!Q23)</f>
        <v/>
      </c>
      <c r="Q203" s="15">
        <f>IF('Ambassadors &amp; Creators'!R23="","",'Ambassadors &amp; Creators'!R23)</f>
        <v/>
      </c>
      <c r="R203" s="19">
        <f>IF('Ambassadors &amp; Creators'!S23="","",'Ambassadors &amp; Creators'!S23)</f>
        <v/>
      </c>
      <c r="S203" s="16">
        <f>IF('Ambassadors &amp; Creators'!T23="","",'Ambassadors &amp; Creators'!T23)</f>
        <v/>
      </c>
      <c r="T203" s="15">
        <f>IF('Ambassadors &amp; Creators'!U23="","",'Ambassadors &amp; Creators'!U23)</f>
        <v/>
      </c>
      <c r="U203" s="17">
        <f>IF('Ambassadors &amp; Creators'!V23="","",'Ambassadors &amp; Creators'!V23)</f>
        <v/>
      </c>
      <c r="V203" s="15">
        <f>IF('Ambassadors &amp; Creators'!W23="","",'Ambassadors &amp; Creators'!W23)</f>
        <v/>
      </c>
      <c r="W203" s="17">
        <f>IF('Ambassadors &amp; Creators'!X23="","",'Ambassadors &amp; Creators'!X23)</f>
        <v/>
      </c>
      <c r="X203" s="17">
        <f>IF('Ambassadors &amp; Creators'!Y23="","",'Ambassadors &amp; Creators'!Y23)</f>
        <v/>
      </c>
      <c r="Y203" s="20">
        <f>IF('Ambassadors &amp; Creators'!Z23="","",'Ambassadors &amp; Creators'!Z23)</f>
        <v/>
      </c>
      <c r="Z203" s="21">
        <f>IF('Ambassadors &amp; Creators'!AA23="","",'Ambassadors &amp; Creators'!AA23)</f>
        <v/>
      </c>
      <c r="AA203" s="20">
        <f>IF('Ambassadors &amp; Creators'!AB23="","",'Ambassadors &amp; Creators'!AB23)</f>
        <v/>
      </c>
      <c r="AB203" s="16">
        <f>IF('Ambassadors &amp; Creators'!AC23="","",'Ambassadors &amp; Creators'!AC23)</f>
        <v/>
      </c>
      <c r="AC203" s="16">
        <f>IF('Ambassadors &amp; Creators'!AD23="","",'Ambassadors &amp; Creators'!AD23)</f>
        <v/>
      </c>
      <c r="AD203" s="16">
        <f>IF('Ambassadors &amp; Creators'!AE23="","",'Ambassadors &amp; Creators'!AE23)</f>
        <v/>
      </c>
      <c r="AE203" s="16">
        <f>IF('Ambassadors &amp; Creators'!AF23="","",'Ambassadors &amp; Creators'!AF23)</f>
        <v/>
      </c>
      <c r="AF203" s="16">
        <f>IF('Ambassadors &amp; Creators'!AG23="","",'Ambassadors &amp; Creators'!AG23)</f>
        <v/>
      </c>
      <c r="AG203" s="17">
        <f>IF('Ambassadors &amp; Creators'!AH23="","",'Ambassadors &amp; Creators'!AH23)</f>
        <v/>
      </c>
      <c r="AH203" s="17">
        <f>IF('Ambassadors &amp; Creators'!AI23="","",'Ambassadors &amp; Creators'!AI23)</f>
        <v/>
      </c>
      <c r="AI203" s="17">
        <f>IF('Ambassadors &amp; Creators'!AJ23="","",'Ambassadors &amp; Creators'!AJ23)</f>
        <v/>
      </c>
      <c r="AJ203" s="17">
        <f>IF('Ambassadors &amp; Creators'!AK23="","",'Ambassadors &amp; Creators'!AK23)</f>
        <v/>
      </c>
      <c r="AK203" s="16">
        <f>IF('Ambassadors &amp; Creators'!AL23="","",'Ambassadors &amp; Creators'!AL23)</f>
        <v/>
      </c>
      <c r="AL203" s="18">
        <f>IF(V203="","",V203+ROW()/100000)</f>
        <v/>
      </c>
    </row>
    <row r="204" ht="18" customHeight="1">
      <c r="A204" s="22">
        <f>IF('Ambassadors &amp; Creators'!B24="","","Ambassadors &amp; Creators")</f>
        <v/>
      </c>
      <c r="B204" s="22">
        <f>IF('Ambassadors &amp; Creators'!B24="","",'Ambassadors &amp; Creators'!B24)</f>
        <v/>
      </c>
      <c r="C204" s="23">
        <f>IF('Ambassadors &amp; Creators'!D24="","",'Ambassadors &amp; Creators'!D24)</f>
        <v/>
      </c>
      <c r="D204" s="22">
        <f>IF('Ambassadors &amp; Creators'!E24="","",'Ambassadors &amp; Creators'!E24)</f>
        <v/>
      </c>
      <c r="E204" s="23">
        <f>IF('Ambassadors &amp; Creators'!F24="","",'Ambassadors &amp; Creators'!F24)</f>
        <v/>
      </c>
      <c r="F204" s="23">
        <f>IF('Ambassadors &amp; Creators'!G24="","",'Ambassadors &amp; Creators'!G24)</f>
        <v/>
      </c>
      <c r="G204" s="23">
        <f>IF('Ambassadors &amp; Creators'!H24="","",'Ambassadors &amp; Creators'!H24)</f>
        <v/>
      </c>
      <c r="H204" s="22">
        <f>IF('Ambassadors &amp; Creators'!I24="","",'Ambassadors &amp; Creators'!I24)</f>
        <v/>
      </c>
      <c r="I204" s="23">
        <f>IF('Ambassadors &amp; Creators'!J24="","",'Ambassadors &amp; Creators'!J24)</f>
        <v/>
      </c>
      <c r="J204" s="22">
        <f>IF('Ambassadors &amp; Creators'!K24="","",'Ambassadors &amp; Creators'!K24)</f>
        <v/>
      </c>
      <c r="K204" s="23">
        <f>IF('Ambassadors &amp; Creators'!L24="","",'Ambassadors &amp; Creators'!L24)</f>
        <v/>
      </c>
      <c r="L204" s="22">
        <f>IF('Ambassadors &amp; Creators'!M24="","",'Ambassadors &amp; Creators'!M24)</f>
        <v/>
      </c>
      <c r="M204" s="23">
        <f>IF('Ambassadors &amp; Creators'!N24="","",'Ambassadors &amp; Creators'!N24)</f>
        <v/>
      </c>
      <c r="N204" s="22">
        <f>IF('Ambassadors &amp; Creators'!O24="","",'Ambassadors &amp; Creators'!O24)</f>
        <v/>
      </c>
      <c r="O204" s="23">
        <f>IF('Ambassadors &amp; Creators'!P24="","",'Ambassadors &amp; Creators'!P24)</f>
        <v/>
      </c>
      <c r="P204" s="23">
        <f>IF('Ambassadors &amp; Creators'!Q24="","",'Ambassadors &amp; Creators'!Q24)</f>
        <v/>
      </c>
      <c r="Q204" s="24">
        <f>IF('Ambassadors &amp; Creators'!R24="","",'Ambassadors &amp; Creators'!R24)</f>
        <v/>
      </c>
      <c r="R204" s="25">
        <f>IF('Ambassadors &amp; Creators'!S24="","",'Ambassadors &amp; Creators'!S24)</f>
        <v/>
      </c>
      <c r="S204" s="22">
        <f>IF('Ambassadors &amp; Creators'!T24="","",'Ambassadors &amp; Creators'!T24)</f>
        <v/>
      </c>
      <c r="T204" s="24">
        <f>IF('Ambassadors &amp; Creators'!U24="","",'Ambassadors &amp; Creators'!U24)</f>
        <v/>
      </c>
      <c r="U204" s="23">
        <f>IF('Ambassadors &amp; Creators'!V24="","",'Ambassadors &amp; Creators'!V24)</f>
        <v/>
      </c>
      <c r="V204" s="24">
        <f>IF('Ambassadors &amp; Creators'!W24="","",'Ambassadors &amp; Creators'!W24)</f>
        <v/>
      </c>
      <c r="W204" s="23">
        <f>IF('Ambassadors &amp; Creators'!X24="","",'Ambassadors &amp; Creators'!X24)</f>
        <v/>
      </c>
      <c r="X204" s="23">
        <f>IF('Ambassadors &amp; Creators'!Y24="","",'Ambassadors &amp; Creators'!Y24)</f>
        <v/>
      </c>
      <c r="Y204" s="26">
        <f>IF('Ambassadors &amp; Creators'!Z24="","",'Ambassadors &amp; Creators'!Z24)</f>
        <v/>
      </c>
      <c r="Z204" s="27">
        <f>IF('Ambassadors &amp; Creators'!AA24="","",'Ambassadors &amp; Creators'!AA24)</f>
        <v/>
      </c>
      <c r="AA204" s="26">
        <f>IF('Ambassadors &amp; Creators'!AB24="","",'Ambassadors &amp; Creators'!AB24)</f>
        <v/>
      </c>
      <c r="AB204" s="22">
        <f>IF('Ambassadors &amp; Creators'!AC24="","",'Ambassadors &amp; Creators'!AC24)</f>
        <v/>
      </c>
      <c r="AC204" s="22">
        <f>IF('Ambassadors &amp; Creators'!AD24="","",'Ambassadors &amp; Creators'!AD24)</f>
        <v/>
      </c>
      <c r="AD204" s="22">
        <f>IF('Ambassadors &amp; Creators'!AE24="","",'Ambassadors &amp; Creators'!AE24)</f>
        <v/>
      </c>
      <c r="AE204" s="22">
        <f>IF('Ambassadors &amp; Creators'!AF24="","",'Ambassadors &amp; Creators'!AF24)</f>
        <v/>
      </c>
      <c r="AF204" s="22">
        <f>IF('Ambassadors &amp; Creators'!AG24="","",'Ambassadors &amp; Creators'!AG24)</f>
        <v/>
      </c>
      <c r="AG204" s="23">
        <f>IF('Ambassadors &amp; Creators'!AH24="","",'Ambassadors &amp; Creators'!AH24)</f>
        <v/>
      </c>
      <c r="AH204" s="23">
        <f>IF('Ambassadors &amp; Creators'!AI24="","",'Ambassadors &amp; Creators'!AI24)</f>
        <v/>
      </c>
      <c r="AI204" s="23">
        <f>IF('Ambassadors &amp; Creators'!AJ24="","",'Ambassadors &amp; Creators'!AJ24)</f>
        <v/>
      </c>
      <c r="AJ204" s="23">
        <f>IF('Ambassadors &amp; Creators'!AK24="","",'Ambassadors &amp; Creators'!AK24)</f>
        <v/>
      </c>
      <c r="AK204" s="22">
        <f>IF('Ambassadors &amp; Creators'!AL24="","",'Ambassadors &amp; Creators'!AL24)</f>
        <v/>
      </c>
      <c r="AL204" s="18">
        <f>IF(V204="","",V204+ROW()/100000)</f>
        <v/>
      </c>
    </row>
    <row r="205" ht="18" customHeight="1">
      <c r="A205" s="16">
        <f>IF('Ambassadors &amp; Creators'!B25="","","Ambassadors &amp; Creators")</f>
        <v/>
      </c>
      <c r="B205" s="16">
        <f>IF('Ambassadors &amp; Creators'!B25="","",'Ambassadors &amp; Creators'!B25)</f>
        <v/>
      </c>
      <c r="C205" s="17">
        <f>IF('Ambassadors &amp; Creators'!D25="","",'Ambassadors &amp; Creators'!D25)</f>
        <v/>
      </c>
      <c r="D205" s="16">
        <f>IF('Ambassadors &amp; Creators'!E25="","",'Ambassadors &amp; Creators'!E25)</f>
        <v/>
      </c>
      <c r="E205" s="17">
        <f>IF('Ambassadors &amp; Creators'!F25="","",'Ambassadors &amp; Creators'!F25)</f>
        <v/>
      </c>
      <c r="F205" s="17">
        <f>IF('Ambassadors &amp; Creators'!G25="","",'Ambassadors &amp; Creators'!G25)</f>
        <v/>
      </c>
      <c r="G205" s="17">
        <f>IF('Ambassadors &amp; Creators'!H25="","",'Ambassadors &amp; Creators'!H25)</f>
        <v/>
      </c>
      <c r="H205" s="16">
        <f>IF('Ambassadors &amp; Creators'!I25="","",'Ambassadors &amp; Creators'!I25)</f>
        <v/>
      </c>
      <c r="I205" s="17">
        <f>IF('Ambassadors &amp; Creators'!J25="","",'Ambassadors &amp; Creators'!J25)</f>
        <v/>
      </c>
      <c r="J205" s="16">
        <f>IF('Ambassadors &amp; Creators'!K25="","",'Ambassadors &amp; Creators'!K25)</f>
        <v/>
      </c>
      <c r="K205" s="17">
        <f>IF('Ambassadors &amp; Creators'!L25="","",'Ambassadors &amp; Creators'!L25)</f>
        <v/>
      </c>
      <c r="L205" s="16">
        <f>IF('Ambassadors &amp; Creators'!M25="","",'Ambassadors &amp; Creators'!M25)</f>
        <v/>
      </c>
      <c r="M205" s="17">
        <f>IF('Ambassadors &amp; Creators'!N25="","",'Ambassadors &amp; Creators'!N25)</f>
        <v/>
      </c>
      <c r="N205" s="16">
        <f>IF('Ambassadors &amp; Creators'!O25="","",'Ambassadors &amp; Creators'!O25)</f>
        <v/>
      </c>
      <c r="O205" s="17">
        <f>IF('Ambassadors &amp; Creators'!P25="","",'Ambassadors &amp; Creators'!P25)</f>
        <v/>
      </c>
      <c r="P205" s="17">
        <f>IF('Ambassadors &amp; Creators'!Q25="","",'Ambassadors &amp; Creators'!Q25)</f>
        <v/>
      </c>
      <c r="Q205" s="15">
        <f>IF('Ambassadors &amp; Creators'!R25="","",'Ambassadors &amp; Creators'!R25)</f>
        <v/>
      </c>
      <c r="R205" s="19">
        <f>IF('Ambassadors &amp; Creators'!S25="","",'Ambassadors &amp; Creators'!S25)</f>
        <v/>
      </c>
      <c r="S205" s="16">
        <f>IF('Ambassadors &amp; Creators'!T25="","",'Ambassadors &amp; Creators'!T25)</f>
        <v/>
      </c>
      <c r="T205" s="15">
        <f>IF('Ambassadors &amp; Creators'!U25="","",'Ambassadors &amp; Creators'!U25)</f>
        <v/>
      </c>
      <c r="U205" s="17">
        <f>IF('Ambassadors &amp; Creators'!V25="","",'Ambassadors &amp; Creators'!V25)</f>
        <v/>
      </c>
      <c r="V205" s="15">
        <f>IF('Ambassadors &amp; Creators'!W25="","",'Ambassadors &amp; Creators'!W25)</f>
        <v/>
      </c>
      <c r="W205" s="17">
        <f>IF('Ambassadors &amp; Creators'!X25="","",'Ambassadors &amp; Creators'!X25)</f>
        <v/>
      </c>
      <c r="X205" s="17">
        <f>IF('Ambassadors &amp; Creators'!Y25="","",'Ambassadors &amp; Creators'!Y25)</f>
        <v/>
      </c>
      <c r="Y205" s="20">
        <f>IF('Ambassadors &amp; Creators'!Z25="","",'Ambassadors &amp; Creators'!Z25)</f>
        <v/>
      </c>
      <c r="Z205" s="21">
        <f>IF('Ambassadors &amp; Creators'!AA25="","",'Ambassadors &amp; Creators'!AA25)</f>
        <v/>
      </c>
      <c r="AA205" s="20">
        <f>IF('Ambassadors &amp; Creators'!AB25="","",'Ambassadors &amp; Creators'!AB25)</f>
        <v/>
      </c>
      <c r="AB205" s="16">
        <f>IF('Ambassadors &amp; Creators'!AC25="","",'Ambassadors &amp; Creators'!AC25)</f>
        <v/>
      </c>
      <c r="AC205" s="16">
        <f>IF('Ambassadors &amp; Creators'!AD25="","",'Ambassadors &amp; Creators'!AD25)</f>
        <v/>
      </c>
      <c r="AD205" s="16">
        <f>IF('Ambassadors &amp; Creators'!AE25="","",'Ambassadors &amp; Creators'!AE25)</f>
        <v/>
      </c>
      <c r="AE205" s="16">
        <f>IF('Ambassadors &amp; Creators'!AF25="","",'Ambassadors &amp; Creators'!AF25)</f>
        <v/>
      </c>
      <c r="AF205" s="16">
        <f>IF('Ambassadors &amp; Creators'!AG25="","",'Ambassadors &amp; Creators'!AG25)</f>
        <v/>
      </c>
      <c r="AG205" s="17">
        <f>IF('Ambassadors &amp; Creators'!AH25="","",'Ambassadors &amp; Creators'!AH25)</f>
        <v/>
      </c>
      <c r="AH205" s="17">
        <f>IF('Ambassadors &amp; Creators'!AI25="","",'Ambassadors &amp; Creators'!AI25)</f>
        <v/>
      </c>
      <c r="AI205" s="17">
        <f>IF('Ambassadors &amp; Creators'!AJ25="","",'Ambassadors &amp; Creators'!AJ25)</f>
        <v/>
      </c>
      <c r="AJ205" s="17">
        <f>IF('Ambassadors &amp; Creators'!AK25="","",'Ambassadors &amp; Creators'!AK25)</f>
        <v/>
      </c>
      <c r="AK205" s="16">
        <f>IF('Ambassadors &amp; Creators'!AL25="","",'Ambassadors &amp; Creators'!AL25)</f>
        <v/>
      </c>
      <c r="AL205" s="18">
        <f>IF(V205="","",V205+ROW()/100000)</f>
        <v/>
      </c>
    </row>
    <row r="206" ht="18" customHeight="1">
      <c r="A206" s="22">
        <f>IF('Ambassadors &amp; Creators'!B26="","","Ambassadors &amp; Creators")</f>
        <v/>
      </c>
      <c r="B206" s="22">
        <f>IF('Ambassadors &amp; Creators'!B26="","",'Ambassadors &amp; Creators'!B26)</f>
        <v/>
      </c>
      <c r="C206" s="23">
        <f>IF('Ambassadors &amp; Creators'!D26="","",'Ambassadors &amp; Creators'!D26)</f>
        <v/>
      </c>
      <c r="D206" s="22">
        <f>IF('Ambassadors &amp; Creators'!E26="","",'Ambassadors &amp; Creators'!E26)</f>
        <v/>
      </c>
      <c r="E206" s="23">
        <f>IF('Ambassadors &amp; Creators'!F26="","",'Ambassadors &amp; Creators'!F26)</f>
        <v/>
      </c>
      <c r="F206" s="23">
        <f>IF('Ambassadors &amp; Creators'!G26="","",'Ambassadors &amp; Creators'!G26)</f>
        <v/>
      </c>
      <c r="G206" s="23">
        <f>IF('Ambassadors &amp; Creators'!H26="","",'Ambassadors &amp; Creators'!H26)</f>
        <v/>
      </c>
      <c r="H206" s="22">
        <f>IF('Ambassadors &amp; Creators'!I26="","",'Ambassadors &amp; Creators'!I26)</f>
        <v/>
      </c>
      <c r="I206" s="23">
        <f>IF('Ambassadors &amp; Creators'!J26="","",'Ambassadors &amp; Creators'!J26)</f>
        <v/>
      </c>
      <c r="J206" s="22">
        <f>IF('Ambassadors &amp; Creators'!K26="","",'Ambassadors &amp; Creators'!K26)</f>
        <v/>
      </c>
      <c r="K206" s="23">
        <f>IF('Ambassadors &amp; Creators'!L26="","",'Ambassadors &amp; Creators'!L26)</f>
        <v/>
      </c>
      <c r="L206" s="22">
        <f>IF('Ambassadors &amp; Creators'!M26="","",'Ambassadors &amp; Creators'!M26)</f>
        <v/>
      </c>
      <c r="M206" s="23">
        <f>IF('Ambassadors &amp; Creators'!N26="","",'Ambassadors &amp; Creators'!N26)</f>
        <v/>
      </c>
      <c r="N206" s="22">
        <f>IF('Ambassadors &amp; Creators'!O26="","",'Ambassadors &amp; Creators'!O26)</f>
        <v/>
      </c>
      <c r="O206" s="23">
        <f>IF('Ambassadors &amp; Creators'!P26="","",'Ambassadors &amp; Creators'!P26)</f>
        <v/>
      </c>
      <c r="P206" s="23">
        <f>IF('Ambassadors &amp; Creators'!Q26="","",'Ambassadors &amp; Creators'!Q26)</f>
        <v/>
      </c>
      <c r="Q206" s="24">
        <f>IF('Ambassadors &amp; Creators'!R26="","",'Ambassadors &amp; Creators'!R26)</f>
        <v/>
      </c>
      <c r="R206" s="25">
        <f>IF('Ambassadors &amp; Creators'!S26="","",'Ambassadors &amp; Creators'!S26)</f>
        <v/>
      </c>
      <c r="S206" s="22">
        <f>IF('Ambassadors &amp; Creators'!T26="","",'Ambassadors &amp; Creators'!T26)</f>
        <v/>
      </c>
      <c r="T206" s="24">
        <f>IF('Ambassadors &amp; Creators'!U26="","",'Ambassadors &amp; Creators'!U26)</f>
        <v/>
      </c>
      <c r="U206" s="23">
        <f>IF('Ambassadors &amp; Creators'!V26="","",'Ambassadors &amp; Creators'!V26)</f>
        <v/>
      </c>
      <c r="V206" s="24">
        <f>IF('Ambassadors &amp; Creators'!W26="","",'Ambassadors &amp; Creators'!W26)</f>
        <v/>
      </c>
      <c r="W206" s="23">
        <f>IF('Ambassadors &amp; Creators'!X26="","",'Ambassadors &amp; Creators'!X26)</f>
        <v/>
      </c>
      <c r="X206" s="23">
        <f>IF('Ambassadors &amp; Creators'!Y26="","",'Ambassadors &amp; Creators'!Y26)</f>
        <v/>
      </c>
      <c r="Y206" s="26">
        <f>IF('Ambassadors &amp; Creators'!Z26="","",'Ambassadors &amp; Creators'!Z26)</f>
        <v/>
      </c>
      <c r="Z206" s="27">
        <f>IF('Ambassadors &amp; Creators'!AA26="","",'Ambassadors &amp; Creators'!AA26)</f>
        <v/>
      </c>
      <c r="AA206" s="26">
        <f>IF('Ambassadors &amp; Creators'!AB26="","",'Ambassadors &amp; Creators'!AB26)</f>
        <v/>
      </c>
      <c r="AB206" s="22">
        <f>IF('Ambassadors &amp; Creators'!AC26="","",'Ambassadors &amp; Creators'!AC26)</f>
        <v/>
      </c>
      <c r="AC206" s="22">
        <f>IF('Ambassadors &amp; Creators'!AD26="","",'Ambassadors &amp; Creators'!AD26)</f>
        <v/>
      </c>
      <c r="AD206" s="22">
        <f>IF('Ambassadors &amp; Creators'!AE26="","",'Ambassadors &amp; Creators'!AE26)</f>
        <v/>
      </c>
      <c r="AE206" s="22">
        <f>IF('Ambassadors &amp; Creators'!AF26="","",'Ambassadors &amp; Creators'!AF26)</f>
        <v/>
      </c>
      <c r="AF206" s="22">
        <f>IF('Ambassadors &amp; Creators'!AG26="","",'Ambassadors &amp; Creators'!AG26)</f>
        <v/>
      </c>
      <c r="AG206" s="23">
        <f>IF('Ambassadors &amp; Creators'!AH26="","",'Ambassadors &amp; Creators'!AH26)</f>
        <v/>
      </c>
      <c r="AH206" s="23">
        <f>IF('Ambassadors &amp; Creators'!AI26="","",'Ambassadors &amp; Creators'!AI26)</f>
        <v/>
      </c>
      <c r="AI206" s="23">
        <f>IF('Ambassadors &amp; Creators'!AJ26="","",'Ambassadors &amp; Creators'!AJ26)</f>
        <v/>
      </c>
      <c r="AJ206" s="23">
        <f>IF('Ambassadors &amp; Creators'!AK26="","",'Ambassadors &amp; Creators'!AK26)</f>
        <v/>
      </c>
      <c r="AK206" s="22">
        <f>IF('Ambassadors &amp; Creators'!AL26="","",'Ambassadors &amp; Creators'!AL26)</f>
        <v/>
      </c>
      <c r="AL206" s="18">
        <f>IF(V206="","",V206+ROW()/100000)</f>
        <v/>
      </c>
    </row>
    <row r="207" ht="18" customHeight="1">
      <c r="A207" s="16">
        <f>IF('Ambassadors &amp; Creators'!B27="","","Ambassadors &amp; Creators")</f>
        <v/>
      </c>
      <c r="B207" s="16">
        <f>IF('Ambassadors &amp; Creators'!B27="","",'Ambassadors &amp; Creators'!B27)</f>
        <v/>
      </c>
      <c r="C207" s="17">
        <f>IF('Ambassadors &amp; Creators'!D27="","",'Ambassadors &amp; Creators'!D27)</f>
        <v/>
      </c>
      <c r="D207" s="16">
        <f>IF('Ambassadors &amp; Creators'!E27="","",'Ambassadors &amp; Creators'!E27)</f>
        <v/>
      </c>
      <c r="E207" s="17">
        <f>IF('Ambassadors &amp; Creators'!F27="","",'Ambassadors &amp; Creators'!F27)</f>
        <v/>
      </c>
      <c r="F207" s="17">
        <f>IF('Ambassadors &amp; Creators'!G27="","",'Ambassadors &amp; Creators'!G27)</f>
        <v/>
      </c>
      <c r="G207" s="17">
        <f>IF('Ambassadors &amp; Creators'!H27="","",'Ambassadors &amp; Creators'!H27)</f>
        <v/>
      </c>
      <c r="H207" s="16">
        <f>IF('Ambassadors &amp; Creators'!I27="","",'Ambassadors &amp; Creators'!I27)</f>
        <v/>
      </c>
      <c r="I207" s="17">
        <f>IF('Ambassadors &amp; Creators'!J27="","",'Ambassadors &amp; Creators'!J27)</f>
        <v/>
      </c>
      <c r="J207" s="16">
        <f>IF('Ambassadors &amp; Creators'!K27="","",'Ambassadors &amp; Creators'!K27)</f>
        <v/>
      </c>
      <c r="K207" s="17">
        <f>IF('Ambassadors &amp; Creators'!L27="","",'Ambassadors &amp; Creators'!L27)</f>
        <v/>
      </c>
      <c r="L207" s="16">
        <f>IF('Ambassadors &amp; Creators'!M27="","",'Ambassadors &amp; Creators'!M27)</f>
        <v/>
      </c>
      <c r="M207" s="17">
        <f>IF('Ambassadors &amp; Creators'!N27="","",'Ambassadors &amp; Creators'!N27)</f>
        <v/>
      </c>
      <c r="N207" s="16">
        <f>IF('Ambassadors &amp; Creators'!O27="","",'Ambassadors &amp; Creators'!O27)</f>
        <v/>
      </c>
      <c r="O207" s="17">
        <f>IF('Ambassadors &amp; Creators'!P27="","",'Ambassadors &amp; Creators'!P27)</f>
        <v/>
      </c>
      <c r="P207" s="17">
        <f>IF('Ambassadors &amp; Creators'!Q27="","",'Ambassadors &amp; Creators'!Q27)</f>
        <v/>
      </c>
      <c r="Q207" s="15">
        <f>IF('Ambassadors &amp; Creators'!R27="","",'Ambassadors &amp; Creators'!R27)</f>
        <v/>
      </c>
      <c r="R207" s="19">
        <f>IF('Ambassadors &amp; Creators'!S27="","",'Ambassadors &amp; Creators'!S27)</f>
        <v/>
      </c>
      <c r="S207" s="16">
        <f>IF('Ambassadors &amp; Creators'!T27="","",'Ambassadors &amp; Creators'!T27)</f>
        <v/>
      </c>
      <c r="T207" s="15">
        <f>IF('Ambassadors &amp; Creators'!U27="","",'Ambassadors &amp; Creators'!U27)</f>
        <v/>
      </c>
      <c r="U207" s="17">
        <f>IF('Ambassadors &amp; Creators'!V27="","",'Ambassadors &amp; Creators'!V27)</f>
        <v/>
      </c>
      <c r="V207" s="15">
        <f>IF('Ambassadors &amp; Creators'!W27="","",'Ambassadors &amp; Creators'!W27)</f>
        <v/>
      </c>
      <c r="W207" s="17">
        <f>IF('Ambassadors &amp; Creators'!X27="","",'Ambassadors &amp; Creators'!X27)</f>
        <v/>
      </c>
      <c r="X207" s="17">
        <f>IF('Ambassadors &amp; Creators'!Y27="","",'Ambassadors &amp; Creators'!Y27)</f>
        <v/>
      </c>
      <c r="Y207" s="20">
        <f>IF('Ambassadors &amp; Creators'!Z27="","",'Ambassadors &amp; Creators'!Z27)</f>
        <v/>
      </c>
      <c r="Z207" s="21">
        <f>IF('Ambassadors &amp; Creators'!AA27="","",'Ambassadors &amp; Creators'!AA27)</f>
        <v/>
      </c>
      <c r="AA207" s="20">
        <f>IF('Ambassadors &amp; Creators'!AB27="","",'Ambassadors &amp; Creators'!AB27)</f>
        <v/>
      </c>
      <c r="AB207" s="16">
        <f>IF('Ambassadors &amp; Creators'!AC27="","",'Ambassadors &amp; Creators'!AC27)</f>
        <v/>
      </c>
      <c r="AC207" s="16">
        <f>IF('Ambassadors &amp; Creators'!AD27="","",'Ambassadors &amp; Creators'!AD27)</f>
        <v/>
      </c>
      <c r="AD207" s="16">
        <f>IF('Ambassadors &amp; Creators'!AE27="","",'Ambassadors &amp; Creators'!AE27)</f>
        <v/>
      </c>
      <c r="AE207" s="16">
        <f>IF('Ambassadors &amp; Creators'!AF27="","",'Ambassadors &amp; Creators'!AF27)</f>
        <v/>
      </c>
      <c r="AF207" s="16">
        <f>IF('Ambassadors &amp; Creators'!AG27="","",'Ambassadors &amp; Creators'!AG27)</f>
        <v/>
      </c>
      <c r="AG207" s="17">
        <f>IF('Ambassadors &amp; Creators'!AH27="","",'Ambassadors &amp; Creators'!AH27)</f>
        <v/>
      </c>
      <c r="AH207" s="17">
        <f>IF('Ambassadors &amp; Creators'!AI27="","",'Ambassadors &amp; Creators'!AI27)</f>
        <v/>
      </c>
      <c r="AI207" s="17">
        <f>IF('Ambassadors &amp; Creators'!AJ27="","",'Ambassadors &amp; Creators'!AJ27)</f>
        <v/>
      </c>
      <c r="AJ207" s="17">
        <f>IF('Ambassadors &amp; Creators'!AK27="","",'Ambassadors &amp; Creators'!AK27)</f>
        <v/>
      </c>
      <c r="AK207" s="16">
        <f>IF('Ambassadors &amp; Creators'!AL27="","",'Ambassadors &amp; Creators'!AL27)</f>
        <v/>
      </c>
      <c r="AL207" s="18">
        <f>IF(V207="","",V207+ROW()/100000)</f>
        <v/>
      </c>
    </row>
    <row r="208" ht="18" customHeight="1">
      <c r="A208" s="22">
        <f>IF('Ambassadors &amp; Creators'!B28="","","Ambassadors &amp; Creators")</f>
        <v/>
      </c>
      <c r="B208" s="22">
        <f>IF('Ambassadors &amp; Creators'!B28="","",'Ambassadors &amp; Creators'!B28)</f>
        <v/>
      </c>
      <c r="C208" s="23">
        <f>IF('Ambassadors &amp; Creators'!D28="","",'Ambassadors &amp; Creators'!D28)</f>
        <v/>
      </c>
      <c r="D208" s="22">
        <f>IF('Ambassadors &amp; Creators'!E28="","",'Ambassadors &amp; Creators'!E28)</f>
        <v/>
      </c>
      <c r="E208" s="23">
        <f>IF('Ambassadors &amp; Creators'!F28="","",'Ambassadors &amp; Creators'!F28)</f>
        <v/>
      </c>
      <c r="F208" s="23">
        <f>IF('Ambassadors &amp; Creators'!G28="","",'Ambassadors &amp; Creators'!G28)</f>
        <v/>
      </c>
      <c r="G208" s="23">
        <f>IF('Ambassadors &amp; Creators'!H28="","",'Ambassadors &amp; Creators'!H28)</f>
        <v/>
      </c>
      <c r="H208" s="22">
        <f>IF('Ambassadors &amp; Creators'!I28="","",'Ambassadors &amp; Creators'!I28)</f>
        <v/>
      </c>
      <c r="I208" s="23">
        <f>IF('Ambassadors &amp; Creators'!J28="","",'Ambassadors &amp; Creators'!J28)</f>
        <v/>
      </c>
      <c r="J208" s="22">
        <f>IF('Ambassadors &amp; Creators'!K28="","",'Ambassadors &amp; Creators'!K28)</f>
        <v/>
      </c>
      <c r="K208" s="23">
        <f>IF('Ambassadors &amp; Creators'!L28="","",'Ambassadors &amp; Creators'!L28)</f>
        <v/>
      </c>
      <c r="L208" s="22">
        <f>IF('Ambassadors &amp; Creators'!M28="","",'Ambassadors &amp; Creators'!M28)</f>
        <v/>
      </c>
      <c r="M208" s="23">
        <f>IF('Ambassadors &amp; Creators'!N28="","",'Ambassadors &amp; Creators'!N28)</f>
        <v/>
      </c>
      <c r="N208" s="22">
        <f>IF('Ambassadors &amp; Creators'!O28="","",'Ambassadors &amp; Creators'!O28)</f>
        <v/>
      </c>
      <c r="O208" s="23">
        <f>IF('Ambassadors &amp; Creators'!P28="","",'Ambassadors &amp; Creators'!P28)</f>
        <v/>
      </c>
      <c r="P208" s="23">
        <f>IF('Ambassadors &amp; Creators'!Q28="","",'Ambassadors &amp; Creators'!Q28)</f>
        <v/>
      </c>
      <c r="Q208" s="24">
        <f>IF('Ambassadors &amp; Creators'!R28="","",'Ambassadors &amp; Creators'!R28)</f>
        <v/>
      </c>
      <c r="R208" s="25">
        <f>IF('Ambassadors &amp; Creators'!S28="","",'Ambassadors &amp; Creators'!S28)</f>
        <v/>
      </c>
      <c r="S208" s="22">
        <f>IF('Ambassadors &amp; Creators'!T28="","",'Ambassadors &amp; Creators'!T28)</f>
        <v/>
      </c>
      <c r="T208" s="24">
        <f>IF('Ambassadors &amp; Creators'!U28="","",'Ambassadors &amp; Creators'!U28)</f>
        <v/>
      </c>
      <c r="U208" s="23">
        <f>IF('Ambassadors &amp; Creators'!V28="","",'Ambassadors &amp; Creators'!V28)</f>
        <v/>
      </c>
      <c r="V208" s="24">
        <f>IF('Ambassadors &amp; Creators'!W28="","",'Ambassadors &amp; Creators'!W28)</f>
        <v/>
      </c>
      <c r="W208" s="23">
        <f>IF('Ambassadors &amp; Creators'!X28="","",'Ambassadors &amp; Creators'!X28)</f>
        <v/>
      </c>
      <c r="X208" s="23">
        <f>IF('Ambassadors &amp; Creators'!Y28="","",'Ambassadors &amp; Creators'!Y28)</f>
        <v/>
      </c>
      <c r="Y208" s="26">
        <f>IF('Ambassadors &amp; Creators'!Z28="","",'Ambassadors &amp; Creators'!Z28)</f>
        <v/>
      </c>
      <c r="Z208" s="27">
        <f>IF('Ambassadors &amp; Creators'!AA28="","",'Ambassadors &amp; Creators'!AA28)</f>
        <v/>
      </c>
      <c r="AA208" s="26">
        <f>IF('Ambassadors &amp; Creators'!AB28="","",'Ambassadors &amp; Creators'!AB28)</f>
        <v/>
      </c>
      <c r="AB208" s="22">
        <f>IF('Ambassadors &amp; Creators'!AC28="","",'Ambassadors &amp; Creators'!AC28)</f>
        <v/>
      </c>
      <c r="AC208" s="22">
        <f>IF('Ambassadors &amp; Creators'!AD28="","",'Ambassadors &amp; Creators'!AD28)</f>
        <v/>
      </c>
      <c r="AD208" s="22">
        <f>IF('Ambassadors &amp; Creators'!AE28="","",'Ambassadors &amp; Creators'!AE28)</f>
        <v/>
      </c>
      <c r="AE208" s="22">
        <f>IF('Ambassadors &amp; Creators'!AF28="","",'Ambassadors &amp; Creators'!AF28)</f>
        <v/>
      </c>
      <c r="AF208" s="22">
        <f>IF('Ambassadors &amp; Creators'!AG28="","",'Ambassadors &amp; Creators'!AG28)</f>
        <v/>
      </c>
      <c r="AG208" s="23">
        <f>IF('Ambassadors &amp; Creators'!AH28="","",'Ambassadors &amp; Creators'!AH28)</f>
        <v/>
      </c>
      <c r="AH208" s="23">
        <f>IF('Ambassadors &amp; Creators'!AI28="","",'Ambassadors &amp; Creators'!AI28)</f>
        <v/>
      </c>
      <c r="AI208" s="23">
        <f>IF('Ambassadors &amp; Creators'!AJ28="","",'Ambassadors &amp; Creators'!AJ28)</f>
        <v/>
      </c>
      <c r="AJ208" s="23">
        <f>IF('Ambassadors &amp; Creators'!AK28="","",'Ambassadors &amp; Creators'!AK28)</f>
        <v/>
      </c>
      <c r="AK208" s="22">
        <f>IF('Ambassadors &amp; Creators'!AL28="","",'Ambassadors &amp; Creators'!AL28)</f>
        <v/>
      </c>
      <c r="AL208" s="18">
        <f>IF(V208="","",V208+ROW()/100000)</f>
        <v/>
      </c>
    </row>
    <row r="209" ht="18" customHeight="1">
      <c r="A209" s="16">
        <f>IF('Ambassadors &amp; Creators'!B29="","","Ambassadors &amp; Creators")</f>
        <v/>
      </c>
      <c r="B209" s="16">
        <f>IF('Ambassadors &amp; Creators'!B29="","",'Ambassadors &amp; Creators'!B29)</f>
        <v/>
      </c>
      <c r="C209" s="17">
        <f>IF('Ambassadors &amp; Creators'!D29="","",'Ambassadors &amp; Creators'!D29)</f>
        <v/>
      </c>
      <c r="D209" s="16">
        <f>IF('Ambassadors &amp; Creators'!E29="","",'Ambassadors &amp; Creators'!E29)</f>
        <v/>
      </c>
      <c r="E209" s="17">
        <f>IF('Ambassadors &amp; Creators'!F29="","",'Ambassadors &amp; Creators'!F29)</f>
        <v/>
      </c>
      <c r="F209" s="17">
        <f>IF('Ambassadors &amp; Creators'!G29="","",'Ambassadors &amp; Creators'!G29)</f>
        <v/>
      </c>
      <c r="G209" s="17">
        <f>IF('Ambassadors &amp; Creators'!H29="","",'Ambassadors &amp; Creators'!H29)</f>
        <v/>
      </c>
      <c r="H209" s="16">
        <f>IF('Ambassadors &amp; Creators'!I29="","",'Ambassadors &amp; Creators'!I29)</f>
        <v/>
      </c>
      <c r="I209" s="17">
        <f>IF('Ambassadors &amp; Creators'!J29="","",'Ambassadors &amp; Creators'!J29)</f>
        <v/>
      </c>
      <c r="J209" s="16">
        <f>IF('Ambassadors &amp; Creators'!K29="","",'Ambassadors &amp; Creators'!K29)</f>
        <v/>
      </c>
      <c r="K209" s="17">
        <f>IF('Ambassadors &amp; Creators'!L29="","",'Ambassadors &amp; Creators'!L29)</f>
        <v/>
      </c>
      <c r="L209" s="16">
        <f>IF('Ambassadors &amp; Creators'!M29="","",'Ambassadors &amp; Creators'!M29)</f>
        <v/>
      </c>
      <c r="M209" s="17">
        <f>IF('Ambassadors &amp; Creators'!N29="","",'Ambassadors &amp; Creators'!N29)</f>
        <v/>
      </c>
      <c r="N209" s="16">
        <f>IF('Ambassadors &amp; Creators'!O29="","",'Ambassadors &amp; Creators'!O29)</f>
        <v/>
      </c>
      <c r="O209" s="17">
        <f>IF('Ambassadors &amp; Creators'!P29="","",'Ambassadors &amp; Creators'!P29)</f>
        <v/>
      </c>
      <c r="P209" s="17">
        <f>IF('Ambassadors &amp; Creators'!Q29="","",'Ambassadors &amp; Creators'!Q29)</f>
        <v/>
      </c>
      <c r="Q209" s="15">
        <f>IF('Ambassadors &amp; Creators'!R29="","",'Ambassadors &amp; Creators'!R29)</f>
        <v/>
      </c>
      <c r="R209" s="19">
        <f>IF('Ambassadors &amp; Creators'!S29="","",'Ambassadors &amp; Creators'!S29)</f>
        <v/>
      </c>
      <c r="S209" s="16">
        <f>IF('Ambassadors &amp; Creators'!T29="","",'Ambassadors &amp; Creators'!T29)</f>
        <v/>
      </c>
      <c r="T209" s="15">
        <f>IF('Ambassadors &amp; Creators'!U29="","",'Ambassadors &amp; Creators'!U29)</f>
        <v/>
      </c>
      <c r="U209" s="17">
        <f>IF('Ambassadors &amp; Creators'!V29="","",'Ambassadors &amp; Creators'!V29)</f>
        <v/>
      </c>
      <c r="V209" s="15">
        <f>IF('Ambassadors &amp; Creators'!W29="","",'Ambassadors &amp; Creators'!W29)</f>
        <v/>
      </c>
      <c r="W209" s="17">
        <f>IF('Ambassadors &amp; Creators'!X29="","",'Ambassadors &amp; Creators'!X29)</f>
        <v/>
      </c>
      <c r="X209" s="17">
        <f>IF('Ambassadors &amp; Creators'!Y29="","",'Ambassadors &amp; Creators'!Y29)</f>
        <v/>
      </c>
      <c r="Y209" s="20">
        <f>IF('Ambassadors &amp; Creators'!Z29="","",'Ambassadors &amp; Creators'!Z29)</f>
        <v/>
      </c>
      <c r="Z209" s="21">
        <f>IF('Ambassadors &amp; Creators'!AA29="","",'Ambassadors &amp; Creators'!AA29)</f>
        <v/>
      </c>
      <c r="AA209" s="20">
        <f>IF('Ambassadors &amp; Creators'!AB29="","",'Ambassadors &amp; Creators'!AB29)</f>
        <v/>
      </c>
      <c r="AB209" s="16">
        <f>IF('Ambassadors &amp; Creators'!AC29="","",'Ambassadors &amp; Creators'!AC29)</f>
        <v/>
      </c>
      <c r="AC209" s="16">
        <f>IF('Ambassadors &amp; Creators'!AD29="","",'Ambassadors &amp; Creators'!AD29)</f>
        <v/>
      </c>
      <c r="AD209" s="16">
        <f>IF('Ambassadors &amp; Creators'!AE29="","",'Ambassadors &amp; Creators'!AE29)</f>
        <v/>
      </c>
      <c r="AE209" s="16">
        <f>IF('Ambassadors &amp; Creators'!AF29="","",'Ambassadors &amp; Creators'!AF29)</f>
        <v/>
      </c>
      <c r="AF209" s="16">
        <f>IF('Ambassadors &amp; Creators'!AG29="","",'Ambassadors &amp; Creators'!AG29)</f>
        <v/>
      </c>
      <c r="AG209" s="17">
        <f>IF('Ambassadors &amp; Creators'!AH29="","",'Ambassadors &amp; Creators'!AH29)</f>
        <v/>
      </c>
      <c r="AH209" s="17">
        <f>IF('Ambassadors &amp; Creators'!AI29="","",'Ambassadors &amp; Creators'!AI29)</f>
        <v/>
      </c>
      <c r="AI209" s="17">
        <f>IF('Ambassadors &amp; Creators'!AJ29="","",'Ambassadors &amp; Creators'!AJ29)</f>
        <v/>
      </c>
      <c r="AJ209" s="17">
        <f>IF('Ambassadors &amp; Creators'!AK29="","",'Ambassadors &amp; Creators'!AK29)</f>
        <v/>
      </c>
      <c r="AK209" s="16">
        <f>IF('Ambassadors &amp; Creators'!AL29="","",'Ambassadors &amp; Creators'!AL29)</f>
        <v/>
      </c>
      <c r="AL209" s="18">
        <f>IF(V209="","",V209+ROW()/100000)</f>
        <v/>
      </c>
    </row>
    <row r="210" ht="18" customHeight="1">
      <c r="A210" s="22">
        <f>IF('Ambassadors &amp; Creators'!B30="","","Ambassadors &amp; Creators")</f>
        <v/>
      </c>
      <c r="B210" s="22">
        <f>IF('Ambassadors &amp; Creators'!B30="","",'Ambassadors &amp; Creators'!B30)</f>
        <v/>
      </c>
      <c r="C210" s="23">
        <f>IF('Ambassadors &amp; Creators'!D30="","",'Ambassadors &amp; Creators'!D30)</f>
        <v/>
      </c>
      <c r="D210" s="22">
        <f>IF('Ambassadors &amp; Creators'!E30="","",'Ambassadors &amp; Creators'!E30)</f>
        <v/>
      </c>
      <c r="E210" s="23">
        <f>IF('Ambassadors &amp; Creators'!F30="","",'Ambassadors &amp; Creators'!F30)</f>
        <v/>
      </c>
      <c r="F210" s="23">
        <f>IF('Ambassadors &amp; Creators'!G30="","",'Ambassadors &amp; Creators'!G30)</f>
        <v/>
      </c>
      <c r="G210" s="23">
        <f>IF('Ambassadors &amp; Creators'!H30="","",'Ambassadors &amp; Creators'!H30)</f>
        <v/>
      </c>
      <c r="H210" s="22">
        <f>IF('Ambassadors &amp; Creators'!I30="","",'Ambassadors &amp; Creators'!I30)</f>
        <v/>
      </c>
      <c r="I210" s="23">
        <f>IF('Ambassadors &amp; Creators'!J30="","",'Ambassadors &amp; Creators'!J30)</f>
        <v/>
      </c>
      <c r="J210" s="22">
        <f>IF('Ambassadors &amp; Creators'!K30="","",'Ambassadors &amp; Creators'!K30)</f>
        <v/>
      </c>
      <c r="K210" s="23">
        <f>IF('Ambassadors &amp; Creators'!L30="","",'Ambassadors &amp; Creators'!L30)</f>
        <v/>
      </c>
      <c r="L210" s="22">
        <f>IF('Ambassadors &amp; Creators'!M30="","",'Ambassadors &amp; Creators'!M30)</f>
        <v/>
      </c>
      <c r="M210" s="23">
        <f>IF('Ambassadors &amp; Creators'!N30="","",'Ambassadors &amp; Creators'!N30)</f>
        <v/>
      </c>
      <c r="N210" s="22">
        <f>IF('Ambassadors &amp; Creators'!O30="","",'Ambassadors &amp; Creators'!O30)</f>
        <v/>
      </c>
      <c r="O210" s="23">
        <f>IF('Ambassadors &amp; Creators'!P30="","",'Ambassadors &amp; Creators'!P30)</f>
        <v/>
      </c>
      <c r="P210" s="23">
        <f>IF('Ambassadors &amp; Creators'!Q30="","",'Ambassadors &amp; Creators'!Q30)</f>
        <v/>
      </c>
      <c r="Q210" s="24">
        <f>IF('Ambassadors &amp; Creators'!R30="","",'Ambassadors &amp; Creators'!R30)</f>
        <v/>
      </c>
      <c r="R210" s="25">
        <f>IF('Ambassadors &amp; Creators'!S30="","",'Ambassadors &amp; Creators'!S30)</f>
        <v/>
      </c>
      <c r="S210" s="22">
        <f>IF('Ambassadors &amp; Creators'!T30="","",'Ambassadors &amp; Creators'!T30)</f>
        <v/>
      </c>
      <c r="T210" s="24">
        <f>IF('Ambassadors &amp; Creators'!U30="","",'Ambassadors &amp; Creators'!U30)</f>
        <v/>
      </c>
      <c r="U210" s="23">
        <f>IF('Ambassadors &amp; Creators'!V30="","",'Ambassadors &amp; Creators'!V30)</f>
        <v/>
      </c>
      <c r="V210" s="24">
        <f>IF('Ambassadors &amp; Creators'!W30="","",'Ambassadors &amp; Creators'!W30)</f>
        <v/>
      </c>
      <c r="W210" s="23">
        <f>IF('Ambassadors &amp; Creators'!X30="","",'Ambassadors &amp; Creators'!X30)</f>
        <v/>
      </c>
      <c r="X210" s="23">
        <f>IF('Ambassadors &amp; Creators'!Y30="","",'Ambassadors &amp; Creators'!Y30)</f>
        <v/>
      </c>
      <c r="Y210" s="26">
        <f>IF('Ambassadors &amp; Creators'!Z30="","",'Ambassadors &amp; Creators'!Z30)</f>
        <v/>
      </c>
      <c r="Z210" s="27">
        <f>IF('Ambassadors &amp; Creators'!AA30="","",'Ambassadors &amp; Creators'!AA30)</f>
        <v/>
      </c>
      <c r="AA210" s="26">
        <f>IF('Ambassadors &amp; Creators'!AB30="","",'Ambassadors &amp; Creators'!AB30)</f>
        <v/>
      </c>
      <c r="AB210" s="22">
        <f>IF('Ambassadors &amp; Creators'!AC30="","",'Ambassadors &amp; Creators'!AC30)</f>
        <v/>
      </c>
      <c r="AC210" s="22">
        <f>IF('Ambassadors &amp; Creators'!AD30="","",'Ambassadors &amp; Creators'!AD30)</f>
        <v/>
      </c>
      <c r="AD210" s="22">
        <f>IF('Ambassadors &amp; Creators'!AE30="","",'Ambassadors &amp; Creators'!AE30)</f>
        <v/>
      </c>
      <c r="AE210" s="22">
        <f>IF('Ambassadors &amp; Creators'!AF30="","",'Ambassadors &amp; Creators'!AF30)</f>
        <v/>
      </c>
      <c r="AF210" s="22">
        <f>IF('Ambassadors &amp; Creators'!AG30="","",'Ambassadors &amp; Creators'!AG30)</f>
        <v/>
      </c>
      <c r="AG210" s="23">
        <f>IF('Ambassadors &amp; Creators'!AH30="","",'Ambassadors &amp; Creators'!AH30)</f>
        <v/>
      </c>
      <c r="AH210" s="23">
        <f>IF('Ambassadors &amp; Creators'!AI30="","",'Ambassadors &amp; Creators'!AI30)</f>
        <v/>
      </c>
      <c r="AI210" s="23">
        <f>IF('Ambassadors &amp; Creators'!AJ30="","",'Ambassadors &amp; Creators'!AJ30)</f>
        <v/>
      </c>
      <c r="AJ210" s="23">
        <f>IF('Ambassadors &amp; Creators'!AK30="","",'Ambassadors &amp; Creators'!AK30)</f>
        <v/>
      </c>
      <c r="AK210" s="22">
        <f>IF('Ambassadors &amp; Creators'!AL30="","",'Ambassadors &amp; Creators'!AL30)</f>
        <v/>
      </c>
      <c r="AL210" s="18">
        <f>IF(V210="","",V210+ROW()/100000)</f>
        <v/>
      </c>
    </row>
    <row r="211" ht="18" customHeight="1">
      <c r="A211" s="16">
        <f>IF('Ambassadors &amp; Creators'!B31="","","Ambassadors &amp; Creators")</f>
        <v/>
      </c>
      <c r="B211" s="16">
        <f>IF('Ambassadors &amp; Creators'!B31="","",'Ambassadors &amp; Creators'!B31)</f>
        <v/>
      </c>
      <c r="C211" s="17">
        <f>IF('Ambassadors &amp; Creators'!D31="","",'Ambassadors &amp; Creators'!D31)</f>
        <v/>
      </c>
      <c r="D211" s="16">
        <f>IF('Ambassadors &amp; Creators'!E31="","",'Ambassadors &amp; Creators'!E31)</f>
        <v/>
      </c>
      <c r="E211" s="17">
        <f>IF('Ambassadors &amp; Creators'!F31="","",'Ambassadors &amp; Creators'!F31)</f>
        <v/>
      </c>
      <c r="F211" s="17">
        <f>IF('Ambassadors &amp; Creators'!G31="","",'Ambassadors &amp; Creators'!G31)</f>
        <v/>
      </c>
      <c r="G211" s="17">
        <f>IF('Ambassadors &amp; Creators'!H31="","",'Ambassadors &amp; Creators'!H31)</f>
        <v/>
      </c>
      <c r="H211" s="16">
        <f>IF('Ambassadors &amp; Creators'!I31="","",'Ambassadors &amp; Creators'!I31)</f>
        <v/>
      </c>
      <c r="I211" s="17">
        <f>IF('Ambassadors &amp; Creators'!J31="","",'Ambassadors &amp; Creators'!J31)</f>
        <v/>
      </c>
      <c r="J211" s="16">
        <f>IF('Ambassadors &amp; Creators'!K31="","",'Ambassadors &amp; Creators'!K31)</f>
        <v/>
      </c>
      <c r="K211" s="17">
        <f>IF('Ambassadors &amp; Creators'!L31="","",'Ambassadors &amp; Creators'!L31)</f>
        <v/>
      </c>
      <c r="L211" s="16">
        <f>IF('Ambassadors &amp; Creators'!M31="","",'Ambassadors &amp; Creators'!M31)</f>
        <v/>
      </c>
      <c r="M211" s="17">
        <f>IF('Ambassadors &amp; Creators'!N31="","",'Ambassadors &amp; Creators'!N31)</f>
        <v/>
      </c>
      <c r="N211" s="16">
        <f>IF('Ambassadors &amp; Creators'!O31="","",'Ambassadors &amp; Creators'!O31)</f>
        <v/>
      </c>
      <c r="O211" s="17">
        <f>IF('Ambassadors &amp; Creators'!P31="","",'Ambassadors &amp; Creators'!P31)</f>
        <v/>
      </c>
      <c r="P211" s="17">
        <f>IF('Ambassadors &amp; Creators'!Q31="","",'Ambassadors &amp; Creators'!Q31)</f>
        <v/>
      </c>
      <c r="Q211" s="15">
        <f>IF('Ambassadors &amp; Creators'!R31="","",'Ambassadors &amp; Creators'!R31)</f>
        <v/>
      </c>
      <c r="R211" s="19">
        <f>IF('Ambassadors &amp; Creators'!S31="","",'Ambassadors &amp; Creators'!S31)</f>
        <v/>
      </c>
      <c r="S211" s="16">
        <f>IF('Ambassadors &amp; Creators'!T31="","",'Ambassadors &amp; Creators'!T31)</f>
        <v/>
      </c>
      <c r="T211" s="15">
        <f>IF('Ambassadors &amp; Creators'!U31="","",'Ambassadors &amp; Creators'!U31)</f>
        <v/>
      </c>
      <c r="U211" s="17">
        <f>IF('Ambassadors &amp; Creators'!V31="","",'Ambassadors &amp; Creators'!V31)</f>
        <v/>
      </c>
      <c r="V211" s="15">
        <f>IF('Ambassadors &amp; Creators'!W31="","",'Ambassadors &amp; Creators'!W31)</f>
        <v/>
      </c>
      <c r="W211" s="17">
        <f>IF('Ambassadors &amp; Creators'!X31="","",'Ambassadors &amp; Creators'!X31)</f>
        <v/>
      </c>
      <c r="X211" s="17">
        <f>IF('Ambassadors &amp; Creators'!Y31="","",'Ambassadors &amp; Creators'!Y31)</f>
        <v/>
      </c>
      <c r="Y211" s="20">
        <f>IF('Ambassadors &amp; Creators'!Z31="","",'Ambassadors &amp; Creators'!Z31)</f>
        <v/>
      </c>
      <c r="Z211" s="21">
        <f>IF('Ambassadors &amp; Creators'!AA31="","",'Ambassadors &amp; Creators'!AA31)</f>
        <v/>
      </c>
      <c r="AA211" s="20">
        <f>IF('Ambassadors &amp; Creators'!AB31="","",'Ambassadors &amp; Creators'!AB31)</f>
        <v/>
      </c>
      <c r="AB211" s="16">
        <f>IF('Ambassadors &amp; Creators'!AC31="","",'Ambassadors &amp; Creators'!AC31)</f>
        <v/>
      </c>
      <c r="AC211" s="16">
        <f>IF('Ambassadors &amp; Creators'!AD31="","",'Ambassadors &amp; Creators'!AD31)</f>
        <v/>
      </c>
      <c r="AD211" s="16">
        <f>IF('Ambassadors &amp; Creators'!AE31="","",'Ambassadors &amp; Creators'!AE31)</f>
        <v/>
      </c>
      <c r="AE211" s="16">
        <f>IF('Ambassadors &amp; Creators'!AF31="","",'Ambassadors &amp; Creators'!AF31)</f>
        <v/>
      </c>
      <c r="AF211" s="16">
        <f>IF('Ambassadors &amp; Creators'!AG31="","",'Ambassadors &amp; Creators'!AG31)</f>
        <v/>
      </c>
      <c r="AG211" s="17">
        <f>IF('Ambassadors &amp; Creators'!AH31="","",'Ambassadors &amp; Creators'!AH31)</f>
        <v/>
      </c>
      <c r="AH211" s="17">
        <f>IF('Ambassadors &amp; Creators'!AI31="","",'Ambassadors &amp; Creators'!AI31)</f>
        <v/>
      </c>
      <c r="AI211" s="17">
        <f>IF('Ambassadors &amp; Creators'!AJ31="","",'Ambassadors &amp; Creators'!AJ31)</f>
        <v/>
      </c>
      <c r="AJ211" s="17">
        <f>IF('Ambassadors &amp; Creators'!AK31="","",'Ambassadors &amp; Creators'!AK31)</f>
        <v/>
      </c>
      <c r="AK211" s="16">
        <f>IF('Ambassadors &amp; Creators'!AL31="","",'Ambassadors &amp; Creators'!AL31)</f>
        <v/>
      </c>
      <c r="AL211" s="18">
        <f>IF(V211="","",V211+ROW()/100000)</f>
        <v/>
      </c>
    </row>
    <row r="212" ht="18" customHeight="1">
      <c r="A212" s="22">
        <f>IF('Ambassadors &amp; Creators'!B32="","","Ambassadors &amp; Creators")</f>
        <v/>
      </c>
      <c r="B212" s="22">
        <f>IF('Ambassadors &amp; Creators'!B32="","",'Ambassadors &amp; Creators'!B32)</f>
        <v/>
      </c>
      <c r="C212" s="23">
        <f>IF('Ambassadors &amp; Creators'!D32="","",'Ambassadors &amp; Creators'!D32)</f>
        <v/>
      </c>
      <c r="D212" s="22">
        <f>IF('Ambassadors &amp; Creators'!E32="","",'Ambassadors &amp; Creators'!E32)</f>
        <v/>
      </c>
      <c r="E212" s="23">
        <f>IF('Ambassadors &amp; Creators'!F32="","",'Ambassadors &amp; Creators'!F32)</f>
        <v/>
      </c>
      <c r="F212" s="23">
        <f>IF('Ambassadors &amp; Creators'!G32="","",'Ambassadors &amp; Creators'!G32)</f>
        <v/>
      </c>
      <c r="G212" s="23">
        <f>IF('Ambassadors &amp; Creators'!H32="","",'Ambassadors &amp; Creators'!H32)</f>
        <v/>
      </c>
      <c r="H212" s="22">
        <f>IF('Ambassadors &amp; Creators'!I32="","",'Ambassadors &amp; Creators'!I32)</f>
        <v/>
      </c>
      <c r="I212" s="23">
        <f>IF('Ambassadors &amp; Creators'!J32="","",'Ambassadors &amp; Creators'!J32)</f>
        <v/>
      </c>
      <c r="J212" s="22">
        <f>IF('Ambassadors &amp; Creators'!K32="","",'Ambassadors &amp; Creators'!K32)</f>
        <v/>
      </c>
      <c r="K212" s="23">
        <f>IF('Ambassadors &amp; Creators'!L32="","",'Ambassadors &amp; Creators'!L32)</f>
        <v/>
      </c>
      <c r="L212" s="22">
        <f>IF('Ambassadors &amp; Creators'!M32="","",'Ambassadors &amp; Creators'!M32)</f>
        <v/>
      </c>
      <c r="M212" s="23">
        <f>IF('Ambassadors &amp; Creators'!N32="","",'Ambassadors &amp; Creators'!N32)</f>
        <v/>
      </c>
      <c r="N212" s="22">
        <f>IF('Ambassadors &amp; Creators'!O32="","",'Ambassadors &amp; Creators'!O32)</f>
        <v/>
      </c>
      <c r="O212" s="23">
        <f>IF('Ambassadors &amp; Creators'!P32="","",'Ambassadors &amp; Creators'!P32)</f>
        <v/>
      </c>
      <c r="P212" s="23">
        <f>IF('Ambassadors &amp; Creators'!Q32="","",'Ambassadors &amp; Creators'!Q32)</f>
        <v/>
      </c>
      <c r="Q212" s="24">
        <f>IF('Ambassadors &amp; Creators'!R32="","",'Ambassadors &amp; Creators'!R32)</f>
        <v/>
      </c>
      <c r="R212" s="25">
        <f>IF('Ambassadors &amp; Creators'!S32="","",'Ambassadors &amp; Creators'!S32)</f>
        <v/>
      </c>
      <c r="S212" s="22">
        <f>IF('Ambassadors &amp; Creators'!T32="","",'Ambassadors &amp; Creators'!T32)</f>
        <v/>
      </c>
      <c r="T212" s="24">
        <f>IF('Ambassadors &amp; Creators'!U32="","",'Ambassadors &amp; Creators'!U32)</f>
        <v/>
      </c>
      <c r="U212" s="23">
        <f>IF('Ambassadors &amp; Creators'!V32="","",'Ambassadors &amp; Creators'!V32)</f>
        <v/>
      </c>
      <c r="V212" s="24">
        <f>IF('Ambassadors &amp; Creators'!W32="","",'Ambassadors &amp; Creators'!W32)</f>
        <v/>
      </c>
      <c r="W212" s="23">
        <f>IF('Ambassadors &amp; Creators'!X32="","",'Ambassadors &amp; Creators'!X32)</f>
        <v/>
      </c>
      <c r="X212" s="23">
        <f>IF('Ambassadors &amp; Creators'!Y32="","",'Ambassadors &amp; Creators'!Y32)</f>
        <v/>
      </c>
      <c r="Y212" s="26">
        <f>IF('Ambassadors &amp; Creators'!Z32="","",'Ambassadors &amp; Creators'!Z32)</f>
        <v/>
      </c>
      <c r="Z212" s="27">
        <f>IF('Ambassadors &amp; Creators'!AA32="","",'Ambassadors &amp; Creators'!AA32)</f>
        <v/>
      </c>
      <c r="AA212" s="26">
        <f>IF('Ambassadors &amp; Creators'!AB32="","",'Ambassadors &amp; Creators'!AB32)</f>
        <v/>
      </c>
      <c r="AB212" s="22">
        <f>IF('Ambassadors &amp; Creators'!AC32="","",'Ambassadors &amp; Creators'!AC32)</f>
        <v/>
      </c>
      <c r="AC212" s="22">
        <f>IF('Ambassadors &amp; Creators'!AD32="","",'Ambassadors &amp; Creators'!AD32)</f>
        <v/>
      </c>
      <c r="AD212" s="22">
        <f>IF('Ambassadors &amp; Creators'!AE32="","",'Ambassadors &amp; Creators'!AE32)</f>
        <v/>
      </c>
      <c r="AE212" s="22">
        <f>IF('Ambassadors &amp; Creators'!AF32="","",'Ambassadors &amp; Creators'!AF32)</f>
        <v/>
      </c>
      <c r="AF212" s="22">
        <f>IF('Ambassadors &amp; Creators'!AG32="","",'Ambassadors &amp; Creators'!AG32)</f>
        <v/>
      </c>
      <c r="AG212" s="23">
        <f>IF('Ambassadors &amp; Creators'!AH32="","",'Ambassadors &amp; Creators'!AH32)</f>
        <v/>
      </c>
      <c r="AH212" s="23">
        <f>IF('Ambassadors &amp; Creators'!AI32="","",'Ambassadors &amp; Creators'!AI32)</f>
        <v/>
      </c>
      <c r="AI212" s="23">
        <f>IF('Ambassadors &amp; Creators'!AJ32="","",'Ambassadors &amp; Creators'!AJ32)</f>
        <v/>
      </c>
      <c r="AJ212" s="23">
        <f>IF('Ambassadors &amp; Creators'!AK32="","",'Ambassadors &amp; Creators'!AK32)</f>
        <v/>
      </c>
      <c r="AK212" s="22">
        <f>IF('Ambassadors &amp; Creators'!AL32="","",'Ambassadors &amp; Creators'!AL32)</f>
        <v/>
      </c>
      <c r="AL212" s="18">
        <f>IF(V212="","",V212+ROW()/100000)</f>
        <v/>
      </c>
    </row>
    <row r="213" ht="18" customHeight="1">
      <c r="A213" s="16">
        <f>IF('Charity &amp; Causes'!B3="","","Charity &amp; Causes")</f>
        <v/>
      </c>
      <c r="B213" s="16">
        <f>IF('Charity &amp; Causes'!B3="","",'Charity &amp; Causes'!B3)</f>
        <v/>
      </c>
      <c r="C213" s="17">
        <f>IF('Charity &amp; Causes'!D3="","",'Charity &amp; Causes'!D3)</f>
        <v/>
      </c>
      <c r="D213" s="16">
        <f>IF('Charity &amp; Causes'!E3="","",'Charity &amp; Causes'!E3)</f>
        <v/>
      </c>
      <c r="E213" s="17">
        <f>IF('Charity &amp; Causes'!F3="","",'Charity &amp; Causes'!F3)</f>
        <v/>
      </c>
      <c r="F213" s="17">
        <f>IF('Charity &amp; Causes'!G3="","",'Charity &amp; Causes'!G3)</f>
        <v/>
      </c>
      <c r="G213" s="17">
        <f>IF('Charity &amp; Causes'!H3="","",'Charity &amp; Causes'!H3)</f>
        <v/>
      </c>
      <c r="H213" s="16">
        <f>IF('Charity &amp; Causes'!I3="","",'Charity &amp; Causes'!I3)</f>
        <v/>
      </c>
      <c r="I213" s="17">
        <f>IF('Charity &amp; Causes'!J3="","",'Charity &amp; Causes'!J3)</f>
        <v/>
      </c>
      <c r="J213" s="16">
        <f>IF('Charity &amp; Causes'!K3="","",'Charity &amp; Causes'!K3)</f>
        <v/>
      </c>
      <c r="K213" s="17">
        <f>IF('Charity &amp; Causes'!L3="","",'Charity &amp; Causes'!L3)</f>
        <v/>
      </c>
      <c r="L213" s="16">
        <f>IF('Charity &amp; Causes'!M3="","",'Charity &amp; Causes'!M3)</f>
        <v/>
      </c>
      <c r="M213" s="17">
        <f>IF('Charity &amp; Causes'!N3="","",'Charity &amp; Causes'!N3)</f>
        <v/>
      </c>
      <c r="N213" s="16">
        <f>IF('Charity &amp; Causes'!O3="","",'Charity &amp; Causes'!O3)</f>
        <v/>
      </c>
      <c r="O213" s="17">
        <f>IF('Charity &amp; Causes'!P3="","",'Charity &amp; Causes'!P3)</f>
        <v/>
      </c>
      <c r="P213" s="17">
        <f>IF('Charity &amp; Causes'!Q3="","",'Charity &amp; Causes'!Q3)</f>
        <v/>
      </c>
      <c r="Q213" s="15">
        <f>IF('Charity &amp; Causes'!R3="","",'Charity &amp; Causes'!R3)</f>
        <v/>
      </c>
      <c r="R213" s="19">
        <f>IF('Charity &amp; Causes'!S3="","",'Charity &amp; Causes'!S3)</f>
        <v/>
      </c>
      <c r="S213" s="16">
        <f>IF('Charity &amp; Causes'!T3="","",'Charity &amp; Causes'!T3)</f>
        <v/>
      </c>
      <c r="T213" s="15">
        <f>IF('Charity &amp; Causes'!U3="","",'Charity &amp; Causes'!U3)</f>
        <v/>
      </c>
      <c r="U213" s="17">
        <f>IF('Charity &amp; Causes'!V3="","",'Charity &amp; Causes'!V3)</f>
        <v/>
      </c>
      <c r="V213" s="15">
        <f>IF('Charity &amp; Causes'!W3="","",'Charity &amp; Causes'!W3)</f>
        <v/>
      </c>
      <c r="W213" s="17">
        <f>IF('Charity &amp; Causes'!X3="","",'Charity &amp; Causes'!X3)</f>
        <v/>
      </c>
      <c r="X213" s="17">
        <f>IF('Charity &amp; Causes'!Y3="","",'Charity &amp; Causes'!Y3)</f>
        <v/>
      </c>
      <c r="Y213" s="20">
        <f>IF('Charity &amp; Causes'!Z3="","",'Charity &amp; Causes'!Z3)</f>
        <v/>
      </c>
      <c r="Z213" s="21">
        <f>IF('Charity &amp; Causes'!AA3="","",'Charity &amp; Causes'!AA3)</f>
        <v/>
      </c>
      <c r="AA213" s="20">
        <f>IF('Charity &amp; Causes'!AB3="","",'Charity &amp; Causes'!AB3)</f>
        <v/>
      </c>
      <c r="AB213" s="16">
        <f>IF('Charity &amp; Causes'!AC3="","",'Charity &amp; Causes'!AC3)</f>
        <v/>
      </c>
      <c r="AC213" s="16">
        <f>IF('Charity &amp; Causes'!AD3="","",'Charity &amp; Causes'!AD3)</f>
        <v/>
      </c>
      <c r="AD213" s="16">
        <f>IF('Charity &amp; Causes'!AE3="","",'Charity &amp; Causes'!AE3)</f>
        <v/>
      </c>
      <c r="AE213" s="16">
        <f>IF('Charity &amp; Causes'!AF3="","",'Charity &amp; Causes'!AF3)</f>
        <v/>
      </c>
      <c r="AF213" s="16">
        <f>IF('Charity &amp; Causes'!AG3="","",'Charity &amp; Causes'!AG3)</f>
        <v/>
      </c>
      <c r="AG213" s="17">
        <f>IF('Charity &amp; Causes'!AH3="","",'Charity &amp; Causes'!AH3)</f>
        <v/>
      </c>
      <c r="AH213" s="17">
        <f>IF('Charity &amp; Causes'!AI3="","",'Charity &amp; Causes'!AI3)</f>
        <v/>
      </c>
      <c r="AI213" s="17">
        <f>IF('Charity &amp; Causes'!AJ3="","",'Charity &amp; Causes'!AJ3)</f>
        <v/>
      </c>
      <c r="AJ213" s="17">
        <f>IF('Charity &amp; Causes'!AK3="","",'Charity &amp; Causes'!AK3)</f>
        <v/>
      </c>
      <c r="AK213" s="16">
        <f>IF('Charity &amp; Causes'!AL3="","",'Charity &amp; Causes'!AL3)</f>
        <v/>
      </c>
      <c r="AL213" s="18">
        <f>IF(V213="","",V213+ROW()/100000)</f>
        <v/>
      </c>
    </row>
    <row r="214" ht="18" customHeight="1">
      <c r="A214" s="22">
        <f>IF('Charity &amp; Causes'!B4="","","Charity &amp; Causes")</f>
        <v/>
      </c>
      <c r="B214" s="22">
        <f>IF('Charity &amp; Causes'!B4="","",'Charity &amp; Causes'!B4)</f>
        <v/>
      </c>
      <c r="C214" s="23">
        <f>IF('Charity &amp; Causes'!D4="","",'Charity &amp; Causes'!D4)</f>
        <v/>
      </c>
      <c r="D214" s="22">
        <f>IF('Charity &amp; Causes'!E4="","",'Charity &amp; Causes'!E4)</f>
        <v/>
      </c>
      <c r="E214" s="23">
        <f>IF('Charity &amp; Causes'!F4="","",'Charity &amp; Causes'!F4)</f>
        <v/>
      </c>
      <c r="F214" s="23">
        <f>IF('Charity &amp; Causes'!G4="","",'Charity &amp; Causes'!G4)</f>
        <v/>
      </c>
      <c r="G214" s="23">
        <f>IF('Charity &amp; Causes'!H4="","",'Charity &amp; Causes'!H4)</f>
        <v/>
      </c>
      <c r="H214" s="22">
        <f>IF('Charity &amp; Causes'!I4="","",'Charity &amp; Causes'!I4)</f>
        <v/>
      </c>
      <c r="I214" s="23">
        <f>IF('Charity &amp; Causes'!J4="","",'Charity &amp; Causes'!J4)</f>
        <v/>
      </c>
      <c r="J214" s="22">
        <f>IF('Charity &amp; Causes'!K4="","",'Charity &amp; Causes'!K4)</f>
        <v/>
      </c>
      <c r="K214" s="23">
        <f>IF('Charity &amp; Causes'!L4="","",'Charity &amp; Causes'!L4)</f>
        <v/>
      </c>
      <c r="L214" s="22">
        <f>IF('Charity &amp; Causes'!M4="","",'Charity &amp; Causes'!M4)</f>
        <v/>
      </c>
      <c r="M214" s="23">
        <f>IF('Charity &amp; Causes'!N4="","",'Charity &amp; Causes'!N4)</f>
        <v/>
      </c>
      <c r="N214" s="22">
        <f>IF('Charity &amp; Causes'!O4="","",'Charity &amp; Causes'!O4)</f>
        <v/>
      </c>
      <c r="O214" s="23">
        <f>IF('Charity &amp; Causes'!P4="","",'Charity &amp; Causes'!P4)</f>
        <v/>
      </c>
      <c r="P214" s="23">
        <f>IF('Charity &amp; Causes'!Q4="","",'Charity &amp; Causes'!Q4)</f>
        <v/>
      </c>
      <c r="Q214" s="24">
        <f>IF('Charity &amp; Causes'!R4="","",'Charity &amp; Causes'!R4)</f>
        <v/>
      </c>
      <c r="R214" s="25">
        <f>IF('Charity &amp; Causes'!S4="","",'Charity &amp; Causes'!S4)</f>
        <v/>
      </c>
      <c r="S214" s="22">
        <f>IF('Charity &amp; Causes'!T4="","",'Charity &amp; Causes'!T4)</f>
        <v/>
      </c>
      <c r="T214" s="24">
        <f>IF('Charity &amp; Causes'!U4="","",'Charity &amp; Causes'!U4)</f>
        <v/>
      </c>
      <c r="U214" s="23">
        <f>IF('Charity &amp; Causes'!V4="","",'Charity &amp; Causes'!V4)</f>
        <v/>
      </c>
      <c r="V214" s="24">
        <f>IF('Charity &amp; Causes'!W4="","",'Charity &amp; Causes'!W4)</f>
        <v/>
      </c>
      <c r="W214" s="23">
        <f>IF('Charity &amp; Causes'!X4="","",'Charity &amp; Causes'!X4)</f>
        <v/>
      </c>
      <c r="X214" s="23">
        <f>IF('Charity &amp; Causes'!Y4="","",'Charity &amp; Causes'!Y4)</f>
        <v/>
      </c>
      <c r="Y214" s="26">
        <f>IF('Charity &amp; Causes'!Z4="","",'Charity &amp; Causes'!Z4)</f>
        <v/>
      </c>
      <c r="Z214" s="27">
        <f>IF('Charity &amp; Causes'!AA4="","",'Charity &amp; Causes'!AA4)</f>
        <v/>
      </c>
      <c r="AA214" s="26">
        <f>IF('Charity &amp; Causes'!AB4="","",'Charity &amp; Causes'!AB4)</f>
        <v/>
      </c>
      <c r="AB214" s="22">
        <f>IF('Charity &amp; Causes'!AC4="","",'Charity &amp; Causes'!AC4)</f>
        <v/>
      </c>
      <c r="AC214" s="22">
        <f>IF('Charity &amp; Causes'!AD4="","",'Charity &amp; Causes'!AD4)</f>
        <v/>
      </c>
      <c r="AD214" s="22">
        <f>IF('Charity &amp; Causes'!AE4="","",'Charity &amp; Causes'!AE4)</f>
        <v/>
      </c>
      <c r="AE214" s="22">
        <f>IF('Charity &amp; Causes'!AF4="","",'Charity &amp; Causes'!AF4)</f>
        <v/>
      </c>
      <c r="AF214" s="22">
        <f>IF('Charity &amp; Causes'!AG4="","",'Charity &amp; Causes'!AG4)</f>
        <v/>
      </c>
      <c r="AG214" s="23">
        <f>IF('Charity &amp; Causes'!AH4="","",'Charity &amp; Causes'!AH4)</f>
        <v/>
      </c>
      <c r="AH214" s="23">
        <f>IF('Charity &amp; Causes'!AI4="","",'Charity &amp; Causes'!AI4)</f>
        <v/>
      </c>
      <c r="AI214" s="23">
        <f>IF('Charity &amp; Causes'!AJ4="","",'Charity &amp; Causes'!AJ4)</f>
        <v/>
      </c>
      <c r="AJ214" s="23">
        <f>IF('Charity &amp; Causes'!AK4="","",'Charity &amp; Causes'!AK4)</f>
        <v/>
      </c>
      <c r="AK214" s="22">
        <f>IF('Charity &amp; Causes'!AL4="","",'Charity &amp; Causes'!AL4)</f>
        <v/>
      </c>
      <c r="AL214" s="18">
        <f>IF(V214="","",V214+ROW()/100000)</f>
        <v/>
      </c>
    </row>
    <row r="215" ht="18" customHeight="1">
      <c r="A215" s="16">
        <f>IF('Charity &amp; Causes'!B5="","","Charity &amp; Causes")</f>
        <v/>
      </c>
      <c r="B215" s="16">
        <f>IF('Charity &amp; Causes'!B5="","",'Charity &amp; Causes'!B5)</f>
        <v/>
      </c>
      <c r="C215" s="17">
        <f>IF('Charity &amp; Causes'!D5="","",'Charity &amp; Causes'!D5)</f>
        <v/>
      </c>
      <c r="D215" s="16">
        <f>IF('Charity &amp; Causes'!E5="","",'Charity &amp; Causes'!E5)</f>
        <v/>
      </c>
      <c r="E215" s="17">
        <f>IF('Charity &amp; Causes'!F5="","",'Charity &amp; Causes'!F5)</f>
        <v/>
      </c>
      <c r="F215" s="17">
        <f>IF('Charity &amp; Causes'!G5="","",'Charity &amp; Causes'!G5)</f>
        <v/>
      </c>
      <c r="G215" s="17">
        <f>IF('Charity &amp; Causes'!H5="","",'Charity &amp; Causes'!H5)</f>
        <v/>
      </c>
      <c r="H215" s="16">
        <f>IF('Charity &amp; Causes'!I5="","",'Charity &amp; Causes'!I5)</f>
        <v/>
      </c>
      <c r="I215" s="17">
        <f>IF('Charity &amp; Causes'!J5="","",'Charity &amp; Causes'!J5)</f>
        <v/>
      </c>
      <c r="J215" s="16">
        <f>IF('Charity &amp; Causes'!K5="","",'Charity &amp; Causes'!K5)</f>
        <v/>
      </c>
      <c r="K215" s="17">
        <f>IF('Charity &amp; Causes'!L5="","",'Charity &amp; Causes'!L5)</f>
        <v/>
      </c>
      <c r="L215" s="16">
        <f>IF('Charity &amp; Causes'!M5="","",'Charity &amp; Causes'!M5)</f>
        <v/>
      </c>
      <c r="M215" s="17">
        <f>IF('Charity &amp; Causes'!N5="","",'Charity &amp; Causes'!N5)</f>
        <v/>
      </c>
      <c r="N215" s="16">
        <f>IF('Charity &amp; Causes'!O5="","",'Charity &amp; Causes'!O5)</f>
        <v/>
      </c>
      <c r="O215" s="17">
        <f>IF('Charity &amp; Causes'!P5="","",'Charity &amp; Causes'!P5)</f>
        <v/>
      </c>
      <c r="P215" s="17">
        <f>IF('Charity &amp; Causes'!Q5="","",'Charity &amp; Causes'!Q5)</f>
        <v/>
      </c>
      <c r="Q215" s="15">
        <f>IF('Charity &amp; Causes'!R5="","",'Charity &amp; Causes'!R5)</f>
        <v/>
      </c>
      <c r="R215" s="19">
        <f>IF('Charity &amp; Causes'!S5="","",'Charity &amp; Causes'!S5)</f>
        <v/>
      </c>
      <c r="S215" s="16">
        <f>IF('Charity &amp; Causes'!T5="","",'Charity &amp; Causes'!T5)</f>
        <v/>
      </c>
      <c r="T215" s="15">
        <f>IF('Charity &amp; Causes'!U5="","",'Charity &amp; Causes'!U5)</f>
        <v/>
      </c>
      <c r="U215" s="17">
        <f>IF('Charity &amp; Causes'!V5="","",'Charity &amp; Causes'!V5)</f>
        <v/>
      </c>
      <c r="V215" s="15">
        <f>IF('Charity &amp; Causes'!W5="","",'Charity &amp; Causes'!W5)</f>
        <v/>
      </c>
      <c r="W215" s="17">
        <f>IF('Charity &amp; Causes'!X5="","",'Charity &amp; Causes'!X5)</f>
        <v/>
      </c>
      <c r="X215" s="17">
        <f>IF('Charity &amp; Causes'!Y5="","",'Charity &amp; Causes'!Y5)</f>
        <v/>
      </c>
      <c r="Y215" s="20">
        <f>IF('Charity &amp; Causes'!Z5="","",'Charity &amp; Causes'!Z5)</f>
        <v/>
      </c>
      <c r="Z215" s="21">
        <f>IF('Charity &amp; Causes'!AA5="","",'Charity &amp; Causes'!AA5)</f>
        <v/>
      </c>
      <c r="AA215" s="20">
        <f>IF('Charity &amp; Causes'!AB5="","",'Charity &amp; Causes'!AB5)</f>
        <v/>
      </c>
      <c r="AB215" s="16">
        <f>IF('Charity &amp; Causes'!AC5="","",'Charity &amp; Causes'!AC5)</f>
        <v/>
      </c>
      <c r="AC215" s="16">
        <f>IF('Charity &amp; Causes'!AD5="","",'Charity &amp; Causes'!AD5)</f>
        <v/>
      </c>
      <c r="AD215" s="16">
        <f>IF('Charity &amp; Causes'!AE5="","",'Charity &amp; Causes'!AE5)</f>
        <v/>
      </c>
      <c r="AE215" s="16">
        <f>IF('Charity &amp; Causes'!AF5="","",'Charity &amp; Causes'!AF5)</f>
        <v/>
      </c>
      <c r="AF215" s="16">
        <f>IF('Charity &amp; Causes'!AG5="","",'Charity &amp; Causes'!AG5)</f>
        <v/>
      </c>
      <c r="AG215" s="17">
        <f>IF('Charity &amp; Causes'!AH5="","",'Charity &amp; Causes'!AH5)</f>
        <v/>
      </c>
      <c r="AH215" s="17">
        <f>IF('Charity &amp; Causes'!AI5="","",'Charity &amp; Causes'!AI5)</f>
        <v/>
      </c>
      <c r="AI215" s="17">
        <f>IF('Charity &amp; Causes'!AJ5="","",'Charity &amp; Causes'!AJ5)</f>
        <v/>
      </c>
      <c r="AJ215" s="17">
        <f>IF('Charity &amp; Causes'!AK5="","",'Charity &amp; Causes'!AK5)</f>
        <v/>
      </c>
      <c r="AK215" s="16">
        <f>IF('Charity &amp; Causes'!AL5="","",'Charity &amp; Causes'!AL5)</f>
        <v/>
      </c>
      <c r="AL215" s="18">
        <f>IF(V215="","",V215+ROW()/100000)</f>
        <v/>
      </c>
    </row>
    <row r="216" ht="18" customHeight="1">
      <c r="A216" s="22">
        <f>IF('Charity &amp; Causes'!B6="","","Charity &amp; Causes")</f>
        <v/>
      </c>
      <c r="B216" s="22">
        <f>IF('Charity &amp; Causes'!B6="","",'Charity &amp; Causes'!B6)</f>
        <v/>
      </c>
      <c r="C216" s="23">
        <f>IF('Charity &amp; Causes'!D6="","",'Charity &amp; Causes'!D6)</f>
        <v/>
      </c>
      <c r="D216" s="22">
        <f>IF('Charity &amp; Causes'!E6="","",'Charity &amp; Causes'!E6)</f>
        <v/>
      </c>
      <c r="E216" s="23">
        <f>IF('Charity &amp; Causes'!F6="","",'Charity &amp; Causes'!F6)</f>
        <v/>
      </c>
      <c r="F216" s="23">
        <f>IF('Charity &amp; Causes'!G6="","",'Charity &amp; Causes'!G6)</f>
        <v/>
      </c>
      <c r="G216" s="23">
        <f>IF('Charity &amp; Causes'!H6="","",'Charity &amp; Causes'!H6)</f>
        <v/>
      </c>
      <c r="H216" s="22">
        <f>IF('Charity &amp; Causes'!I6="","",'Charity &amp; Causes'!I6)</f>
        <v/>
      </c>
      <c r="I216" s="23">
        <f>IF('Charity &amp; Causes'!J6="","",'Charity &amp; Causes'!J6)</f>
        <v/>
      </c>
      <c r="J216" s="22">
        <f>IF('Charity &amp; Causes'!K6="","",'Charity &amp; Causes'!K6)</f>
        <v/>
      </c>
      <c r="K216" s="23">
        <f>IF('Charity &amp; Causes'!L6="","",'Charity &amp; Causes'!L6)</f>
        <v/>
      </c>
      <c r="L216" s="22">
        <f>IF('Charity &amp; Causes'!M6="","",'Charity &amp; Causes'!M6)</f>
        <v/>
      </c>
      <c r="M216" s="23">
        <f>IF('Charity &amp; Causes'!N6="","",'Charity &amp; Causes'!N6)</f>
        <v/>
      </c>
      <c r="N216" s="22">
        <f>IF('Charity &amp; Causes'!O6="","",'Charity &amp; Causes'!O6)</f>
        <v/>
      </c>
      <c r="O216" s="23">
        <f>IF('Charity &amp; Causes'!P6="","",'Charity &amp; Causes'!P6)</f>
        <v/>
      </c>
      <c r="P216" s="23">
        <f>IF('Charity &amp; Causes'!Q6="","",'Charity &amp; Causes'!Q6)</f>
        <v/>
      </c>
      <c r="Q216" s="24">
        <f>IF('Charity &amp; Causes'!R6="","",'Charity &amp; Causes'!R6)</f>
        <v/>
      </c>
      <c r="R216" s="25">
        <f>IF('Charity &amp; Causes'!S6="","",'Charity &amp; Causes'!S6)</f>
        <v/>
      </c>
      <c r="S216" s="22">
        <f>IF('Charity &amp; Causes'!T6="","",'Charity &amp; Causes'!T6)</f>
        <v/>
      </c>
      <c r="T216" s="24">
        <f>IF('Charity &amp; Causes'!U6="","",'Charity &amp; Causes'!U6)</f>
        <v/>
      </c>
      <c r="U216" s="23">
        <f>IF('Charity &amp; Causes'!V6="","",'Charity &amp; Causes'!V6)</f>
        <v/>
      </c>
      <c r="V216" s="24">
        <f>IF('Charity &amp; Causes'!W6="","",'Charity &amp; Causes'!W6)</f>
        <v/>
      </c>
      <c r="W216" s="23">
        <f>IF('Charity &amp; Causes'!X6="","",'Charity &amp; Causes'!X6)</f>
        <v/>
      </c>
      <c r="X216" s="23">
        <f>IF('Charity &amp; Causes'!Y6="","",'Charity &amp; Causes'!Y6)</f>
        <v/>
      </c>
      <c r="Y216" s="26">
        <f>IF('Charity &amp; Causes'!Z6="","",'Charity &amp; Causes'!Z6)</f>
        <v/>
      </c>
      <c r="Z216" s="27">
        <f>IF('Charity &amp; Causes'!AA6="","",'Charity &amp; Causes'!AA6)</f>
        <v/>
      </c>
      <c r="AA216" s="26">
        <f>IF('Charity &amp; Causes'!AB6="","",'Charity &amp; Causes'!AB6)</f>
        <v/>
      </c>
      <c r="AB216" s="22">
        <f>IF('Charity &amp; Causes'!AC6="","",'Charity &amp; Causes'!AC6)</f>
        <v/>
      </c>
      <c r="AC216" s="22">
        <f>IF('Charity &amp; Causes'!AD6="","",'Charity &amp; Causes'!AD6)</f>
        <v/>
      </c>
      <c r="AD216" s="22">
        <f>IF('Charity &amp; Causes'!AE6="","",'Charity &amp; Causes'!AE6)</f>
        <v/>
      </c>
      <c r="AE216" s="22">
        <f>IF('Charity &amp; Causes'!AF6="","",'Charity &amp; Causes'!AF6)</f>
        <v/>
      </c>
      <c r="AF216" s="22">
        <f>IF('Charity &amp; Causes'!AG6="","",'Charity &amp; Causes'!AG6)</f>
        <v/>
      </c>
      <c r="AG216" s="23">
        <f>IF('Charity &amp; Causes'!AH6="","",'Charity &amp; Causes'!AH6)</f>
        <v/>
      </c>
      <c r="AH216" s="23">
        <f>IF('Charity &amp; Causes'!AI6="","",'Charity &amp; Causes'!AI6)</f>
        <v/>
      </c>
      <c r="AI216" s="23">
        <f>IF('Charity &amp; Causes'!AJ6="","",'Charity &amp; Causes'!AJ6)</f>
        <v/>
      </c>
      <c r="AJ216" s="23">
        <f>IF('Charity &amp; Causes'!AK6="","",'Charity &amp; Causes'!AK6)</f>
        <v/>
      </c>
      <c r="AK216" s="22">
        <f>IF('Charity &amp; Causes'!AL6="","",'Charity &amp; Causes'!AL6)</f>
        <v/>
      </c>
      <c r="AL216" s="18">
        <f>IF(V216="","",V216+ROW()/100000)</f>
        <v/>
      </c>
    </row>
    <row r="217" ht="18" customHeight="1">
      <c r="A217" s="16">
        <f>IF('Charity &amp; Causes'!B7="","","Charity &amp; Causes")</f>
        <v/>
      </c>
      <c r="B217" s="16">
        <f>IF('Charity &amp; Causes'!B7="","",'Charity &amp; Causes'!B7)</f>
        <v/>
      </c>
      <c r="C217" s="17">
        <f>IF('Charity &amp; Causes'!D7="","",'Charity &amp; Causes'!D7)</f>
        <v/>
      </c>
      <c r="D217" s="16">
        <f>IF('Charity &amp; Causes'!E7="","",'Charity &amp; Causes'!E7)</f>
        <v/>
      </c>
      <c r="E217" s="17">
        <f>IF('Charity &amp; Causes'!F7="","",'Charity &amp; Causes'!F7)</f>
        <v/>
      </c>
      <c r="F217" s="17">
        <f>IF('Charity &amp; Causes'!G7="","",'Charity &amp; Causes'!G7)</f>
        <v/>
      </c>
      <c r="G217" s="17">
        <f>IF('Charity &amp; Causes'!H7="","",'Charity &amp; Causes'!H7)</f>
        <v/>
      </c>
      <c r="H217" s="16">
        <f>IF('Charity &amp; Causes'!I7="","",'Charity &amp; Causes'!I7)</f>
        <v/>
      </c>
      <c r="I217" s="17">
        <f>IF('Charity &amp; Causes'!J7="","",'Charity &amp; Causes'!J7)</f>
        <v/>
      </c>
      <c r="J217" s="16">
        <f>IF('Charity &amp; Causes'!K7="","",'Charity &amp; Causes'!K7)</f>
        <v/>
      </c>
      <c r="K217" s="17">
        <f>IF('Charity &amp; Causes'!L7="","",'Charity &amp; Causes'!L7)</f>
        <v/>
      </c>
      <c r="L217" s="16">
        <f>IF('Charity &amp; Causes'!M7="","",'Charity &amp; Causes'!M7)</f>
        <v/>
      </c>
      <c r="M217" s="17">
        <f>IF('Charity &amp; Causes'!N7="","",'Charity &amp; Causes'!N7)</f>
        <v/>
      </c>
      <c r="N217" s="16">
        <f>IF('Charity &amp; Causes'!O7="","",'Charity &amp; Causes'!O7)</f>
        <v/>
      </c>
      <c r="O217" s="17">
        <f>IF('Charity &amp; Causes'!P7="","",'Charity &amp; Causes'!P7)</f>
        <v/>
      </c>
      <c r="P217" s="17">
        <f>IF('Charity &amp; Causes'!Q7="","",'Charity &amp; Causes'!Q7)</f>
        <v/>
      </c>
      <c r="Q217" s="15">
        <f>IF('Charity &amp; Causes'!R7="","",'Charity &amp; Causes'!R7)</f>
        <v/>
      </c>
      <c r="R217" s="19">
        <f>IF('Charity &amp; Causes'!S7="","",'Charity &amp; Causes'!S7)</f>
        <v/>
      </c>
      <c r="S217" s="16">
        <f>IF('Charity &amp; Causes'!T7="","",'Charity &amp; Causes'!T7)</f>
        <v/>
      </c>
      <c r="T217" s="15">
        <f>IF('Charity &amp; Causes'!U7="","",'Charity &amp; Causes'!U7)</f>
        <v/>
      </c>
      <c r="U217" s="17">
        <f>IF('Charity &amp; Causes'!V7="","",'Charity &amp; Causes'!V7)</f>
        <v/>
      </c>
      <c r="V217" s="15">
        <f>IF('Charity &amp; Causes'!W7="","",'Charity &amp; Causes'!W7)</f>
        <v/>
      </c>
      <c r="W217" s="17">
        <f>IF('Charity &amp; Causes'!X7="","",'Charity &amp; Causes'!X7)</f>
        <v/>
      </c>
      <c r="X217" s="17">
        <f>IF('Charity &amp; Causes'!Y7="","",'Charity &amp; Causes'!Y7)</f>
        <v/>
      </c>
      <c r="Y217" s="20">
        <f>IF('Charity &amp; Causes'!Z7="","",'Charity &amp; Causes'!Z7)</f>
        <v/>
      </c>
      <c r="Z217" s="21">
        <f>IF('Charity &amp; Causes'!AA7="","",'Charity &amp; Causes'!AA7)</f>
        <v/>
      </c>
      <c r="AA217" s="20">
        <f>IF('Charity &amp; Causes'!AB7="","",'Charity &amp; Causes'!AB7)</f>
        <v/>
      </c>
      <c r="AB217" s="16">
        <f>IF('Charity &amp; Causes'!AC7="","",'Charity &amp; Causes'!AC7)</f>
        <v/>
      </c>
      <c r="AC217" s="16">
        <f>IF('Charity &amp; Causes'!AD7="","",'Charity &amp; Causes'!AD7)</f>
        <v/>
      </c>
      <c r="AD217" s="16">
        <f>IF('Charity &amp; Causes'!AE7="","",'Charity &amp; Causes'!AE7)</f>
        <v/>
      </c>
      <c r="AE217" s="16">
        <f>IF('Charity &amp; Causes'!AF7="","",'Charity &amp; Causes'!AF7)</f>
        <v/>
      </c>
      <c r="AF217" s="16">
        <f>IF('Charity &amp; Causes'!AG7="","",'Charity &amp; Causes'!AG7)</f>
        <v/>
      </c>
      <c r="AG217" s="17">
        <f>IF('Charity &amp; Causes'!AH7="","",'Charity &amp; Causes'!AH7)</f>
        <v/>
      </c>
      <c r="AH217" s="17">
        <f>IF('Charity &amp; Causes'!AI7="","",'Charity &amp; Causes'!AI7)</f>
        <v/>
      </c>
      <c r="AI217" s="17">
        <f>IF('Charity &amp; Causes'!AJ7="","",'Charity &amp; Causes'!AJ7)</f>
        <v/>
      </c>
      <c r="AJ217" s="17">
        <f>IF('Charity &amp; Causes'!AK7="","",'Charity &amp; Causes'!AK7)</f>
        <v/>
      </c>
      <c r="AK217" s="16">
        <f>IF('Charity &amp; Causes'!AL7="","",'Charity &amp; Causes'!AL7)</f>
        <v/>
      </c>
      <c r="AL217" s="18">
        <f>IF(V217="","",V217+ROW()/100000)</f>
        <v/>
      </c>
    </row>
    <row r="218" ht="18" customHeight="1">
      <c r="A218" s="22">
        <f>IF('Charity &amp; Causes'!B8="","","Charity &amp; Causes")</f>
        <v/>
      </c>
      <c r="B218" s="22">
        <f>IF('Charity &amp; Causes'!B8="","",'Charity &amp; Causes'!B8)</f>
        <v/>
      </c>
      <c r="C218" s="23">
        <f>IF('Charity &amp; Causes'!D8="","",'Charity &amp; Causes'!D8)</f>
        <v/>
      </c>
      <c r="D218" s="22">
        <f>IF('Charity &amp; Causes'!E8="","",'Charity &amp; Causes'!E8)</f>
        <v/>
      </c>
      <c r="E218" s="23">
        <f>IF('Charity &amp; Causes'!F8="","",'Charity &amp; Causes'!F8)</f>
        <v/>
      </c>
      <c r="F218" s="23">
        <f>IF('Charity &amp; Causes'!G8="","",'Charity &amp; Causes'!G8)</f>
        <v/>
      </c>
      <c r="G218" s="23">
        <f>IF('Charity &amp; Causes'!H8="","",'Charity &amp; Causes'!H8)</f>
        <v/>
      </c>
      <c r="H218" s="22">
        <f>IF('Charity &amp; Causes'!I8="","",'Charity &amp; Causes'!I8)</f>
        <v/>
      </c>
      <c r="I218" s="23">
        <f>IF('Charity &amp; Causes'!J8="","",'Charity &amp; Causes'!J8)</f>
        <v/>
      </c>
      <c r="J218" s="22">
        <f>IF('Charity &amp; Causes'!K8="","",'Charity &amp; Causes'!K8)</f>
        <v/>
      </c>
      <c r="K218" s="23">
        <f>IF('Charity &amp; Causes'!L8="","",'Charity &amp; Causes'!L8)</f>
        <v/>
      </c>
      <c r="L218" s="22">
        <f>IF('Charity &amp; Causes'!M8="","",'Charity &amp; Causes'!M8)</f>
        <v/>
      </c>
      <c r="M218" s="23">
        <f>IF('Charity &amp; Causes'!N8="","",'Charity &amp; Causes'!N8)</f>
        <v/>
      </c>
      <c r="N218" s="22">
        <f>IF('Charity &amp; Causes'!O8="","",'Charity &amp; Causes'!O8)</f>
        <v/>
      </c>
      <c r="O218" s="23">
        <f>IF('Charity &amp; Causes'!P8="","",'Charity &amp; Causes'!P8)</f>
        <v/>
      </c>
      <c r="P218" s="23">
        <f>IF('Charity &amp; Causes'!Q8="","",'Charity &amp; Causes'!Q8)</f>
        <v/>
      </c>
      <c r="Q218" s="24">
        <f>IF('Charity &amp; Causes'!R8="","",'Charity &amp; Causes'!R8)</f>
        <v/>
      </c>
      <c r="R218" s="25">
        <f>IF('Charity &amp; Causes'!S8="","",'Charity &amp; Causes'!S8)</f>
        <v/>
      </c>
      <c r="S218" s="22">
        <f>IF('Charity &amp; Causes'!T8="","",'Charity &amp; Causes'!T8)</f>
        <v/>
      </c>
      <c r="T218" s="24">
        <f>IF('Charity &amp; Causes'!U8="","",'Charity &amp; Causes'!U8)</f>
        <v/>
      </c>
      <c r="U218" s="23">
        <f>IF('Charity &amp; Causes'!V8="","",'Charity &amp; Causes'!V8)</f>
        <v/>
      </c>
      <c r="V218" s="24">
        <f>IF('Charity &amp; Causes'!W8="","",'Charity &amp; Causes'!W8)</f>
        <v/>
      </c>
      <c r="W218" s="23">
        <f>IF('Charity &amp; Causes'!X8="","",'Charity &amp; Causes'!X8)</f>
        <v/>
      </c>
      <c r="X218" s="23">
        <f>IF('Charity &amp; Causes'!Y8="","",'Charity &amp; Causes'!Y8)</f>
        <v/>
      </c>
      <c r="Y218" s="26">
        <f>IF('Charity &amp; Causes'!Z8="","",'Charity &amp; Causes'!Z8)</f>
        <v/>
      </c>
      <c r="Z218" s="27">
        <f>IF('Charity &amp; Causes'!AA8="","",'Charity &amp; Causes'!AA8)</f>
        <v/>
      </c>
      <c r="AA218" s="26">
        <f>IF('Charity &amp; Causes'!AB8="","",'Charity &amp; Causes'!AB8)</f>
        <v/>
      </c>
      <c r="AB218" s="22">
        <f>IF('Charity &amp; Causes'!AC8="","",'Charity &amp; Causes'!AC8)</f>
        <v/>
      </c>
      <c r="AC218" s="22">
        <f>IF('Charity &amp; Causes'!AD8="","",'Charity &amp; Causes'!AD8)</f>
        <v/>
      </c>
      <c r="AD218" s="22">
        <f>IF('Charity &amp; Causes'!AE8="","",'Charity &amp; Causes'!AE8)</f>
        <v/>
      </c>
      <c r="AE218" s="22">
        <f>IF('Charity &amp; Causes'!AF8="","",'Charity &amp; Causes'!AF8)</f>
        <v/>
      </c>
      <c r="AF218" s="22">
        <f>IF('Charity &amp; Causes'!AG8="","",'Charity &amp; Causes'!AG8)</f>
        <v/>
      </c>
      <c r="AG218" s="23">
        <f>IF('Charity &amp; Causes'!AH8="","",'Charity &amp; Causes'!AH8)</f>
        <v/>
      </c>
      <c r="AH218" s="23">
        <f>IF('Charity &amp; Causes'!AI8="","",'Charity &amp; Causes'!AI8)</f>
        <v/>
      </c>
      <c r="AI218" s="23">
        <f>IF('Charity &amp; Causes'!AJ8="","",'Charity &amp; Causes'!AJ8)</f>
        <v/>
      </c>
      <c r="AJ218" s="23">
        <f>IF('Charity &amp; Causes'!AK8="","",'Charity &amp; Causes'!AK8)</f>
        <v/>
      </c>
      <c r="AK218" s="22">
        <f>IF('Charity &amp; Causes'!AL8="","",'Charity &amp; Causes'!AL8)</f>
        <v/>
      </c>
      <c r="AL218" s="18">
        <f>IF(V218="","",V218+ROW()/100000)</f>
        <v/>
      </c>
    </row>
    <row r="219" ht="18" customHeight="1">
      <c r="A219" s="16">
        <f>IF('Charity &amp; Causes'!B9="","","Charity &amp; Causes")</f>
        <v/>
      </c>
      <c r="B219" s="16">
        <f>IF('Charity &amp; Causes'!B9="","",'Charity &amp; Causes'!B9)</f>
        <v/>
      </c>
      <c r="C219" s="17">
        <f>IF('Charity &amp; Causes'!D9="","",'Charity &amp; Causes'!D9)</f>
        <v/>
      </c>
      <c r="D219" s="16">
        <f>IF('Charity &amp; Causes'!E9="","",'Charity &amp; Causes'!E9)</f>
        <v/>
      </c>
      <c r="E219" s="17">
        <f>IF('Charity &amp; Causes'!F9="","",'Charity &amp; Causes'!F9)</f>
        <v/>
      </c>
      <c r="F219" s="17">
        <f>IF('Charity &amp; Causes'!G9="","",'Charity &amp; Causes'!G9)</f>
        <v/>
      </c>
      <c r="G219" s="17">
        <f>IF('Charity &amp; Causes'!H9="","",'Charity &amp; Causes'!H9)</f>
        <v/>
      </c>
      <c r="H219" s="16">
        <f>IF('Charity &amp; Causes'!I9="","",'Charity &amp; Causes'!I9)</f>
        <v/>
      </c>
      <c r="I219" s="17">
        <f>IF('Charity &amp; Causes'!J9="","",'Charity &amp; Causes'!J9)</f>
        <v/>
      </c>
      <c r="J219" s="16">
        <f>IF('Charity &amp; Causes'!K9="","",'Charity &amp; Causes'!K9)</f>
        <v/>
      </c>
      <c r="K219" s="17">
        <f>IF('Charity &amp; Causes'!L9="","",'Charity &amp; Causes'!L9)</f>
        <v/>
      </c>
      <c r="L219" s="16">
        <f>IF('Charity &amp; Causes'!M9="","",'Charity &amp; Causes'!M9)</f>
        <v/>
      </c>
      <c r="M219" s="17">
        <f>IF('Charity &amp; Causes'!N9="","",'Charity &amp; Causes'!N9)</f>
        <v/>
      </c>
      <c r="N219" s="16">
        <f>IF('Charity &amp; Causes'!O9="","",'Charity &amp; Causes'!O9)</f>
        <v/>
      </c>
      <c r="O219" s="17">
        <f>IF('Charity &amp; Causes'!P9="","",'Charity &amp; Causes'!P9)</f>
        <v/>
      </c>
      <c r="P219" s="17">
        <f>IF('Charity &amp; Causes'!Q9="","",'Charity &amp; Causes'!Q9)</f>
        <v/>
      </c>
      <c r="Q219" s="15">
        <f>IF('Charity &amp; Causes'!R9="","",'Charity &amp; Causes'!R9)</f>
        <v/>
      </c>
      <c r="R219" s="19">
        <f>IF('Charity &amp; Causes'!S9="","",'Charity &amp; Causes'!S9)</f>
        <v/>
      </c>
      <c r="S219" s="16">
        <f>IF('Charity &amp; Causes'!T9="","",'Charity &amp; Causes'!T9)</f>
        <v/>
      </c>
      <c r="T219" s="15">
        <f>IF('Charity &amp; Causes'!U9="","",'Charity &amp; Causes'!U9)</f>
        <v/>
      </c>
      <c r="U219" s="17">
        <f>IF('Charity &amp; Causes'!V9="","",'Charity &amp; Causes'!V9)</f>
        <v/>
      </c>
      <c r="V219" s="15">
        <f>IF('Charity &amp; Causes'!W9="","",'Charity &amp; Causes'!W9)</f>
        <v/>
      </c>
      <c r="W219" s="17">
        <f>IF('Charity &amp; Causes'!X9="","",'Charity &amp; Causes'!X9)</f>
        <v/>
      </c>
      <c r="X219" s="17">
        <f>IF('Charity &amp; Causes'!Y9="","",'Charity &amp; Causes'!Y9)</f>
        <v/>
      </c>
      <c r="Y219" s="20">
        <f>IF('Charity &amp; Causes'!Z9="","",'Charity &amp; Causes'!Z9)</f>
        <v/>
      </c>
      <c r="Z219" s="21">
        <f>IF('Charity &amp; Causes'!AA9="","",'Charity &amp; Causes'!AA9)</f>
        <v/>
      </c>
      <c r="AA219" s="20">
        <f>IF('Charity &amp; Causes'!AB9="","",'Charity &amp; Causes'!AB9)</f>
        <v/>
      </c>
      <c r="AB219" s="16">
        <f>IF('Charity &amp; Causes'!AC9="","",'Charity &amp; Causes'!AC9)</f>
        <v/>
      </c>
      <c r="AC219" s="16">
        <f>IF('Charity &amp; Causes'!AD9="","",'Charity &amp; Causes'!AD9)</f>
        <v/>
      </c>
      <c r="AD219" s="16">
        <f>IF('Charity &amp; Causes'!AE9="","",'Charity &amp; Causes'!AE9)</f>
        <v/>
      </c>
      <c r="AE219" s="16">
        <f>IF('Charity &amp; Causes'!AF9="","",'Charity &amp; Causes'!AF9)</f>
        <v/>
      </c>
      <c r="AF219" s="16">
        <f>IF('Charity &amp; Causes'!AG9="","",'Charity &amp; Causes'!AG9)</f>
        <v/>
      </c>
      <c r="AG219" s="17">
        <f>IF('Charity &amp; Causes'!AH9="","",'Charity &amp; Causes'!AH9)</f>
        <v/>
      </c>
      <c r="AH219" s="17">
        <f>IF('Charity &amp; Causes'!AI9="","",'Charity &amp; Causes'!AI9)</f>
        <v/>
      </c>
      <c r="AI219" s="17">
        <f>IF('Charity &amp; Causes'!AJ9="","",'Charity &amp; Causes'!AJ9)</f>
        <v/>
      </c>
      <c r="AJ219" s="17">
        <f>IF('Charity &amp; Causes'!AK9="","",'Charity &amp; Causes'!AK9)</f>
        <v/>
      </c>
      <c r="AK219" s="16">
        <f>IF('Charity &amp; Causes'!AL9="","",'Charity &amp; Causes'!AL9)</f>
        <v/>
      </c>
      <c r="AL219" s="18">
        <f>IF(V219="","",V219+ROW()/100000)</f>
        <v/>
      </c>
    </row>
    <row r="220" ht="18" customHeight="1">
      <c r="A220" s="22">
        <f>IF('Charity &amp; Causes'!B10="","","Charity &amp; Causes")</f>
        <v/>
      </c>
      <c r="B220" s="22">
        <f>IF('Charity &amp; Causes'!B10="","",'Charity &amp; Causes'!B10)</f>
        <v/>
      </c>
      <c r="C220" s="23">
        <f>IF('Charity &amp; Causes'!D10="","",'Charity &amp; Causes'!D10)</f>
        <v/>
      </c>
      <c r="D220" s="22">
        <f>IF('Charity &amp; Causes'!E10="","",'Charity &amp; Causes'!E10)</f>
        <v/>
      </c>
      <c r="E220" s="23">
        <f>IF('Charity &amp; Causes'!F10="","",'Charity &amp; Causes'!F10)</f>
        <v/>
      </c>
      <c r="F220" s="23">
        <f>IF('Charity &amp; Causes'!G10="","",'Charity &amp; Causes'!G10)</f>
        <v/>
      </c>
      <c r="G220" s="23">
        <f>IF('Charity &amp; Causes'!H10="","",'Charity &amp; Causes'!H10)</f>
        <v/>
      </c>
      <c r="H220" s="22">
        <f>IF('Charity &amp; Causes'!I10="","",'Charity &amp; Causes'!I10)</f>
        <v/>
      </c>
      <c r="I220" s="23">
        <f>IF('Charity &amp; Causes'!J10="","",'Charity &amp; Causes'!J10)</f>
        <v/>
      </c>
      <c r="J220" s="22">
        <f>IF('Charity &amp; Causes'!K10="","",'Charity &amp; Causes'!K10)</f>
        <v/>
      </c>
      <c r="K220" s="23">
        <f>IF('Charity &amp; Causes'!L10="","",'Charity &amp; Causes'!L10)</f>
        <v/>
      </c>
      <c r="L220" s="22">
        <f>IF('Charity &amp; Causes'!M10="","",'Charity &amp; Causes'!M10)</f>
        <v/>
      </c>
      <c r="M220" s="23">
        <f>IF('Charity &amp; Causes'!N10="","",'Charity &amp; Causes'!N10)</f>
        <v/>
      </c>
      <c r="N220" s="22">
        <f>IF('Charity &amp; Causes'!O10="","",'Charity &amp; Causes'!O10)</f>
        <v/>
      </c>
      <c r="O220" s="23">
        <f>IF('Charity &amp; Causes'!P10="","",'Charity &amp; Causes'!P10)</f>
        <v/>
      </c>
      <c r="P220" s="23">
        <f>IF('Charity &amp; Causes'!Q10="","",'Charity &amp; Causes'!Q10)</f>
        <v/>
      </c>
      <c r="Q220" s="24">
        <f>IF('Charity &amp; Causes'!R10="","",'Charity &amp; Causes'!R10)</f>
        <v/>
      </c>
      <c r="R220" s="25">
        <f>IF('Charity &amp; Causes'!S10="","",'Charity &amp; Causes'!S10)</f>
        <v/>
      </c>
      <c r="S220" s="22">
        <f>IF('Charity &amp; Causes'!T10="","",'Charity &amp; Causes'!T10)</f>
        <v/>
      </c>
      <c r="T220" s="24">
        <f>IF('Charity &amp; Causes'!U10="","",'Charity &amp; Causes'!U10)</f>
        <v/>
      </c>
      <c r="U220" s="23">
        <f>IF('Charity &amp; Causes'!V10="","",'Charity &amp; Causes'!V10)</f>
        <v/>
      </c>
      <c r="V220" s="24">
        <f>IF('Charity &amp; Causes'!W10="","",'Charity &amp; Causes'!W10)</f>
        <v/>
      </c>
      <c r="W220" s="23">
        <f>IF('Charity &amp; Causes'!X10="","",'Charity &amp; Causes'!X10)</f>
        <v/>
      </c>
      <c r="X220" s="23">
        <f>IF('Charity &amp; Causes'!Y10="","",'Charity &amp; Causes'!Y10)</f>
        <v/>
      </c>
      <c r="Y220" s="26">
        <f>IF('Charity &amp; Causes'!Z10="","",'Charity &amp; Causes'!Z10)</f>
        <v/>
      </c>
      <c r="Z220" s="27">
        <f>IF('Charity &amp; Causes'!AA10="","",'Charity &amp; Causes'!AA10)</f>
        <v/>
      </c>
      <c r="AA220" s="26">
        <f>IF('Charity &amp; Causes'!AB10="","",'Charity &amp; Causes'!AB10)</f>
        <v/>
      </c>
      <c r="AB220" s="22">
        <f>IF('Charity &amp; Causes'!AC10="","",'Charity &amp; Causes'!AC10)</f>
        <v/>
      </c>
      <c r="AC220" s="22">
        <f>IF('Charity &amp; Causes'!AD10="","",'Charity &amp; Causes'!AD10)</f>
        <v/>
      </c>
      <c r="AD220" s="22">
        <f>IF('Charity &amp; Causes'!AE10="","",'Charity &amp; Causes'!AE10)</f>
        <v/>
      </c>
      <c r="AE220" s="22">
        <f>IF('Charity &amp; Causes'!AF10="","",'Charity &amp; Causes'!AF10)</f>
        <v/>
      </c>
      <c r="AF220" s="22">
        <f>IF('Charity &amp; Causes'!AG10="","",'Charity &amp; Causes'!AG10)</f>
        <v/>
      </c>
      <c r="AG220" s="23">
        <f>IF('Charity &amp; Causes'!AH10="","",'Charity &amp; Causes'!AH10)</f>
        <v/>
      </c>
      <c r="AH220" s="23">
        <f>IF('Charity &amp; Causes'!AI10="","",'Charity &amp; Causes'!AI10)</f>
        <v/>
      </c>
      <c r="AI220" s="23">
        <f>IF('Charity &amp; Causes'!AJ10="","",'Charity &amp; Causes'!AJ10)</f>
        <v/>
      </c>
      <c r="AJ220" s="23">
        <f>IF('Charity &amp; Causes'!AK10="","",'Charity &amp; Causes'!AK10)</f>
        <v/>
      </c>
      <c r="AK220" s="22">
        <f>IF('Charity &amp; Causes'!AL10="","",'Charity &amp; Causes'!AL10)</f>
        <v/>
      </c>
      <c r="AL220" s="18">
        <f>IF(V220="","",V220+ROW()/100000)</f>
        <v/>
      </c>
    </row>
    <row r="221" ht="18" customHeight="1">
      <c r="A221" s="16">
        <f>IF('Charity &amp; Causes'!B11="","","Charity &amp; Causes")</f>
        <v/>
      </c>
      <c r="B221" s="16">
        <f>IF('Charity &amp; Causes'!B11="","",'Charity &amp; Causes'!B11)</f>
        <v/>
      </c>
      <c r="C221" s="17">
        <f>IF('Charity &amp; Causes'!D11="","",'Charity &amp; Causes'!D11)</f>
        <v/>
      </c>
      <c r="D221" s="16">
        <f>IF('Charity &amp; Causes'!E11="","",'Charity &amp; Causes'!E11)</f>
        <v/>
      </c>
      <c r="E221" s="17">
        <f>IF('Charity &amp; Causes'!F11="","",'Charity &amp; Causes'!F11)</f>
        <v/>
      </c>
      <c r="F221" s="17">
        <f>IF('Charity &amp; Causes'!G11="","",'Charity &amp; Causes'!G11)</f>
        <v/>
      </c>
      <c r="G221" s="17">
        <f>IF('Charity &amp; Causes'!H11="","",'Charity &amp; Causes'!H11)</f>
        <v/>
      </c>
      <c r="H221" s="16">
        <f>IF('Charity &amp; Causes'!I11="","",'Charity &amp; Causes'!I11)</f>
        <v/>
      </c>
      <c r="I221" s="17">
        <f>IF('Charity &amp; Causes'!J11="","",'Charity &amp; Causes'!J11)</f>
        <v/>
      </c>
      <c r="J221" s="16">
        <f>IF('Charity &amp; Causes'!K11="","",'Charity &amp; Causes'!K11)</f>
        <v/>
      </c>
      <c r="K221" s="17">
        <f>IF('Charity &amp; Causes'!L11="","",'Charity &amp; Causes'!L11)</f>
        <v/>
      </c>
      <c r="L221" s="16">
        <f>IF('Charity &amp; Causes'!M11="","",'Charity &amp; Causes'!M11)</f>
        <v/>
      </c>
      <c r="M221" s="17">
        <f>IF('Charity &amp; Causes'!N11="","",'Charity &amp; Causes'!N11)</f>
        <v/>
      </c>
      <c r="N221" s="16">
        <f>IF('Charity &amp; Causes'!O11="","",'Charity &amp; Causes'!O11)</f>
        <v/>
      </c>
      <c r="O221" s="17">
        <f>IF('Charity &amp; Causes'!P11="","",'Charity &amp; Causes'!P11)</f>
        <v/>
      </c>
      <c r="P221" s="17">
        <f>IF('Charity &amp; Causes'!Q11="","",'Charity &amp; Causes'!Q11)</f>
        <v/>
      </c>
      <c r="Q221" s="15">
        <f>IF('Charity &amp; Causes'!R11="","",'Charity &amp; Causes'!R11)</f>
        <v/>
      </c>
      <c r="R221" s="19">
        <f>IF('Charity &amp; Causes'!S11="","",'Charity &amp; Causes'!S11)</f>
        <v/>
      </c>
      <c r="S221" s="16">
        <f>IF('Charity &amp; Causes'!T11="","",'Charity &amp; Causes'!T11)</f>
        <v/>
      </c>
      <c r="T221" s="15">
        <f>IF('Charity &amp; Causes'!U11="","",'Charity &amp; Causes'!U11)</f>
        <v/>
      </c>
      <c r="U221" s="17">
        <f>IF('Charity &amp; Causes'!V11="","",'Charity &amp; Causes'!V11)</f>
        <v/>
      </c>
      <c r="V221" s="15">
        <f>IF('Charity &amp; Causes'!W11="","",'Charity &amp; Causes'!W11)</f>
        <v/>
      </c>
      <c r="W221" s="17">
        <f>IF('Charity &amp; Causes'!X11="","",'Charity &amp; Causes'!X11)</f>
        <v/>
      </c>
      <c r="X221" s="17">
        <f>IF('Charity &amp; Causes'!Y11="","",'Charity &amp; Causes'!Y11)</f>
        <v/>
      </c>
      <c r="Y221" s="20">
        <f>IF('Charity &amp; Causes'!Z11="","",'Charity &amp; Causes'!Z11)</f>
        <v/>
      </c>
      <c r="Z221" s="21">
        <f>IF('Charity &amp; Causes'!AA11="","",'Charity &amp; Causes'!AA11)</f>
        <v/>
      </c>
      <c r="AA221" s="20">
        <f>IF('Charity &amp; Causes'!AB11="","",'Charity &amp; Causes'!AB11)</f>
        <v/>
      </c>
      <c r="AB221" s="16">
        <f>IF('Charity &amp; Causes'!AC11="","",'Charity &amp; Causes'!AC11)</f>
        <v/>
      </c>
      <c r="AC221" s="16">
        <f>IF('Charity &amp; Causes'!AD11="","",'Charity &amp; Causes'!AD11)</f>
        <v/>
      </c>
      <c r="AD221" s="16">
        <f>IF('Charity &amp; Causes'!AE11="","",'Charity &amp; Causes'!AE11)</f>
        <v/>
      </c>
      <c r="AE221" s="16">
        <f>IF('Charity &amp; Causes'!AF11="","",'Charity &amp; Causes'!AF11)</f>
        <v/>
      </c>
      <c r="AF221" s="16">
        <f>IF('Charity &amp; Causes'!AG11="","",'Charity &amp; Causes'!AG11)</f>
        <v/>
      </c>
      <c r="AG221" s="17">
        <f>IF('Charity &amp; Causes'!AH11="","",'Charity &amp; Causes'!AH11)</f>
        <v/>
      </c>
      <c r="AH221" s="17">
        <f>IF('Charity &amp; Causes'!AI11="","",'Charity &amp; Causes'!AI11)</f>
        <v/>
      </c>
      <c r="AI221" s="17">
        <f>IF('Charity &amp; Causes'!AJ11="","",'Charity &amp; Causes'!AJ11)</f>
        <v/>
      </c>
      <c r="AJ221" s="17">
        <f>IF('Charity &amp; Causes'!AK11="","",'Charity &amp; Causes'!AK11)</f>
        <v/>
      </c>
      <c r="AK221" s="16">
        <f>IF('Charity &amp; Causes'!AL11="","",'Charity &amp; Causes'!AL11)</f>
        <v/>
      </c>
      <c r="AL221" s="18">
        <f>IF(V221="","",V221+ROW()/100000)</f>
        <v/>
      </c>
    </row>
    <row r="222" ht="18" customHeight="1">
      <c r="A222" s="22">
        <f>IF('Charity &amp; Causes'!B12="","","Charity &amp; Causes")</f>
        <v/>
      </c>
      <c r="B222" s="22">
        <f>IF('Charity &amp; Causes'!B12="","",'Charity &amp; Causes'!B12)</f>
        <v/>
      </c>
      <c r="C222" s="23">
        <f>IF('Charity &amp; Causes'!D12="","",'Charity &amp; Causes'!D12)</f>
        <v/>
      </c>
      <c r="D222" s="22">
        <f>IF('Charity &amp; Causes'!E12="","",'Charity &amp; Causes'!E12)</f>
        <v/>
      </c>
      <c r="E222" s="23">
        <f>IF('Charity &amp; Causes'!F12="","",'Charity &amp; Causes'!F12)</f>
        <v/>
      </c>
      <c r="F222" s="23">
        <f>IF('Charity &amp; Causes'!G12="","",'Charity &amp; Causes'!G12)</f>
        <v/>
      </c>
      <c r="G222" s="23">
        <f>IF('Charity &amp; Causes'!H12="","",'Charity &amp; Causes'!H12)</f>
        <v/>
      </c>
      <c r="H222" s="22">
        <f>IF('Charity &amp; Causes'!I12="","",'Charity &amp; Causes'!I12)</f>
        <v/>
      </c>
      <c r="I222" s="23">
        <f>IF('Charity &amp; Causes'!J12="","",'Charity &amp; Causes'!J12)</f>
        <v/>
      </c>
      <c r="J222" s="22">
        <f>IF('Charity &amp; Causes'!K12="","",'Charity &amp; Causes'!K12)</f>
        <v/>
      </c>
      <c r="K222" s="23">
        <f>IF('Charity &amp; Causes'!L12="","",'Charity &amp; Causes'!L12)</f>
        <v/>
      </c>
      <c r="L222" s="22">
        <f>IF('Charity &amp; Causes'!M12="","",'Charity &amp; Causes'!M12)</f>
        <v/>
      </c>
      <c r="M222" s="23">
        <f>IF('Charity &amp; Causes'!N12="","",'Charity &amp; Causes'!N12)</f>
        <v/>
      </c>
      <c r="N222" s="22">
        <f>IF('Charity &amp; Causes'!O12="","",'Charity &amp; Causes'!O12)</f>
        <v/>
      </c>
      <c r="O222" s="23">
        <f>IF('Charity &amp; Causes'!P12="","",'Charity &amp; Causes'!P12)</f>
        <v/>
      </c>
      <c r="P222" s="23">
        <f>IF('Charity &amp; Causes'!Q12="","",'Charity &amp; Causes'!Q12)</f>
        <v/>
      </c>
      <c r="Q222" s="24">
        <f>IF('Charity &amp; Causes'!R12="","",'Charity &amp; Causes'!R12)</f>
        <v/>
      </c>
      <c r="R222" s="25">
        <f>IF('Charity &amp; Causes'!S12="","",'Charity &amp; Causes'!S12)</f>
        <v/>
      </c>
      <c r="S222" s="22">
        <f>IF('Charity &amp; Causes'!T12="","",'Charity &amp; Causes'!T12)</f>
        <v/>
      </c>
      <c r="T222" s="24">
        <f>IF('Charity &amp; Causes'!U12="","",'Charity &amp; Causes'!U12)</f>
        <v/>
      </c>
      <c r="U222" s="23">
        <f>IF('Charity &amp; Causes'!V12="","",'Charity &amp; Causes'!V12)</f>
        <v/>
      </c>
      <c r="V222" s="24">
        <f>IF('Charity &amp; Causes'!W12="","",'Charity &amp; Causes'!W12)</f>
        <v/>
      </c>
      <c r="W222" s="23">
        <f>IF('Charity &amp; Causes'!X12="","",'Charity &amp; Causes'!X12)</f>
        <v/>
      </c>
      <c r="X222" s="23">
        <f>IF('Charity &amp; Causes'!Y12="","",'Charity &amp; Causes'!Y12)</f>
        <v/>
      </c>
      <c r="Y222" s="26">
        <f>IF('Charity &amp; Causes'!Z12="","",'Charity &amp; Causes'!Z12)</f>
        <v/>
      </c>
      <c r="Z222" s="27">
        <f>IF('Charity &amp; Causes'!AA12="","",'Charity &amp; Causes'!AA12)</f>
        <v/>
      </c>
      <c r="AA222" s="26">
        <f>IF('Charity &amp; Causes'!AB12="","",'Charity &amp; Causes'!AB12)</f>
        <v/>
      </c>
      <c r="AB222" s="22">
        <f>IF('Charity &amp; Causes'!AC12="","",'Charity &amp; Causes'!AC12)</f>
        <v/>
      </c>
      <c r="AC222" s="22">
        <f>IF('Charity &amp; Causes'!AD12="","",'Charity &amp; Causes'!AD12)</f>
        <v/>
      </c>
      <c r="AD222" s="22">
        <f>IF('Charity &amp; Causes'!AE12="","",'Charity &amp; Causes'!AE12)</f>
        <v/>
      </c>
      <c r="AE222" s="22">
        <f>IF('Charity &amp; Causes'!AF12="","",'Charity &amp; Causes'!AF12)</f>
        <v/>
      </c>
      <c r="AF222" s="22">
        <f>IF('Charity &amp; Causes'!AG12="","",'Charity &amp; Causes'!AG12)</f>
        <v/>
      </c>
      <c r="AG222" s="23">
        <f>IF('Charity &amp; Causes'!AH12="","",'Charity &amp; Causes'!AH12)</f>
        <v/>
      </c>
      <c r="AH222" s="23">
        <f>IF('Charity &amp; Causes'!AI12="","",'Charity &amp; Causes'!AI12)</f>
        <v/>
      </c>
      <c r="AI222" s="23">
        <f>IF('Charity &amp; Causes'!AJ12="","",'Charity &amp; Causes'!AJ12)</f>
        <v/>
      </c>
      <c r="AJ222" s="23">
        <f>IF('Charity &amp; Causes'!AK12="","",'Charity &amp; Causes'!AK12)</f>
        <v/>
      </c>
      <c r="AK222" s="22">
        <f>IF('Charity &amp; Causes'!AL12="","",'Charity &amp; Causes'!AL12)</f>
        <v/>
      </c>
      <c r="AL222" s="18">
        <f>IF(V222="","",V222+ROW()/100000)</f>
        <v/>
      </c>
    </row>
    <row r="223" ht="18" customHeight="1">
      <c r="A223" s="16">
        <f>IF('Charity &amp; Causes'!B13="","","Charity &amp; Causes")</f>
        <v/>
      </c>
      <c r="B223" s="16">
        <f>IF('Charity &amp; Causes'!B13="","",'Charity &amp; Causes'!B13)</f>
        <v/>
      </c>
      <c r="C223" s="17">
        <f>IF('Charity &amp; Causes'!D13="","",'Charity &amp; Causes'!D13)</f>
        <v/>
      </c>
      <c r="D223" s="16">
        <f>IF('Charity &amp; Causes'!E13="","",'Charity &amp; Causes'!E13)</f>
        <v/>
      </c>
      <c r="E223" s="17">
        <f>IF('Charity &amp; Causes'!F13="","",'Charity &amp; Causes'!F13)</f>
        <v/>
      </c>
      <c r="F223" s="17">
        <f>IF('Charity &amp; Causes'!G13="","",'Charity &amp; Causes'!G13)</f>
        <v/>
      </c>
      <c r="G223" s="17">
        <f>IF('Charity &amp; Causes'!H13="","",'Charity &amp; Causes'!H13)</f>
        <v/>
      </c>
      <c r="H223" s="16">
        <f>IF('Charity &amp; Causes'!I13="","",'Charity &amp; Causes'!I13)</f>
        <v/>
      </c>
      <c r="I223" s="17">
        <f>IF('Charity &amp; Causes'!J13="","",'Charity &amp; Causes'!J13)</f>
        <v/>
      </c>
      <c r="J223" s="16">
        <f>IF('Charity &amp; Causes'!K13="","",'Charity &amp; Causes'!K13)</f>
        <v/>
      </c>
      <c r="K223" s="17">
        <f>IF('Charity &amp; Causes'!L13="","",'Charity &amp; Causes'!L13)</f>
        <v/>
      </c>
      <c r="L223" s="16">
        <f>IF('Charity &amp; Causes'!M13="","",'Charity &amp; Causes'!M13)</f>
        <v/>
      </c>
      <c r="M223" s="17">
        <f>IF('Charity &amp; Causes'!N13="","",'Charity &amp; Causes'!N13)</f>
        <v/>
      </c>
      <c r="N223" s="16">
        <f>IF('Charity &amp; Causes'!O13="","",'Charity &amp; Causes'!O13)</f>
        <v/>
      </c>
      <c r="O223" s="17">
        <f>IF('Charity &amp; Causes'!P13="","",'Charity &amp; Causes'!P13)</f>
        <v/>
      </c>
      <c r="P223" s="17">
        <f>IF('Charity &amp; Causes'!Q13="","",'Charity &amp; Causes'!Q13)</f>
        <v/>
      </c>
      <c r="Q223" s="15">
        <f>IF('Charity &amp; Causes'!R13="","",'Charity &amp; Causes'!R13)</f>
        <v/>
      </c>
      <c r="R223" s="19">
        <f>IF('Charity &amp; Causes'!S13="","",'Charity &amp; Causes'!S13)</f>
        <v/>
      </c>
      <c r="S223" s="16">
        <f>IF('Charity &amp; Causes'!T13="","",'Charity &amp; Causes'!T13)</f>
        <v/>
      </c>
      <c r="T223" s="15">
        <f>IF('Charity &amp; Causes'!U13="","",'Charity &amp; Causes'!U13)</f>
        <v/>
      </c>
      <c r="U223" s="17">
        <f>IF('Charity &amp; Causes'!V13="","",'Charity &amp; Causes'!V13)</f>
        <v/>
      </c>
      <c r="V223" s="15">
        <f>IF('Charity &amp; Causes'!W13="","",'Charity &amp; Causes'!W13)</f>
        <v/>
      </c>
      <c r="W223" s="17">
        <f>IF('Charity &amp; Causes'!X13="","",'Charity &amp; Causes'!X13)</f>
        <v/>
      </c>
      <c r="X223" s="17">
        <f>IF('Charity &amp; Causes'!Y13="","",'Charity &amp; Causes'!Y13)</f>
        <v/>
      </c>
      <c r="Y223" s="20">
        <f>IF('Charity &amp; Causes'!Z13="","",'Charity &amp; Causes'!Z13)</f>
        <v/>
      </c>
      <c r="Z223" s="21">
        <f>IF('Charity &amp; Causes'!AA13="","",'Charity &amp; Causes'!AA13)</f>
        <v/>
      </c>
      <c r="AA223" s="20">
        <f>IF('Charity &amp; Causes'!AB13="","",'Charity &amp; Causes'!AB13)</f>
        <v/>
      </c>
      <c r="AB223" s="16">
        <f>IF('Charity &amp; Causes'!AC13="","",'Charity &amp; Causes'!AC13)</f>
        <v/>
      </c>
      <c r="AC223" s="16">
        <f>IF('Charity &amp; Causes'!AD13="","",'Charity &amp; Causes'!AD13)</f>
        <v/>
      </c>
      <c r="AD223" s="16">
        <f>IF('Charity &amp; Causes'!AE13="","",'Charity &amp; Causes'!AE13)</f>
        <v/>
      </c>
      <c r="AE223" s="16">
        <f>IF('Charity &amp; Causes'!AF13="","",'Charity &amp; Causes'!AF13)</f>
        <v/>
      </c>
      <c r="AF223" s="16">
        <f>IF('Charity &amp; Causes'!AG13="","",'Charity &amp; Causes'!AG13)</f>
        <v/>
      </c>
      <c r="AG223" s="17">
        <f>IF('Charity &amp; Causes'!AH13="","",'Charity &amp; Causes'!AH13)</f>
        <v/>
      </c>
      <c r="AH223" s="17">
        <f>IF('Charity &amp; Causes'!AI13="","",'Charity &amp; Causes'!AI13)</f>
        <v/>
      </c>
      <c r="AI223" s="17">
        <f>IF('Charity &amp; Causes'!AJ13="","",'Charity &amp; Causes'!AJ13)</f>
        <v/>
      </c>
      <c r="AJ223" s="17">
        <f>IF('Charity &amp; Causes'!AK13="","",'Charity &amp; Causes'!AK13)</f>
        <v/>
      </c>
      <c r="AK223" s="16">
        <f>IF('Charity &amp; Causes'!AL13="","",'Charity &amp; Causes'!AL13)</f>
        <v/>
      </c>
      <c r="AL223" s="18">
        <f>IF(V223="","",V223+ROW()/100000)</f>
        <v/>
      </c>
    </row>
    <row r="224" ht="18" customHeight="1">
      <c r="A224" s="22">
        <f>IF('Charity &amp; Causes'!B14="","","Charity &amp; Causes")</f>
        <v/>
      </c>
      <c r="B224" s="22">
        <f>IF('Charity &amp; Causes'!B14="","",'Charity &amp; Causes'!B14)</f>
        <v/>
      </c>
      <c r="C224" s="23">
        <f>IF('Charity &amp; Causes'!D14="","",'Charity &amp; Causes'!D14)</f>
        <v/>
      </c>
      <c r="D224" s="22">
        <f>IF('Charity &amp; Causes'!E14="","",'Charity &amp; Causes'!E14)</f>
        <v/>
      </c>
      <c r="E224" s="23">
        <f>IF('Charity &amp; Causes'!F14="","",'Charity &amp; Causes'!F14)</f>
        <v/>
      </c>
      <c r="F224" s="23">
        <f>IF('Charity &amp; Causes'!G14="","",'Charity &amp; Causes'!G14)</f>
        <v/>
      </c>
      <c r="G224" s="23">
        <f>IF('Charity &amp; Causes'!H14="","",'Charity &amp; Causes'!H14)</f>
        <v/>
      </c>
      <c r="H224" s="22">
        <f>IF('Charity &amp; Causes'!I14="","",'Charity &amp; Causes'!I14)</f>
        <v/>
      </c>
      <c r="I224" s="23">
        <f>IF('Charity &amp; Causes'!J14="","",'Charity &amp; Causes'!J14)</f>
        <v/>
      </c>
      <c r="J224" s="22">
        <f>IF('Charity &amp; Causes'!K14="","",'Charity &amp; Causes'!K14)</f>
        <v/>
      </c>
      <c r="K224" s="23">
        <f>IF('Charity &amp; Causes'!L14="","",'Charity &amp; Causes'!L14)</f>
        <v/>
      </c>
      <c r="L224" s="22">
        <f>IF('Charity &amp; Causes'!M14="","",'Charity &amp; Causes'!M14)</f>
        <v/>
      </c>
      <c r="M224" s="23">
        <f>IF('Charity &amp; Causes'!N14="","",'Charity &amp; Causes'!N14)</f>
        <v/>
      </c>
      <c r="N224" s="22">
        <f>IF('Charity &amp; Causes'!O14="","",'Charity &amp; Causes'!O14)</f>
        <v/>
      </c>
      <c r="O224" s="23">
        <f>IF('Charity &amp; Causes'!P14="","",'Charity &amp; Causes'!P14)</f>
        <v/>
      </c>
      <c r="P224" s="23">
        <f>IF('Charity &amp; Causes'!Q14="","",'Charity &amp; Causes'!Q14)</f>
        <v/>
      </c>
      <c r="Q224" s="24">
        <f>IF('Charity &amp; Causes'!R14="","",'Charity &amp; Causes'!R14)</f>
        <v/>
      </c>
      <c r="R224" s="25">
        <f>IF('Charity &amp; Causes'!S14="","",'Charity &amp; Causes'!S14)</f>
        <v/>
      </c>
      <c r="S224" s="22">
        <f>IF('Charity &amp; Causes'!T14="","",'Charity &amp; Causes'!T14)</f>
        <v/>
      </c>
      <c r="T224" s="24">
        <f>IF('Charity &amp; Causes'!U14="","",'Charity &amp; Causes'!U14)</f>
        <v/>
      </c>
      <c r="U224" s="23">
        <f>IF('Charity &amp; Causes'!V14="","",'Charity &amp; Causes'!V14)</f>
        <v/>
      </c>
      <c r="V224" s="24">
        <f>IF('Charity &amp; Causes'!W14="","",'Charity &amp; Causes'!W14)</f>
        <v/>
      </c>
      <c r="W224" s="23">
        <f>IF('Charity &amp; Causes'!X14="","",'Charity &amp; Causes'!X14)</f>
        <v/>
      </c>
      <c r="X224" s="23">
        <f>IF('Charity &amp; Causes'!Y14="","",'Charity &amp; Causes'!Y14)</f>
        <v/>
      </c>
      <c r="Y224" s="26">
        <f>IF('Charity &amp; Causes'!Z14="","",'Charity &amp; Causes'!Z14)</f>
        <v/>
      </c>
      <c r="Z224" s="27">
        <f>IF('Charity &amp; Causes'!AA14="","",'Charity &amp; Causes'!AA14)</f>
        <v/>
      </c>
      <c r="AA224" s="26">
        <f>IF('Charity &amp; Causes'!AB14="","",'Charity &amp; Causes'!AB14)</f>
        <v/>
      </c>
      <c r="AB224" s="22">
        <f>IF('Charity &amp; Causes'!AC14="","",'Charity &amp; Causes'!AC14)</f>
        <v/>
      </c>
      <c r="AC224" s="22">
        <f>IF('Charity &amp; Causes'!AD14="","",'Charity &amp; Causes'!AD14)</f>
        <v/>
      </c>
      <c r="AD224" s="22">
        <f>IF('Charity &amp; Causes'!AE14="","",'Charity &amp; Causes'!AE14)</f>
        <v/>
      </c>
      <c r="AE224" s="22">
        <f>IF('Charity &amp; Causes'!AF14="","",'Charity &amp; Causes'!AF14)</f>
        <v/>
      </c>
      <c r="AF224" s="22">
        <f>IF('Charity &amp; Causes'!AG14="","",'Charity &amp; Causes'!AG14)</f>
        <v/>
      </c>
      <c r="AG224" s="23">
        <f>IF('Charity &amp; Causes'!AH14="","",'Charity &amp; Causes'!AH14)</f>
        <v/>
      </c>
      <c r="AH224" s="23">
        <f>IF('Charity &amp; Causes'!AI14="","",'Charity &amp; Causes'!AI14)</f>
        <v/>
      </c>
      <c r="AI224" s="23">
        <f>IF('Charity &amp; Causes'!AJ14="","",'Charity &amp; Causes'!AJ14)</f>
        <v/>
      </c>
      <c r="AJ224" s="23">
        <f>IF('Charity &amp; Causes'!AK14="","",'Charity &amp; Causes'!AK14)</f>
        <v/>
      </c>
      <c r="AK224" s="22">
        <f>IF('Charity &amp; Causes'!AL14="","",'Charity &amp; Causes'!AL14)</f>
        <v/>
      </c>
      <c r="AL224" s="18">
        <f>IF(V224="","",V224+ROW()/100000)</f>
        <v/>
      </c>
    </row>
    <row r="225" ht="18" customHeight="1">
      <c r="A225" s="16">
        <f>IF('Charity &amp; Causes'!B15="","","Charity &amp; Causes")</f>
        <v/>
      </c>
      <c r="B225" s="16">
        <f>IF('Charity &amp; Causes'!B15="","",'Charity &amp; Causes'!B15)</f>
        <v/>
      </c>
      <c r="C225" s="17">
        <f>IF('Charity &amp; Causes'!D15="","",'Charity &amp; Causes'!D15)</f>
        <v/>
      </c>
      <c r="D225" s="16">
        <f>IF('Charity &amp; Causes'!E15="","",'Charity &amp; Causes'!E15)</f>
        <v/>
      </c>
      <c r="E225" s="17">
        <f>IF('Charity &amp; Causes'!F15="","",'Charity &amp; Causes'!F15)</f>
        <v/>
      </c>
      <c r="F225" s="17">
        <f>IF('Charity &amp; Causes'!G15="","",'Charity &amp; Causes'!G15)</f>
        <v/>
      </c>
      <c r="G225" s="17">
        <f>IF('Charity &amp; Causes'!H15="","",'Charity &amp; Causes'!H15)</f>
        <v/>
      </c>
      <c r="H225" s="16">
        <f>IF('Charity &amp; Causes'!I15="","",'Charity &amp; Causes'!I15)</f>
        <v/>
      </c>
      <c r="I225" s="17">
        <f>IF('Charity &amp; Causes'!J15="","",'Charity &amp; Causes'!J15)</f>
        <v/>
      </c>
      <c r="J225" s="16">
        <f>IF('Charity &amp; Causes'!K15="","",'Charity &amp; Causes'!K15)</f>
        <v/>
      </c>
      <c r="K225" s="17">
        <f>IF('Charity &amp; Causes'!L15="","",'Charity &amp; Causes'!L15)</f>
        <v/>
      </c>
      <c r="L225" s="16">
        <f>IF('Charity &amp; Causes'!M15="","",'Charity &amp; Causes'!M15)</f>
        <v/>
      </c>
      <c r="M225" s="17">
        <f>IF('Charity &amp; Causes'!N15="","",'Charity &amp; Causes'!N15)</f>
        <v/>
      </c>
      <c r="N225" s="16">
        <f>IF('Charity &amp; Causes'!O15="","",'Charity &amp; Causes'!O15)</f>
        <v/>
      </c>
      <c r="O225" s="17">
        <f>IF('Charity &amp; Causes'!P15="","",'Charity &amp; Causes'!P15)</f>
        <v/>
      </c>
      <c r="P225" s="17">
        <f>IF('Charity &amp; Causes'!Q15="","",'Charity &amp; Causes'!Q15)</f>
        <v/>
      </c>
      <c r="Q225" s="15">
        <f>IF('Charity &amp; Causes'!R15="","",'Charity &amp; Causes'!R15)</f>
        <v/>
      </c>
      <c r="R225" s="19">
        <f>IF('Charity &amp; Causes'!S15="","",'Charity &amp; Causes'!S15)</f>
        <v/>
      </c>
      <c r="S225" s="16">
        <f>IF('Charity &amp; Causes'!T15="","",'Charity &amp; Causes'!T15)</f>
        <v/>
      </c>
      <c r="T225" s="15">
        <f>IF('Charity &amp; Causes'!U15="","",'Charity &amp; Causes'!U15)</f>
        <v/>
      </c>
      <c r="U225" s="17">
        <f>IF('Charity &amp; Causes'!V15="","",'Charity &amp; Causes'!V15)</f>
        <v/>
      </c>
      <c r="V225" s="15">
        <f>IF('Charity &amp; Causes'!W15="","",'Charity &amp; Causes'!W15)</f>
        <v/>
      </c>
      <c r="W225" s="17">
        <f>IF('Charity &amp; Causes'!X15="","",'Charity &amp; Causes'!X15)</f>
        <v/>
      </c>
      <c r="X225" s="17">
        <f>IF('Charity &amp; Causes'!Y15="","",'Charity &amp; Causes'!Y15)</f>
        <v/>
      </c>
      <c r="Y225" s="20">
        <f>IF('Charity &amp; Causes'!Z15="","",'Charity &amp; Causes'!Z15)</f>
        <v/>
      </c>
      <c r="Z225" s="21">
        <f>IF('Charity &amp; Causes'!AA15="","",'Charity &amp; Causes'!AA15)</f>
        <v/>
      </c>
      <c r="AA225" s="20">
        <f>IF('Charity &amp; Causes'!AB15="","",'Charity &amp; Causes'!AB15)</f>
        <v/>
      </c>
      <c r="AB225" s="16">
        <f>IF('Charity &amp; Causes'!AC15="","",'Charity &amp; Causes'!AC15)</f>
        <v/>
      </c>
      <c r="AC225" s="16">
        <f>IF('Charity &amp; Causes'!AD15="","",'Charity &amp; Causes'!AD15)</f>
        <v/>
      </c>
      <c r="AD225" s="16">
        <f>IF('Charity &amp; Causes'!AE15="","",'Charity &amp; Causes'!AE15)</f>
        <v/>
      </c>
      <c r="AE225" s="16">
        <f>IF('Charity &amp; Causes'!AF15="","",'Charity &amp; Causes'!AF15)</f>
        <v/>
      </c>
      <c r="AF225" s="16">
        <f>IF('Charity &amp; Causes'!AG15="","",'Charity &amp; Causes'!AG15)</f>
        <v/>
      </c>
      <c r="AG225" s="17">
        <f>IF('Charity &amp; Causes'!AH15="","",'Charity &amp; Causes'!AH15)</f>
        <v/>
      </c>
      <c r="AH225" s="17">
        <f>IF('Charity &amp; Causes'!AI15="","",'Charity &amp; Causes'!AI15)</f>
        <v/>
      </c>
      <c r="AI225" s="17">
        <f>IF('Charity &amp; Causes'!AJ15="","",'Charity &amp; Causes'!AJ15)</f>
        <v/>
      </c>
      <c r="AJ225" s="17">
        <f>IF('Charity &amp; Causes'!AK15="","",'Charity &amp; Causes'!AK15)</f>
        <v/>
      </c>
      <c r="AK225" s="16">
        <f>IF('Charity &amp; Causes'!AL15="","",'Charity &amp; Causes'!AL15)</f>
        <v/>
      </c>
      <c r="AL225" s="18">
        <f>IF(V225="","",V225+ROW()/100000)</f>
        <v/>
      </c>
    </row>
    <row r="226" ht="18" customHeight="1">
      <c r="A226" s="22">
        <f>IF('Charity &amp; Causes'!B16="","","Charity &amp; Causes")</f>
        <v/>
      </c>
      <c r="B226" s="22">
        <f>IF('Charity &amp; Causes'!B16="","",'Charity &amp; Causes'!B16)</f>
        <v/>
      </c>
      <c r="C226" s="23">
        <f>IF('Charity &amp; Causes'!D16="","",'Charity &amp; Causes'!D16)</f>
        <v/>
      </c>
      <c r="D226" s="22">
        <f>IF('Charity &amp; Causes'!E16="","",'Charity &amp; Causes'!E16)</f>
        <v/>
      </c>
      <c r="E226" s="23">
        <f>IF('Charity &amp; Causes'!F16="","",'Charity &amp; Causes'!F16)</f>
        <v/>
      </c>
      <c r="F226" s="23">
        <f>IF('Charity &amp; Causes'!G16="","",'Charity &amp; Causes'!G16)</f>
        <v/>
      </c>
      <c r="G226" s="23">
        <f>IF('Charity &amp; Causes'!H16="","",'Charity &amp; Causes'!H16)</f>
        <v/>
      </c>
      <c r="H226" s="22">
        <f>IF('Charity &amp; Causes'!I16="","",'Charity &amp; Causes'!I16)</f>
        <v/>
      </c>
      <c r="I226" s="23">
        <f>IF('Charity &amp; Causes'!J16="","",'Charity &amp; Causes'!J16)</f>
        <v/>
      </c>
      <c r="J226" s="22">
        <f>IF('Charity &amp; Causes'!K16="","",'Charity &amp; Causes'!K16)</f>
        <v/>
      </c>
      <c r="K226" s="23">
        <f>IF('Charity &amp; Causes'!L16="","",'Charity &amp; Causes'!L16)</f>
        <v/>
      </c>
      <c r="L226" s="22">
        <f>IF('Charity &amp; Causes'!M16="","",'Charity &amp; Causes'!M16)</f>
        <v/>
      </c>
      <c r="M226" s="23">
        <f>IF('Charity &amp; Causes'!N16="","",'Charity &amp; Causes'!N16)</f>
        <v/>
      </c>
      <c r="N226" s="22">
        <f>IF('Charity &amp; Causes'!O16="","",'Charity &amp; Causes'!O16)</f>
        <v/>
      </c>
      <c r="O226" s="23">
        <f>IF('Charity &amp; Causes'!P16="","",'Charity &amp; Causes'!P16)</f>
        <v/>
      </c>
      <c r="P226" s="23">
        <f>IF('Charity &amp; Causes'!Q16="","",'Charity &amp; Causes'!Q16)</f>
        <v/>
      </c>
      <c r="Q226" s="24">
        <f>IF('Charity &amp; Causes'!R16="","",'Charity &amp; Causes'!R16)</f>
        <v/>
      </c>
      <c r="R226" s="25">
        <f>IF('Charity &amp; Causes'!S16="","",'Charity &amp; Causes'!S16)</f>
        <v/>
      </c>
      <c r="S226" s="22">
        <f>IF('Charity &amp; Causes'!T16="","",'Charity &amp; Causes'!T16)</f>
        <v/>
      </c>
      <c r="T226" s="24">
        <f>IF('Charity &amp; Causes'!U16="","",'Charity &amp; Causes'!U16)</f>
        <v/>
      </c>
      <c r="U226" s="23">
        <f>IF('Charity &amp; Causes'!V16="","",'Charity &amp; Causes'!V16)</f>
        <v/>
      </c>
      <c r="V226" s="24">
        <f>IF('Charity &amp; Causes'!W16="","",'Charity &amp; Causes'!W16)</f>
        <v/>
      </c>
      <c r="W226" s="23">
        <f>IF('Charity &amp; Causes'!X16="","",'Charity &amp; Causes'!X16)</f>
        <v/>
      </c>
      <c r="X226" s="23">
        <f>IF('Charity &amp; Causes'!Y16="","",'Charity &amp; Causes'!Y16)</f>
        <v/>
      </c>
      <c r="Y226" s="26">
        <f>IF('Charity &amp; Causes'!Z16="","",'Charity &amp; Causes'!Z16)</f>
        <v/>
      </c>
      <c r="Z226" s="27">
        <f>IF('Charity &amp; Causes'!AA16="","",'Charity &amp; Causes'!AA16)</f>
        <v/>
      </c>
      <c r="AA226" s="26">
        <f>IF('Charity &amp; Causes'!AB16="","",'Charity &amp; Causes'!AB16)</f>
        <v/>
      </c>
      <c r="AB226" s="22">
        <f>IF('Charity &amp; Causes'!AC16="","",'Charity &amp; Causes'!AC16)</f>
        <v/>
      </c>
      <c r="AC226" s="22">
        <f>IF('Charity &amp; Causes'!AD16="","",'Charity &amp; Causes'!AD16)</f>
        <v/>
      </c>
      <c r="AD226" s="22">
        <f>IF('Charity &amp; Causes'!AE16="","",'Charity &amp; Causes'!AE16)</f>
        <v/>
      </c>
      <c r="AE226" s="22">
        <f>IF('Charity &amp; Causes'!AF16="","",'Charity &amp; Causes'!AF16)</f>
        <v/>
      </c>
      <c r="AF226" s="22">
        <f>IF('Charity &amp; Causes'!AG16="","",'Charity &amp; Causes'!AG16)</f>
        <v/>
      </c>
      <c r="AG226" s="23">
        <f>IF('Charity &amp; Causes'!AH16="","",'Charity &amp; Causes'!AH16)</f>
        <v/>
      </c>
      <c r="AH226" s="23">
        <f>IF('Charity &amp; Causes'!AI16="","",'Charity &amp; Causes'!AI16)</f>
        <v/>
      </c>
      <c r="AI226" s="23">
        <f>IF('Charity &amp; Causes'!AJ16="","",'Charity &amp; Causes'!AJ16)</f>
        <v/>
      </c>
      <c r="AJ226" s="23">
        <f>IF('Charity &amp; Causes'!AK16="","",'Charity &amp; Causes'!AK16)</f>
        <v/>
      </c>
      <c r="AK226" s="22">
        <f>IF('Charity &amp; Causes'!AL16="","",'Charity &amp; Causes'!AL16)</f>
        <v/>
      </c>
      <c r="AL226" s="18">
        <f>IF(V226="","",V226+ROW()/100000)</f>
        <v/>
      </c>
    </row>
    <row r="227" ht="18" customHeight="1">
      <c r="A227" s="16">
        <f>IF('Charity &amp; Causes'!B17="","","Charity &amp; Causes")</f>
        <v/>
      </c>
      <c r="B227" s="16">
        <f>IF('Charity &amp; Causes'!B17="","",'Charity &amp; Causes'!B17)</f>
        <v/>
      </c>
      <c r="C227" s="17">
        <f>IF('Charity &amp; Causes'!D17="","",'Charity &amp; Causes'!D17)</f>
        <v/>
      </c>
      <c r="D227" s="16">
        <f>IF('Charity &amp; Causes'!E17="","",'Charity &amp; Causes'!E17)</f>
        <v/>
      </c>
      <c r="E227" s="17">
        <f>IF('Charity &amp; Causes'!F17="","",'Charity &amp; Causes'!F17)</f>
        <v/>
      </c>
      <c r="F227" s="17">
        <f>IF('Charity &amp; Causes'!G17="","",'Charity &amp; Causes'!G17)</f>
        <v/>
      </c>
      <c r="G227" s="17">
        <f>IF('Charity &amp; Causes'!H17="","",'Charity &amp; Causes'!H17)</f>
        <v/>
      </c>
      <c r="H227" s="16">
        <f>IF('Charity &amp; Causes'!I17="","",'Charity &amp; Causes'!I17)</f>
        <v/>
      </c>
      <c r="I227" s="17">
        <f>IF('Charity &amp; Causes'!J17="","",'Charity &amp; Causes'!J17)</f>
        <v/>
      </c>
      <c r="J227" s="16">
        <f>IF('Charity &amp; Causes'!K17="","",'Charity &amp; Causes'!K17)</f>
        <v/>
      </c>
      <c r="K227" s="17">
        <f>IF('Charity &amp; Causes'!L17="","",'Charity &amp; Causes'!L17)</f>
        <v/>
      </c>
      <c r="L227" s="16">
        <f>IF('Charity &amp; Causes'!M17="","",'Charity &amp; Causes'!M17)</f>
        <v/>
      </c>
      <c r="M227" s="17">
        <f>IF('Charity &amp; Causes'!N17="","",'Charity &amp; Causes'!N17)</f>
        <v/>
      </c>
      <c r="N227" s="16">
        <f>IF('Charity &amp; Causes'!O17="","",'Charity &amp; Causes'!O17)</f>
        <v/>
      </c>
      <c r="O227" s="17">
        <f>IF('Charity &amp; Causes'!P17="","",'Charity &amp; Causes'!P17)</f>
        <v/>
      </c>
      <c r="P227" s="17">
        <f>IF('Charity &amp; Causes'!Q17="","",'Charity &amp; Causes'!Q17)</f>
        <v/>
      </c>
      <c r="Q227" s="15">
        <f>IF('Charity &amp; Causes'!R17="","",'Charity &amp; Causes'!R17)</f>
        <v/>
      </c>
      <c r="R227" s="19">
        <f>IF('Charity &amp; Causes'!S17="","",'Charity &amp; Causes'!S17)</f>
        <v/>
      </c>
      <c r="S227" s="16">
        <f>IF('Charity &amp; Causes'!T17="","",'Charity &amp; Causes'!T17)</f>
        <v/>
      </c>
      <c r="T227" s="15">
        <f>IF('Charity &amp; Causes'!U17="","",'Charity &amp; Causes'!U17)</f>
        <v/>
      </c>
      <c r="U227" s="17">
        <f>IF('Charity &amp; Causes'!V17="","",'Charity &amp; Causes'!V17)</f>
        <v/>
      </c>
      <c r="V227" s="15">
        <f>IF('Charity &amp; Causes'!W17="","",'Charity &amp; Causes'!W17)</f>
        <v/>
      </c>
      <c r="W227" s="17">
        <f>IF('Charity &amp; Causes'!X17="","",'Charity &amp; Causes'!X17)</f>
        <v/>
      </c>
      <c r="X227" s="17">
        <f>IF('Charity &amp; Causes'!Y17="","",'Charity &amp; Causes'!Y17)</f>
        <v/>
      </c>
      <c r="Y227" s="20">
        <f>IF('Charity &amp; Causes'!Z17="","",'Charity &amp; Causes'!Z17)</f>
        <v/>
      </c>
      <c r="Z227" s="21">
        <f>IF('Charity &amp; Causes'!AA17="","",'Charity &amp; Causes'!AA17)</f>
        <v/>
      </c>
      <c r="AA227" s="20">
        <f>IF('Charity &amp; Causes'!AB17="","",'Charity &amp; Causes'!AB17)</f>
        <v/>
      </c>
      <c r="AB227" s="16">
        <f>IF('Charity &amp; Causes'!AC17="","",'Charity &amp; Causes'!AC17)</f>
        <v/>
      </c>
      <c r="AC227" s="16">
        <f>IF('Charity &amp; Causes'!AD17="","",'Charity &amp; Causes'!AD17)</f>
        <v/>
      </c>
      <c r="AD227" s="16">
        <f>IF('Charity &amp; Causes'!AE17="","",'Charity &amp; Causes'!AE17)</f>
        <v/>
      </c>
      <c r="AE227" s="16">
        <f>IF('Charity &amp; Causes'!AF17="","",'Charity &amp; Causes'!AF17)</f>
        <v/>
      </c>
      <c r="AF227" s="16">
        <f>IF('Charity &amp; Causes'!AG17="","",'Charity &amp; Causes'!AG17)</f>
        <v/>
      </c>
      <c r="AG227" s="17">
        <f>IF('Charity &amp; Causes'!AH17="","",'Charity &amp; Causes'!AH17)</f>
        <v/>
      </c>
      <c r="AH227" s="17">
        <f>IF('Charity &amp; Causes'!AI17="","",'Charity &amp; Causes'!AI17)</f>
        <v/>
      </c>
      <c r="AI227" s="17">
        <f>IF('Charity &amp; Causes'!AJ17="","",'Charity &amp; Causes'!AJ17)</f>
        <v/>
      </c>
      <c r="AJ227" s="17">
        <f>IF('Charity &amp; Causes'!AK17="","",'Charity &amp; Causes'!AK17)</f>
        <v/>
      </c>
      <c r="AK227" s="16">
        <f>IF('Charity &amp; Causes'!AL17="","",'Charity &amp; Causes'!AL17)</f>
        <v/>
      </c>
      <c r="AL227" s="18">
        <f>IF(V227="","",V227+ROW()/100000)</f>
        <v/>
      </c>
    </row>
    <row r="228" ht="18" customHeight="1">
      <c r="A228" s="22">
        <f>IF('Charity &amp; Causes'!B18="","","Charity &amp; Causes")</f>
        <v/>
      </c>
      <c r="B228" s="22">
        <f>IF('Charity &amp; Causes'!B18="","",'Charity &amp; Causes'!B18)</f>
        <v/>
      </c>
      <c r="C228" s="23">
        <f>IF('Charity &amp; Causes'!D18="","",'Charity &amp; Causes'!D18)</f>
        <v/>
      </c>
      <c r="D228" s="22">
        <f>IF('Charity &amp; Causes'!E18="","",'Charity &amp; Causes'!E18)</f>
        <v/>
      </c>
      <c r="E228" s="23">
        <f>IF('Charity &amp; Causes'!F18="","",'Charity &amp; Causes'!F18)</f>
        <v/>
      </c>
      <c r="F228" s="23">
        <f>IF('Charity &amp; Causes'!G18="","",'Charity &amp; Causes'!G18)</f>
        <v/>
      </c>
      <c r="G228" s="23">
        <f>IF('Charity &amp; Causes'!H18="","",'Charity &amp; Causes'!H18)</f>
        <v/>
      </c>
      <c r="H228" s="22">
        <f>IF('Charity &amp; Causes'!I18="","",'Charity &amp; Causes'!I18)</f>
        <v/>
      </c>
      <c r="I228" s="23">
        <f>IF('Charity &amp; Causes'!J18="","",'Charity &amp; Causes'!J18)</f>
        <v/>
      </c>
      <c r="J228" s="22">
        <f>IF('Charity &amp; Causes'!K18="","",'Charity &amp; Causes'!K18)</f>
        <v/>
      </c>
      <c r="K228" s="23">
        <f>IF('Charity &amp; Causes'!L18="","",'Charity &amp; Causes'!L18)</f>
        <v/>
      </c>
      <c r="L228" s="22">
        <f>IF('Charity &amp; Causes'!M18="","",'Charity &amp; Causes'!M18)</f>
        <v/>
      </c>
      <c r="M228" s="23">
        <f>IF('Charity &amp; Causes'!N18="","",'Charity &amp; Causes'!N18)</f>
        <v/>
      </c>
      <c r="N228" s="22">
        <f>IF('Charity &amp; Causes'!O18="","",'Charity &amp; Causes'!O18)</f>
        <v/>
      </c>
      <c r="O228" s="23">
        <f>IF('Charity &amp; Causes'!P18="","",'Charity &amp; Causes'!P18)</f>
        <v/>
      </c>
      <c r="P228" s="23">
        <f>IF('Charity &amp; Causes'!Q18="","",'Charity &amp; Causes'!Q18)</f>
        <v/>
      </c>
      <c r="Q228" s="24">
        <f>IF('Charity &amp; Causes'!R18="","",'Charity &amp; Causes'!R18)</f>
        <v/>
      </c>
      <c r="R228" s="25">
        <f>IF('Charity &amp; Causes'!S18="","",'Charity &amp; Causes'!S18)</f>
        <v/>
      </c>
      <c r="S228" s="22">
        <f>IF('Charity &amp; Causes'!T18="","",'Charity &amp; Causes'!T18)</f>
        <v/>
      </c>
      <c r="T228" s="24">
        <f>IF('Charity &amp; Causes'!U18="","",'Charity &amp; Causes'!U18)</f>
        <v/>
      </c>
      <c r="U228" s="23">
        <f>IF('Charity &amp; Causes'!V18="","",'Charity &amp; Causes'!V18)</f>
        <v/>
      </c>
      <c r="V228" s="24">
        <f>IF('Charity &amp; Causes'!W18="","",'Charity &amp; Causes'!W18)</f>
        <v/>
      </c>
      <c r="W228" s="23">
        <f>IF('Charity &amp; Causes'!X18="","",'Charity &amp; Causes'!X18)</f>
        <v/>
      </c>
      <c r="X228" s="23">
        <f>IF('Charity &amp; Causes'!Y18="","",'Charity &amp; Causes'!Y18)</f>
        <v/>
      </c>
      <c r="Y228" s="26">
        <f>IF('Charity &amp; Causes'!Z18="","",'Charity &amp; Causes'!Z18)</f>
        <v/>
      </c>
      <c r="Z228" s="27">
        <f>IF('Charity &amp; Causes'!AA18="","",'Charity &amp; Causes'!AA18)</f>
        <v/>
      </c>
      <c r="AA228" s="26">
        <f>IF('Charity &amp; Causes'!AB18="","",'Charity &amp; Causes'!AB18)</f>
        <v/>
      </c>
      <c r="AB228" s="22">
        <f>IF('Charity &amp; Causes'!AC18="","",'Charity &amp; Causes'!AC18)</f>
        <v/>
      </c>
      <c r="AC228" s="22">
        <f>IF('Charity &amp; Causes'!AD18="","",'Charity &amp; Causes'!AD18)</f>
        <v/>
      </c>
      <c r="AD228" s="22">
        <f>IF('Charity &amp; Causes'!AE18="","",'Charity &amp; Causes'!AE18)</f>
        <v/>
      </c>
      <c r="AE228" s="22">
        <f>IF('Charity &amp; Causes'!AF18="","",'Charity &amp; Causes'!AF18)</f>
        <v/>
      </c>
      <c r="AF228" s="22">
        <f>IF('Charity &amp; Causes'!AG18="","",'Charity &amp; Causes'!AG18)</f>
        <v/>
      </c>
      <c r="AG228" s="23">
        <f>IF('Charity &amp; Causes'!AH18="","",'Charity &amp; Causes'!AH18)</f>
        <v/>
      </c>
      <c r="AH228" s="23">
        <f>IF('Charity &amp; Causes'!AI18="","",'Charity &amp; Causes'!AI18)</f>
        <v/>
      </c>
      <c r="AI228" s="23">
        <f>IF('Charity &amp; Causes'!AJ18="","",'Charity &amp; Causes'!AJ18)</f>
        <v/>
      </c>
      <c r="AJ228" s="23">
        <f>IF('Charity &amp; Causes'!AK18="","",'Charity &amp; Causes'!AK18)</f>
        <v/>
      </c>
      <c r="AK228" s="22">
        <f>IF('Charity &amp; Causes'!AL18="","",'Charity &amp; Causes'!AL18)</f>
        <v/>
      </c>
      <c r="AL228" s="18">
        <f>IF(V228="","",V228+ROW()/100000)</f>
        <v/>
      </c>
    </row>
    <row r="229" ht="18" customHeight="1">
      <c r="A229" s="16">
        <f>IF('Charity &amp; Causes'!B19="","","Charity &amp; Causes")</f>
        <v/>
      </c>
      <c r="B229" s="16">
        <f>IF('Charity &amp; Causes'!B19="","",'Charity &amp; Causes'!B19)</f>
        <v/>
      </c>
      <c r="C229" s="17">
        <f>IF('Charity &amp; Causes'!D19="","",'Charity &amp; Causes'!D19)</f>
        <v/>
      </c>
      <c r="D229" s="16">
        <f>IF('Charity &amp; Causes'!E19="","",'Charity &amp; Causes'!E19)</f>
        <v/>
      </c>
      <c r="E229" s="17">
        <f>IF('Charity &amp; Causes'!F19="","",'Charity &amp; Causes'!F19)</f>
        <v/>
      </c>
      <c r="F229" s="17">
        <f>IF('Charity &amp; Causes'!G19="","",'Charity &amp; Causes'!G19)</f>
        <v/>
      </c>
      <c r="G229" s="17">
        <f>IF('Charity &amp; Causes'!H19="","",'Charity &amp; Causes'!H19)</f>
        <v/>
      </c>
      <c r="H229" s="16">
        <f>IF('Charity &amp; Causes'!I19="","",'Charity &amp; Causes'!I19)</f>
        <v/>
      </c>
      <c r="I229" s="17">
        <f>IF('Charity &amp; Causes'!J19="","",'Charity &amp; Causes'!J19)</f>
        <v/>
      </c>
      <c r="J229" s="16">
        <f>IF('Charity &amp; Causes'!K19="","",'Charity &amp; Causes'!K19)</f>
        <v/>
      </c>
      <c r="K229" s="17">
        <f>IF('Charity &amp; Causes'!L19="","",'Charity &amp; Causes'!L19)</f>
        <v/>
      </c>
      <c r="L229" s="16">
        <f>IF('Charity &amp; Causes'!M19="","",'Charity &amp; Causes'!M19)</f>
        <v/>
      </c>
      <c r="M229" s="17">
        <f>IF('Charity &amp; Causes'!N19="","",'Charity &amp; Causes'!N19)</f>
        <v/>
      </c>
      <c r="N229" s="16">
        <f>IF('Charity &amp; Causes'!O19="","",'Charity &amp; Causes'!O19)</f>
        <v/>
      </c>
      <c r="O229" s="17">
        <f>IF('Charity &amp; Causes'!P19="","",'Charity &amp; Causes'!P19)</f>
        <v/>
      </c>
      <c r="P229" s="17">
        <f>IF('Charity &amp; Causes'!Q19="","",'Charity &amp; Causes'!Q19)</f>
        <v/>
      </c>
      <c r="Q229" s="15">
        <f>IF('Charity &amp; Causes'!R19="","",'Charity &amp; Causes'!R19)</f>
        <v/>
      </c>
      <c r="R229" s="19">
        <f>IF('Charity &amp; Causes'!S19="","",'Charity &amp; Causes'!S19)</f>
        <v/>
      </c>
      <c r="S229" s="16">
        <f>IF('Charity &amp; Causes'!T19="","",'Charity &amp; Causes'!T19)</f>
        <v/>
      </c>
      <c r="T229" s="15">
        <f>IF('Charity &amp; Causes'!U19="","",'Charity &amp; Causes'!U19)</f>
        <v/>
      </c>
      <c r="U229" s="17">
        <f>IF('Charity &amp; Causes'!V19="","",'Charity &amp; Causes'!V19)</f>
        <v/>
      </c>
      <c r="V229" s="15">
        <f>IF('Charity &amp; Causes'!W19="","",'Charity &amp; Causes'!W19)</f>
        <v/>
      </c>
      <c r="W229" s="17">
        <f>IF('Charity &amp; Causes'!X19="","",'Charity &amp; Causes'!X19)</f>
        <v/>
      </c>
      <c r="X229" s="17">
        <f>IF('Charity &amp; Causes'!Y19="","",'Charity &amp; Causes'!Y19)</f>
        <v/>
      </c>
      <c r="Y229" s="20">
        <f>IF('Charity &amp; Causes'!Z19="","",'Charity &amp; Causes'!Z19)</f>
        <v/>
      </c>
      <c r="Z229" s="21">
        <f>IF('Charity &amp; Causes'!AA19="","",'Charity &amp; Causes'!AA19)</f>
        <v/>
      </c>
      <c r="AA229" s="20">
        <f>IF('Charity &amp; Causes'!AB19="","",'Charity &amp; Causes'!AB19)</f>
        <v/>
      </c>
      <c r="AB229" s="16">
        <f>IF('Charity &amp; Causes'!AC19="","",'Charity &amp; Causes'!AC19)</f>
        <v/>
      </c>
      <c r="AC229" s="16">
        <f>IF('Charity &amp; Causes'!AD19="","",'Charity &amp; Causes'!AD19)</f>
        <v/>
      </c>
      <c r="AD229" s="16">
        <f>IF('Charity &amp; Causes'!AE19="","",'Charity &amp; Causes'!AE19)</f>
        <v/>
      </c>
      <c r="AE229" s="16">
        <f>IF('Charity &amp; Causes'!AF19="","",'Charity &amp; Causes'!AF19)</f>
        <v/>
      </c>
      <c r="AF229" s="16">
        <f>IF('Charity &amp; Causes'!AG19="","",'Charity &amp; Causes'!AG19)</f>
        <v/>
      </c>
      <c r="AG229" s="17">
        <f>IF('Charity &amp; Causes'!AH19="","",'Charity &amp; Causes'!AH19)</f>
        <v/>
      </c>
      <c r="AH229" s="17">
        <f>IF('Charity &amp; Causes'!AI19="","",'Charity &amp; Causes'!AI19)</f>
        <v/>
      </c>
      <c r="AI229" s="17">
        <f>IF('Charity &amp; Causes'!AJ19="","",'Charity &amp; Causes'!AJ19)</f>
        <v/>
      </c>
      <c r="AJ229" s="17">
        <f>IF('Charity &amp; Causes'!AK19="","",'Charity &amp; Causes'!AK19)</f>
        <v/>
      </c>
      <c r="AK229" s="16">
        <f>IF('Charity &amp; Causes'!AL19="","",'Charity &amp; Causes'!AL19)</f>
        <v/>
      </c>
      <c r="AL229" s="18">
        <f>IF(V229="","",V229+ROW()/100000)</f>
        <v/>
      </c>
    </row>
    <row r="230" ht="18" customHeight="1">
      <c r="A230" s="22">
        <f>IF('Charity &amp; Causes'!B20="","","Charity &amp; Causes")</f>
        <v/>
      </c>
      <c r="B230" s="22">
        <f>IF('Charity &amp; Causes'!B20="","",'Charity &amp; Causes'!B20)</f>
        <v/>
      </c>
      <c r="C230" s="23">
        <f>IF('Charity &amp; Causes'!D20="","",'Charity &amp; Causes'!D20)</f>
        <v/>
      </c>
      <c r="D230" s="22">
        <f>IF('Charity &amp; Causes'!E20="","",'Charity &amp; Causes'!E20)</f>
        <v/>
      </c>
      <c r="E230" s="23">
        <f>IF('Charity &amp; Causes'!F20="","",'Charity &amp; Causes'!F20)</f>
        <v/>
      </c>
      <c r="F230" s="23">
        <f>IF('Charity &amp; Causes'!G20="","",'Charity &amp; Causes'!G20)</f>
        <v/>
      </c>
      <c r="G230" s="23">
        <f>IF('Charity &amp; Causes'!H20="","",'Charity &amp; Causes'!H20)</f>
        <v/>
      </c>
      <c r="H230" s="22">
        <f>IF('Charity &amp; Causes'!I20="","",'Charity &amp; Causes'!I20)</f>
        <v/>
      </c>
      <c r="I230" s="23">
        <f>IF('Charity &amp; Causes'!J20="","",'Charity &amp; Causes'!J20)</f>
        <v/>
      </c>
      <c r="J230" s="22">
        <f>IF('Charity &amp; Causes'!K20="","",'Charity &amp; Causes'!K20)</f>
        <v/>
      </c>
      <c r="K230" s="23">
        <f>IF('Charity &amp; Causes'!L20="","",'Charity &amp; Causes'!L20)</f>
        <v/>
      </c>
      <c r="L230" s="22">
        <f>IF('Charity &amp; Causes'!M20="","",'Charity &amp; Causes'!M20)</f>
        <v/>
      </c>
      <c r="M230" s="23">
        <f>IF('Charity &amp; Causes'!N20="","",'Charity &amp; Causes'!N20)</f>
        <v/>
      </c>
      <c r="N230" s="22">
        <f>IF('Charity &amp; Causes'!O20="","",'Charity &amp; Causes'!O20)</f>
        <v/>
      </c>
      <c r="O230" s="23">
        <f>IF('Charity &amp; Causes'!P20="","",'Charity &amp; Causes'!P20)</f>
        <v/>
      </c>
      <c r="P230" s="23">
        <f>IF('Charity &amp; Causes'!Q20="","",'Charity &amp; Causes'!Q20)</f>
        <v/>
      </c>
      <c r="Q230" s="24">
        <f>IF('Charity &amp; Causes'!R20="","",'Charity &amp; Causes'!R20)</f>
        <v/>
      </c>
      <c r="R230" s="25">
        <f>IF('Charity &amp; Causes'!S20="","",'Charity &amp; Causes'!S20)</f>
        <v/>
      </c>
      <c r="S230" s="22">
        <f>IF('Charity &amp; Causes'!T20="","",'Charity &amp; Causes'!T20)</f>
        <v/>
      </c>
      <c r="T230" s="24">
        <f>IF('Charity &amp; Causes'!U20="","",'Charity &amp; Causes'!U20)</f>
        <v/>
      </c>
      <c r="U230" s="23">
        <f>IF('Charity &amp; Causes'!V20="","",'Charity &amp; Causes'!V20)</f>
        <v/>
      </c>
      <c r="V230" s="24">
        <f>IF('Charity &amp; Causes'!W20="","",'Charity &amp; Causes'!W20)</f>
        <v/>
      </c>
      <c r="W230" s="23">
        <f>IF('Charity &amp; Causes'!X20="","",'Charity &amp; Causes'!X20)</f>
        <v/>
      </c>
      <c r="X230" s="23">
        <f>IF('Charity &amp; Causes'!Y20="","",'Charity &amp; Causes'!Y20)</f>
        <v/>
      </c>
      <c r="Y230" s="26">
        <f>IF('Charity &amp; Causes'!Z20="","",'Charity &amp; Causes'!Z20)</f>
        <v/>
      </c>
      <c r="Z230" s="27">
        <f>IF('Charity &amp; Causes'!AA20="","",'Charity &amp; Causes'!AA20)</f>
        <v/>
      </c>
      <c r="AA230" s="26">
        <f>IF('Charity &amp; Causes'!AB20="","",'Charity &amp; Causes'!AB20)</f>
        <v/>
      </c>
      <c r="AB230" s="22">
        <f>IF('Charity &amp; Causes'!AC20="","",'Charity &amp; Causes'!AC20)</f>
        <v/>
      </c>
      <c r="AC230" s="22">
        <f>IF('Charity &amp; Causes'!AD20="","",'Charity &amp; Causes'!AD20)</f>
        <v/>
      </c>
      <c r="AD230" s="22">
        <f>IF('Charity &amp; Causes'!AE20="","",'Charity &amp; Causes'!AE20)</f>
        <v/>
      </c>
      <c r="AE230" s="22">
        <f>IF('Charity &amp; Causes'!AF20="","",'Charity &amp; Causes'!AF20)</f>
        <v/>
      </c>
      <c r="AF230" s="22">
        <f>IF('Charity &amp; Causes'!AG20="","",'Charity &amp; Causes'!AG20)</f>
        <v/>
      </c>
      <c r="AG230" s="23">
        <f>IF('Charity &amp; Causes'!AH20="","",'Charity &amp; Causes'!AH20)</f>
        <v/>
      </c>
      <c r="AH230" s="23">
        <f>IF('Charity &amp; Causes'!AI20="","",'Charity &amp; Causes'!AI20)</f>
        <v/>
      </c>
      <c r="AI230" s="23">
        <f>IF('Charity &amp; Causes'!AJ20="","",'Charity &amp; Causes'!AJ20)</f>
        <v/>
      </c>
      <c r="AJ230" s="23">
        <f>IF('Charity &amp; Causes'!AK20="","",'Charity &amp; Causes'!AK20)</f>
        <v/>
      </c>
      <c r="AK230" s="22">
        <f>IF('Charity &amp; Causes'!AL20="","",'Charity &amp; Causes'!AL20)</f>
        <v/>
      </c>
      <c r="AL230" s="18">
        <f>IF(V230="","",V230+ROW()/100000)</f>
        <v/>
      </c>
    </row>
    <row r="231" ht="18" customHeight="1">
      <c r="A231" s="16">
        <f>IF('Charity &amp; Causes'!B21="","","Charity &amp; Causes")</f>
        <v/>
      </c>
      <c r="B231" s="16">
        <f>IF('Charity &amp; Causes'!B21="","",'Charity &amp; Causes'!B21)</f>
        <v/>
      </c>
      <c r="C231" s="17">
        <f>IF('Charity &amp; Causes'!D21="","",'Charity &amp; Causes'!D21)</f>
        <v/>
      </c>
      <c r="D231" s="16">
        <f>IF('Charity &amp; Causes'!E21="","",'Charity &amp; Causes'!E21)</f>
        <v/>
      </c>
      <c r="E231" s="17">
        <f>IF('Charity &amp; Causes'!F21="","",'Charity &amp; Causes'!F21)</f>
        <v/>
      </c>
      <c r="F231" s="17">
        <f>IF('Charity &amp; Causes'!G21="","",'Charity &amp; Causes'!G21)</f>
        <v/>
      </c>
      <c r="G231" s="17">
        <f>IF('Charity &amp; Causes'!H21="","",'Charity &amp; Causes'!H21)</f>
        <v/>
      </c>
      <c r="H231" s="16">
        <f>IF('Charity &amp; Causes'!I21="","",'Charity &amp; Causes'!I21)</f>
        <v/>
      </c>
      <c r="I231" s="17">
        <f>IF('Charity &amp; Causes'!J21="","",'Charity &amp; Causes'!J21)</f>
        <v/>
      </c>
      <c r="J231" s="16">
        <f>IF('Charity &amp; Causes'!K21="","",'Charity &amp; Causes'!K21)</f>
        <v/>
      </c>
      <c r="K231" s="17">
        <f>IF('Charity &amp; Causes'!L21="","",'Charity &amp; Causes'!L21)</f>
        <v/>
      </c>
      <c r="L231" s="16">
        <f>IF('Charity &amp; Causes'!M21="","",'Charity &amp; Causes'!M21)</f>
        <v/>
      </c>
      <c r="M231" s="17">
        <f>IF('Charity &amp; Causes'!N21="","",'Charity &amp; Causes'!N21)</f>
        <v/>
      </c>
      <c r="N231" s="16">
        <f>IF('Charity &amp; Causes'!O21="","",'Charity &amp; Causes'!O21)</f>
        <v/>
      </c>
      <c r="O231" s="17">
        <f>IF('Charity &amp; Causes'!P21="","",'Charity &amp; Causes'!P21)</f>
        <v/>
      </c>
      <c r="P231" s="17">
        <f>IF('Charity &amp; Causes'!Q21="","",'Charity &amp; Causes'!Q21)</f>
        <v/>
      </c>
      <c r="Q231" s="15">
        <f>IF('Charity &amp; Causes'!R21="","",'Charity &amp; Causes'!R21)</f>
        <v/>
      </c>
      <c r="R231" s="19">
        <f>IF('Charity &amp; Causes'!S21="","",'Charity &amp; Causes'!S21)</f>
        <v/>
      </c>
      <c r="S231" s="16">
        <f>IF('Charity &amp; Causes'!T21="","",'Charity &amp; Causes'!T21)</f>
        <v/>
      </c>
      <c r="T231" s="15">
        <f>IF('Charity &amp; Causes'!U21="","",'Charity &amp; Causes'!U21)</f>
        <v/>
      </c>
      <c r="U231" s="17">
        <f>IF('Charity &amp; Causes'!V21="","",'Charity &amp; Causes'!V21)</f>
        <v/>
      </c>
      <c r="V231" s="15">
        <f>IF('Charity &amp; Causes'!W21="","",'Charity &amp; Causes'!W21)</f>
        <v/>
      </c>
      <c r="W231" s="17">
        <f>IF('Charity &amp; Causes'!X21="","",'Charity &amp; Causes'!X21)</f>
        <v/>
      </c>
      <c r="X231" s="17">
        <f>IF('Charity &amp; Causes'!Y21="","",'Charity &amp; Causes'!Y21)</f>
        <v/>
      </c>
      <c r="Y231" s="20">
        <f>IF('Charity &amp; Causes'!Z21="","",'Charity &amp; Causes'!Z21)</f>
        <v/>
      </c>
      <c r="Z231" s="21">
        <f>IF('Charity &amp; Causes'!AA21="","",'Charity &amp; Causes'!AA21)</f>
        <v/>
      </c>
      <c r="AA231" s="20">
        <f>IF('Charity &amp; Causes'!AB21="","",'Charity &amp; Causes'!AB21)</f>
        <v/>
      </c>
      <c r="AB231" s="16">
        <f>IF('Charity &amp; Causes'!AC21="","",'Charity &amp; Causes'!AC21)</f>
        <v/>
      </c>
      <c r="AC231" s="16">
        <f>IF('Charity &amp; Causes'!AD21="","",'Charity &amp; Causes'!AD21)</f>
        <v/>
      </c>
      <c r="AD231" s="16">
        <f>IF('Charity &amp; Causes'!AE21="","",'Charity &amp; Causes'!AE21)</f>
        <v/>
      </c>
      <c r="AE231" s="16">
        <f>IF('Charity &amp; Causes'!AF21="","",'Charity &amp; Causes'!AF21)</f>
        <v/>
      </c>
      <c r="AF231" s="16">
        <f>IF('Charity &amp; Causes'!AG21="","",'Charity &amp; Causes'!AG21)</f>
        <v/>
      </c>
      <c r="AG231" s="17">
        <f>IF('Charity &amp; Causes'!AH21="","",'Charity &amp; Causes'!AH21)</f>
        <v/>
      </c>
      <c r="AH231" s="17">
        <f>IF('Charity &amp; Causes'!AI21="","",'Charity &amp; Causes'!AI21)</f>
        <v/>
      </c>
      <c r="AI231" s="17">
        <f>IF('Charity &amp; Causes'!AJ21="","",'Charity &amp; Causes'!AJ21)</f>
        <v/>
      </c>
      <c r="AJ231" s="17">
        <f>IF('Charity &amp; Causes'!AK21="","",'Charity &amp; Causes'!AK21)</f>
        <v/>
      </c>
      <c r="AK231" s="16">
        <f>IF('Charity &amp; Causes'!AL21="","",'Charity &amp; Causes'!AL21)</f>
        <v/>
      </c>
      <c r="AL231" s="18">
        <f>IF(V231="","",V231+ROW()/100000)</f>
        <v/>
      </c>
    </row>
    <row r="232" ht="18" customHeight="1">
      <c r="A232" s="22">
        <f>IF('Charity &amp; Causes'!B22="","","Charity &amp; Causes")</f>
        <v/>
      </c>
      <c r="B232" s="22">
        <f>IF('Charity &amp; Causes'!B22="","",'Charity &amp; Causes'!B22)</f>
        <v/>
      </c>
      <c r="C232" s="23">
        <f>IF('Charity &amp; Causes'!D22="","",'Charity &amp; Causes'!D22)</f>
        <v/>
      </c>
      <c r="D232" s="22">
        <f>IF('Charity &amp; Causes'!E22="","",'Charity &amp; Causes'!E22)</f>
        <v/>
      </c>
      <c r="E232" s="23">
        <f>IF('Charity &amp; Causes'!F22="","",'Charity &amp; Causes'!F22)</f>
        <v/>
      </c>
      <c r="F232" s="23">
        <f>IF('Charity &amp; Causes'!G22="","",'Charity &amp; Causes'!G22)</f>
        <v/>
      </c>
      <c r="G232" s="23">
        <f>IF('Charity &amp; Causes'!H22="","",'Charity &amp; Causes'!H22)</f>
        <v/>
      </c>
      <c r="H232" s="22">
        <f>IF('Charity &amp; Causes'!I22="","",'Charity &amp; Causes'!I22)</f>
        <v/>
      </c>
      <c r="I232" s="23">
        <f>IF('Charity &amp; Causes'!J22="","",'Charity &amp; Causes'!J22)</f>
        <v/>
      </c>
      <c r="J232" s="22">
        <f>IF('Charity &amp; Causes'!K22="","",'Charity &amp; Causes'!K22)</f>
        <v/>
      </c>
      <c r="K232" s="23">
        <f>IF('Charity &amp; Causes'!L22="","",'Charity &amp; Causes'!L22)</f>
        <v/>
      </c>
      <c r="L232" s="22">
        <f>IF('Charity &amp; Causes'!M22="","",'Charity &amp; Causes'!M22)</f>
        <v/>
      </c>
      <c r="M232" s="23">
        <f>IF('Charity &amp; Causes'!N22="","",'Charity &amp; Causes'!N22)</f>
        <v/>
      </c>
      <c r="N232" s="22">
        <f>IF('Charity &amp; Causes'!O22="","",'Charity &amp; Causes'!O22)</f>
        <v/>
      </c>
      <c r="O232" s="23">
        <f>IF('Charity &amp; Causes'!P22="","",'Charity &amp; Causes'!P22)</f>
        <v/>
      </c>
      <c r="P232" s="23">
        <f>IF('Charity &amp; Causes'!Q22="","",'Charity &amp; Causes'!Q22)</f>
        <v/>
      </c>
      <c r="Q232" s="24">
        <f>IF('Charity &amp; Causes'!R22="","",'Charity &amp; Causes'!R22)</f>
        <v/>
      </c>
      <c r="R232" s="25">
        <f>IF('Charity &amp; Causes'!S22="","",'Charity &amp; Causes'!S22)</f>
        <v/>
      </c>
      <c r="S232" s="22">
        <f>IF('Charity &amp; Causes'!T22="","",'Charity &amp; Causes'!T22)</f>
        <v/>
      </c>
      <c r="T232" s="24">
        <f>IF('Charity &amp; Causes'!U22="","",'Charity &amp; Causes'!U22)</f>
        <v/>
      </c>
      <c r="U232" s="23">
        <f>IF('Charity &amp; Causes'!V22="","",'Charity &amp; Causes'!V22)</f>
        <v/>
      </c>
      <c r="V232" s="24">
        <f>IF('Charity &amp; Causes'!W22="","",'Charity &amp; Causes'!W22)</f>
        <v/>
      </c>
      <c r="W232" s="23">
        <f>IF('Charity &amp; Causes'!X22="","",'Charity &amp; Causes'!X22)</f>
        <v/>
      </c>
      <c r="X232" s="23">
        <f>IF('Charity &amp; Causes'!Y22="","",'Charity &amp; Causes'!Y22)</f>
        <v/>
      </c>
      <c r="Y232" s="26">
        <f>IF('Charity &amp; Causes'!Z22="","",'Charity &amp; Causes'!Z22)</f>
        <v/>
      </c>
      <c r="Z232" s="27">
        <f>IF('Charity &amp; Causes'!AA22="","",'Charity &amp; Causes'!AA22)</f>
        <v/>
      </c>
      <c r="AA232" s="26">
        <f>IF('Charity &amp; Causes'!AB22="","",'Charity &amp; Causes'!AB22)</f>
        <v/>
      </c>
      <c r="AB232" s="22">
        <f>IF('Charity &amp; Causes'!AC22="","",'Charity &amp; Causes'!AC22)</f>
        <v/>
      </c>
      <c r="AC232" s="22">
        <f>IF('Charity &amp; Causes'!AD22="","",'Charity &amp; Causes'!AD22)</f>
        <v/>
      </c>
      <c r="AD232" s="22">
        <f>IF('Charity &amp; Causes'!AE22="","",'Charity &amp; Causes'!AE22)</f>
        <v/>
      </c>
      <c r="AE232" s="22">
        <f>IF('Charity &amp; Causes'!AF22="","",'Charity &amp; Causes'!AF22)</f>
        <v/>
      </c>
      <c r="AF232" s="22">
        <f>IF('Charity &amp; Causes'!AG22="","",'Charity &amp; Causes'!AG22)</f>
        <v/>
      </c>
      <c r="AG232" s="23">
        <f>IF('Charity &amp; Causes'!AH22="","",'Charity &amp; Causes'!AH22)</f>
        <v/>
      </c>
      <c r="AH232" s="23">
        <f>IF('Charity &amp; Causes'!AI22="","",'Charity &amp; Causes'!AI22)</f>
        <v/>
      </c>
      <c r="AI232" s="23">
        <f>IF('Charity &amp; Causes'!AJ22="","",'Charity &amp; Causes'!AJ22)</f>
        <v/>
      </c>
      <c r="AJ232" s="23">
        <f>IF('Charity &amp; Causes'!AK22="","",'Charity &amp; Causes'!AK22)</f>
        <v/>
      </c>
      <c r="AK232" s="22">
        <f>IF('Charity &amp; Causes'!AL22="","",'Charity &amp; Causes'!AL22)</f>
        <v/>
      </c>
      <c r="AL232" s="18">
        <f>IF(V232="","",V232+ROW()/100000)</f>
        <v/>
      </c>
    </row>
    <row r="233" ht="18" customHeight="1">
      <c r="A233" s="16">
        <f>IF('Charity &amp; Causes'!B23="","","Charity &amp; Causes")</f>
        <v/>
      </c>
      <c r="B233" s="16">
        <f>IF('Charity &amp; Causes'!B23="","",'Charity &amp; Causes'!B23)</f>
        <v/>
      </c>
      <c r="C233" s="17">
        <f>IF('Charity &amp; Causes'!D23="","",'Charity &amp; Causes'!D23)</f>
        <v/>
      </c>
      <c r="D233" s="16">
        <f>IF('Charity &amp; Causes'!E23="","",'Charity &amp; Causes'!E23)</f>
        <v/>
      </c>
      <c r="E233" s="17">
        <f>IF('Charity &amp; Causes'!F23="","",'Charity &amp; Causes'!F23)</f>
        <v/>
      </c>
      <c r="F233" s="17">
        <f>IF('Charity &amp; Causes'!G23="","",'Charity &amp; Causes'!G23)</f>
        <v/>
      </c>
      <c r="G233" s="17">
        <f>IF('Charity &amp; Causes'!H23="","",'Charity &amp; Causes'!H23)</f>
        <v/>
      </c>
      <c r="H233" s="16">
        <f>IF('Charity &amp; Causes'!I23="","",'Charity &amp; Causes'!I23)</f>
        <v/>
      </c>
      <c r="I233" s="17">
        <f>IF('Charity &amp; Causes'!J23="","",'Charity &amp; Causes'!J23)</f>
        <v/>
      </c>
      <c r="J233" s="16">
        <f>IF('Charity &amp; Causes'!K23="","",'Charity &amp; Causes'!K23)</f>
        <v/>
      </c>
      <c r="K233" s="17">
        <f>IF('Charity &amp; Causes'!L23="","",'Charity &amp; Causes'!L23)</f>
        <v/>
      </c>
      <c r="L233" s="16">
        <f>IF('Charity &amp; Causes'!M23="","",'Charity &amp; Causes'!M23)</f>
        <v/>
      </c>
      <c r="M233" s="17">
        <f>IF('Charity &amp; Causes'!N23="","",'Charity &amp; Causes'!N23)</f>
        <v/>
      </c>
      <c r="N233" s="16">
        <f>IF('Charity &amp; Causes'!O23="","",'Charity &amp; Causes'!O23)</f>
        <v/>
      </c>
      <c r="O233" s="17">
        <f>IF('Charity &amp; Causes'!P23="","",'Charity &amp; Causes'!P23)</f>
        <v/>
      </c>
      <c r="P233" s="17">
        <f>IF('Charity &amp; Causes'!Q23="","",'Charity &amp; Causes'!Q23)</f>
        <v/>
      </c>
      <c r="Q233" s="15">
        <f>IF('Charity &amp; Causes'!R23="","",'Charity &amp; Causes'!R23)</f>
        <v/>
      </c>
      <c r="R233" s="19">
        <f>IF('Charity &amp; Causes'!S23="","",'Charity &amp; Causes'!S23)</f>
        <v/>
      </c>
      <c r="S233" s="16">
        <f>IF('Charity &amp; Causes'!T23="","",'Charity &amp; Causes'!T23)</f>
        <v/>
      </c>
      <c r="T233" s="15">
        <f>IF('Charity &amp; Causes'!U23="","",'Charity &amp; Causes'!U23)</f>
        <v/>
      </c>
      <c r="U233" s="17">
        <f>IF('Charity &amp; Causes'!V23="","",'Charity &amp; Causes'!V23)</f>
        <v/>
      </c>
      <c r="V233" s="15">
        <f>IF('Charity &amp; Causes'!W23="","",'Charity &amp; Causes'!W23)</f>
        <v/>
      </c>
      <c r="W233" s="17">
        <f>IF('Charity &amp; Causes'!X23="","",'Charity &amp; Causes'!X23)</f>
        <v/>
      </c>
      <c r="X233" s="17">
        <f>IF('Charity &amp; Causes'!Y23="","",'Charity &amp; Causes'!Y23)</f>
        <v/>
      </c>
      <c r="Y233" s="20">
        <f>IF('Charity &amp; Causes'!Z23="","",'Charity &amp; Causes'!Z23)</f>
        <v/>
      </c>
      <c r="Z233" s="21">
        <f>IF('Charity &amp; Causes'!AA23="","",'Charity &amp; Causes'!AA23)</f>
        <v/>
      </c>
      <c r="AA233" s="20">
        <f>IF('Charity &amp; Causes'!AB23="","",'Charity &amp; Causes'!AB23)</f>
        <v/>
      </c>
      <c r="AB233" s="16">
        <f>IF('Charity &amp; Causes'!AC23="","",'Charity &amp; Causes'!AC23)</f>
        <v/>
      </c>
      <c r="AC233" s="16">
        <f>IF('Charity &amp; Causes'!AD23="","",'Charity &amp; Causes'!AD23)</f>
        <v/>
      </c>
      <c r="AD233" s="16">
        <f>IF('Charity &amp; Causes'!AE23="","",'Charity &amp; Causes'!AE23)</f>
        <v/>
      </c>
      <c r="AE233" s="16">
        <f>IF('Charity &amp; Causes'!AF23="","",'Charity &amp; Causes'!AF23)</f>
        <v/>
      </c>
      <c r="AF233" s="16">
        <f>IF('Charity &amp; Causes'!AG23="","",'Charity &amp; Causes'!AG23)</f>
        <v/>
      </c>
      <c r="AG233" s="17">
        <f>IF('Charity &amp; Causes'!AH23="","",'Charity &amp; Causes'!AH23)</f>
        <v/>
      </c>
      <c r="AH233" s="17">
        <f>IF('Charity &amp; Causes'!AI23="","",'Charity &amp; Causes'!AI23)</f>
        <v/>
      </c>
      <c r="AI233" s="17">
        <f>IF('Charity &amp; Causes'!AJ23="","",'Charity &amp; Causes'!AJ23)</f>
        <v/>
      </c>
      <c r="AJ233" s="17">
        <f>IF('Charity &amp; Causes'!AK23="","",'Charity &amp; Causes'!AK23)</f>
        <v/>
      </c>
      <c r="AK233" s="16">
        <f>IF('Charity &amp; Causes'!AL23="","",'Charity &amp; Causes'!AL23)</f>
        <v/>
      </c>
      <c r="AL233" s="18">
        <f>IF(V233="","",V233+ROW()/100000)</f>
        <v/>
      </c>
    </row>
    <row r="234" ht="18" customHeight="1">
      <c r="A234" s="22">
        <f>IF('Charity &amp; Causes'!B24="","","Charity &amp; Causes")</f>
        <v/>
      </c>
      <c r="B234" s="22">
        <f>IF('Charity &amp; Causes'!B24="","",'Charity &amp; Causes'!B24)</f>
        <v/>
      </c>
      <c r="C234" s="23">
        <f>IF('Charity &amp; Causes'!D24="","",'Charity &amp; Causes'!D24)</f>
        <v/>
      </c>
      <c r="D234" s="22">
        <f>IF('Charity &amp; Causes'!E24="","",'Charity &amp; Causes'!E24)</f>
        <v/>
      </c>
      <c r="E234" s="23">
        <f>IF('Charity &amp; Causes'!F24="","",'Charity &amp; Causes'!F24)</f>
        <v/>
      </c>
      <c r="F234" s="23">
        <f>IF('Charity &amp; Causes'!G24="","",'Charity &amp; Causes'!G24)</f>
        <v/>
      </c>
      <c r="G234" s="23">
        <f>IF('Charity &amp; Causes'!H24="","",'Charity &amp; Causes'!H24)</f>
        <v/>
      </c>
      <c r="H234" s="22">
        <f>IF('Charity &amp; Causes'!I24="","",'Charity &amp; Causes'!I24)</f>
        <v/>
      </c>
      <c r="I234" s="23">
        <f>IF('Charity &amp; Causes'!J24="","",'Charity &amp; Causes'!J24)</f>
        <v/>
      </c>
      <c r="J234" s="22">
        <f>IF('Charity &amp; Causes'!K24="","",'Charity &amp; Causes'!K24)</f>
        <v/>
      </c>
      <c r="K234" s="23">
        <f>IF('Charity &amp; Causes'!L24="","",'Charity &amp; Causes'!L24)</f>
        <v/>
      </c>
      <c r="L234" s="22">
        <f>IF('Charity &amp; Causes'!M24="","",'Charity &amp; Causes'!M24)</f>
        <v/>
      </c>
      <c r="M234" s="23">
        <f>IF('Charity &amp; Causes'!N24="","",'Charity &amp; Causes'!N24)</f>
        <v/>
      </c>
      <c r="N234" s="22">
        <f>IF('Charity &amp; Causes'!O24="","",'Charity &amp; Causes'!O24)</f>
        <v/>
      </c>
      <c r="O234" s="23">
        <f>IF('Charity &amp; Causes'!P24="","",'Charity &amp; Causes'!P24)</f>
        <v/>
      </c>
      <c r="P234" s="23">
        <f>IF('Charity &amp; Causes'!Q24="","",'Charity &amp; Causes'!Q24)</f>
        <v/>
      </c>
      <c r="Q234" s="24">
        <f>IF('Charity &amp; Causes'!R24="","",'Charity &amp; Causes'!R24)</f>
        <v/>
      </c>
      <c r="R234" s="25">
        <f>IF('Charity &amp; Causes'!S24="","",'Charity &amp; Causes'!S24)</f>
        <v/>
      </c>
      <c r="S234" s="22">
        <f>IF('Charity &amp; Causes'!T24="","",'Charity &amp; Causes'!T24)</f>
        <v/>
      </c>
      <c r="T234" s="24">
        <f>IF('Charity &amp; Causes'!U24="","",'Charity &amp; Causes'!U24)</f>
        <v/>
      </c>
      <c r="U234" s="23">
        <f>IF('Charity &amp; Causes'!V24="","",'Charity &amp; Causes'!V24)</f>
        <v/>
      </c>
      <c r="V234" s="24">
        <f>IF('Charity &amp; Causes'!W24="","",'Charity &amp; Causes'!W24)</f>
        <v/>
      </c>
      <c r="W234" s="23">
        <f>IF('Charity &amp; Causes'!X24="","",'Charity &amp; Causes'!X24)</f>
        <v/>
      </c>
      <c r="X234" s="23">
        <f>IF('Charity &amp; Causes'!Y24="","",'Charity &amp; Causes'!Y24)</f>
        <v/>
      </c>
      <c r="Y234" s="26">
        <f>IF('Charity &amp; Causes'!Z24="","",'Charity &amp; Causes'!Z24)</f>
        <v/>
      </c>
      <c r="Z234" s="27">
        <f>IF('Charity &amp; Causes'!AA24="","",'Charity &amp; Causes'!AA24)</f>
        <v/>
      </c>
      <c r="AA234" s="26">
        <f>IF('Charity &amp; Causes'!AB24="","",'Charity &amp; Causes'!AB24)</f>
        <v/>
      </c>
      <c r="AB234" s="22">
        <f>IF('Charity &amp; Causes'!AC24="","",'Charity &amp; Causes'!AC24)</f>
        <v/>
      </c>
      <c r="AC234" s="22">
        <f>IF('Charity &amp; Causes'!AD24="","",'Charity &amp; Causes'!AD24)</f>
        <v/>
      </c>
      <c r="AD234" s="22">
        <f>IF('Charity &amp; Causes'!AE24="","",'Charity &amp; Causes'!AE24)</f>
        <v/>
      </c>
      <c r="AE234" s="22">
        <f>IF('Charity &amp; Causes'!AF24="","",'Charity &amp; Causes'!AF24)</f>
        <v/>
      </c>
      <c r="AF234" s="22">
        <f>IF('Charity &amp; Causes'!AG24="","",'Charity &amp; Causes'!AG24)</f>
        <v/>
      </c>
      <c r="AG234" s="23">
        <f>IF('Charity &amp; Causes'!AH24="","",'Charity &amp; Causes'!AH24)</f>
        <v/>
      </c>
      <c r="AH234" s="23">
        <f>IF('Charity &amp; Causes'!AI24="","",'Charity &amp; Causes'!AI24)</f>
        <v/>
      </c>
      <c r="AI234" s="23">
        <f>IF('Charity &amp; Causes'!AJ24="","",'Charity &amp; Causes'!AJ24)</f>
        <v/>
      </c>
      <c r="AJ234" s="23">
        <f>IF('Charity &amp; Causes'!AK24="","",'Charity &amp; Causes'!AK24)</f>
        <v/>
      </c>
      <c r="AK234" s="22">
        <f>IF('Charity &amp; Causes'!AL24="","",'Charity &amp; Causes'!AL24)</f>
        <v/>
      </c>
      <c r="AL234" s="18">
        <f>IF(V234="","",V234+ROW()/100000)</f>
        <v/>
      </c>
    </row>
    <row r="235" ht="18" customHeight="1">
      <c r="A235" s="16">
        <f>IF('Charity &amp; Causes'!B25="","","Charity &amp; Causes")</f>
        <v/>
      </c>
      <c r="B235" s="16">
        <f>IF('Charity &amp; Causes'!B25="","",'Charity &amp; Causes'!B25)</f>
        <v/>
      </c>
      <c r="C235" s="17">
        <f>IF('Charity &amp; Causes'!D25="","",'Charity &amp; Causes'!D25)</f>
        <v/>
      </c>
      <c r="D235" s="16">
        <f>IF('Charity &amp; Causes'!E25="","",'Charity &amp; Causes'!E25)</f>
        <v/>
      </c>
      <c r="E235" s="17">
        <f>IF('Charity &amp; Causes'!F25="","",'Charity &amp; Causes'!F25)</f>
        <v/>
      </c>
      <c r="F235" s="17">
        <f>IF('Charity &amp; Causes'!G25="","",'Charity &amp; Causes'!G25)</f>
        <v/>
      </c>
      <c r="G235" s="17">
        <f>IF('Charity &amp; Causes'!H25="","",'Charity &amp; Causes'!H25)</f>
        <v/>
      </c>
      <c r="H235" s="16">
        <f>IF('Charity &amp; Causes'!I25="","",'Charity &amp; Causes'!I25)</f>
        <v/>
      </c>
      <c r="I235" s="17">
        <f>IF('Charity &amp; Causes'!J25="","",'Charity &amp; Causes'!J25)</f>
        <v/>
      </c>
      <c r="J235" s="16">
        <f>IF('Charity &amp; Causes'!K25="","",'Charity &amp; Causes'!K25)</f>
        <v/>
      </c>
      <c r="K235" s="17">
        <f>IF('Charity &amp; Causes'!L25="","",'Charity &amp; Causes'!L25)</f>
        <v/>
      </c>
      <c r="L235" s="16">
        <f>IF('Charity &amp; Causes'!M25="","",'Charity &amp; Causes'!M25)</f>
        <v/>
      </c>
      <c r="M235" s="17">
        <f>IF('Charity &amp; Causes'!N25="","",'Charity &amp; Causes'!N25)</f>
        <v/>
      </c>
      <c r="N235" s="16">
        <f>IF('Charity &amp; Causes'!O25="","",'Charity &amp; Causes'!O25)</f>
        <v/>
      </c>
      <c r="O235" s="17">
        <f>IF('Charity &amp; Causes'!P25="","",'Charity &amp; Causes'!P25)</f>
        <v/>
      </c>
      <c r="P235" s="17">
        <f>IF('Charity &amp; Causes'!Q25="","",'Charity &amp; Causes'!Q25)</f>
        <v/>
      </c>
      <c r="Q235" s="15">
        <f>IF('Charity &amp; Causes'!R25="","",'Charity &amp; Causes'!R25)</f>
        <v/>
      </c>
      <c r="R235" s="19">
        <f>IF('Charity &amp; Causes'!S25="","",'Charity &amp; Causes'!S25)</f>
        <v/>
      </c>
      <c r="S235" s="16">
        <f>IF('Charity &amp; Causes'!T25="","",'Charity &amp; Causes'!T25)</f>
        <v/>
      </c>
      <c r="T235" s="15">
        <f>IF('Charity &amp; Causes'!U25="","",'Charity &amp; Causes'!U25)</f>
        <v/>
      </c>
      <c r="U235" s="17">
        <f>IF('Charity &amp; Causes'!V25="","",'Charity &amp; Causes'!V25)</f>
        <v/>
      </c>
      <c r="V235" s="15">
        <f>IF('Charity &amp; Causes'!W25="","",'Charity &amp; Causes'!W25)</f>
        <v/>
      </c>
      <c r="W235" s="17">
        <f>IF('Charity &amp; Causes'!X25="","",'Charity &amp; Causes'!X25)</f>
        <v/>
      </c>
      <c r="X235" s="17">
        <f>IF('Charity &amp; Causes'!Y25="","",'Charity &amp; Causes'!Y25)</f>
        <v/>
      </c>
      <c r="Y235" s="20">
        <f>IF('Charity &amp; Causes'!Z25="","",'Charity &amp; Causes'!Z25)</f>
        <v/>
      </c>
      <c r="Z235" s="21">
        <f>IF('Charity &amp; Causes'!AA25="","",'Charity &amp; Causes'!AA25)</f>
        <v/>
      </c>
      <c r="AA235" s="20">
        <f>IF('Charity &amp; Causes'!AB25="","",'Charity &amp; Causes'!AB25)</f>
        <v/>
      </c>
      <c r="AB235" s="16">
        <f>IF('Charity &amp; Causes'!AC25="","",'Charity &amp; Causes'!AC25)</f>
        <v/>
      </c>
      <c r="AC235" s="16">
        <f>IF('Charity &amp; Causes'!AD25="","",'Charity &amp; Causes'!AD25)</f>
        <v/>
      </c>
      <c r="AD235" s="16">
        <f>IF('Charity &amp; Causes'!AE25="","",'Charity &amp; Causes'!AE25)</f>
        <v/>
      </c>
      <c r="AE235" s="16">
        <f>IF('Charity &amp; Causes'!AF25="","",'Charity &amp; Causes'!AF25)</f>
        <v/>
      </c>
      <c r="AF235" s="16">
        <f>IF('Charity &amp; Causes'!AG25="","",'Charity &amp; Causes'!AG25)</f>
        <v/>
      </c>
      <c r="AG235" s="17">
        <f>IF('Charity &amp; Causes'!AH25="","",'Charity &amp; Causes'!AH25)</f>
        <v/>
      </c>
      <c r="AH235" s="17">
        <f>IF('Charity &amp; Causes'!AI25="","",'Charity &amp; Causes'!AI25)</f>
        <v/>
      </c>
      <c r="AI235" s="17">
        <f>IF('Charity &amp; Causes'!AJ25="","",'Charity &amp; Causes'!AJ25)</f>
        <v/>
      </c>
      <c r="AJ235" s="17">
        <f>IF('Charity &amp; Causes'!AK25="","",'Charity &amp; Causes'!AK25)</f>
        <v/>
      </c>
      <c r="AK235" s="16">
        <f>IF('Charity &amp; Causes'!AL25="","",'Charity &amp; Causes'!AL25)</f>
        <v/>
      </c>
      <c r="AL235" s="18">
        <f>IF(V235="","",V235+ROW()/100000)</f>
        <v/>
      </c>
    </row>
    <row r="236" ht="18" customHeight="1">
      <c r="A236" s="22">
        <f>IF('Charity &amp; Causes'!B26="","","Charity &amp; Causes")</f>
        <v/>
      </c>
      <c r="B236" s="22">
        <f>IF('Charity &amp; Causes'!B26="","",'Charity &amp; Causes'!B26)</f>
        <v/>
      </c>
      <c r="C236" s="23">
        <f>IF('Charity &amp; Causes'!D26="","",'Charity &amp; Causes'!D26)</f>
        <v/>
      </c>
      <c r="D236" s="22">
        <f>IF('Charity &amp; Causes'!E26="","",'Charity &amp; Causes'!E26)</f>
        <v/>
      </c>
      <c r="E236" s="23">
        <f>IF('Charity &amp; Causes'!F26="","",'Charity &amp; Causes'!F26)</f>
        <v/>
      </c>
      <c r="F236" s="23">
        <f>IF('Charity &amp; Causes'!G26="","",'Charity &amp; Causes'!G26)</f>
        <v/>
      </c>
      <c r="G236" s="23">
        <f>IF('Charity &amp; Causes'!H26="","",'Charity &amp; Causes'!H26)</f>
        <v/>
      </c>
      <c r="H236" s="22">
        <f>IF('Charity &amp; Causes'!I26="","",'Charity &amp; Causes'!I26)</f>
        <v/>
      </c>
      <c r="I236" s="23">
        <f>IF('Charity &amp; Causes'!J26="","",'Charity &amp; Causes'!J26)</f>
        <v/>
      </c>
      <c r="J236" s="22">
        <f>IF('Charity &amp; Causes'!K26="","",'Charity &amp; Causes'!K26)</f>
        <v/>
      </c>
      <c r="K236" s="23">
        <f>IF('Charity &amp; Causes'!L26="","",'Charity &amp; Causes'!L26)</f>
        <v/>
      </c>
      <c r="L236" s="22">
        <f>IF('Charity &amp; Causes'!M26="","",'Charity &amp; Causes'!M26)</f>
        <v/>
      </c>
      <c r="M236" s="23">
        <f>IF('Charity &amp; Causes'!N26="","",'Charity &amp; Causes'!N26)</f>
        <v/>
      </c>
      <c r="N236" s="22">
        <f>IF('Charity &amp; Causes'!O26="","",'Charity &amp; Causes'!O26)</f>
        <v/>
      </c>
      <c r="O236" s="23">
        <f>IF('Charity &amp; Causes'!P26="","",'Charity &amp; Causes'!P26)</f>
        <v/>
      </c>
      <c r="P236" s="23">
        <f>IF('Charity &amp; Causes'!Q26="","",'Charity &amp; Causes'!Q26)</f>
        <v/>
      </c>
      <c r="Q236" s="24">
        <f>IF('Charity &amp; Causes'!R26="","",'Charity &amp; Causes'!R26)</f>
        <v/>
      </c>
      <c r="R236" s="25">
        <f>IF('Charity &amp; Causes'!S26="","",'Charity &amp; Causes'!S26)</f>
        <v/>
      </c>
      <c r="S236" s="22">
        <f>IF('Charity &amp; Causes'!T26="","",'Charity &amp; Causes'!T26)</f>
        <v/>
      </c>
      <c r="T236" s="24">
        <f>IF('Charity &amp; Causes'!U26="","",'Charity &amp; Causes'!U26)</f>
        <v/>
      </c>
      <c r="U236" s="23">
        <f>IF('Charity &amp; Causes'!V26="","",'Charity &amp; Causes'!V26)</f>
        <v/>
      </c>
      <c r="V236" s="24">
        <f>IF('Charity &amp; Causes'!W26="","",'Charity &amp; Causes'!W26)</f>
        <v/>
      </c>
      <c r="W236" s="23">
        <f>IF('Charity &amp; Causes'!X26="","",'Charity &amp; Causes'!X26)</f>
        <v/>
      </c>
      <c r="X236" s="23">
        <f>IF('Charity &amp; Causes'!Y26="","",'Charity &amp; Causes'!Y26)</f>
        <v/>
      </c>
      <c r="Y236" s="26">
        <f>IF('Charity &amp; Causes'!Z26="","",'Charity &amp; Causes'!Z26)</f>
        <v/>
      </c>
      <c r="Z236" s="27">
        <f>IF('Charity &amp; Causes'!AA26="","",'Charity &amp; Causes'!AA26)</f>
        <v/>
      </c>
      <c r="AA236" s="26">
        <f>IF('Charity &amp; Causes'!AB26="","",'Charity &amp; Causes'!AB26)</f>
        <v/>
      </c>
      <c r="AB236" s="22">
        <f>IF('Charity &amp; Causes'!AC26="","",'Charity &amp; Causes'!AC26)</f>
        <v/>
      </c>
      <c r="AC236" s="22">
        <f>IF('Charity &amp; Causes'!AD26="","",'Charity &amp; Causes'!AD26)</f>
        <v/>
      </c>
      <c r="AD236" s="22">
        <f>IF('Charity &amp; Causes'!AE26="","",'Charity &amp; Causes'!AE26)</f>
        <v/>
      </c>
      <c r="AE236" s="22">
        <f>IF('Charity &amp; Causes'!AF26="","",'Charity &amp; Causes'!AF26)</f>
        <v/>
      </c>
      <c r="AF236" s="22">
        <f>IF('Charity &amp; Causes'!AG26="","",'Charity &amp; Causes'!AG26)</f>
        <v/>
      </c>
      <c r="AG236" s="23">
        <f>IF('Charity &amp; Causes'!AH26="","",'Charity &amp; Causes'!AH26)</f>
        <v/>
      </c>
      <c r="AH236" s="23">
        <f>IF('Charity &amp; Causes'!AI26="","",'Charity &amp; Causes'!AI26)</f>
        <v/>
      </c>
      <c r="AI236" s="23">
        <f>IF('Charity &amp; Causes'!AJ26="","",'Charity &amp; Causes'!AJ26)</f>
        <v/>
      </c>
      <c r="AJ236" s="23">
        <f>IF('Charity &amp; Causes'!AK26="","",'Charity &amp; Causes'!AK26)</f>
        <v/>
      </c>
      <c r="AK236" s="22">
        <f>IF('Charity &amp; Causes'!AL26="","",'Charity &amp; Causes'!AL26)</f>
        <v/>
      </c>
      <c r="AL236" s="18">
        <f>IF(V236="","",V236+ROW()/100000)</f>
        <v/>
      </c>
    </row>
    <row r="237" ht="18" customHeight="1">
      <c r="A237" s="16">
        <f>IF('Charity &amp; Causes'!B27="","","Charity &amp; Causes")</f>
        <v/>
      </c>
      <c r="B237" s="16">
        <f>IF('Charity &amp; Causes'!B27="","",'Charity &amp; Causes'!B27)</f>
        <v/>
      </c>
      <c r="C237" s="17">
        <f>IF('Charity &amp; Causes'!D27="","",'Charity &amp; Causes'!D27)</f>
        <v/>
      </c>
      <c r="D237" s="16">
        <f>IF('Charity &amp; Causes'!E27="","",'Charity &amp; Causes'!E27)</f>
        <v/>
      </c>
      <c r="E237" s="17">
        <f>IF('Charity &amp; Causes'!F27="","",'Charity &amp; Causes'!F27)</f>
        <v/>
      </c>
      <c r="F237" s="17">
        <f>IF('Charity &amp; Causes'!G27="","",'Charity &amp; Causes'!G27)</f>
        <v/>
      </c>
      <c r="G237" s="17">
        <f>IF('Charity &amp; Causes'!H27="","",'Charity &amp; Causes'!H27)</f>
        <v/>
      </c>
      <c r="H237" s="16">
        <f>IF('Charity &amp; Causes'!I27="","",'Charity &amp; Causes'!I27)</f>
        <v/>
      </c>
      <c r="I237" s="17">
        <f>IF('Charity &amp; Causes'!J27="","",'Charity &amp; Causes'!J27)</f>
        <v/>
      </c>
      <c r="J237" s="16">
        <f>IF('Charity &amp; Causes'!K27="","",'Charity &amp; Causes'!K27)</f>
        <v/>
      </c>
      <c r="K237" s="17">
        <f>IF('Charity &amp; Causes'!L27="","",'Charity &amp; Causes'!L27)</f>
        <v/>
      </c>
      <c r="L237" s="16">
        <f>IF('Charity &amp; Causes'!M27="","",'Charity &amp; Causes'!M27)</f>
        <v/>
      </c>
      <c r="M237" s="17">
        <f>IF('Charity &amp; Causes'!N27="","",'Charity &amp; Causes'!N27)</f>
        <v/>
      </c>
      <c r="N237" s="16">
        <f>IF('Charity &amp; Causes'!O27="","",'Charity &amp; Causes'!O27)</f>
        <v/>
      </c>
      <c r="O237" s="17">
        <f>IF('Charity &amp; Causes'!P27="","",'Charity &amp; Causes'!P27)</f>
        <v/>
      </c>
      <c r="P237" s="17">
        <f>IF('Charity &amp; Causes'!Q27="","",'Charity &amp; Causes'!Q27)</f>
        <v/>
      </c>
      <c r="Q237" s="15">
        <f>IF('Charity &amp; Causes'!R27="","",'Charity &amp; Causes'!R27)</f>
        <v/>
      </c>
      <c r="R237" s="19">
        <f>IF('Charity &amp; Causes'!S27="","",'Charity &amp; Causes'!S27)</f>
        <v/>
      </c>
      <c r="S237" s="16">
        <f>IF('Charity &amp; Causes'!T27="","",'Charity &amp; Causes'!T27)</f>
        <v/>
      </c>
      <c r="T237" s="15">
        <f>IF('Charity &amp; Causes'!U27="","",'Charity &amp; Causes'!U27)</f>
        <v/>
      </c>
      <c r="U237" s="17">
        <f>IF('Charity &amp; Causes'!V27="","",'Charity &amp; Causes'!V27)</f>
        <v/>
      </c>
      <c r="V237" s="15">
        <f>IF('Charity &amp; Causes'!W27="","",'Charity &amp; Causes'!W27)</f>
        <v/>
      </c>
      <c r="W237" s="17">
        <f>IF('Charity &amp; Causes'!X27="","",'Charity &amp; Causes'!X27)</f>
        <v/>
      </c>
      <c r="X237" s="17">
        <f>IF('Charity &amp; Causes'!Y27="","",'Charity &amp; Causes'!Y27)</f>
        <v/>
      </c>
      <c r="Y237" s="20">
        <f>IF('Charity &amp; Causes'!Z27="","",'Charity &amp; Causes'!Z27)</f>
        <v/>
      </c>
      <c r="Z237" s="21">
        <f>IF('Charity &amp; Causes'!AA27="","",'Charity &amp; Causes'!AA27)</f>
        <v/>
      </c>
      <c r="AA237" s="20">
        <f>IF('Charity &amp; Causes'!AB27="","",'Charity &amp; Causes'!AB27)</f>
        <v/>
      </c>
      <c r="AB237" s="16">
        <f>IF('Charity &amp; Causes'!AC27="","",'Charity &amp; Causes'!AC27)</f>
        <v/>
      </c>
      <c r="AC237" s="16">
        <f>IF('Charity &amp; Causes'!AD27="","",'Charity &amp; Causes'!AD27)</f>
        <v/>
      </c>
      <c r="AD237" s="16">
        <f>IF('Charity &amp; Causes'!AE27="","",'Charity &amp; Causes'!AE27)</f>
        <v/>
      </c>
      <c r="AE237" s="16">
        <f>IF('Charity &amp; Causes'!AF27="","",'Charity &amp; Causes'!AF27)</f>
        <v/>
      </c>
      <c r="AF237" s="16">
        <f>IF('Charity &amp; Causes'!AG27="","",'Charity &amp; Causes'!AG27)</f>
        <v/>
      </c>
      <c r="AG237" s="17">
        <f>IF('Charity &amp; Causes'!AH27="","",'Charity &amp; Causes'!AH27)</f>
        <v/>
      </c>
      <c r="AH237" s="17">
        <f>IF('Charity &amp; Causes'!AI27="","",'Charity &amp; Causes'!AI27)</f>
        <v/>
      </c>
      <c r="AI237" s="17">
        <f>IF('Charity &amp; Causes'!AJ27="","",'Charity &amp; Causes'!AJ27)</f>
        <v/>
      </c>
      <c r="AJ237" s="17">
        <f>IF('Charity &amp; Causes'!AK27="","",'Charity &amp; Causes'!AK27)</f>
        <v/>
      </c>
      <c r="AK237" s="16">
        <f>IF('Charity &amp; Causes'!AL27="","",'Charity &amp; Causes'!AL27)</f>
        <v/>
      </c>
      <c r="AL237" s="18">
        <f>IF(V237="","",V237+ROW()/100000)</f>
        <v/>
      </c>
    </row>
    <row r="238" ht="18" customHeight="1">
      <c r="A238" s="22">
        <f>IF('Charity &amp; Causes'!B28="","","Charity &amp; Causes")</f>
        <v/>
      </c>
      <c r="B238" s="22">
        <f>IF('Charity &amp; Causes'!B28="","",'Charity &amp; Causes'!B28)</f>
        <v/>
      </c>
      <c r="C238" s="23">
        <f>IF('Charity &amp; Causes'!D28="","",'Charity &amp; Causes'!D28)</f>
        <v/>
      </c>
      <c r="D238" s="22">
        <f>IF('Charity &amp; Causes'!E28="","",'Charity &amp; Causes'!E28)</f>
        <v/>
      </c>
      <c r="E238" s="23">
        <f>IF('Charity &amp; Causes'!F28="","",'Charity &amp; Causes'!F28)</f>
        <v/>
      </c>
      <c r="F238" s="23">
        <f>IF('Charity &amp; Causes'!G28="","",'Charity &amp; Causes'!G28)</f>
        <v/>
      </c>
      <c r="G238" s="23">
        <f>IF('Charity &amp; Causes'!H28="","",'Charity &amp; Causes'!H28)</f>
        <v/>
      </c>
      <c r="H238" s="22">
        <f>IF('Charity &amp; Causes'!I28="","",'Charity &amp; Causes'!I28)</f>
        <v/>
      </c>
      <c r="I238" s="23">
        <f>IF('Charity &amp; Causes'!J28="","",'Charity &amp; Causes'!J28)</f>
        <v/>
      </c>
      <c r="J238" s="22">
        <f>IF('Charity &amp; Causes'!K28="","",'Charity &amp; Causes'!K28)</f>
        <v/>
      </c>
      <c r="K238" s="23">
        <f>IF('Charity &amp; Causes'!L28="","",'Charity &amp; Causes'!L28)</f>
        <v/>
      </c>
      <c r="L238" s="22">
        <f>IF('Charity &amp; Causes'!M28="","",'Charity &amp; Causes'!M28)</f>
        <v/>
      </c>
      <c r="M238" s="23">
        <f>IF('Charity &amp; Causes'!N28="","",'Charity &amp; Causes'!N28)</f>
        <v/>
      </c>
      <c r="N238" s="22">
        <f>IF('Charity &amp; Causes'!O28="","",'Charity &amp; Causes'!O28)</f>
        <v/>
      </c>
      <c r="O238" s="23">
        <f>IF('Charity &amp; Causes'!P28="","",'Charity &amp; Causes'!P28)</f>
        <v/>
      </c>
      <c r="P238" s="23">
        <f>IF('Charity &amp; Causes'!Q28="","",'Charity &amp; Causes'!Q28)</f>
        <v/>
      </c>
      <c r="Q238" s="24">
        <f>IF('Charity &amp; Causes'!R28="","",'Charity &amp; Causes'!R28)</f>
        <v/>
      </c>
      <c r="R238" s="25">
        <f>IF('Charity &amp; Causes'!S28="","",'Charity &amp; Causes'!S28)</f>
        <v/>
      </c>
      <c r="S238" s="22">
        <f>IF('Charity &amp; Causes'!T28="","",'Charity &amp; Causes'!T28)</f>
        <v/>
      </c>
      <c r="T238" s="24">
        <f>IF('Charity &amp; Causes'!U28="","",'Charity &amp; Causes'!U28)</f>
        <v/>
      </c>
      <c r="U238" s="23">
        <f>IF('Charity &amp; Causes'!V28="","",'Charity &amp; Causes'!V28)</f>
        <v/>
      </c>
      <c r="V238" s="24">
        <f>IF('Charity &amp; Causes'!W28="","",'Charity &amp; Causes'!W28)</f>
        <v/>
      </c>
      <c r="W238" s="23">
        <f>IF('Charity &amp; Causes'!X28="","",'Charity &amp; Causes'!X28)</f>
        <v/>
      </c>
      <c r="X238" s="23">
        <f>IF('Charity &amp; Causes'!Y28="","",'Charity &amp; Causes'!Y28)</f>
        <v/>
      </c>
      <c r="Y238" s="26">
        <f>IF('Charity &amp; Causes'!Z28="","",'Charity &amp; Causes'!Z28)</f>
        <v/>
      </c>
      <c r="Z238" s="27">
        <f>IF('Charity &amp; Causes'!AA28="","",'Charity &amp; Causes'!AA28)</f>
        <v/>
      </c>
      <c r="AA238" s="26">
        <f>IF('Charity &amp; Causes'!AB28="","",'Charity &amp; Causes'!AB28)</f>
        <v/>
      </c>
      <c r="AB238" s="22">
        <f>IF('Charity &amp; Causes'!AC28="","",'Charity &amp; Causes'!AC28)</f>
        <v/>
      </c>
      <c r="AC238" s="22">
        <f>IF('Charity &amp; Causes'!AD28="","",'Charity &amp; Causes'!AD28)</f>
        <v/>
      </c>
      <c r="AD238" s="22">
        <f>IF('Charity &amp; Causes'!AE28="","",'Charity &amp; Causes'!AE28)</f>
        <v/>
      </c>
      <c r="AE238" s="22">
        <f>IF('Charity &amp; Causes'!AF28="","",'Charity &amp; Causes'!AF28)</f>
        <v/>
      </c>
      <c r="AF238" s="22">
        <f>IF('Charity &amp; Causes'!AG28="","",'Charity &amp; Causes'!AG28)</f>
        <v/>
      </c>
      <c r="AG238" s="23">
        <f>IF('Charity &amp; Causes'!AH28="","",'Charity &amp; Causes'!AH28)</f>
        <v/>
      </c>
      <c r="AH238" s="23">
        <f>IF('Charity &amp; Causes'!AI28="","",'Charity &amp; Causes'!AI28)</f>
        <v/>
      </c>
      <c r="AI238" s="23">
        <f>IF('Charity &amp; Causes'!AJ28="","",'Charity &amp; Causes'!AJ28)</f>
        <v/>
      </c>
      <c r="AJ238" s="23">
        <f>IF('Charity &amp; Causes'!AK28="","",'Charity &amp; Causes'!AK28)</f>
        <v/>
      </c>
      <c r="AK238" s="22">
        <f>IF('Charity &amp; Causes'!AL28="","",'Charity &amp; Causes'!AL28)</f>
        <v/>
      </c>
      <c r="AL238" s="18">
        <f>IF(V238="","",V238+ROW()/100000)</f>
        <v/>
      </c>
    </row>
    <row r="239" ht="18" customHeight="1">
      <c r="A239" s="16">
        <f>IF('Charity &amp; Causes'!B29="","","Charity &amp; Causes")</f>
        <v/>
      </c>
      <c r="B239" s="16">
        <f>IF('Charity &amp; Causes'!B29="","",'Charity &amp; Causes'!B29)</f>
        <v/>
      </c>
      <c r="C239" s="17">
        <f>IF('Charity &amp; Causes'!D29="","",'Charity &amp; Causes'!D29)</f>
        <v/>
      </c>
      <c r="D239" s="16">
        <f>IF('Charity &amp; Causes'!E29="","",'Charity &amp; Causes'!E29)</f>
        <v/>
      </c>
      <c r="E239" s="17">
        <f>IF('Charity &amp; Causes'!F29="","",'Charity &amp; Causes'!F29)</f>
        <v/>
      </c>
      <c r="F239" s="17">
        <f>IF('Charity &amp; Causes'!G29="","",'Charity &amp; Causes'!G29)</f>
        <v/>
      </c>
      <c r="G239" s="17">
        <f>IF('Charity &amp; Causes'!H29="","",'Charity &amp; Causes'!H29)</f>
        <v/>
      </c>
      <c r="H239" s="16">
        <f>IF('Charity &amp; Causes'!I29="","",'Charity &amp; Causes'!I29)</f>
        <v/>
      </c>
      <c r="I239" s="17">
        <f>IF('Charity &amp; Causes'!J29="","",'Charity &amp; Causes'!J29)</f>
        <v/>
      </c>
      <c r="J239" s="16">
        <f>IF('Charity &amp; Causes'!K29="","",'Charity &amp; Causes'!K29)</f>
        <v/>
      </c>
      <c r="K239" s="17">
        <f>IF('Charity &amp; Causes'!L29="","",'Charity &amp; Causes'!L29)</f>
        <v/>
      </c>
      <c r="L239" s="16">
        <f>IF('Charity &amp; Causes'!M29="","",'Charity &amp; Causes'!M29)</f>
        <v/>
      </c>
      <c r="M239" s="17">
        <f>IF('Charity &amp; Causes'!N29="","",'Charity &amp; Causes'!N29)</f>
        <v/>
      </c>
      <c r="N239" s="16">
        <f>IF('Charity &amp; Causes'!O29="","",'Charity &amp; Causes'!O29)</f>
        <v/>
      </c>
      <c r="O239" s="17">
        <f>IF('Charity &amp; Causes'!P29="","",'Charity &amp; Causes'!P29)</f>
        <v/>
      </c>
      <c r="P239" s="17">
        <f>IF('Charity &amp; Causes'!Q29="","",'Charity &amp; Causes'!Q29)</f>
        <v/>
      </c>
      <c r="Q239" s="15">
        <f>IF('Charity &amp; Causes'!R29="","",'Charity &amp; Causes'!R29)</f>
        <v/>
      </c>
      <c r="R239" s="19">
        <f>IF('Charity &amp; Causes'!S29="","",'Charity &amp; Causes'!S29)</f>
        <v/>
      </c>
      <c r="S239" s="16">
        <f>IF('Charity &amp; Causes'!T29="","",'Charity &amp; Causes'!T29)</f>
        <v/>
      </c>
      <c r="T239" s="15">
        <f>IF('Charity &amp; Causes'!U29="","",'Charity &amp; Causes'!U29)</f>
        <v/>
      </c>
      <c r="U239" s="17">
        <f>IF('Charity &amp; Causes'!V29="","",'Charity &amp; Causes'!V29)</f>
        <v/>
      </c>
      <c r="V239" s="15">
        <f>IF('Charity &amp; Causes'!W29="","",'Charity &amp; Causes'!W29)</f>
        <v/>
      </c>
      <c r="W239" s="17">
        <f>IF('Charity &amp; Causes'!X29="","",'Charity &amp; Causes'!X29)</f>
        <v/>
      </c>
      <c r="X239" s="17">
        <f>IF('Charity &amp; Causes'!Y29="","",'Charity &amp; Causes'!Y29)</f>
        <v/>
      </c>
      <c r="Y239" s="20">
        <f>IF('Charity &amp; Causes'!Z29="","",'Charity &amp; Causes'!Z29)</f>
        <v/>
      </c>
      <c r="Z239" s="21">
        <f>IF('Charity &amp; Causes'!AA29="","",'Charity &amp; Causes'!AA29)</f>
        <v/>
      </c>
      <c r="AA239" s="20">
        <f>IF('Charity &amp; Causes'!AB29="","",'Charity &amp; Causes'!AB29)</f>
        <v/>
      </c>
      <c r="AB239" s="16">
        <f>IF('Charity &amp; Causes'!AC29="","",'Charity &amp; Causes'!AC29)</f>
        <v/>
      </c>
      <c r="AC239" s="16">
        <f>IF('Charity &amp; Causes'!AD29="","",'Charity &amp; Causes'!AD29)</f>
        <v/>
      </c>
      <c r="AD239" s="16">
        <f>IF('Charity &amp; Causes'!AE29="","",'Charity &amp; Causes'!AE29)</f>
        <v/>
      </c>
      <c r="AE239" s="16">
        <f>IF('Charity &amp; Causes'!AF29="","",'Charity &amp; Causes'!AF29)</f>
        <v/>
      </c>
      <c r="AF239" s="16">
        <f>IF('Charity &amp; Causes'!AG29="","",'Charity &amp; Causes'!AG29)</f>
        <v/>
      </c>
      <c r="AG239" s="17">
        <f>IF('Charity &amp; Causes'!AH29="","",'Charity &amp; Causes'!AH29)</f>
        <v/>
      </c>
      <c r="AH239" s="17">
        <f>IF('Charity &amp; Causes'!AI29="","",'Charity &amp; Causes'!AI29)</f>
        <v/>
      </c>
      <c r="AI239" s="17">
        <f>IF('Charity &amp; Causes'!AJ29="","",'Charity &amp; Causes'!AJ29)</f>
        <v/>
      </c>
      <c r="AJ239" s="17">
        <f>IF('Charity &amp; Causes'!AK29="","",'Charity &amp; Causes'!AK29)</f>
        <v/>
      </c>
      <c r="AK239" s="16">
        <f>IF('Charity &amp; Causes'!AL29="","",'Charity &amp; Causes'!AL29)</f>
        <v/>
      </c>
      <c r="AL239" s="18">
        <f>IF(V239="","",V239+ROW()/100000)</f>
        <v/>
      </c>
    </row>
    <row r="240" ht="18" customHeight="1">
      <c r="A240" s="22">
        <f>IF('Charity &amp; Causes'!B30="","","Charity &amp; Causes")</f>
        <v/>
      </c>
      <c r="B240" s="22">
        <f>IF('Charity &amp; Causes'!B30="","",'Charity &amp; Causes'!B30)</f>
        <v/>
      </c>
      <c r="C240" s="23">
        <f>IF('Charity &amp; Causes'!D30="","",'Charity &amp; Causes'!D30)</f>
        <v/>
      </c>
      <c r="D240" s="22">
        <f>IF('Charity &amp; Causes'!E30="","",'Charity &amp; Causes'!E30)</f>
        <v/>
      </c>
      <c r="E240" s="23">
        <f>IF('Charity &amp; Causes'!F30="","",'Charity &amp; Causes'!F30)</f>
        <v/>
      </c>
      <c r="F240" s="23">
        <f>IF('Charity &amp; Causes'!G30="","",'Charity &amp; Causes'!G30)</f>
        <v/>
      </c>
      <c r="G240" s="23">
        <f>IF('Charity &amp; Causes'!H30="","",'Charity &amp; Causes'!H30)</f>
        <v/>
      </c>
      <c r="H240" s="22">
        <f>IF('Charity &amp; Causes'!I30="","",'Charity &amp; Causes'!I30)</f>
        <v/>
      </c>
      <c r="I240" s="23">
        <f>IF('Charity &amp; Causes'!J30="","",'Charity &amp; Causes'!J30)</f>
        <v/>
      </c>
      <c r="J240" s="22">
        <f>IF('Charity &amp; Causes'!K30="","",'Charity &amp; Causes'!K30)</f>
        <v/>
      </c>
      <c r="K240" s="23">
        <f>IF('Charity &amp; Causes'!L30="","",'Charity &amp; Causes'!L30)</f>
        <v/>
      </c>
      <c r="L240" s="22">
        <f>IF('Charity &amp; Causes'!M30="","",'Charity &amp; Causes'!M30)</f>
        <v/>
      </c>
      <c r="M240" s="23">
        <f>IF('Charity &amp; Causes'!N30="","",'Charity &amp; Causes'!N30)</f>
        <v/>
      </c>
      <c r="N240" s="22">
        <f>IF('Charity &amp; Causes'!O30="","",'Charity &amp; Causes'!O30)</f>
        <v/>
      </c>
      <c r="O240" s="23">
        <f>IF('Charity &amp; Causes'!P30="","",'Charity &amp; Causes'!P30)</f>
        <v/>
      </c>
      <c r="P240" s="23">
        <f>IF('Charity &amp; Causes'!Q30="","",'Charity &amp; Causes'!Q30)</f>
        <v/>
      </c>
      <c r="Q240" s="24">
        <f>IF('Charity &amp; Causes'!R30="","",'Charity &amp; Causes'!R30)</f>
        <v/>
      </c>
      <c r="R240" s="25">
        <f>IF('Charity &amp; Causes'!S30="","",'Charity &amp; Causes'!S30)</f>
        <v/>
      </c>
      <c r="S240" s="22">
        <f>IF('Charity &amp; Causes'!T30="","",'Charity &amp; Causes'!T30)</f>
        <v/>
      </c>
      <c r="T240" s="24">
        <f>IF('Charity &amp; Causes'!U30="","",'Charity &amp; Causes'!U30)</f>
        <v/>
      </c>
      <c r="U240" s="23">
        <f>IF('Charity &amp; Causes'!V30="","",'Charity &amp; Causes'!V30)</f>
        <v/>
      </c>
      <c r="V240" s="24">
        <f>IF('Charity &amp; Causes'!W30="","",'Charity &amp; Causes'!W30)</f>
        <v/>
      </c>
      <c r="W240" s="23">
        <f>IF('Charity &amp; Causes'!X30="","",'Charity &amp; Causes'!X30)</f>
        <v/>
      </c>
      <c r="X240" s="23">
        <f>IF('Charity &amp; Causes'!Y30="","",'Charity &amp; Causes'!Y30)</f>
        <v/>
      </c>
      <c r="Y240" s="26">
        <f>IF('Charity &amp; Causes'!Z30="","",'Charity &amp; Causes'!Z30)</f>
        <v/>
      </c>
      <c r="Z240" s="27">
        <f>IF('Charity &amp; Causes'!AA30="","",'Charity &amp; Causes'!AA30)</f>
        <v/>
      </c>
      <c r="AA240" s="26">
        <f>IF('Charity &amp; Causes'!AB30="","",'Charity &amp; Causes'!AB30)</f>
        <v/>
      </c>
      <c r="AB240" s="22">
        <f>IF('Charity &amp; Causes'!AC30="","",'Charity &amp; Causes'!AC30)</f>
        <v/>
      </c>
      <c r="AC240" s="22">
        <f>IF('Charity &amp; Causes'!AD30="","",'Charity &amp; Causes'!AD30)</f>
        <v/>
      </c>
      <c r="AD240" s="22">
        <f>IF('Charity &amp; Causes'!AE30="","",'Charity &amp; Causes'!AE30)</f>
        <v/>
      </c>
      <c r="AE240" s="22">
        <f>IF('Charity &amp; Causes'!AF30="","",'Charity &amp; Causes'!AF30)</f>
        <v/>
      </c>
      <c r="AF240" s="22">
        <f>IF('Charity &amp; Causes'!AG30="","",'Charity &amp; Causes'!AG30)</f>
        <v/>
      </c>
      <c r="AG240" s="23">
        <f>IF('Charity &amp; Causes'!AH30="","",'Charity &amp; Causes'!AH30)</f>
        <v/>
      </c>
      <c r="AH240" s="23">
        <f>IF('Charity &amp; Causes'!AI30="","",'Charity &amp; Causes'!AI30)</f>
        <v/>
      </c>
      <c r="AI240" s="23">
        <f>IF('Charity &amp; Causes'!AJ30="","",'Charity &amp; Causes'!AJ30)</f>
        <v/>
      </c>
      <c r="AJ240" s="23">
        <f>IF('Charity &amp; Causes'!AK30="","",'Charity &amp; Causes'!AK30)</f>
        <v/>
      </c>
      <c r="AK240" s="22">
        <f>IF('Charity &amp; Causes'!AL30="","",'Charity &amp; Causes'!AL30)</f>
        <v/>
      </c>
      <c r="AL240" s="18">
        <f>IF(V240="","",V240+ROW()/100000)</f>
        <v/>
      </c>
    </row>
    <row r="241" ht="18" customHeight="1">
      <c r="A241" s="16">
        <f>IF('Charity &amp; Causes'!B31="","","Charity &amp; Causes")</f>
        <v/>
      </c>
      <c r="B241" s="16">
        <f>IF('Charity &amp; Causes'!B31="","",'Charity &amp; Causes'!B31)</f>
        <v/>
      </c>
      <c r="C241" s="17">
        <f>IF('Charity &amp; Causes'!D31="","",'Charity &amp; Causes'!D31)</f>
        <v/>
      </c>
      <c r="D241" s="16">
        <f>IF('Charity &amp; Causes'!E31="","",'Charity &amp; Causes'!E31)</f>
        <v/>
      </c>
      <c r="E241" s="17">
        <f>IF('Charity &amp; Causes'!F31="","",'Charity &amp; Causes'!F31)</f>
        <v/>
      </c>
      <c r="F241" s="17">
        <f>IF('Charity &amp; Causes'!G31="","",'Charity &amp; Causes'!G31)</f>
        <v/>
      </c>
      <c r="G241" s="17">
        <f>IF('Charity &amp; Causes'!H31="","",'Charity &amp; Causes'!H31)</f>
        <v/>
      </c>
      <c r="H241" s="16">
        <f>IF('Charity &amp; Causes'!I31="","",'Charity &amp; Causes'!I31)</f>
        <v/>
      </c>
      <c r="I241" s="17">
        <f>IF('Charity &amp; Causes'!J31="","",'Charity &amp; Causes'!J31)</f>
        <v/>
      </c>
      <c r="J241" s="16">
        <f>IF('Charity &amp; Causes'!K31="","",'Charity &amp; Causes'!K31)</f>
        <v/>
      </c>
      <c r="K241" s="17">
        <f>IF('Charity &amp; Causes'!L31="","",'Charity &amp; Causes'!L31)</f>
        <v/>
      </c>
      <c r="L241" s="16">
        <f>IF('Charity &amp; Causes'!M31="","",'Charity &amp; Causes'!M31)</f>
        <v/>
      </c>
      <c r="M241" s="17">
        <f>IF('Charity &amp; Causes'!N31="","",'Charity &amp; Causes'!N31)</f>
        <v/>
      </c>
      <c r="N241" s="16">
        <f>IF('Charity &amp; Causes'!O31="","",'Charity &amp; Causes'!O31)</f>
        <v/>
      </c>
      <c r="O241" s="17">
        <f>IF('Charity &amp; Causes'!P31="","",'Charity &amp; Causes'!P31)</f>
        <v/>
      </c>
      <c r="P241" s="17">
        <f>IF('Charity &amp; Causes'!Q31="","",'Charity &amp; Causes'!Q31)</f>
        <v/>
      </c>
      <c r="Q241" s="15">
        <f>IF('Charity &amp; Causes'!R31="","",'Charity &amp; Causes'!R31)</f>
        <v/>
      </c>
      <c r="R241" s="19">
        <f>IF('Charity &amp; Causes'!S31="","",'Charity &amp; Causes'!S31)</f>
        <v/>
      </c>
      <c r="S241" s="16">
        <f>IF('Charity &amp; Causes'!T31="","",'Charity &amp; Causes'!T31)</f>
        <v/>
      </c>
      <c r="T241" s="15">
        <f>IF('Charity &amp; Causes'!U31="","",'Charity &amp; Causes'!U31)</f>
        <v/>
      </c>
      <c r="U241" s="17">
        <f>IF('Charity &amp; Causes'!V31="","",'Charity &amp; Causes'!V31)</f>
        <v/>
      </c>
      <c r="V241" s="15">
        <f>IF('Charity &amp; Causes'!W31="","",'Charity &amp; Causes'!W31)</f>
        <v/>
      </c>
      <c r="W241" s="17">
        <f>IF('Charity &amp; Causes'!X31="","",'Charity &amp; Causes'!X31)</f>
        <v/>
      </c>
      <c r="X241" s="17">
        <f>IF('Charity &amp; Causes'!Y31="","",'Charity &amp; Causes'!Y31)</f>
        <v/>
      </c>
      <c r="Y241" s="20">
        <f>IF('Charity &amp; Causes'!Z31="","",'Charity &amp; Causes'!Z31)</f>
        <v/>
      </c>
      <c r="Z241" s="21">
        <f>IF('Charity &amp; Causes'!AA31="","",'Charity &amp; Causes'!AA31)</f>
        <v/>
      </c>
      <c r="AA241" s="20">
        <f>IF('Charity &amp; Causes'!AB31="","",'Charity &amp; Causes'!AB31)</f>
        <v/>
      </c>
      <c r="AB241" s="16">
        <f>IF('Charity &amp; Causes'!AC31="","",'Charity &amp; Causes'!AC31)</f>
        <v/>
      </c>
      <c r="AC241" s="16">
        <f>IF('Charity &amp; Causes'!AD31="","",'Charity &amp; Causes'!AD31)</f>
        <v/>
      </c>
      <c r="AD241" s="16">
        <f>IF('Charity &amp; Causes'!AE31="","",'Charity &amp; Causes'!AE31)</f>
        <v/>
      </c>
      <c r="AE241" s="16">
        <f>IF('Charity &amp; Causes'!AF31="","",'Charity &amp; Causes'!AF31)</f>
        <v/>
      </c>
      <c r="AF241" s="16">
        <f>IF('Charity &amp; Causes'!AG31="","",'Charity &amp; Causes'!AG31)</f>
        <v/>
      </c>
      <c r="AG241" s="17">
        <f>IF('Charity &amp; Causes'!AH31="","",'Charity &amp; Causes'!AH31)</f>
        <v/>
      </c>
      <c r="AH241" s="17">
        <f>IF('Charity &amp; Causes'!AI31="","",'Charity &amp; Causes'!AI31)</f>
        <v/>
      </c>
      <c r="AI241" s="17">
        <f>IF('Charity &amp; Causes'!AJ31="","",'Charity &amp; Causes'!AJ31)</f>
        <v/>
      </c>
      <c r="AJ241" s="17">
        <f>IF('Charity &amp; Causes'!AK31="","",'Charity &amp; Causes'!AK31)</f>
        <v/>
      </c>
      <c r="AK241" s="16">
        <f>IF('Charity &amp; Causes'!AL31="","",'Charity &amp; Causes'!AL31)</f>
        <v/>
      </c>
      <c r="AL241" s="18">
        <f>IF(V241="","",V241+ROW()/100000)</f>
        <v/>
      </c>
    </row>
    <row r="242" ht="18" customHeight="1">
      <c r="A242" s="22">
        <f>IF('Charity &amp; Causes'!B32="","","Charity &amp; Causes")</f>
        <v/>
      </c>
      <c r="B242" s="22">
        <f>IF('Charity &amp; Causes'!B32="","",'Charity &amp; Causes'!B32)</f>
        <v/>
      </c>
      <c r="C242" s="23">
        <f>IF('Charity &amp; Causes'!D32="","",'Charity &amp; Causes'!D32)</f>
        <v/>
      </c>
      <c r="D242" s="22">
        <f>IF('Charity &amp; Causes'!E32="","",'Charity &amp; Causes'!E32)</f>
        <v/>
      </c>
      <c r="E242" s="23">
        <f>IF('Charity &amp; Causes'!F32="","",'Charity &amp; Causes'!F32)</f>
        <v/>
      </c>
      <c r="F242" s="23">
        <f>IF('Charity &amp; Causes'!G32="","",'Charity &amp; Causes'!G32)</f>
        <v/>
      </c>
      <c r="G242" s="23">
        <f>IF('Charity &amp; Causes'!H32="","",'Charity &amp; Causes'!H32)</f>
        <v/>
      </c>
      <c r="H242" s="22">
        <f>IF('Charity &amp; Causes'!I32="","",'Charity &amp; Causes'!I32)</f>
        <v/>
      </c>
      <c r="I242" s="23">
        <f>IF('Charity &amp; Causes'!J32="","",'Charity &amp; Causes'!J32)</f>
        <v/>
      </c>
      <c r="J242" s="22">
        <f>IF('Charity &amp; Causes'!K32="","",'Charity &amp; Causes'!K32)</f>
        <v/>
      </c>
      <c r="K242" s="23">
        <f>IF('Charity &amp; Causes'!L32="","",'Charity &amp; Causes'!L32)</f>
        <v/>
      </c>
      <c r="L242" s="22">
        <f>IF('Charity &amp; Causes'!M32="","",'Charity &amp; Causes'!M32)</f>
        <v/>
      </c>
      <c r="M242" s="23">
        <f>IF('Charity &amp; Causes'!N32="","",'Charity &amp; Causes'!N32)</f>
        <v/>
      </c>
      <c r="N242" s="22">
        <f>IF('Charity &amp; Causes'!O32="","",'Charity &amp; Causes'!O32)</f>
        <v/>
      </c>
      <c r="O242" s="23">
        <f>IF('Charity &amp; Causes'!P32="","",'Charity &amp; Causes'!P32)</f>
        <v/>
      </c>
      <c r="P242" s="23">
        <f>IF('Charity &amp; Causes'!Q32="","",'Charity &amp; Causes'!Q32)</f>
        <v/>
      </c>
      <c r="Q242" s="24">
        <f>IF('Charity &amp; Causes'!R32="","",'Charity &amp; Causes'!R32)</f>
        <v/>
      </c>
      <c r="R242" s="25">
        <f>IF('Charity &amp; Causes'!S32="","",'Charity &amp; Causes'!S32)</f>
        <v/>
      </c>
      <c r="S242" s="22">
        <f>IF('Charity &amp; Causes'!T32="","",'Charity &amp; Causes'!T32)</f>
        <v/>
      </c>
      <c r="T242" s="24">
        <f>IF('Charity &amp; Causes'!U32="","",'Charity &amp; Causes'!U32)</f>
        <v/>
      </c>
      <c r="U242" s="23">
        <f>IF('Charity &amp; Causes'!V32="","",'Charity &amp; Causes'!V32)</f>
        <v/>
      </c>
      <c r="V242" s="24">
        <f>IF('Charity &amp; Causes'!W32="","",'Charity &amp; Causes'!W32)</f>
        <v/>
      </c>
      <c r="W242" s="23">
        <f>IF('Charity &amp; Causes'!X32="","",'Charity &amp; Causes'!X32)</f>
        <v/>
      </c>
      <c r="X242" s="23">
        <f>IF('Charity &amp; Causes'!Y32="","",'Charity &amp; Causes'!Y32)</f>
        <v/>
      </c>
      <c r="Y242" s="26">
        <f>IF('Charity &amp; Causes'!Z32="","",'Charity &amp; Causes'!Z32)</f>
        <v/>
      </c>
      <c r="Z242" s="27">
        <f>IF('Charity &amp; Causes'!AA32="","",'Charity &amp; Causes'!AA32)</f>
        <v/>
      </c>
      <c r="AA242" s="26">
        <f>IF('Charity &amp; Causes'!AB32="","",'Charity &amp; Causes'!AB32)</f>
        <v/>
      </c>
      <c r="AB242" s="22">
        <f>IF('Charity &amp; Causes'!AC32="","",'Charity &amp; Causes'!AC32)</f>
        <v/>
      </c>
      <c r="AC242" s="22">
        <f>IF('Charity &amp; Causes'!AD32="","",'Charity &amp; Causes'!AD32)</f>
        <v/>
      </c>
      <c r="AD242" s="22">
        <f>IF('Charity &amp; Causes'!AE32="","",'Charity &amp; Causes'!AE32)</f>
        <v/>
      </c>
      <c r="AE242" s="22">
        <f>IF('Charity &amp; Causes'!AF32="","",'Charity &amp; Causes'!AF32)</f>
        <v/>
      </c>
      <c r="AF242" s="22">
        <f>IF('Charity &amp; Causes'!AG32="","",'Charity &amp; Causes'!AG32)</f>
        <v/>
      </c>
      <c r="AG242" s="23">
        <f>IF('Charity &amp; Causes'!AH32="","",'Charity &amp; Causes'!AH32)</f>
        <v/>
      </c>
      <c r="AH242" s="23">
        <f>IF('Charity &amp; Causes'!AI32="","",'Charity &amp; Causes'!AI32)</f>
        <v/>
      </c>
      <c r="AI242" s="23">
        <f>IF('Charity &amp; Causes'!AJ32="","",'Charity &amp; Causes'!AJ32)</f>
        <v/>
      </c>
      <c r="AJ242" s="23">
        <f>IF('Charity &amp; Causes'!AK32="","",'Charity &amp; Causes'!AK32)</f>
        <v/>
      </c>
      <c r="AK242" s="22">
        <f>IF('Charity &amp; Causes'!AL32="","",'Charity &amp; Causes'!AL32)</f>
        <v/>
      </c>
      <c r="AL242" s="18">
        <f>IF(V242="","",V242+ROW()/100000)</f>
        <v/>
      </c>
    </row>
  </sheetData>
  <autoFilter ref="A2:AK242"/>
  <mergeCells count="1">
    <mergeCell ref="A1:A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34" customHeight="1">
      <c r="A1" s="1" t="inlineStr">
        <is>
          <t>Type Summary</t>
        </is>
      </c>
    </row>
    <row r="2" ht="50" customHeight="1">
      <c r="A2" s="8" t="inlineStr">
        <is>
          <t>Partnership Type</t>
        </is>
      </c>
      <c r="B2" s="8" t="inlineStr">
        <is>
          <t>Target (draft)</t>
        </is>
      </c>
      <c r="C2" s="8" t="inlineStr">
        <is>
          <t>Partners</t>
        </is>
      </c>
      <c r="D2" s="8" t="inlineStr">
        <is>
          <t>P1</t>
        </is>
      </c>
      <c r="E2" s="8" t="inlineStr">
        <is>
          <t>P2</t>
        </is>
      </c>
      <c r="F2" s="8" t="inlineStr">
        <is>
          <t>P3</t>
        </is>
      </c>
      <c r="G2" s="8" t="inlineStr">
        <is>
          <t>In Conversation</t>
        </is>
      </c>
      <c r="H2" s="8" t="inlineStr">
        <is>
          <t>Agreed</t>
        </is>
      </c>
      <c r="I2" s="8" t="inlineStr">
        <is>
          <t>Activated</t>
        </is>
      </c>
      <c r="J2" s="8" t="inlineStr">
        <is>
          <t>Cases Committed</t>
        </is>
      </c>
      <c r="K2" s="8" t="inlineStr">
        <is>
          <t>% to Target</t>
        </is>
      </c>
    </row>
    <row r="3">
      <c r="A3" s="16" t="inlineStr">
        <is>
          <t>Run Clubs</t>
        </is>
      </c>
      <c r="B3" s="17" t="n">
        <v>10</v>
      </c>
      <c r="C3" s="17">
        <f>COUNTA('Run Clubs'!$B$3:$B$32)</f>
        <v/>
      </c>
      <c r="D3" s="17">
        <f>COUNTIF('Run Clubs'!$F$3:$F$32,"P1")</f>
        <v/>
      </c>
      <c r="E3" s="17">
        <f>COUNTIF('Run Clubs'!$F$3:$F$32,"P2")</f>
        <v/>
      </c>
      <c r="F3" s="17">
        <f>COUNTIF('Run Clubs'!$F$3:$F$32,"P3")</f>
        <v/>
      </c>
      <c r="G3" s="17">
        <f>COUNTIF('Run Clubs'!$G$3:$G$32,"In Conversation")</f>
        <v/>
      </c>
      <c r="H3" s="17">
        <f>COUNTIF('Run Clubs'!$G$3:$G$32,"Agreed")</f>
        <v/>
      </c>
      <c r="I3" s="17">
        <f>COUNTIF('Run Clubs'!$G$3:$G$32,"Activated")+COUNTIF('Run Clubs'!$G$3:$G$32,"Repeat Partner")</f>
        <v/>
      </c>
      <c r="J3" s="17">
        <f>SUM('Run Clubs'!$X$3:$X$32)</f>
        <v/>
      </c>
      <c r="K3" s="28">
        <f>IFERROR(C3/B3,0)</f>
        <v/>
      </c>
    </row>
    <row r="4">
      <c r="A4" s="16" t="inlineStr">
        <is>
          <t>Gyms &amp; Studios</t>
        </is>
      </c>
      <c r="B4" s="17" t="n">
        <v>10</v>
      </c>
      <c r="C4" s="17">
        <f>COUNTA('Gyms &amp; Studios'!$B$3:$B$32)</f>
        <v/>
      </c>
      <c r="D4" s="17">
        <f>COUNTIF('Gyms &amp; Studios'!$F$3:$F$32,"P1")</f>
        <v/>
      </c>
      <c r="E4" s="17">
        <f>COUNTIF('Gyms &amp; Studios'!$F$3:$F$32,"P2")</f>
        <v/>
      </c>
      <c r="F4" s="17">
        <f>COUNTIF('Gyms &amp; Studios'!$F$3:$F$32,"P3")</f>
        <v/>
      </c>
      <c r="G4" s="17">
        <f>COUNTIF('Gyms &amp; Studios'!$G$3:$G$32,"In Conversation")</f>
        <v/>
      </c>
      <c r="H4" s="17">
        <f>COUNTIF('Gyms &amp; Studios'!$G$3:$G$32,"Agreed")</f>
        <v/>
      </c>
      <c r="I4" s="17">
        <f>COUNTIF('Gyms &amp; Studios'!$G$3:$G$32,"Activated")+COUNTIF('Gyms &amp; Studios'!$G$3:$G$32,"Repeat Partner")</f>
        <v/>
      </c>
      <c r="J4" s="17">
        <f>SUM('Gyms &amp; Studios'!$X$3:$X$32)</f>
        <v/>
      </c>
      <c r="K4" s="28">
        <f>IFERROR(C4/B4,0)</f>
        <v/>
      </c>
    </row>
    <row r="5">
      <c r="A5" s="16" t="inlineStr">
        <is>
          <t>Events &amp; Festivals</t>
        </is>
      </c>
      <c r="B5" s="17" t="n">
        <v>8</v>
      </c>
      <c r="C5" s="17">
        <f>COUNTA('Events &amp; Festivals'!$B$3:$B$32)</f>
        <v/>
      </c>
      <c r="D5" s="17">
        <f>COUNTIF('Events &amp; Festivals'!$F$3:$F$32,"P1")</f>
        <v/>
      </c>
      <c r="E5" s="17">
        <f>COUNTIF('Events &amp; Festivals'!$F$3:$F$32,"P2")</f>
        <v/>
      </c>
      <c r="F5" s="17">
        <f>COUNTIF('Events &amp; Festivals'!$F$3:$F$32,"P3")</f>
        <v/>
      </c>
      <c r="G5" s="17">
        <f>COUNTIF('Events &amp; Festivals'!$G$3:$G$32,"In Conversation")</f>
        <v/>
      </c>
      <c r="H5" s="17">
        <f>COUNTIF('Events &amp; Festivals'!$G$3:$G$32,"Agreed")</f>
        <v/>
      </c>
      <c r="I5" s="17">
        <f>COUNTIF('Events &amp; Festivals'!$G$3:$G$32,"Activated")+COUNTIF('Events &amp; Festivals'!$G$3:$G$32,"Repeat Partner")</f>
        <v/>
      </c>
      <c r="J5" s="17">
        <f>SUM('Events &amp; Festivals'!$X$3:$X$32)</f>
        <v/>
      </c>
      <c r="K5" s="28">
        <f>IFERROR(C5/B5,0)</f>
        <v/>
      </c>
    </row>
    <row r="6">
      <c r="A6" s="16" t="inlineStr">
        <is>
          <t>Sports Teams &amp; Leagues</t>
        </is>
      </c>
      <c r="B6" s="17" t="n">
        <v>6</v>
      </c>
      <c r="C6" s="17">
        <f>COUNTA('Sports Teams &amp; Leagues'!$B$3:$B$32)</f>
        <v/>
      </c>
      <c r="D6" s="17">
        <f>COUNTIF('Sports Teams &amp; Leagues'!$F$3:$F$32,"P1")</f>
        <v/>
      </c>
      <c r="E6" s="17">
        <f>COUNTIF('Sports Teams &amp; Leagues'!$F$3:$F$32,"P2")</f>
        <v/>
      </c>
      <c r="F6" s="17">
        <f>COUNTIF('Sports Teams &amp; Leagues'!$F$3:$F$32,"P3")</f>
        <v/>
      </c>
      <c r="G6" s="17">
        <f>COUNTIF('Sports Teams &amp; Leagues'!$G$3:$G$32,"In Conversation")</f>
        <v/>
      </c>
      <c r="H6" s="17">
        <f>COUNTIF('Sports Teams &amp; Leagues'!$G$3:$G$32,"Agreed")</f>
        <v/>
      </c>
      <c r="I6" s="17">
        <f>COUNTIF('Sports Teams &amp; Leagues'!$G$3:$G$32,"Activated")+COUNTIF('Sports Teams &amp; Leagues'!$G$3:$G$32,"Repeat Partner")</f>
        <v/>
      </c>
      <c r="J6" s="17">
        <f>SUM('Sports Teams &amp; Leagues'!$X$3:$X$32)</f>
        <v/>
      </c>
      <c r="K6" s="28">
        <f>IFERROR(C6/B6,0)</f>
        <v/>
      </c>
    </row>
    <row r="7">
      <c r="A7" s="16" t="inlineStr">
        <is>
          <t>Campus &amp; Student Groups</t>
        </is>
      </c>
      <c r="B7" s="17" t="n">
        <v>6</v>
      </c>
      <c r="C7" s="17">
        <f>COUNTA('Campus &amp; Student Groups'!$B$3:$B$32)</f>
        <v/>
      </c>
      <c r="D7" s="17">
        <f>COUNTIF('Campus &amp; Student Groups'!$F$3:$F$32,"P1")</f>
        <v/>
      </c>
      <c r="E7" s="17">
        <f>COUNTIF('Campus &amp; Student Groups'!$F$3:$F$32,"P2")</f>
        <v/>
      </c>
      <c r="F7" s="17">
        <f>COUNTIF('Campus &amp; Student Groups'!$F$3:$F$32,"P3")</f>
        <v/>
      </c>
      <c r="G7" s="17">
        <f>COUNTIF('Campus &amp; Student Groups'!$G$3:$G$32,"In Conversation")</f>
        <v/>
      </c>
      <c r="H7" s="17">
        <f>COUNTIF('Campus &amp; Student Groups'!$G$3:$G$32,"Agreed")</f>
        <v/>
      </c>
      <c r="I7" s="17">
        <f>COUNTIF('Campus &amp; Student Groups'!$G$3:$G$32,"Activated")+COUNTIF('Campus &amp; Student Groups'!$G$3:$G$32,"Repeat Partner")</f>
        <v/>
      </c>
      <c r="J7" s="17">
        <f>SUM('Campus &amp; Student Groups'!$X$3:$X$32)</f>
        <v/>
      </c>
      <c r="K7" s="28">
        <f>IFERROR(C7/B7,0)</f>
        <v/>
      </c>
    </row>
    <row r="8">
      <c r="A8" s="16" t="inlineStr">
        <is>
          <t>Wellness &amp; Recovery</t>
        </is>
      </c>
      <c r="B8" s="17" t="n">
        <v>6</v>
      </c>
      <c r="C8" s="17">
        <f>COUNTA('Wellness &amp; Recovery'!$B$3:$B$32)</f>
        <v/>
      </c>
      <c r="D8" s="17">
        <f>COUNTIF('Wellness &amp; Recovery'!$F$3:$F$32,"P1")</f>
        <v/>
      </c>
      <c r="E8" s="17">
        <f>COUNTIF('Wellness &amp; Recovery'!$F$3:$F$32,"P2")</f>
        <v/>
      </c>
      <c r="F8" s="17">
        <f>COUNTIF('Wellness &amp; Recovery'!$F$3:$F$32,"P3")</f>
        <v/>
      </c>
      <c r="G8" s="17">
        <f>COUNTIF('Wellness &amp; Recovery'!$G$3:$G$32,"In Conversation")</f>
        <v/>
      </c>
      <c r="H8" s="17">
        <f>COUNTIF('Wellness &amp; Recovery'!$G$3:$G$32,"Agreed")</f>
        <v/>
      </c>
      <c r="I8" s="17">
        <f>COUNTIF('Wellness &amp; Recovery'!$G$3:$G$32,"Activated")+COUNTIF('Wellness &amp; Recovery'!$G$3:$G$32,"Repeat Partner")</f>
        <v/>
      </c>
      <c r="J8" s="17">
        <f>SUM('Wellness &amp; Recovery'!$X$3:$X$32)</f>
        <v/>
      </c>
      <c r="K8" s="28">
        <f>IFERROR(C8/B8,0)</f>
        <v/>
      </c>
    </row>
    <row r="9">
      <c r="A9" s="16" t="inlineStr">
        <is>
          <t>Ambassadors &amp; Creators</t>
        </is>
      </c>
      <c r="B9" s="17" t="n">
        <v>8</v>
      </c>
      <c r="C9" s="17">
        <f>COUNTA('Ambassadors &amp; Creators'!$B$3:$B$32)</f>
        <v/>
      </c>
      <c r="D9" s="17">
        <f>COUNTIF('Ambassadors &amp; Creators'!$F$3:$F$32,"P1")</f>
        <v/>
      </c>
      <c r="E9" s="17">
        <f>COUNTIF('Ambassadors &amp; Creators'!$F$3:$F$32,"P2")</f>
        <v/>
      </c>
      <c r="F9" s="17">
        <f>COUNTIF('Ambassadors &amp; Creators'!$F$3:$F$32,"P3")</f>
        <v/>
      </c>
      <c r="G9" s="17">
        <f>COUNTIF('Ambassadors &amp; Creators'!$G$3:$G$32,"In Conversation")</f>
        <v/>
      </c>
      <c r="H9" s="17">
        <f>COUNTIF('Ambassadors &amp; Creators'!$G$3:$G$32,"Agreed")</f>
        <v/>
      </c>
      <c r="I9" s="17">
        <f>COUNTIF('Ambassadors &amp; Creators'!$G$3:$G$32,"Activated")+COUNTIF('Ambassadors &amp; Creators'!$G$3:$G$32,"Repeat Partner")</f>
        <v/>
      </c>
      <c r="J9" s="17">
        <f>SUM('Ambassadors &amp; Creators'!$X$3:$X$32)</f>
        <v/>
      </c>
      <c r="K9" s="28">
        <f>IFERROR(C9/B9,0)</f>
        <v/>
      </c>
    </row>
    <row r="10">
      <c r="A10" s="16" t="inlineStr">
        <is>
          <t>Charity &amp; Causes</t>
        </is>
      </c>
      <c r="B10" s="17" t="n">
        <v>4</v>
      </c>
      <c r="C10" s="17">
        <f>COUNTA('Charity &amp; Causes'!$B$3:$B$32)</f>
        <v/>
      </c>
      <c r="D10" s="17">
        <f>COUNTIF('Charity &amp; Causes'!$F$3:$F$32,"P1")</f>
        <v/>
      </c>
      <c r="E10" s="17">
        <f>COUNTIF('Charity &amp; Causes'!$F$3:$F$32,"P2")</f>
        <v/>
      </c>
      <c r="F10" s="17">
        <f>COUNTIF('Charity &amp; Causes'!$F$3:$F$32,"P3")</f>
        <v/>
      </c>
      <c r="G10" s="17">
        <f>COUNTIF('Charity &amp; Causes'!$G$3:$G$32,"In Conversation")</f>
        <v/>
      </c>
      <c r="H10" s="17">
        <f>COUNTIF('Charity &amp; Causes'!$G$3:$G$32,"Agreed")</f>
        <v/>
      </c>
      <c r="I10" s="17">
        <f>COUNTIF('Charity &amp; Causes'!$G$3:$G$32,"Activated")+COUNTIF('Charity &amp; Causes'!$G$3:$G$32,"Repeat Partner")</f>
        <v/>
      </c>
      <c r="J10" s="17">
        <f>SUM('Charity &amp; Causes'!$X$3:$X$32)</f>
        <v/>
      </c>
      <c r="K10" s="28">
        <f>IFERROR(C10/B10,0)</f>
        <v/>
      </c>
    </row>
    <row r="11">
      <c r="A11" s="29" t="inlineStr">
        <is>
          <t>Total</t>
        </is>
      </c>
      <c r="B11" s="30">
        <f>SUM(B3:B10)</f>
        <v/>
      </c>
      <c r="C11" s="30">
        <f>SUM(C3:C10)</f>
        <v/>
      </c>
      <c r="D11" s="30">
        <f>SUM(D3:D10)</f>
        <v/>
      </c>
      <c r="E11" s="30">
        <f>SUM(E3:E10)</f>
        <v/>
      </c>
      <c r="F11" s="30">
        <f>SUM(F3:F10)</f>
        <v/>
      </c>
      <c r="G11" s="30">
        <f>SUM(G3:G10)</f>
        <v/>
      </c>
      <c r="H11" s="30">
        <f>SUM(H3:H10)</f>
        <v/>
      </c>
      <c r="I11" s="30">
        <f>SUM(I3:I10)</f>
        <v/>
      </c>
      <c r="J11" s="30">
        <f>SUM(J3:J10)</f>
        <v/>
      </c>
      <c r="K11" s="31">
        <f>IFERROR(C11/B11,0)</f>
        <v/>
      </c>
    </row>
    <row r="13">
      <c r="A13" s="14" t="inlineStr">
        <is>
          <t>Targets are a starting draft for Louis to confirm. Edit the Target column any time.</t>
        </is>
      </c>
    </row>
  </sheetData>
  <mergeCells count="1">
    <mergeCell ref="A1:K1"/>
  </mergeCells>
  <conditionalFormatting sqref="K3:K11">
    <cfRule type="cellIs" priority="1" operator="greaterThanOrEqual" dxfId="0">
      <formula>1</formula>
    </cfRule>
    <cfRule type="cellIs" priority="2" operator="greaterThanOrEqual" dxfId="1">
      <formula>0.5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Budget</t>
        </is>
      </c>
    </row>
    <row r="2" ht="50" customHeight="1">
      <c r="A2" s="8" t="inlineStr">
        <is>
          <t>Partnership Type</t>
        </is>
      </c>
      <c r="B2" s="8" t="inlineStr">
        <is>
          <t>Total Budget ($)</t>
        </is>
      </c>
      <c r="C2" s="8" t="inlineStr">
        <is>
          <t>Committed ($)</t>
        </is>
      </c>
      <c r="D2" s="8" t="inlineStr">
        <is>
          <t>Spent ($)</t>
        </is>
      </c>
      <c r="E2" s="8" t="inlineStr">
        <is>
          <t>Remaining ($)</t>
        </is>
      </c>
      <c r="F2" s="8" t="inlineStr">
        <is>
          <t>% Spent</t>
        </is>
      </c>
    </row>
    <row r="3">
      <c r="A3" s="16" t="inlineStr">
        <is>
          <t>Run Clubs</t>
        </is>
      </c>
      <c r="B3" s="20" t="n">
        <v>0</v>
      </c>
      <c r="C3" s="20" t="n">
        <v>0</v>
      </c>
      <c r="D3" s="20">
        <f>SUM('Run Clubs'!$Z$3:$Z$32)</f>
        <v/>
      </c>
      <c r="E3" s="20">
        <f>B3-D3</f>
        <v/>
      </c>
      <c r="F3" s="28">
        <f>IFERROR(D3/B3,0)</f>
        <v/>
      </c>
    </row>
    <row r="4">
      <c r="A4" s="16" t="inlineStr">
        <is>
          <t>Gyms &amp; Studios</t>
        </is>
      </c>
      <c r="B4" s="20" t="n">
        <v>0</v>
      </c>
      <c r="C4" s="20" t="n">
        <v>0</v>
      </c>
      <c r="D4" s="20">
        <f>SUM('Gyms &amp; Studios'!$Z$3:$Z$32)</f>
        <v/>
      </c>
      <c r="E4" s="20">
        <f>B4-D4</f>
        <v/>
      </c>
      <c r="F4" s="28">
        <f>IFERROR(D4/B4,0)</f>
        <v/>
      </c>
    </row>
    <row r="5">
      <c r="A5" s="16" t="inlineStr">
        <is>
          <t>Events &amp; Festivals</t>
        </is>
      </c>
      <c r="B5" s="20" t="n">
        <v>0</v>
      </c>
      <c r="C5" s="20" t="n">
        <v>0</v>
      </c>
      <c r="D5" s="20">
        <f>SUM('Events &amp; Festivals'!$Z$3:$Z$32)</f>
        <v/>
      </c>
      <c r="E5" s="20">
        <f>B5-D5</f>
        <v/>
      </c>
      <c r="F5" s="28">
        <f>IFERROR(D5/B5,0)</f>
        <v/>
      </c>
    </row>
    <row r="6">
      <c r="A6" s="16" t="inlineStr">
        <is>
          <t>Sports Teams &amp; Leagues</t>
        </is>
      </c>
      <c r="B6" s="20" t="n">
        <v>0</v>
      </c>
      <c r="C6" s="20" t="n">
        <v>0</v>
      </c>
      <c r="D6" s="20">
        <f>SUM('Sports Teams &amp; Leagues'!$Z$3:$Z$32)</f>
        <v/>
      </c>
      <c r="E6" s="20">
        <f>B6-D6</f>
        <v/>
      </c>
      <c r="F6" s="28">
        <f>IFERROR(D6/B6,0)</f>
        <v/>
      </c>
    </row>
    <row r="7">
      <c r="A7" s="16" t="inlineStr">
        <is>
          <t>Campus &amp; Student Groups</t>
        </is>
      </c>
      <c r="B7" s="20" t="n">
        <v>0</v>
      </c>
      <c r="C7" s="20" t="n">
        <v>0</v>
      </c>
      <c r="D7" s="20">
        <f>SUM('Campus &amp; Student Groups'!$Z$3:$Z$32)</f>
        <v/>
      </c>
      <c r="E7" s="20">
        <f>B7-D7</f>
        <v/>
      </c>
      <c r="F7" s="28">
        <f>IFERROR(D7/B7,0)</f>
        <v/>
      </c>
    </row>
    <row r="8">
      <c r="A8" s="16" t="inlineStr">
        <is>
          <t>Wellness &amp; Recovery</t>
        </is>
      </c>
      <c r="B8" s="20" t="n">
        <v>0</v>
      </c>
      <c r="C8" s="20" t="n">
        <v>0</v>
      </c>
      <c r="D8" s="20">
        <f>SUM('Wellness &amp; Recovery'!$Z$3:$Z$32)</f>
        <v/>
      </c>
      <c r="E8" s="20">
        <f>B8-D8</f>
        <v/>
      </c>
      <c r="F8" s="28">
        <f>IFERROR(D8/B8,0)</f>
        <v/>
      </c>
    </row>
    <row r="9">
      <c r="A9" s="16" t="inlineStr">
        <is>
          <t>Ambassadors &amp; Creators</t>
        </is>
      </c>
      <c r="B9" s="20" t="n">
        <v>0</v>
      </c>
      <c r="C9" s="20" t="n">
        <v>0</v>
      </c>
      <c r="D9" s="20">
        <f>SUM('Ambassadors &amp; Creators'!$Z$3:$Z$32)</f>
        <v/>
      </c>
      <c r="E9" s="20">
        <f>B9-D9</f>
        <v/>
      </c>
      <c r="F9" s="28">
        <f>IFERROR(D9/B9,0)</f>
        <v/>
      </c>
    </row>
    <row r="10">
      <c r="A10" s="16" t="inlineStr">
        <is>
          <t>Charity &amp; Causes</t>
        </is>
      </c>
      <c r="B10" s="20" t="n">
        <v>0</v>
      </c>
      <c r="C10" s="20" t="n">
        <v>0</v>
      </c>
      <c r="D10" s="20">
        <f>SUM('Charity &amp; Causes'!$Z$3:$Z$32)</f>
        <v/>
      </c>
      <c r="E10" s="20">
        <f>B10-D10</f>
        <v/>
      </c>
      <c r="F10" s="28">
        <f>IFERROR(D10/B10,0)</f>
        <v/>
      </c>
    </row>
    <row r="11">
      <c r="A11" s="29" t="inlineStr">
        <is>
          <t>Total</t>
        </is>
      </c>
      <c r="B11" s="32">
        <f>SUM(B3:B10)</f>
        <v/>
      </c>
      <c r="C11" s="32">
        <f>SUM(C3:C10)</f>
        <v/>
      </c>
      <c r="D11" s="32">
        <f>SUM(D3:D10)</f>
        <v/>
      </c>
      <c r="E11" s="32">
        <f>SUM(E3:E10)</f>
        <v/>
      </c>
      <c r="F11" s="31">
        <f>IFERROR(D11/B11,0)</f>
        <v/>
      </c>
    </row>
    <row r="13">
      <c r="A13" s="14" t="inlineStr">
        <is>
          <t>Total Budget and Committed are yours to set and start at zero. Spent rolls up the Cost column from each type tab.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Run Clubs</t>
        </is>
      </c>
    </row>
    <row r="2" ht="50" customHeight="1">
      <c r="A2" s="8" t="inlineStr">
        <is>
          <t>#</t>
        </is>
      </c>
      <c r="B2" s="8" t="inlineStr">
        <is>
          <t>Partner Name</t>
        </is>
      </c>
      <c r="C2" s="8" t="inlineStr">
        <is>
          <t>Partnership Type</t>
        </is>
      </c>
      <c r="D2" s="8" t="inlineStr">
        <is>
          <t>City</t>
        </is>
      </c>
      <c r="E2" s="8" t="inlineStr">
        <is>
          <t>Neighbourhood</t>
        </is>
      </c>
      <c r="F2" s="8" t="inlineStr">
        <is>
          <t>Priority</t>
        </is>
      </c>
      <c r="G2" s="8" t="inlineStr">
        <is>
          <t>Status</t>
        </is>
      </c>
      <c r="H2" s="8" t="inlineStr">
        <is>
          <t>Primary Owner</t>
        </is>
      </c>
      <c r="I2" s="8" t="inlineStr">
        <is>
          <t>Contact Name</t>
        </is>
      </c>
      <c r="J2" s="8" t="inlineStr">
        <is>
          <t>Role</t>
        </is>
      </c>
      <c r="K2" s="8" t="inlineStr">
        <is>
          <t>Contact Email</t>
        </is>
      </c>
      <c r="L2" s="8" t="inlineStr">
        <is>
          <t>Contact Phone</t>
        </is>
      </c>
      <c r="M2" s="8" t="inlineStr">
        <is>
          <t>Instagram or Website</t>
        </is>
      </c>
      <c r="N2" s="8" t="inlineStr">
        <is>
          <t>Audience Size</t>
        </is>
      </c>
      <c r="O2" s="8" t="inlineStr">
        <is>
          <t>Audience Source</t>
        </is>
      </c>
      <c r="P2" s="8" t="inlineStr">
        <is>
          <t>Source</t>
        </is>
      </c>
      <c r="Q2" s="8" t="inlineStr">
        <is>
          <t>Warm</t>
        </is>
      </c>
      <c r="R2" s="8" t="inlineStr">
        <is>
          <t>Last Contacted</t>
        </is>
      </c>
      <c r="S2" s="8" t="inlineStr">
        <is>
          <t>Days Since Activity</t>
        </is>
      </c>
      <c r="T2" s="8" t="inlineStr">
        <is>
          <t>Next Action</t>
        </is>
      </c>
      <c r="U2" s="8" t="inlineStr">
        <is>
          <t>Next Action Date</t>
        </is>
      </c>
      <c r="V2" s="8" t="inlineStr">
        <is>
          <t>Activation Type</t>
        </is>
      </c>
      <c r="W2" s="8" t="inlineStr">
        <is>
          <t>Activation Date</t>
        </is>
      </c>
      <c r="X2" s="8" t="inlineStr">
        <is>
          <t>Cases Committed</t>
        </is>
      </c>
      <c r="Y2" s="8" t="inlineStr">
        <is>
          <t>Cases Delivered</t>
        </is>
      </c>
      <c r="Z2" s="8" t="inlineStr">
        <is>
          <t>Cost ($)</t>
        </is>
      </c>
      <c r="AA2" s="8" t="inlineStr">
        <is>
          <t>Cost Per Can</t>
        </is>
      </c>
      <c r="AB2" s="8" t="inlineStr">
        <is>
          <t>Contra Value ($)</t>
        </is>
      </c>
      <c r="AC2" s="8" t="inlineStr">
        <is>
          <t>Deliverables Promised</t>
        </is>
      </c>
      <c r="AD2" s="8" t="inlineStr">
        <is>
          <t>Deliverables Received</t>
        </is>
      </c>
      <c r="AE2" s="8" t="inlineStr">
        <is>
          <t>What They Want</t>
        </is>
      </c>
      <c r="AF2" s="8" t="inlineStr">
        <is>
          <t>Risks</t>
        </is>
      </c>
      <c r="AG2" s="8" t="inlineStr">
        <is>
          <t>Nearby Retail Doors</t>
        </is>
      </c>
      <c r="AH2" s="8" t="inlineStr">
        <is>
          <t>In BC Tracker?</t>
        </is>
      </c>
      <c r="AI2" s="8" t="inlineStr">
        <is>
          <t>Raspberry 4338</t>
        </is>
      </c>
      <c r="AJ2" s="8" t="inlineStr">
        <is>
          <t>Lemon Lime 4336</t>
        </is>
      </c>
      <c r="AK2" s="8" t="inlineStr">
        <is>
          <t>Pineapple Passion Fruit 4340</t>
        </is>
      </c>
      <c r="AL2" s="8" t="inlineStr">
        <is>
          <t>Notes</t>
        </is>
      </c>
    </row>
    <row r="3" ht="20" customHeight="1">
      <c r="A3" s="17">
        <f>IF($B3="","",ROW()-2)</f>
        <v/>
      </c>
      <c r="B3" s="16" t="inlineStr">
        <is>
          <t>East Van Run Crew</t>
        </is>
      </c>
      <c r="C3" s="16">
        <f>IF($B3="","","Run Clubs")</f>
        <v/>
      </c>
      <c r="D3" s="17" t="inlineStr">
        <is>
          <t>Vancouver</t>
        </is>
      </c>
      <c r="E3" s="16" t="inlineStr">
        <is>
          <t>East Vancouver</t>
        </is>
      </c>
      <c r="F3" s="17" t="inlineStr">
        <is>
          <t>P1</t>
        </is>
      </c>
      <c r="G3" s="17" t="inlineStr">
        <is>
          <t>Open</t>
        </is>
      </c>
      <c r="H3" s="17" t="inlineStr">
        <is>
          <t>Maddie</t>
        </is>
      </c>
      <c r="I3" s="16" t="n"/>
      <c r="J3" s="17" t="n"/>
      <c r="K3" s="16" t="n"/>
      <c r="L3" s="17" t="n"/>
      <c r="M3" s="33" t="inlineStr">
        <is>
          <t>@eastvanruncrew</t>
        </is>
      </c>
      <c r="N3" s="17" t="inlineStr">
        <is>
          <t>11,000 IG</t>
        </is>
      </c>
      <c r="O3" s="16" t="inlineStr">
        <is>
          <t>Instagram @eastvanruncrew follower count, web search 2026</t>
        </is>
      </c>
      <c r="P3" s="17" t="inlineStr">
        <is>
          <t>Verified Web</t>
        </is>
      </c>
      <c r="Q3" s="17" t="inlineStr">
        <is>
          <t>Cold</t>
        </is>
      </c>
      <c r="R3" s="15" t="n"/>
      <c r="S3" s="19">
        <f>IF(ISBLANK(R3),"",TODAY()-R3)</f>
        <v/>
      </c>
      <c r="T3" s="16" t="n"/>
      <c r="U3" s="15" t="n"/>
      <c r="V3" s="17" t="n"/>
      <c r="W3" s="15" t="n"/>
      <c r="X3" s="17" t="n"/>
      <c r="Y3" s="17" t="n"/>
      <c r="Z3" s="20" t="n"/>
      <c r="AA3" s="21">
        <f>IF(OR($Z3="",$Y3="",$Y3=0),"",$Z3/($Y3*24))</f>
        <v/>
      </c>
      <c r="AB3" s="20" t="n"/>
      <c r="AC3" s="16" t="n"/>
      <c r="AD3" s="16" t="n"/>
      <c r="AE3" s="16" t="n"/>
      <c r="AF3" s="16" t="n"/>
      <c r="AG3" s="16" t="n"/>
      <c r="AH3" s="17" t="inlineStr">
        <is>
          <t>No</t>
        </is>
      </c>
      <c r="AI3" s="17" t="n"/>
      <c r="AJ3" s="17" t="n"/>
      <c r="AK3" s="17" t="n"/>
      <c r="AL3" s="16" t="inlineStr">
        <is>
          <t>Monday night runs starting from a rotating East Van brewery.</t>
        </is>
      </c>
    </row>
    <row r="4" ht="20" customHeight="1">
      <c r="A4" s="23">
        <f>IF($B4="","",ROW()-2)</f>
        <v/>
      </c>
      <c r="B4" s="22" t="inlineStr">
        <is>
          <t>Social Run Club YVR</t>
        </is>
      </c>
      <c r="C4" s="22">
        <f>IF($B4="","","Run Clubs")</f>
        <v/>
      </c>
      <c r="D4" s="23" t="inlineStr">
        <is>
          <t>Vancouver</t>
        </is>
      </c>
      <c r="E4" s="22" t="inlineStr">
        <is>
          <t>Yaletown</t>
        </is>
      </c>
      <c r="F4" s="23" t="inlineStr">
        <is>
          <t>P1</t>
        </is>
      </c>
      <c r="G4" s="23" t="inlineStr">
        <is>
          <t>Open</t>
        </is>
      </c>
      <c r="H4" s="23" t="inlineStr">
        <is>
          <t>Maddie</t>
        </is>
      </c>
      <c r="I4" s="22" t="n"/>
      <c r="J4" s="23" t="n"/>
      <c r="K4" s="22" t="n"/>
      <c r="L4" s="23" t="n"/>
      <c r="M4" s="34" t="inlineStr">
        <is>
          <t>@socialrunclub.yvr</t>
        </is>
      </c>
      <c r="N4" s="23" t="inlineStr">
        <is>
          <t>12,000 IG</t>
        </is>
      </c>
      <c r="O4" s="22" t="inlineStr">
        <is>
          <t>Instagram @socialrunclub.yvr follower count, web search 2026</t>
        </is>
      </c>
      <c r="P4" s="23" t="inlineStr">
        <is>
          <t>Verified Web</t>
        </is>
      </c>
      <c r="Q4" s="23" t="inlineStr">
        <is>
          <t>Cold</t>
        </is>
      </c>
      <c r="R4" s="24" t="n"/>
      <c r="S4" s="25">
        <f>IF(ISBLANK(R4),"",TODAY()-R4)</f>
        <v/>
      </c>
      <c r="T4" s="22" t="n"/>
      <c r="U4" s="24" t="n"/>
      <c r="V4" s="23" t="n"/>
      <c r="W4" s="24" t="n"/>
      <c r="X4" s="23" t="n"/>
      <c r="Y4" s="23" t="n"/>
      <c r="Z4" s="26" t="n"/>
      <c r="AA4" s="27">
        <f>IF(OR($Z4="",$Y4="",$Y4=0),"",$Z4/($Y4*24))</f>
        <v/>
      </c>
      <c r="AB4" s="26" t="n"/>
      <c r="AC4" s="22" t="n"/>
      <c r="AD4" s="22" t="n"/>
      <c r="AE4" s="22" t="n"/>
      <c r="AF4" s="22" t="n"/>
      <c r="AG4" s="22" t="n"/>
      <c r="AH4" s="23" t="inlineStr">
        <is>
          <t>No</t>
        </is>
      </c>
      <c r="AI4" s="23" t="n"/>
      <c r="AJ4" s="23" t="n"/>
      <c r="AK4" s="23" t="n"/>
      <c r="AL4" s="22" t="inlineStr">
        <is>
          <t>Saturday 9:30am Form Focus run that ends with a coffee social.</t>
        </is>
      </c>
    </row>
    <row r="5" ht="20" customHeight="1">
      <c r="A5" s="17">
        <f>IF($B5="","",ROW()-2)</f>
        <v/>
      </c>
      <c r="B5" s="16" t="inlineStr">
        <is>
          <t>Slow Girls Run Club</t>
        </is>
      </c>
      <c r="C5" s="16">
        <f>IF($B5="","","Run Clubs")</f>
        <v/>
      </c>
      <c r="D5" s="17" t="inlineStr">
        <is>
          <t>Vancouver</t>
        </is>
      </c>
      <c r="E5" s="16" t="inlineStr">
        <is>
          <t>Downtown</t>
        </is>
      </c>
      <c r="F5" s="17" t="inlineStr">
        <is>
          <t>P1</t>
        </is>
      </c>
      <c r="G5" s="17" t="inlineStr">
        <is>
          <t>Open</t>
        </is>
      </c>
      <c r="H5" s="17" t="inlineStr">
        <is>
          <t>Maddie</t>
        </is>
      </c>
      <c r="I5" s="16" t="n"/>
      <c r="J5" s="17" t="n"/>
      <c r="K5" s="16" t="n"/>
      <c r="L5" s="17" t="n"/>
      <c r="M5" s="33" t="inlineStr">
        <is>
          <t>@slowgirlsrunclub</t>
        </is>
      </c>
      <c r="N5" s="17" t="inlineStr">
        <is>
          <t>9,400 IG</t>
        </is>
      </c>
      <c r="O5" s="16" t="inlineStr">
        <is>
          <t>Instagram @slowgirlsrunclub follower count, web search 2026</t>
        </is>
      </c>
      <c r="P5" s="17" t="inlineStr">
        <is>
          <t>Verified Web</t>
        </is>
      </c>
      <c r="Q5" s="17" t="inlineStr">
        <is>
          <t>Cold</t>
        </is>
      </c>
      <c r="R5" s="15" t="n"/>
      <c r="S5" s="19">
        <f>IF(ISBLANK(R5),"",TODAY()-R5)</f>
        <v/>
      </c>
      <c r="T5" s="16" t="n"/>
      <c r="U5" s="15" t="n"/>
      <c r="V5" s="17" t="n"/>
      <c r="W5" s="15" t="n"/>
      <c r="X5" s="17" t="n"/>
      <c r="Y5" s="17" t="n"/>
      <c r="Z5" s="20" t="n"/>
      <c r="AA5" s="21">
        <f>IF(OR($Z5="",$Y5="",$Y5=0),"",$Z5/($Y5*24))</f>
        <v/>
      </c>
      <c r="AB5" s="20" t="n"/>
      <c r="AC5" s="16" t="n"/>
      <c r="AD5" s="16" t="n"/>
      <c r="AE5" s="16" t="n"/>
      <c r="AF5" s="16" t="n"/>
      <c r="AG5" s="16" t="n"/>
      <c r="AH5" s="17" t="inlineStr">
        <is>
          <t>No</t>
        </is>
      </c>
      <c r="AI5" s="17" t="n"/>
      <c r="AJ5" s="17" t="n"/>
      <c r="AK5" s="17" t="n"/>
      <c r="AL5" s="16" t="inlineStr">
        <is>
          <t>Saturday 8am Social Saturdays 5km. Women focused community.</t>
        </is>
      </c>
    </row>
    <row r="6" ht="20" customHeight="1">
      <c r="A6" s="23">
        <f>IF($B6="","",ROW()-2)</f>
        <v/>
      </c>
      <c r="B6" s="22" t="inlineStr">
        <is>
          <t>One Run Club</t>
        </is>
      </c>
      <c r="C6" s="22">
        <f>IF($B6="","","Run Clubs")</f>
        <v/>
      </c>
      <c r="D6" s="23" t="inlineStr">
        <is>
          <t>Vancouver</t>
        </is>
      </c>
      <c r="E6" s="22" t="inlineStr">
        <is>
          <t>West End</t>
        </is>
      </c>
      <c r="F6" s="23" t="inlineStr">
        <is>
          <t>P2</t>
        </is>
      </c>
      <c r="G6" s="23" t="inlineStr">
        <is>
          <t>Open</t>
        </is>
      </c>
      <c r="H6" s="23" t="inlineStr">
        <is>
          <t>Maddie</t>
        </is>
      </c>
      <c r="I6" s="22" t="n"/>
      <c r="J6" s="23" t="n"/>
      <c r="K6" s="22" t="n"/>
      <c r="L6" s="23" t="n"/>
      <c r="M6" s="34" t="inlineStr">
        <is>
          <t>@onerunclubvan</t>
        </is>
      </c>
      <c r="N6" s="23" t="inlineStr">
        <is>
          <t>7,950 IG</t>
        </is>
      </c>
      <c r="O6" s="22" t="inlineStr">
        <is>
          <t>Instagram @onerunclubvan follower count, web search 2026. About 1,536 active members on Heylo</t>
        </is>
      </c>
      <c r="P6" s="23" t="inlineStr">
        <is>
          <t>Verified Web</t>
        </is>
      </c>
      <c r="Q6" s="23" t="inlineStr">
        <is>
          <t>Cold</t>
        </is>
      </c>
      <c r="R6" s="24" t="n"/>
      <c r="S6" s="25">
        <f>IF(ISBLANK(R6),"",TODAY()-R6)</f>
        <v/>
      </c>
      <c r="T6" s="22" t="n"/>
      <c r="U6" s="24" t="n"/>
      <c r="V6" s="23" t="n"/>
      <c r="W6" s="24" t="n"/>
      <c r="X6" s="23" t="n"/>
      <c r="Y6" s="23" t="n"/>
      <c r="Z6" s="26" t="n"/>
      <c r="AA6" s="27">
        <f>IF(OR($Z6="",$Y6="",$Y6=0),"",$Z6/($Y6*24))</f>
        <v/>
      </c>
      <c r="AB6" s="26" t="n"/>
      <c r="AC6" s="22" t="n"/>
      <c r="AD6" s="22" t="n"/>
      <c r="AE6" s="22" t="n"/>
      <c r="AF6" s="22" t="n"/>
      <c r="AG6" s="22" t="n"/>
      <c r="AH6" s="23" t="inlineStr">
        <is>
          <t>No</t>
        </is>
      </c>
      <c r="AI6" s="23" t="n"/>
      <c r="AJ6" s="23" t="n"/>
      <c r="AK6" s="23" t="n"/>
      <c r="AL6" s="22" t="inlineStr">
        <is>
          <t>Wednesday 6:30pm run with a social wrap at English Bay.</t>
        </is>
      </c>
    </row>
    <row r="7" ht="20" customHeight="1">
      <c r="A7" s="17">
        <f>IF($B7="","",ROW()-2)</f>
        <v/>
      </c>
      <c r="B7" s="16" t="inlineStr">
        <is>
          <t>Striderz Run Club</t>
        </is>
      </c>
      <c r="C7" s="16">
        <f>IF($B7="","","Run Clubs")</f>
        <v/>
      </c>
      <c r="D7" s="17" t="inlineStr">
        <is>
          <t>Vancouver</t>
        </is>
      </c>
      <c r="E7" s="16" t="inlineStr">
        <is>
          <t>Olympic Village</t>
        </is>
      </c>
      <c r="F7" s="17" t="inlineStr">
        <is>
          <t>P2</t>
        </is>
      </c>
      <c r="G7" s="17" t="inlineStr">
        <is>
          <t>Open</t>
        </is>
      </c>
      <c r="H7" s="17" t="inlineStr">
        <is>
          <t>Maddie</t>
        </is>
      </c>
      <c r="I7" s="16" t="n"/>
      <c r="J7" s="17" t="n"/>
      <c r="K7" s="16" t="n"/>
      <c r="L7" s="17" t="n"/>
      <c r="M7" s="33" t="inlineStr">
        <is>
          <t>@striderzrunclub</t>
        </is>
      </c>
      <c r="N7" s="17" t="inlineStr">
        <is>
          <t>1,120 IG</t>
        </is>
      </c>
      <c r="O7" s="16" t="inlineStr">
        <is>
          <t>Instagram @striderzrunclub follower count, web search 2026</t>
        </is>
      </c>
      <c r="P7" s="17" t="inlineStr">
        <is>
          <t>Verified Web</t>
        </is>
      </c>
      <c r="Q7" s="17" t="inlineStr">
        <is>
          <t>Cold</t>
        </is>
      </c>
      <c r="R7" s="15" t="n"/>
      <c r="S7" s="19">
        <f>IF(ISBLANK(R7),"",TODAY()-R7)</f>
        <v/>
      </c>
      <c r="T7" s="16" t="n"/>
      <c r="U7" s="15" t="n"/>
      <c r="V7" s="17" t="n"/>
      <c r="W7" s="15" t="n"/>
      <c r="X7" s="17" t="n"/>
      <c r="Y7" s="17" t="n"/>
      <c r="Z7" s="20" t="n"/>
      <c r="AA7" s="21">
        <f>IF(OR($Z7="",$Y7="",$Y7=0),"",$Z7/($Y7*24))</f>
        <v/>
      </c>
      <c r="AB7" s="20" t="n"/>
      <c r="AC7" s="16" t="n"/>
      <c r="AD7" s="16" t="n"/>
      <c r="AE7" s="16" t="n"/>
      <c r="AF7" s="16" t="n"/>
      <c r="AG7" s="16" t="n"/>
      <c r="AH7" s="17" t="inlineStr">
        <is>
          <t>No</t>
        </is>
      </c>
      <c r="AI7" s="17" t="n"/>
      <c r="AJ7" s="17" t="n"/>
      <c r="AK7" s="17" t="n"/>
      <c r="AL7" s="16" t="inlineStr">
        <is>
          <t>Free Sunday 8:30am social run from Athletes Way, all paces regroup.</t>
        </is>
      </c>
    </row>
    <row r="8" ht="20" customHeight="1">
      <c r="A8" s="23">
        <f>IF($B8="","",ROW()-2)</f>
        <v/>
      </c>
      <c r="B8" s="22" t="inlineStr">
        <is>
          <t>North Shore Women's Trail Running Club</t>
        </is>
      </c>
      <c r="C8" s="22">
        <f>IF($B8="","","Run Clubs")</f>
        <v/>
      </c>
      <c r="D8" s="23" t="inlineStr">
        <is>
          <t>North Vancouver</t>
        </is>
      </c>
      <c r="E8" s="22" t="inlineStr">
        <is>
          <t>Lynn Valley</t>
        </is>
      </c>
      <c r="F8" s="23" t="inlineStr">
        <is>
          <t>P2</t>
        </is>
      </c>
      <c r="G8" s="23" t="inlineStr">
        <is>
          <t>Open</t>
        </is>
      </c>
      <c r="H8" s="23" t="inlineStr">
        <is>
          <t>Maddie</t>
        </is>
      </c>
      <c r="I8" s="22" t="n"/>
      <c r="J8" s="23" t="n"/>
      <c r="K8" s="22" t="n"/>
      <c r="L8" s="23" t="n"/>
      <c r="M8" s="34" t="inlineStr">
        <is>
          <t>@northshore__runclub</t>
        </is>
      </c>
      <c r="N8" s="23" t="inlineStr">
        <is>
          <t>2,930 IG</t>
        </is>
      </c>
      <c r="O8" s="22" t="inlineStr">
        <is>
          <t>Instagram @northshore__runclub follower count, web search 2026</t>
        </is>
      </c>
      <c r="P8" s="23" t="inlineStr">
        <is>
          <t>Verified Web</t>
        </is>
      </c>
      <c r="Q8" s="23" t="inlineStr">
        <is>
          <t>Cold</t>
        </is>
      </c>
      <c r="R8" s="24" t="n"/>
      <c r="S8" s="25">
        <f>IF(ISBLANK(R8),"",TODAY()-R8)</f>
        <v/>
      </c>
      <c r="T8" s="22" t="n"/>
      <c r="U8" s="24" t="n"/>
      <c r="V8" s="23" t="n"/>
      <c r="W8" s="24" t="n"/>
      <c r="X8" s="23" t="n"/>
      <c r="Y8" s="23" t="n"/>
      <c r="Z8" s="26" t="n"/>
      <c r="AA8" s="27">
        <f>IF(OR($Z8="",$Y8="",$Y8=0),"",$Z8/($Y8*24))</f>
        <v/>
      </c>
      <c r="AB8" s="26" t="n"/>
      <c r="AC8" s="22" t="n"/>
      <c r="AD8" s="22" t="n"/>
      <c r="AE8" s="22" t="n"/>
      <c r="AF8" s="22" t="n"/>
      <c r="AG8" s="22" t="n"/>
      <c r="AH8" s="23" t="inlineStr">
        <is>
          <t>No</t>
        </is>
      </c>
      <c r="AI8" s="23" t="n"/>
      <c r="AJ8" s="23" t="n"/>
      <c r="AK8" s="23" t="n"/>
      <c r="AL8" s="22" t="inlineStr">
        <is>
          <t>Trail runs meeting at the End of the Line General Store.</t>
        </is>
      </c>
    </row>
    <row r="9" ht="20" customHeight="1">
      <c r="A9" s="17">
        <f>IF($B9="","",ROW()-2)</f>
        <v/>
      </c>
      <c r="B9" s="16" t="inlineStr">
        <is>
          <t>North Burnaby Runners</t>
        </is>
      </c>
      <c r="C9" s="16">
        <f>IF($B9="","","Run Clubs")</f>
        <v/>
      </c>
      <c r="D9" s="17" t="inlineStr">
        <is>
          <t>Burnaby</t>
        </is>
      </c>
      <c r="E9" s="16" t="inlineStr">
        <is>
          <t>North Burnaby</t>
        </is>
      </c>
      <c r="F9" s="17" t="inlineStr">
        <is>
          <t>P2</t>
        </is>
      </c>
      <c r="G9" s="17" t="inlineStr">
        <is>
          <t>Open</t>
        </is>
      </c>
      <c r="H9" s="17" t="inlineStr">
        <is>
          <t>Maddie</t>
        </is>
      </c>
      <c r="I9" s="16" t="n"/>
      <c r="J9" s="17" t="n"/>
      <c r="K9" s="16" t="n"/>
      <c r="L9" s="17" t="n"/>
      <c r="M9" s="33" t="inlineStr">
        <is>
          <t>@northburnabyrunners</t>
        </is>
      </c>
      <c r="N9" s="17" t="inlineStr">
        <is>
          <t>2,370 IG</t>
        </is>
      </c>
      <c r="O9" s="16" t="inlineStr">
        <is>
          <t>Instagram @northburnabyrunners follower count, web search 2026</t>
        </is>
      </c>
      <c r="P9" s="17" t="inlineStr">
        <is>
          <t>Verified Web</t>
        </is>
      </c>
      <c r="Q9" s="17" t="inlineStr">
        <is>
          <t>Cold</t>
        </is>
      </c>
      <c r="R9" s="15" t="n"/>
      <c r="S9" s="19">
        <f>IF(ISBLANK(R9),"",TODAY()-R9)</f>
        <v/>
      </c>
      <c r="T9" s="16" t="n"/>
      <c r="U9" s="15" t="n"/>
      <c r="V9" s="17" t="n"/>
      <c r="W9" s="15" t="n"/>
      <c r="X9" s="17" t="n"/>
      <c r="Y9" s="17" t="n"/>
      <c r="Z9" s="20" t="n"/>
      <c r="AA9" s="21">
        <f>IF(OR($Z9="",$Y9="",$Y9=0),"",$Z9/($Y9*24))</f>
        <v/>
      </c>
      <c r="AB9" s="20" t="n"/>
      <c r="AC9" s="16" t="n"/>
      <c r="AD9" s="16" t="n"/>
      <c r="AE9" s="16" t="n"/>
      <c r="AF9" s="16" t="n"/>
      <c r="AG9" s="16" t="n"/>
      <c r="AH9" s="17" t="inlineStr">
        <is>
          <t>No</t>
        </is>
      </c>
      <c r="AI9" s="17" t="n"/>
      <c r="AJ9" s="17" t="n"/>
      <c r="AK9" s="17" t="n"/>
      <c r="AL9" s="16" t="inlineStr">
        <is>
          <t>Wednesday 6:30pm social run from Dageraad Brewing.</t>
        </is>
      </c>
    </row>
    <row r="10" ht="20" customHeight="1">
      <c r="A10" s="23">
        <f>IF($B10="","",ROW()-2)</f>
        <v/>
      </c>
      <c r="B10" s="22" t="inlineStr">
        <is>
          <t>Flight Crew Run Club</t>
        </is>
      </c>
      <c r="C10" s="22">
        <f>IF($B10="","","Run Clubs")</f>
        <v/>
      </c>
      <c r="D10" s="23" t="inlineStr">
        <is>
          <t>Vancouver</t>
        </is>
      </c>
      <c r="E10" s="22" t="inlineStr">
        <is>
          <t>Kitsilano</t>
        </is>
      </c>
      <c r="F10" s="23" t="inlineStr">
        <is>
          <t>P2</t>
        </is>
      </c>
      <c r="G10" s="23" t="inlineStr">
        <is>
          <t>Open</t>
        </is>
      </c>
      <c r="H10" s="23" t="inlineStr">
        <is>
          <t>Maddie</t>
        </is>
      </c>
      <c r="I10" s="22" t="n"/>
      <c r="J10" s="23" t="n"/>
      <c r="K10" s="22" t="n"/>
      <c r="L10" s="23" t="n"/>
      <c r="M10" s="34" t="inlineStr">
        <is>
          <t>@flightcrewrunclub</t>
        </is>
      </c>
      <c r="N10" s="23" t="inlineStr">
        <is>
          <t>TBD</t>
        </is>
      </c>
      <c r="O10" s="22" t="n"/>
      <c r="P10" s="23" t="inlineStr">
        <is>
          <t>Verified Web</t>
        </is>
      </c>
      <c r="Q10" s="23" t="inlineStr">
        <is>
          <t>Cold</t>
        </is>
      </c>
      <c r="R10" s="24" t="n"/>
      <c r="S10" s="25">
        <f>IF(ISBLANK(R10),"",TODAY()-R10)</f>
        <v/>
      </c>
      <c r="T10" s="22" t="n"/>
      <c r="U10" s="24" t="n"/>
      <c r="V10" s="23" t="n"/>
      <c r="W10" s="24" t="n"/>
      <c r="X10" s="23" t="n"/>
      <c r="Y10" s="23" t="n"/>
      <c r="Z10" s="26" t="n"/>
      <c r="AA10" s="27">
        <f>IF(OR($Z10="",$Y10="",$Y10=0),"",$Z10/($Y10*24))</f>
        <v/>
      </c>
      <c r="AB10" s="26" t="n"/>
      <c r="AC10" s="22" t="n"/>
      <c r="AD10" s="22" t="n"/>
      <c r="AE10" s="22" t="n"/>
      <c r="AF10" s="22" t="n"/>
      <c r="AG10" s="22" t="n"/>
      <c r="AH10" s="23" t="inlineStr">
        <is>
          <t>No</t>
        </is>
      </c>
      <c r="AI10" s="23" t="n"/>
      <c r="AJ10" s="23" t="n"/>
      <c r="AK10" s="23" t="n"/>
      <c r="AL10" s="22" t="inlineStr">
        <is>
          <t>Thursday 6:15pm Kitsilano road run with 3km, 5km and 10km options. Run by Vancouver Running Company.</t>
        </is>
      </c>
    </row>
    <row r="11" ht="20" customHeight="1">
      <c r="A11" s="17">
        <f>IF($B11="","",ROW()-2)</f>
        <v/>
      </c>
      <c r="B11" s="16" t="inlineStr">
        <is>
          <t>Capital City Run Crew</t>
        </is>
      </c>
      <c r="C11" s="16">
        <f>IF($B11="","","Run Clubs")</f>
        <v/>
      </c>
      <c r="D11" s="17" t="inlineStr">
        <is>
          <t>Victoria</t>
        </is>
      </c>
      <c r="E11" s="16" t="inlineStr">
        <is>
          <t>Downtown</t>
        </is>
      </c>
      <c r="F11" s="17" t="inlineStr">
        <is>
          <t>P2</t>
        </is>
      </c>
      <c r="G11" s="17" t="inlineStr">
        <is>
          <t>Open</t>
        </is>
      </c>
      <c r="H11" s="17" t="inlineStr">
        <is>
          <t>Maddie</t>
        </is>
      </c>
      <c r="I11" s="16" t="n"/>
      <c r="J11" s="17" t="n"/>
      <c r="K11" s="16" t="n"/>
      <c r="L11" s="17" t="n"/>
      <c r="M11" s="33" t="inlineStr">
        <is>
          <t>@capitalcityruncrew</t>
        </is>
      </c>
      <c r="N11" s="17" t="inlineStr">
        <is>
          <t>2,820 IG</t>
        </is>
      </c>
      <c r="O11" s="16" t="inlineStr">
        <is>
          <t>Instagram @capitalcityruncrew follower count, web search 2026</t>
        </is>
      </c>
      <c r="P11" s="17" t="inlineStr">
        <is>
          <t>Verified Web</t>
        </is>
      </c>
      <c r="Q11" s="17" t="inlineStr">
        <is>
          <t>Cold</t>
        </is>
      </c>
      <c r="R11" s="15" t="n"/>
      <c r="S11" s="19">
        <f>IF(ISBLANK(R11),"",TODAY()-R11)</f>
        <v/>
      </c>
      <c r="T11" s="16" t="n"/>
      <c r="U11" s="15" t="n"/>
      <c r="V11" s="17" t="n"/>
      <c r="W11" s="15" t="n"/>
      <c r="X11" s="17" t="n"/>
      <c r="Y11" s="17" t="n"/>
      <c r="Z11" s="20" t="n"/>
      <c r="AA11" s="21">
        <f>IF(OR($Z11="",$Y11="",$Y11=0),"",$Z11/($Y11*24))</f>
        <v/>
      </c>
      <c r="AB11" s="20" t="n"/>
      <c r="AC11" s="16" t="n"/>
      <c r="AD11" s="16" t="n"/>
      <c r="AE11" s="16" t="n"/>
      <c r="AF11" s="16" t="n"/>
      <c r="AG11" s="16" t="n"/>
      <c r="AH11" s="17" t="inlineStr">
        <is>
          <t>No</t>
        </is>
      </c>
      <c r="AI11" s="17" t="n"/>
      <c r="AJ11" s="17" t="n"/>
      <c r="AK11" s="17" t="n"/>
      <c r="AL11" s="16" t="inlineStr">
        <is>
          <t>Thursday evening downtown run.</t>
        </is>
      </c>
    </row>
    <row r="12" ht="20" customHeight="1">
      <c r="A12" s="23">
        <f>IF($B12="","",ROW()-2)</f>
        <v/>
      </c>
      <c r="B12" s="22" t="inlineStr">
        <is>
          <t>Kelowna Running Club</t>
        </is>
      </c>
      <c r="C12" s="22">
        <f>IF($B12="","","Run Clubs")</f>
        <v/>
      </c>
      <c r="D12" s="23" t="inlineStr">
        <is>
          <t>Kelowna</t>
        </is>
      </c>
      <c r="E12" s="22" t="inlineStr">
        <is>
          <t>Waterfront Park</t>
        </is>
      </c>
      <c r="F12" s="23" t="inlineStr">
        <is>
          <t>P3</t>
        </is>
      </c>
      <c r="G12" s="23" t="inlineStr">
        <is>
          <t>Open</t>
        </is>
      </c>
      <c r="H12" s="23" t="inlineStr">
        <is>
          <t>Maddie</t>
        </is>
      </c>
      <c r="I12" s="22" t="n"/>
      <c r="J12" s="23" t="n"/>
      <c r="K12" s="22" t="n"/>
      <c r="L12" s="23" t="n"/>
      <c r="M12" s="34" t="inlineStr">
        <is>
          <t>@kelownarunningclub</t>
        </is>
      </c>
      <c r="N12" s="23" t="inlineStr">
        <is>
          <t>990 IG</t>
        </is>
      </c>
      <c r="O12" s="22" t="inlineStr">
        <is>
          <t>Instagram @kelownarunningclub follower count, web search 2026</t>
        </is>
      </c>
      <c r="P12" s="23" t="inlineStr">
        <is>
          <t>Verified Web</t>
        </is>
      </c>
      <c r="Q12" s="23" t="inlineStr">
        <is>
          <t>Cold</t>
        </is>
      </c>
      <c r="R12" s="24" t="n"/>
      <c r="S12" s="25">
        <f>IF(ISBLANK(R12),"",TODAY()-R12)</f>
        <v/>
      </c>
      <c r="T12" s="22" t="n"/>
      <c r="U12" s="24" t="n"/>
      <c r="V12" s="23" t="n"/>
      <c r="W12" s="24" t="n"/>
      <c r="X12" s="23" t="n"/>
      <c r="Y12" s="23" t="n"/>
      <c r="Z12" s="26" t="n"/>
      <c r="AA12" s="27">
        <f>IF(OR($Z12="",$Y12="",$Y12=0),"",$Z12/($Y12*24))</f>
        <v/>
      </c>
      <c r="AB12" s="26" t="n"/>
      <c r="AC12" s="22" t="n"/>
      <c r="AD12" s="22" t="n"/>
      <c r="AE12" s="22" t="n"/>
      <c r="AF12" s="22" t="n"/>
      <c r="AG12" s="22" t="n"/>
      <c r="AH12" s="23" t="inlineStr">
        <is>
          <t>No</t>
        </is>
      </c>
      <c r="AI12" s="23" t="n"/>
      <c r="AJ12" s="23" t="n"/>
      <c r="AK12" s="23" t="n"/>
      <c r="AL12" s="22" t="inlineStr">
        <is>
          <t>Saturday long runs from rotating spots plus Tuesday speed work. 2026 schedule on the club site.</t>
        </is>
      </c>
    </row>
    <row r="13" ht="20" customHeight="1">
      <c r="A13" s="17">
        <f>IF($B13="","",ROW()-2)</f>
        <v/>
      </c>
      <c r="B13" s="16" t="n"/>
      <c r="C13" s="16">
        <f>IF($B13="","","Run Clubs")</f>
        <v/>
      </c>
      <c r="D13" s="17" t="n"/>
      <c r="E13" s="16" t="n"/>
      <c r="F13" s="17" t="n"/>
      <c r="G13" s="17" t="n"/>
      <c r="H13" s="17" t="n"/>
      <c r="I13" s="16" t="n"/>
      <c r="J13" s="17" t="n"/>
      <c r="K13" s="16" t="n"/>
      <c r="L13" s="17" t="n"/>
      <c r="M13" s="16" t="n"/>
      <c r="N13" s="17" t="n"/>
      <c r="O13" s="16" t="n"/>
      <c r="P13" s="17" t="n"/>
      <c r="Q13" s="17" t="n"/>
      <c r="R13" s="15" t="n"/>
      <c r="S13" s="19">
        <f>IF(ISBLANK(R13),"",TODAY()-R13)</f>
        <v/>
      </c>
      <c r="T13" s="16" t="n"/>
      <c r="U13" s="15" t="n"/>
      <c r="V13" s="17" t="n"/>
      <c r="W13" s="15" t="n"/>
      <c r="X13" s="17" t="n"/>
      <c r="Y13" s="17" t="n"/>
      <c r="Z13" s="20" t="n"/>
      <c r="AA13" s="21">
        <f>IF(OR($Z13="",$Y13="",$Y13=0),"",$Z13/($Y13*24))</f>
        <v/>
      </c>
      <c r="AB13" s="20" t="n"/>
      <c r="AC13" s="16" t="n"/>
      <c r="AD13" s="16" t="n"/>
      <c r="AE13" s="16" t="n"/>
      <c r="AF13" s="16" t="n"/>
      <c r="AG13" s="16" t="n"/>
      <c r="AH13" s="17" t="n"/>
      <c r="AI13" s="17" t="n"/>
      <c r="AJ13" s="17" t="n"/>
      <c r="AK13" s="17" t="n"/>
      <c r="AL13" s="16" t="n"/>
    </row>
    <row r="14" ht="20" customHeight="1">
      <c r="A14" s="23">
        <f>IF($B14="","",ROW()-2)</f>
        <v/>
      </c>
      <c r="B14" s="22" t="n"/>
      <c r="C14" s="22">
        <f>IF($B14="","","Run Clubs")</f>
        <v/>
      </c>
      <c r="D14" s="23" t="n"/>
      <c r="E14" s="22" t="n"/>
      <c r="F14" s="23" t="n"/>
      <c r="G14" s="23" t="n"/>
      <c r="H14" s="23" t="n"/>
      <c r="I14" s="22" t="n"/>
      <c r="J14" s="23" t="n"/>
      <c r="K14" s="22" t="n"/>
      <c r="L14" s="23" t="n"/>
      <c r="M14" s="22" t="n"/>
      <c r="N14" s="23" t="n"/>
      <c r="O14" s="22" t="n"/>
      <c r="P14" s="23" t="n"/>
      <c r="Q14" s="23" t="n"/>
      <c r="R14" s="24" t="n"/>
      <c r="S14" s="25">
        <f>IF(ISBLANK(R14),"",TODAY()-R14)</f>
        <v/>
      </c>
      <c r="T14" s="22" t="n"/>
      <c r="U14" s="24" t="n"/>
      <c r="V14" s="23" t="n"/>
      <c r="W14" s="24" t="n"/>
      <c r="X14" s="23" t="n"/>
      <c r="Y14" s="23" t="n"/>
      <c r="Z14" s="26" t="n"/>
      <c r="AA14" s="27">
        <f>IF(OR($Z14="",$Y14="",$Y14=0),"",$Z14/($Y14*24))</f>
        <v/>
      </c>
      <c r="AB14" s="26" t="n"/>
      <c r="AC14" s="22" t="n"/>
      <c r="AD14" s="22" t="n"/>
      <c r="AE14" s="22" t="n"/>
      <c r="AF14" s="22" t="n"/>
      <c r="AG14" s="22" t="n"/>
      <c r="AH14" s="23" t="n"/>
      <c r="AI14" s="23" t="n"/>
      <c r="AJ14" s="23" t="n"/>
      <c r="AK14" s="23" t="n"/>
      <c r="AL14" s="22" t="n"/>
    </row>
    <row r="15" ht="20" customHeight="1">
      <c r="A15" s="17">
        <f>IF($B15="","",ROW()-2)</f>
        <v/>
      </c>
      <c r="B15" s="16" t="n"/>
      <c r="C15" s="16">
        <f>IF($B15="","","Run Clubs")</f>
        <v/>
      </c>
      <c r="D15" s="17" t="n"/>
      <c r="E15" s="16" t="n"/>
      <c r="F15" s="17" t="n"/>
      <c r="G15" s="17" t="n"/>
      <c r="H15" s="17" t="n"/>
      <c r="I15" s="16" t="n"/>
      <c r="J15" s="17" t="n"/>
      <c r="K15" s="16" t="n"/>
      <c r="L15" s="17" t="n"/>
      <c r="M15" s="16" t="n"/>
      <c r="N15" s="17" t="n"/>
      <c r="O15" s="16" t="n"/>
      <c r="P15" s="17" t="n"/>
      <c r="Q15" s="17" t="n"/>
      <c r="R15" s="15" t="n"/>
      <c r="S15" s="19">
        <f>IF(ISBLANK(R15),"",TODAY()-R15)</f>
        <v/>
      </c>
      <c r="T15" s="16" t="n"/>
      <c r="U15" s="15" t="n"/>
      <c r="V15" s="17" t="n"/>
      <c r="W15" s="15" t="n"/>
      <c r="X15" s="17" t="n"/>
      <c r="Y15" s="17" t="n"/>
      <c r="Z15" s="20" t="n"/>
      <c r="AA15" s="21">
        <f>IF(OR($Z15="",$Y15="",$Y15=0),"",$Z15/($Y15*24))</f>
        <v/>
      </c>
      <c r="AB15" s="20" t="n"/>
      <c r="AC15" s="16" t="n"/>
      <c r="AD15" s="16" t="n"/>
      <c r="AE15" s="16" t="n"/>
      <c r="AF15" s="16" t="n"/>
      <c r="AG15" s="16" t="n"/>
      <c r="AH15" s="17" t="n"/>
      <c r="AI15" s="17" t="n"/>
      <c r="AJ15" s="17" t="n"/>
      <c r="AK15" s="17" t="n"/>
      <c r="AL15" s="16" t="n"/>
    </row>
    <row r="16" ht="20" customHeight="1">
      <c r="A16" s="23">
        <f>IF($B16="","",ROW()-2)</f>
        <v/>
      </c>
      <c r="B16" s="22" t="n"/>
      <c r="C16" s="22">
        <f>IF($B16="","","Run Clubs")</f>
        <v/>
      </c>
      <c r="D16" s="23" t="n"/>
      <c r="E16" s="22" t="n"/>
      <c r="F16" s="23" t="n"/>
      <c r="G16" s="23" t="n"/>
      <c r="H16" s="23" t="n"/>
      <c r="I16" s="22" t="n"/>
      <c r="J16" s="23" t="n"/>
      <c r="K16" s="22" t="n"/>
      <c r="L16" s="23" t="n"/>
      <c r="M16" s="22" t="n"/>
      <c r="N16" s="23" t="n"/>
      <c r="O16" s="22" t="n"/>
      <c r="P16" s="23" t="n"/>
      <c r="Q16" s="23" t="n"/>
      <c r="R16" s="24" t="n"/>
      <c r="S16" s="25">
        <f>IF(ISBLANK(R16),"",TODAY()-R16)</f>
        <v/>
      </c>
      <c r="T16" s="22" t="n"/>
      <c r="U16" s="24" t="n"/>
      <c r="V16" s="23" t="n"/>
      <c r="W16" s="24" t="n"/>
      <c r="X16" s="23" t="n"/>
      <c r="Y16" s="23" t="n"/>
      <c r="Z16" s="26" t="n"/>
      <c r="AA16" s="27">
        <f>IF(OR($Z16="",$Y16="",$Y16=0),"",$Z16/($Y16*24))</f>
        <v/>
      </c>
      <c r="AB16" s="26" t="n"/>
      <c r="AC16" s="22" t="n"/>
      <c r="AD16" s="22" t="n"/>
      <c r="AE16" s="22" t="n"/>
      <c r="AF16" s="22" t="n"/>
      <c r="AG16" s="22" t="n"/>
      <c r="AH16" s="23" t="n"/>
      <c r="AI16" s="23" t="n"/>
      <c r="AJ16" s="23" t="n"/>
      <c r="AK16" s="23" t="n"/>
      <c r="AL16" s="22" t="n"/>
    </row>
    <row r="17" ht="20" customHeight="1">
      <c r="A17" s="17">
        <f>IF($B17="","",ROW()-2)</f>
        <v/>
      </c>
      <c r="B17" s="16" t="n"/>
      <c r="C17" s="16">
        <f>IF($B17="","","Run Clubs")</f>
        <v/>
      </c>
      <c r="D17" s="17" t="n"/>
      <c r="E17" s="16" t="n"/>
      <c r="F17" s="17" t="n"/>
      <c r="G17" s="17" t="n"/>
      <c r="H17" s="17" t="n"/>
      <c r="I17" s="16" t="n"/>
      <c r="J17" s="17" t="n"/>
      <c r="K17" s="16" t="n"/>
      <c r="L17" s="17" t="n"/>
      <c r="M17" s="16" t="n"/>
      <c r="N17" s="17" t="n"/>
      <c r="O17" s="16" t="n"/>
      <c r="P17" s="17" t="n"/>
      <c r="Q17" s="17" t="n"/>
      <c r="R17" s="15" t="n"/>
      <c r="S17" s="19">
        <f>IF(ISBLANK(R17),"",TODAY()-R17)</f>
        <v/>
      </c>
      <c r="T17" s="16" t="n"/>
      <c r="U17" s="15" t="n"/>
      <c r="V17" s="17" t="n"/>
      <c r="W17" s="15" t="n"/>
      <c r="X17" s="17" t="n"/>
      <c r="Y17" s="17" t="n"/>
      <c r="Z17" s="20" t="n"/>
      <c r="AA17" s="21">
        <f>IF(OR($Z17="",$Y17="",$Y17=0),"",$Z17/($Y17*24))</f>
        <v/>
      </c>
      <c r="AB17" s="20" t="n"/>
      <c r="AC17" s="16" t="n"/>
      <c r="AD17" s="16" t="n"/>
      <c r="AE17" s="16" t="n"/>
      <c r="AF17" s="16" t="n"/>
      <c r="AG17" s="16" t="n"/>
      <c r="AH17" s="17" t="n"/>
      <c r="AI17" s="17" t="n"/>
      <c r="AJ17" s="17" t="n"/>
      <c r="AK17" s="17" t="n"/>
      <c r="AL17" s="16" t="n"/>
    </row>
    <row r="18" ht="20" customHeight="1">
      <c r="A18" s="23">
        <f>IF($B18="","",ROW()-2)</f>
        <v/>
      </c>
      <c r="B18" s="22" t="n"/>
      <c r="C18" s="22">
        <f>IF($B18="","","Run Clubs")</f>
        <v/>
      </c>
      <c r="D18" s="23" t="n"/>
      <c r="E18" s="22" t="n"/>
      <c r="F18" s="23" t="n"/>
      <c r="G18" s="23" t="n"/>
      <c r="H18" s="23" t="n"/>
      <c r="I18" s="22" t="n"/>
      <c r="J18" s="23" t="n"/>
      <c r="K18" s="22" t="n"/>
      <c r="L18" s="23" t="n"/>
      <c r="M18" s="22" t="n"/>
      <c r="N18" s="23" t="n"/>
      <c r="O18" s="22" t="n"/>
      <c r="P18" s="23" t="n"/>
      <c r="Q18" s="23" t="n"/>
      <c r="R18" s="24" t="n"/>
      <c r="S18" s="25">
        <f>IF(ISBLANK(R18),"",TODAY()-R18)</f>
        <v/>
      </c>
      <c r="T18" s="22" t="n"/>
      <c r="U18" s="24" t="n"/>
      <c r="V18" s="23" t="n"/>
      <c r="W18" s="24" t="n"/>
      <c r="X18" s="23" t="n"/>
      <c r="Y18" s="23" t="n"/>
      <c r="Z18" s="26" t="n"/>
      <c r="AA18" s="27">
        <f>IF(OR($Z18="",$Y18="",$Y18=0),"",$Z18/($Y18*24))</f>
        <v/>
      </c>
      <c r="AB18" s="26" t="n"/>
      <c r="AC18" s="22" t="n"/>
      <c r="AD18" s="22" t="n"/>
      <c r="AE18" s="22" t="n"/>
      <c r="AF18" s="22" t="n"/>
      <c r="AG18" s="22" t="n"/>
      <c r="AH18" s="23" t="n"/>
      <c r="AI18" s="23" t="n"/>
      <c r="AJ18" s="23" t="n"/>
      <c r="AK18" s="23" t="n"/>
      <c r="AL18" s="22" t="n"/>
    </row>
    <row r="19" ht="20" customHeight="1">
      <c r="A19" s="17">
        <f>IF($B19="","",ROW()-2)</f>
        <v/>
      </c>
      <c r="B19" s="16" t="n"/>
      <c r="C19" s="16">
        <f>IF($B19="","","Run Clubs")</f>
        <v/>
      </c>
      <c r="D19" s="17" t="n"/>
      <c r="E19" s="16" t="n"/>
      <c r="F19" s="17" t="n"/>
      <c r="G19" s="17" t="n"/>
      <c r="H19" s="17" t="n"/>
      <c r="I19" s="16" t="n"/>
      <c r="J19" s="17" t="n"/>
      <c r="K19" s="16" t="n"/>
      <c r="L19" s="17" t="n"/>
      <c r="M19" s="16" t="n"/>
      <c r="N19" s="17" t="n"/>
      <c r="O19" s="16" t="n"/>
      <c r="P19" s="17" t="n"/>
      <c r="Q19" s="17" t="n"/>
      <c r="R19" s="15" t="n"/>
      <c r="S19" s="19">
        <f>IF(ISBLANK(R19),"",TODAY()-R19)</f>
        <v/>
      </c>
      <c r="T19" s="16" t="n"/>
      <c r="U19" s="15" t="n"/>
      <c r="V19" s="17" t="n"/>
      <c r="W19" s="15" t="n"/>
      <c r="X19" s="17" t="n"/>
      <c r="Y19" s="17" t="n"/>
      <c r="Z19" s="20" t="n"/>
      <c r="AA19" s="21">
        <f>IF(OR($Z19="",$Y19="",$Y19=0),"",$Z19/($Y19*24))</f>
        <v/>
      </c>
      <c r="AB19" s="20" t="n"/>
      <c r="AC19" s="16" t="n"/>
      <c r="AD19" s="16" t="n"/>
      <c r="AE19" s="16" t="n"/>
      <c r="AF19" s="16" t="n"/>
      <c r="AG19" s="16" t="n"/>
      <c r="AH19" s="17" t="n"/>
      <c r="AI19" s="17" t="n"/>
      <c r="AJ19" s="17" t="n"/>
      <c r="AK19" s="17" t="n"/>
      <c r="AL19" s="16" t="n"/>
    </row>
    <row r="20" ht="20" customHeight="1">
      <c r="A20" s="23">
        <f>IF($B20="","",ROW()-2)</f>
        <v/>
      </c>
      <c r="B20" s="22" t="n"/>
      <c r="C20" s="22">
        <f>IF($B20="","","Run Clubs")</f>
        <v/>
      </c>
      <c r="D20" s="23" t="n"/>
      <c r="E20" s="22" t="n"/>
      <c r="F20" s="23" t="n"/>
      <c r="G20" s="23" t="n"/>
      <c r="H20" s="23" t="n"/>
      <c r="I20" s="22" t="n"/>
      <c r="J20" s="23" t="n"/>
      <c r="K20" s="22" t="n"/>
      <c r="L20" s="23" t="n"/>
      <c r="M20" s="22" t="n"/>
      <c r="N20" s="23" t="n"/>
      <c r="O20" s="22" t="n"/>
      <c r="P20" s="23" t="n"/>
      <c r="Q20" s="23" t="n"/>
      <c r="R20" s="24" t="n"/>
      <c r="S20" s="25">
        <f>IF(ISBLANK(R20),"",TODAY()-R20)</f>
        <v/>
      </c>
      <c r="T20" s="22" t="n"/>
      <c r="U20" s="24" t="n"/>
      <c r="V20" s="23" t="n"/>
      <c r="W20" s="24" t="n"/>
      <c r="X20" s="23" t="n"/>
      <c r="Y20" s="23" t="n"/>
      <c r="Z20" s="26" t="n"/>
      <c r="AA20" s="27">
        <f>IF(OR($Z20="",$Y20="",$Y20=0),"",$Z20/($Y20*24))</f>
        <v/>
      </c>
      <c r="AB20" s="26" t="n"/>
      <c r="AC20" s="22" t="n"/>
      <c r="AD20" s="22" t="n"/>
      <c r="AE20" s="22" t="n"/>
      <c r="AF20" s="22" t="n"/>
      <c r="AG20" s="22" t="n"/>
      <c r="AH20" s="23" t="n"/>
      <c r="AI20" s="23" t="n"/>
      <c r="AJ20" s="23" t="n"/>
      <c r="AK20" s="23" t="n"/>
      <c r="AL20" s="22" t="n"/>
    </row>
    <row r="21" ht="20" customHeight="1">
      <c r="A21" s="17">
        <f>IF($B21="","",ROW()-2)</f>
        <v/>
      </c>
      <c r="B21" s="16" t="n"/>
      <c r="C21" s="16">
        <f>IF($B21="","","Run Clubs")</f>
        <v/>
      </c>
      <c r="D21" s="17" t="n"/>
      <c r="E21" s="16" t="n"/>
      <c r="F21" s="17" t="n"/>
      <c r="G21" s="17" t="n"/>
      <c r="H21" s="17" t="n"/>
      <c r="I21" s="16" t="n"/>
      <c r="J21" s="17" t="n"/>
      <c r="K21" s="16" t="n"/>
      <c r="L21" s="17" t="n"/>
      <c r="M21" s="16" t="n"/>
      <c r="N21" s="17" t="n"/>
      <c r="O21" s="16" t="n"/>
      <c r="P21" s="17" t="n"/>
      <c r="Q21" s="17" t="n"/>
      <c r="R21" s="15" t="n"/>
      <c r="S21" s="19">
        <f>IF(ISBLANK(R21),"",TODAY()-R21)</f>
        <v/>
      </c>
      <c r="T21" s="16" t="n"/>
      <c r="U21" s="15" t="n"/>
      <c r="V21" s="17" t="n"/>
      <c r="W21" s="15" t="n"/>
      <c r="X21" s="17" t="n"/>
      <c r="Y21" s="17" t="n"/>
      <c r="Z21" s="20" t="n"/>
      <c r="AA21" s="21">
        <f>IF(OR($Z21="",$Y21="",$Y21=0),"",$Z21/($Y21*24))</f>
        <v/>
      </c>
      <c r="AB21" s="20" t="n"/>
      <c r="AC21" s="16" t="n"/>
      <c r="AD21" s="16" t="n"/>
      <c r="AE21" s="16" t="n"/>
      <c r="AF21" s="16" t="n"/>
      <c r="AG21" s="16" t="n"/>
      <c r="AH21" s="17" t="n"/>
      <c r="AI21" s="17" t="n"/>
      <c r="AJ21" s="17" t="n"/>
      <c r="AK21" s="17" t="n"/>
      <c r="AL21" s="16" t="n"/>
    </row>
    <row r="22" ht="20" customHeight="1">
      <c r="A22" s="23">
        <f>IF($B22="","",ROW()-2)</f>
        <v/>
      </c>
      <c r="B22" s="22" t="n"/>
      <c r="C22" s="22">
        <f>IF($B22="","","Run Clubs")</f>
        <v/>
      </c>
      <c r="D22" s="23" t="n"/>
      <c r="E22" s="22" t="n"/>
      <c r="F22" s="23" t="n"/>
      <c r="G22" s="23" t="n"/>
      <c r="H22" s="23" t="n"/>
      <c r="I22" s="22" t="n"/>
      <c r="J22" s="23" t="n"/>
      <c r="K22" s="22" t="n"/>
      <c r="L22" s="23" t="n"/>
      <c r="M22" s="22" t="n"/>
      <c r="N22" s="23" t="n"/>
      <c r="O22" s="22" t="n"/>
      <c r="P22" s="23" t="n"/>
      <c r="Q22" s="23" t="n"/>
      <c r="R22" s="24" t="n"/>
      <c r="S22" s="25">
        <f>IF(ISBLANK(R22),"",TODAY()-R22)</f>
        <v/>
      </c>
      <c r="T22" s="22" t="n"/>
      <c r="U22" s="24" t="n"/>
      <c r="V22" s="23" t="n"/>
      <c r="W22" s="24" t="n"/>
      <c r="X22" s="23" t="n"/>
      <c r="Y22" s="23" t="n"/>
      <c r="Z22" s="26" t="n"/>
      <c r="AA22" s="27">
        <f>IF(OR($Z22="",$Y22="",$Y22=0),"",$Z22/($Y22*24))</f>
        <v/>
      </c>
      <c r="AB22" s="26" t="n"/>
      <c r="AC22" s="22" t="n"/>
      <c r="AD22" s="22" t="n"/>
      <c r="AE22" s="22" t="n"/>
      <c r="AF22" s="22" t="n"/>
      <c r="AG22" s="22" t="n"/>
      <c r="AH22" s="23" t="n"/>
      <c r="AI22" s="23" t="n"/>
      <c r="AJ22" s="23" t="n"/>
      <c r="AK22" s="23" t="n"/>
      <c r="AL22" s="22" t="n"/>
    </row>
    <row r="23" ht="20" customHeight="1">
      <c r="A23" s="17">
        <f>IF($B23="","",ROW()-2)</f>
        <v/>
      </c>
      <c r="B23" s="16" t="n"/>
      <c r="C23" s="16">
        <f>IF($B23="","","Run Clubs")</f>
        <v/>
      </c>
      <c r="D23" s="17" t="n"/>
      <c r="E23" s="16" t="n"/>
      <c r="F23" s="17" t="n"/>
      <c r="G23" s="17" t="n"/>
      <c r="H23" s="17" t="n"/>
      <c r="I23" s="16" t="n"/>
      <c r="J23" s="17" t="n"/>
      <c r="K23" s="16" t="n"/>
      <c r="L23" s="17" t="n"/>
      <c r="M23" s="16" t="n"/>
      <c r="N23" s="17" t="n"/>
      <c r="O23" s="16" t="n"/>
      <c r="P23" s="17" t="n"/>
      <c r="Q23" s="17" t="n"/>
      <c r="R23" s="15" t="n"/>
      <c r="S23" s="19">
        <f>IF(ISBLANK(R23),"",TODAY()-R23)</f>
        <v/>
      </c>
      <c r="T23" s="16" t="n"/>
      <c r="U23" s="15" t="n"/>
      <c r="V23" s="17" t="n"/>
      <c r="W23" s="15" t="n"/>
      <c r="X23" s="17" t="n"/>
      <c r="Y23" s="17" t="n"/>
      <c r="Z23" s="20" t="n"/>
      <c r="AA23" s="21">
        <f>IF(OR($Z23="",$Y23="",$Y23=0),"",$Z23/($Y23*24))</f>
        <v/>
      </c>
      <c r="AB23" s="20" t="n"/>
      <c r="AC23" s="16" t="n"/>
      <c r="AD23" s="16" t="n"/>
      <c r="AE23" s="16" t="n"/>
      <c r="AF23" s="16" t="n"/>
      <c r="AG23" s="16" t="n"/>
      <c r="AH23" s="17" t="n"/>
      <c r="AI23" s="17" t="n"/>
      <c r="AJ23" s="17" t="n"/>
      <c r="AK23" s="17" t="n"/>
      <c r="AL23" s="16" t="n"/>
    </row>
    <row r="24" ht="20" customHeight="1">
      <c r="A24" s="23">
        <f>IF($B24="","",ROW()-2)</f>
        <v/>
      </c>
      <c r="B24" s="22" t="n"/>
      <c r="C24" s="22">
        <f>IF($B24="","","Run Clubs")</f>
        <v/>
      </c>
      <c r="D24" s="23" t="n"/>
      <c r="E24" s="22" t="n"/>
      <c r="F24" s="23" t="n"/>
      <c r="G24" s="23" t="n"/>
      <c r="H24" s="23" t="n"/>
      <c r="I24" s="22" t="n"/>
      <c r="J24" s="23" t="n"/>
      <c r="K24" s="22" t="n"/>
      <c r="L24" s="23" t="n"/>
      <c r="M24" s="22" t="n"/>
      <c r="N24" s="23" t="n"/>
      <c r="O24" s="22" t="n"/>
      <c r="P24" s="23" t="n"/>
      <c r="Q24" s="23" t="n"/>
      <c r="R24" s="24" t="n"/>
      <c r="S24" s="25">
        <f>IF(ISBLANK(R24),"",TODAY()-R24)</f>
        <v/>
      </c>
      <c r="T24" s="22" t="n"/>
      <c r="U24" s="24" t="n"/>
      <c r="V24" s="23" t="n"/>
      <c r="W24" s="24" t="n"/>
      <c r="X24" s="23" t="n"/>
      <c r="Y24" s="23" t="n"/>
      <c r="Z24" s="26" t="n"/>
      <c r="AA24" s="27">
        <f>IF(OR($Z24="",$Y24="",$Y24=0),"",$Z24/($Y24*24))</f>
        <v/>
      </c>
      <c r="AB24" s="26" t="n"/>
      <c r="AC24" s="22" t="n"/>
      <c r="AD24" s="22" t="n"/>
      <c r="AE24" s="22" t="n"/>
      <c r="AF24" s="22" t="n"/>
      <c r="AG24" s="22" t="n"/>
      <c r="AH24" s="23" t="n"/>
      <c r="AI24" s="23" t="n"/>
      <c r="AJ24" s="23" t="n"/>
      <c r="AK24" s="23" t="n"/>
      <c r="AL24" s="22" t="n"/>
    </row>
    <row r="25" ht="20" customHeight="1">
      <c r="A25" s="17">
        <f>IF($B25="","",ROW()-2)</f>
        <v/>
      </c>
      <c r="B25" s="16" t="n"/>
      <c r="C25" s="16">
        <f>IF($B25="","","Run Clubs")</f>
        <v/>
      </c>
      <c r="D25" s="17" t="n"/>
      <c r="E25" s="16" t="n"/>
      <c r="F25" s="17" t="n"/>
      <c r="G25" s="17" t="n"/>
      <c r="H25" s="17" t="n"/>
      <c r="I25" s="16" t="n"/>
      <c r="J25" s="17" t="n"/>
      <c r="K25" s="16" t="n"/>
      <c r="L25" s="17" t="n"/>
      <c r="M25" s="16" t="n"/>
      <c r="N25" s="17" t="n"/>
      <c r="O25" s="16" t="n"/>
      <c r="P25" s="17" t="n"/>
      <c r="Q25" s="17" t="n"/>
      <c r="R25" s="15" t="n"/>
      <c r="S25" s="19">
        <f>IF(ISBLANK(R25),"",TODAY()-R25)</f>
        <v/>
      </c>
      <c r="T25" s="16" t="n"/>
      <c r="U25" s="15" t="n"/>
      <c r="V25" s="17" t="n"/>
      <c r="W25" s="15" t="n"/>
      <c r="X25" s="17" t="n"/>
      <c r="Y25" s="17" t="n"/>
      <c r="Z25" s="20" t="n"/>
      <c r="AA25" s="21">
        <f>IF(OR($Z25="",$Y25="",$Y25=0),"",$Z25/($Y25*24))</f>
        <v/>
      </c>
      <c r="AB25" s="20" t="n"/>
      <c r="AC25" s="16" t="n"/>
      <c r="AD25" s="16" t="n"/>
      <c r="AE25" s="16" t="n"/>
      <c r="AF25" s="16" t="n"/>
      <c r="AG25" s="16" t="n"/>
      <c r="AH25" s="17" t="n"/>
      <c r="AI25" s="17" t="n"/>
      <c r="AJ25" s="17" t="n"/>
      <c r="AK25" s="17" t="n"/>
      <c r="AL25" s="16" t="n"/>
    </row>
    <row r="26" ht="20" customHeight="1">
      <c r="A26" s="23">
        <f>IF($B26="","",ROW()-2)</f>
        <v/>
      </c>
      <c r="B26" s="22" t="n"/>
      <c r="C26" s="22">
        <f>IF($B26="","","Run Clubs")</f>
        <v/>
      </c>
      <c r="D26" s="23" t="n"/>
      <c r="E26" s="22" t="n"/>
      <c r="F26" s="23" t="n"/>
      <c r="G26" s="23" t="n"/>
      <c r="H26" s="23" t="n"/>
      <c r="I26" s="22" t="n"/>
      <c r="J26" s="23" t="n"/>
      <c r="K26" s="22" t="n"/>
      <c r="L26" s="23" t="n"/>
      <c r="M26" s="22" t="n"/>
      <c r="N26" s="23" t="n"/>
      <c r="O26" s="22" t="n"/>
      <c r="P26" s="23" t="n"/>
      <c r="Q26" s="23" t="n"/>
      <c r="R26" s="24" t="n"/>
      <c r="S26" s="25">
        <f>IF(ISBLANK(R26),"",TODAY()-R26)</f>
        <v/>
      </c>
      <c r="T26" s="22" t="n"/>
      <c r="U26" s="24" t="n"/>
      <c r="V26" s="23" t="n"/>
      <c r="W26" s="24" t="n"/>
      <c r="X26" s="23" t="n"/>
      <c r="Y26" s="23" t="n"/>
      <c r="Z26" s="26" t="n"/>
      <c r="AA26" s="27">
        <f>IF(OR($Z26="",$Y26="",$Y26=0),"",$Z26/($Y26*24))</f>
        <v/>
      </c>
      <c r="AB26" s="26" t="n"/>
      <c r="AC26" s="22" t="n"/>
      <c r="AD26" s="22" t="n"/>
      <c r="AE26" s="22" t="n"/>
      <c r="AF26" s="22" t="n"/>
      <c r="AG26" s="22" t="n"/>
      <c r="AH26" s="23" t="n"/>
      <c r="AI26" s="23" t="n"/>
      <c r="AJ26" s="23" t="n"/>
      <c r="AK26" s="23" t="n"/>
      <c r="AL26" s="22" t="n"/>
    </row>
    <row r="27" ht="20" customHeight="1">
      <c r="A27" s="17">
        <f>IF($B27="","",ROW()-2)</f>
        <v/>
      </c>
      <c r="B27" s="16" t="n"/>
      <c r="C27" s="16">
        <f>IF($B27="","","Run Clubs")</f>
        <v/>
      </c>
      <c r="D27" s="17" t="n"/>
      <c r="E27" s="16" t="n"/>
      <c r="F27" s="17" t="n"/>
      <c r="G27" s="17" t="n"/>
      <c r="H27" s="17" t="n"/>
      <c r="I27" s="16" t="n"/>
      <c r="J27" s="17" t="n"/>
      <c r="K27" s="16" t="n"/>
      <c r="L27" s="17" t="n"/>
      <c r="M27" s="16" t="n"/>
      <c r="N27" s="17" t="n"/>
      <c r="O27" s="16" t="n"/>
      <c r="P27" s="17" t="n"/>
      <c r="Q27" s="17" t="n"/>
      <c r="R27" s="15" t="n"/>
      <c r="S27" s="19">
        <f>IF(ISBLANK(R27),"",TODAY()-R27)</f>
        <v/>
      </c>
      <c r="T27" s="16" t="n"/>
      <c r="U27" s="15" t="n"/>
      <c r="V27" s="17" t="n"/>
      <c r="W27" s="15" t="n"/>
      <c r="X27" s="17" t="n"/>
      <c r="Y27" s="17" t="n"/>
      <c r="Z27" s="20" t="n"/>
      <c r="AA27" s="21">
        <f>IF(OR($Z27="",$Y27="",$Y27=0),"",$Z27/($Y27*24))</f>
        <v/>
      </c>
      <c r="AB27" s="20" t="n"/>
      <c r="AC27" s="16" t="n"/>
      <c r="AD27" s="16" t="n"/>
      <c r="AE27" s="16" t="n"/>
      <c r="AF27" s="16" t="n"/>
      <c r="AG27" s="16" t="n"/>
      <c r="AH27" s="17" t="n"/>
      <c r="AI27" s="17" t="n"/>
      <c r="AJ27" s="17" t="n"/>
      <c r="AK27" s="17" t="n"/>
      <c r="AL27" s="16" t="n"/>
    </row>
    <row r="28" ht="20" customHeight="1">
      <c r="A28" s="23">
        <f>IF($B28="","",ROW()-2)</f>
        <v/>
      </c>
      <c r="B28" s="22" t="n"/>
      <c r="C28" s="22">
        <f>IF($B28="","","Run Clubs")</f>
        <v/>
      </c>
      <c r="D28" s="23" t="n"/>
      <c r="E28" s="22" t="n"/>
      <c r="F28" s="23" t="n"/>
      <c r="G28" s="23" t="n"/>
      <c r="H28" s="23" t="n"/>
      <c r="I28" s="22" t="n"/>
      <c r="J28" s="23" t="n"/>
      <c r="K28" s="22" t="n"/>
      <c r="L28" s="23" t="n"/>
      <c r="M28" s="22" t="n"/>
      <c r="N28" s="23" t="n"/>
      <c r="O28" s="22" t="n"/>
      <c r="P28" s="23" t="n"/>
      <c r="Q28" s="23" t="n"/>
      <c r="R28" s="24" t="n"/>
      <c r="S28" s="25">
        <f>IF(ISBLANK(R28),"",TODAY()-R28)</f>
        <v/>
      </c>
      <c r="T28" s="22" t="n"/>
      <c r="U28" s="24" t="n"/>
      <c r="V28" s="23" t="n"/>
      <c r="W28" s="24" t="n"/>
      <c r="X28" s="23" t="n"/>
      <c r="Y28" s="23" t="n"/>
      <c r="Z28" s="26" t="n"/>
      <c r="AA28" s="27">
        <f>IF(OR($Z28="",$Y28="",$Y28=0),"",$Z28/($Y28*24))</f>
        <v/>
      </c>
      <c r="AB28" s="26" t="n"/>
      <c r="AC28" s="22" t="n"/>
      <c r="AD28" s="22" t="n"/>
      <c r="AE28" s="22" t="n"/>
      <c r="AF28" s="22" t="n"/>
      <c r="AG28" s="22" t="n"/>
      <c r="AH28" s="23" t="n"/>
      <c r="AI28" s="23" t="n"/>
      <c r="AJ28" s="23" t="n"/>
      <c r="AK28" s="23" t="n"/>
      <c r="AL28" s="22" t="n"/>
    </row>
    <row r="29" ht="20" customHeight="1">
      <c r="A29" s="17">
        <f>IF($B29="","",ROW()-2)</f>
        <v/>
      </c>
      <c r="B29" s="16" t="n"/>
      <c r="C29" s="16">
        <f>IF($B29="","","Run Clubs")</f>
        <v/>
      </c>
      <c r="D29" s="17" t="n"/>
      <c r="E29" s="16" t="n"/>
      <c r="F29" s="17" t="n"/>
      <c r="G29" s="17" t="n"/>
      <c r="H29" s="17" t="n"/>
      <c r="I29" s="16" t="n"/>
      <c r="J29" s="17" t="n"/>
      <c r="K29" s="16" t="n"/>
      <c r="L29" s="17" t="n"/>
      <c r="M29" s="16" t="n"/>
      <c r="N29" s="17" t="n"/>
      <c r="O29" s="16" t="n"/>
      <c r="P29" s="17" t="n"/>
      <c r="Q29" s="17" t="n"/>
      <c r="R29" s="15" t="n"/>
      <c r="S29" s="19">
        <f>IF(ISBLANK(R29),"",TODAY()-R29)</f>
        <v/>
      </c>
      <c r="T29" s="16" t="n"/>
      <c r="U29" s="15" t="n"/>
      <c r="V29" s="17" t="n"/>
      <c r="W29" s="15" t="n"/>
      <c r="X29" s="17" t="n"/>
      <c r="Y29" s="17" t="n"/>
      <c r="Z29" s="20" t="n"/>
      <c r="AA29" s="21">
        <f>IF(OR($Z29="",$Y29="",$Y29=0),"",$Z29/($Y29*24))</f>
        <v/>
      </c>
      <c r="AB29" s="20" t="n"/>
      <c r="AC29" s="16" t="n"/>
      <c r="AD29" s="16" t="n"/>
      <c r="AE29" s="16" t="n"/>
      <c r="AF29" s="16" t="n"/>
      <c r="AG29" s="16" t="n"/>
      <c r="AH29" s="17" t="n"/>
      <c r="AI29" s="17" t="n"/>
      <c r="AJ29" s="17" t="n"/>
      <c r="AK29" s="17" t="n"/>
      <c r="AL29" s="16" t="n"/>
    </row>
    <row r="30" ht="20" customHeight="1">
      <c r="A30" s="23">
        <f>IF($B30="","",ROW()-2)</f>
        <v/>
      </c>
      <c r="B30" s="22" t="n"/>
      <c r="C30" s="22">
        <f>IF($B30="","","Run Clubs")</f>
        <v/>
      </c>
      <c r="D30" s="23" t="n"/>
      <c r="E30" s="22" t="n"/>
      <c r="F30" s="23" t="n"/>
      <c r="G30" s="23" t="n"/>
      <c r="H30" s="23" t="n"/>
      <c r="I30" s="22" t="n"/>
      <c r="J30" s="23" t="n"/>
      <c r="K30" s="22" t="n"/>
      <c r="L30" s="23" t="n"/>
      <c r="M30" s="22" t="n"/>
      <c r="N30" s="23" t="n"/>
      <c r="O30" s="22" t="n"/>
      <c r="P30" s="23" t="n"/>
      <c r="Q30" s="23" t="n"/>
      <c r="R30" s="24" t="n"/>
      <c r="S30" s="25">
        <f>IF(ISBLANK(R30),"",TODAY()-R30)</f>
        <v/>
      </c>
      <c r="T30" s="22" t="n"/>
      <c r="U30" s="24" t="n"/>
      <c r="V30" s="23" t="n"/>
      <c r="W30" s="24" t="n"/>
      <c r="X30" s="23" t="n"/>
      <c r="Y30" s="23" t="n"/>
      <c r="Z30" s="26" t="n"/>
      <c r="AA30" s="27">
        <f>IF(OR($Z30="",$Y30="",$Y30=0),"",$Z30/($Y30*24))</f>
        <v/>
      </c>
      <c r="AB30" s="26" t="n"/>
      <c r="AC30" s="22" t="n"/>
      <c r="AD30" s="22" t="n"/>
      <c r="AE30" s="22" t="n"/>
      <c r="AF30" s="22" t="n"/>
      <c r="AG30" s="22" t="n"/>
      <c r="AH30" s="23" t="n"/>
      <c r="AI30" s="23" t="n"/>
      <c r="AJ30" s="23" t="n"/>
      <c r="AK30" s="23" t="n"/>
      <c r="AL30" s="22" t="n"/>
    </row>
    <row r="31" ht="20" customHeight="1">
      <c r="A31" s="17">
        <f>IF($B31="","",ROW()-2)</f>
        <v/>
      </c>
      <c r="B31" s="16" t="n"/>
      <c r="C31" s="16">
        <f>IF($B31="","","Run Clubs")</f>
        <v/>
      </c>
      <c r="D31" s="17" t="n"/>
      <c r="E31" s="16" t="n"/>
      <c r="F31" s="17" t="n"/>
      <c r="G31" s="17" t="n"/>
      <c r="H31" s="17" t="n"/>
      <c r="I31" s="16" t="n"/>
      <c r="J31" s="17" t="n"/>
      <c r="K31" s="16" t="n"/>
      <c r="L31" s="17" t="n"/>
      <c r="M31" s="16" t="n"/>
      <c r="N31" s="17" t="n"/>
      <c r="O31" s="16" t="n"/>
      <c r="P31" s="17" t="n"/>
      <c r="Q31" s="17" t="n"/>
      <c r="R31" s="15" t="n"/>
      <c r="S31" s="19">
        <f>IF(ISBLANK(R31),"",TODAY()-R31)</f>
        <v/>
      </c>
      <c r="T31" s="16" t="n"/>
      <c r="U31" s="15" t="n"/>
      <c r="V31" s="17" t="n"/>
      <c r="W31" s="15" t="n"/>
      <c r="X31" s="17" t="n"/>
      <c r="Y31" s="17" t="n"/>
      <c r="Z31" s="20" t="n"/>
      <c r="AA31" s="21">
        <f>IF(OR($Z31="",$Y31="",$Y31=0),"",$Z31/($Y31*24))</f>
        <v/>
      </c>
      <c r="AB31" s="20" t="n"/>
      <c r="AC31" s="16" t="n"/>
      <c r="AD31" s="16" t="n"/>
      <c r="AE31" s="16" t="n"/>
      <c r="AF31" s="16" t="n"/>
      <c r="AG31" s="16" t="n"/>
      <c r="AH31" s="17" t="n"/>
      <c r="AI31" s="17" t="n"/>
      <c r="AJ31" s="17" t="n"/>
      <c r="AK31" s="17" t="n"/>
      <c r="AL31" s="16" t="n"/>
    </row>
    <row r="32" ht="20" customHeight="1">
      <c r="A32" s="23">
        <f>IF($B32="","",ROW()-2)</f>
        <v/>
      </c>
      <c r="B32" s="22" t="n"/>
      <c r="C32" s="22">
        <f>IF($B32="","","Run Clubs")</f>
        <v/>
      </c>
      <c r="D32" s="23" t="n"/>
      <c r="E32" s="22" t="n"/>
      <c r="F32" s="23" t="n"/>
      <c r="G32" s="23" t="n"/>
      <c r="H32" s="23" t="n"/>
      <c r="I32" s="22" t="n"/>
      <c r="J32" s="23" t="n"/>
      <c r="K32" s="22" t="n"/>
      <c r="L32" s="23" t="n"/>
      <c r="M32" s="22" t="n"/>
      <c r="N32" s="23" t="n"/>
      <c r="O32" s="22" t="n"/>
      <c r="P32" s="23" t="n"/>
      <c r="Q32" s="23" t="n"/>
      <c r="R32" s="24" t="n"/>
      <c r="S32" s="25">
        <f>IF(ISBLANK(R32),"",TODAY()-R32)</f>
        <v/>
      </c>
      <c r="T32" s="22" t="n"/>
      <c r="U32" s="24" t="n"/>
      <c r="V32" s="23" t="n"/>
      <c r="W32" s="24" t="n"/>
      <c r="X32" s="23" t="n"/>
      <c r="Y32" s="23" t="n"/>
      <c r="Z32" s="26" t="n"/>
      <c r="AA32" s="27">
        <f>IF(OR($Z32="",$Y32="",$Y32=0),"",$Z32/($Y32*24))</f>
        <v/>
      </c>
      <c r="AB32" s="26" t="n"/>
      <c r="AC32" s="22" t="n"/>
      <c r="AD32" s="22" t="n"/>
      <c r="AE32" s="22" t="n"/>
      <c r="AF32" s="22" t="n"/>
      <c r="AG32" s="22" t="n"/>
      <c r="AH32" s="23" t="n"/>
      <c r="AI32" s="23" t="n"/>
      <c r="AJ32" s="23" t="n"/>
      <c r="AK32" s="23" t="n"/>
      <c r="AL32" s="22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Gyms &amp; Studios</t>
        </is>
      </c>
    </row>
    <row r="2" ht="50" customHeight="1">
      <c r="A2" s="8" t="inlineStr">
        <is>
          <t>#</t>
        </is>
      </c>
      <c r="B2" s="8" t="inlineStr">
        <is>
          <t>Partner Name</t>
        </is>
      </c>
      <c r="C2" s="8" t="inlineStr">
        <is>
          <t>Partnership Type</t>
        </is>
      </c>
      <c r="D2" s="8" t="inlineStr">
        <is>
          <t>City</t>
        </is>
      </c>
      <c r="E2" s="8" t="inlineStr">
        <is>
          <t>Neighbourhood</t>
        </is>
      </c>
      <c r="F2" s="8" t="inlineStr">
        <is>
          <t>Priority</t>
        </is>
      </c>
      <c r="G2" s="8" t="inlineStr">
        <is>
          <t>Status</t>
        </is>
      </c>
      <c r="H2" s="8" t="inlineStr">
        <is>
          <t>Primary Owner</t>
        </is>
      </c>
      <c r="I2" s="8" t="inlineStr">
        <is>
          <t>Contact Name</t>
        </is>
      </c>
      <c r="J2" s="8" t="inlineStr">
        <is>
          <t>Role</t>
        </is>
      </c>
      <c r="K2" s="8" t="inlineStr">
        <is>
          <t>Contact Email</t>
        </is>
      </c>
      <c r="L2" s="8" t="inlineStr">
        <is>
          <t>Contact Phone</t>
        </is>
      </c>
      <c r="M2" s="8" t="inlineStr">
        <is>
          <t>Instagram or Website</t>
        </is>
      </c>
      <c r="N2" s="8" t="inlineStr">
        <is>
          <t>Audience Size</t>
        </is>
      </c>
      <c r="O2" s="8" t="inlineStr">
        <is>
          <t>Audience Source</t>
        </is>
      </c>
      <c r="P2" s="8" t="inlineStr">
        <is>
          <t>Source</t>
        </is>
      </c>
      <c r="Q2" s="8" t="inlineStr">
        <is>
          <t>Warm</t>
        </is>
      </c>
      <c r="R2" s="8" t="inlineStr">
        <is>
          <t>Last Contacted</t>
        </is>
      </c>
      <c r="S2" s="8" t="inlineStr">
        <is>
          <t>Days Since Activity</t>
        </is>
      </c>
      <c r="T2" s="8" t="inlineStr">
        <is>
          <t>Next Action</t>
        </is>
      </c>
      <c r="U2" s="8" t="inlineStr">
        <is>
          <t>Next Action Date</t>
        </is>
      </c>
      <c r="V2" s="8" t="inlineStr">
        <is>
          <t>Activation Type</t>
        </is>
      </c>
      <c r="W2" s="8" t="inlineStr">
        <is>
          <t>Activation Date</t>
        </is>
      </c>
      <c r="X2" s="8" t="inlineStr">
        <is>
          <t>Cases Committed</t>
        </is>
      </c>
      <c r="Y2" s="8" t="inlineStr">
        <is>
          <t>Cases Delivered</t>
        </is>
      </c>
      <c r="Z2" s="8" t="inlineStr">
        <is>
          <t>Cost ($)</t>
        </is>
      </c>
      <c r="AA2" s="8" t="inlineStr">
        <is>
          <t>Cost Per Can</t>
        </is>
      </c>
      <c r="AB2" s="8" t="inlineStr">
        <is>
          <t>Contra Value ($)</t>
        </is>
      </c>
      <c r="AC2" s="8" t="inlineStr">
        <is>
          <t>Deliverables Promised</t>
        </is>
      </c>
      <c r="AD2" s="8" t="inlineStr">
        <is>
          <t>Deliverables Received</t>
        </is>
      </c>
      <c r="AE2" s="8" t="inlineStr">
        <is>
          <t>What They Want</t>
        </is>
      </c>
      <c r="AF2" s="8" t="inlineStr">
        <is>
          <t>Risks</t>
        </is>
      </c>
      <c r="AG2" s="8" t="inlineStr">
        <is>
          <t>Nearby Retail Doors</t>
        </is>
      </c>
      <c r="AH2" s="8" t="inlineStr">
        <is>
          <t>In BC Tracker?</t>
        </is>
      </c>
      <c r="AI2" s="8" t="inlineStr">
        <is>
          <t>Raspberry 4338</t>
        </is>
      </c>
      <c r="AJ2" s="8" t="inlineStr">
        <is>
          <t>Lemon Lime 4336</t>
        </is>
      </c>
      <c r="AK2" s="8" t="inlineStr">
        <is>
          <t>Pineapple Passion Fruit 4340</t>
        </is>
      </c>
      <c r="AL2" s="8" t="inlineStr">
        <is>
          <t>Notes</t>
        </is>
      </c>
    </row>
    <row r="3" ht="20" customHeight="1">
      <c r="A3" s="17">
        <f>IF($B3="","",ROW()-2)</f>
        <v/>
      </c>
      <c r="B3" s="16" t="inlineStr">
        <is>
          <t>RIDE Cycle Club</t>
        </is>
      </c>
      <c r="C3" s="16">
        <f>IF($B3="","","Gyms &amp; Studios")</f>
        <v/>
      </c>
      <c r="D3" s="17" t="inlineStr">
        <is>
          <t>Vancouver</t>
        </is>
      </c>
      <c r="E3" s="16" t="inlineStr">
        <is>
          <t>Yaletown</t>
        </is>
      </c>
      <c r="F3" s="17" t="inlineStr">
        <is>
          <t>P1</t>
        </is>
      </c>
      <c r="G3" s="17" t="inlineStr">
        <is>
          <t>Open</t>
        </is>
      </c>
      <c r="H3" s="17" t="inlineStr">
        <is>
          <t>Maddie</t>
        </is>
      </c>
      <c r="I3" s="16" t="n"/>
      <c r="J3" s="17" t="n"/>
      <c r="K3" s="16" t="n"/>
      <c r="L3" s="17" t="n"/>
      <c r="M3" s="33" t="inlineStr">
        <is>
          <t>@ridecycleclub</t>
        </is>
      </c>
      <c r="N3" s="17" t="inlineStr">
        <is>
          <t>23,000 IG</t>
        </is>
      </c>
      <c r="O3" s="16" t="inlineStr">
        <is>
          <t>Instagram @ridecycleclub follower count, web search 2026. Account covers Vancouver and Toronto</t>
        </is>
      </c>
      <c r="P3" s="17" t="inlineStr">
        <is>
          <t>Verified Web</t>
        </is>
      </c>
      <c r="Q3" s="17" t="inlineStr">
        <is>
          <t>Cold</t>
        </is>
      </c>
      <c r="R3" s="15" t="n"/>
      <c r="S3" s="19">
        <f>IF(ISBLANK(R3),"",TODAY()-R3)</f>
        <v/>
      </c>
      <c r="T3" s="16" t="n"/>
      <c r="U3" s="15" t="n"/>
      <c r="V3" s="17" t="n"/>
      <c r="W3" s="15" t="n"/>
      <c r="X3" s="17" t="n"/>
      <c r="Y3" s="17" t="n"/>
      <c r="Z3" s="20" t="n"/>
      <c r="AA3" s="21">
        <f>IF(OR($Z3="",$Y3="",$Y3=0),"",$Z3/($Y3*24))</f>
        <v/>
      </c>
      <c r="AB3" s="20" t="n"/>
      <c r="AC3" s="16" t="n"/>
      <c r="AD3" s="16" t="n"/>
      <c r="AE3" s="16" t="n"/>
      <c r="AF3" s="16" t="n"/>
      <c r="AG3" s="16" t="n"/>
      <c r="AH3" s="17" t="inlineStr">
        <is>
          <t>No</t>
        </is>
      </c>
      <c r="AI3" s="17" t="n"/>
      <c r="AJ3" s="17" t="n"/>
      <c r="AK3" s="17" t="n"/>
      <c r="AL3" s="16" t="inlineStr">
        <is>
          <t>Spin studio on Hamilton Street, part of a multi city brand.</t>
        </is>
      </c>
    </row>
    <row r="4" ht="20" customHeight="1">
      <c r="A4" s="23">
        <f>IF($B4="","",ROW()-2)</f>
        <v/>
      </c>
      <c r="B4" s="22" t="inlineStr">
        <is>
          <t>The Hive Bouldering Gym</t>
        </is>
      </c>
      <c r="C4" s="22">
        <f>IF($B4="","","Gyms &amp; Studios")</f>
        <v/>
      </c>
      <c r="D4" s="23" t="inlineStr">
        <is>
          <t>Vancouver</t>
        </is>
      </c>
      <c r="E4" s="22" t="inlineStr">
        <is>
          <t>Strathcona</t>
        </is>
      </c>
      <c r="F4" s="23" t="inlineStr">
        <is>
          <t>P1</t>
        </is>
      </c>
      <c r="G4" s="23" t="inlineStr">
        <is>
          <t>Open</t>
        </is>
      </c>
      <c r="H4" s="23" t="inlineStr">
        <is>
          <t>Maddie</t>
        </is>
      </c>
      <c r="I4" s="22" t="n"/>
      <c r="J4" s="23" t="n"/>
      <c r="K4" s="22" t="n"/>
      <c r="L4" s="23" t="n"/>
      <c r="M4" s="34" t="inlineStr">
        <is>
          <t>@hiveclimbing</t>
        </is>
      </c>
      <c r="N4" s="23" t="inlineStr">
        <is>
          <t>21,000 IG</t>
        </is>
      </c>
      <c r="O4" s="22" t="inlineStr">
        <is>
          <t>Instagram @hiveclimbing follower count, web search 2026. Brand account, several BC sites</t>
        </is>
      </c>
      <c r="P4" s="23" t="inlineStr">
        <is>
          <t>Verified Web</t>
        </is>
      </c>
      <c r="Q4" s="23" t="inlineStr">
        <is>
          <t>Cold</t>
        </is>
      </c>
      <c r="R4" s="24" t="n"/>
      <c r="S4" s="25">
        <f>IF(ISBLANK(R4),"",TODAY()-R4)</f>
        <v/>
      </c>
      <c r="T4" s="22" t="n"/>
      <c r="U4" s="24" t="n"/>
      <c r="V4" s="23" t="n"/>
      <c r="W4" s="24" t="n"/>
      <c r="X4" s="23" t="n"/>
      <c r="Y4" s="23" t="n"/>
      <c r="Z4" s="26" t="n"/>
      <c r="AA4" s="27">
        <f>IF(OR($Z4="",$Y4="",$Y4=0),"",$Z4/($Y4*24))</f>
        <v/>
      </c>
      <c r="AB4" s="26" t="n"/>
      <c r="AC4" s="22" t="n"/>
      <c r="AD4" s="22" t="n"/>
      <c r="AE4" s="22" t="n"/>
      <c r="AF4" s="22" t="n"/>
      <c r="AG4" s="22" t="n"/>
      <c r="AH4" s="23" t="inlineStr">
        <is>
          <t>No</t>
        </is>
      </c>
      <c r="AI4" s="23" t="n"/>
      <c r="AJ4" s="23" t="n"/>
      <c r="AK4" s="23" t="n"/>
      <c r="AL4" s="22" t="inlineStr">
        <is>
          <t>Bouldering gym on Industrial Avenue, brand has several BC locations.</t>
        </is>
      </c>
    </row>
    <row r="5" ht="20" customHeight="1">
      <c r="A5" s="17">
        <f>IF($B5="","",ROW()-2)</f>
        <v/>
      </c>
      <c r="B5" s="16" t="inlineStr">
        <is>
          <t>Progression Bouldering</t>
        </is>
      </c>
      <c r="C5" s="16">
        <f>IF($B5="","","Gyms &amp; Studios")</f>
        <v/>
      </c>
      <c r="D5" s="17" t="inlineStr">
        <is>
          <t>Vancouver</t>
        </is>
      </c>
      <c r="E5" s="16" t="inlineStr">
        <is>
          <t>Mount Pleasant</t>
        </is>
      </c>
      <c r="F5" s="17" t="inlineStr">
        <is>
          <t>P1</t>
        </is>
      </c>
      <c r="G5" s="17" t="inlineStr">
        <is>
          <t>Open</t>
        </is>
      </c>
      <c r="H5" s="17" t="inlineStr">
        <is>
          <t>Maddie</t>
        </is>
      </c>
      <c r="I5" s="16" t="n"/>
      <c r="J5" s="17" t="n"/>
      <c r="K5" s="16" t="n"/>
      <c r="L5" s="17" t="n"/>
      <c r="M5" s="33" t="inlineStr">
        <is>
          <t>@progressionbouldering</t>
        </is>
      </c>
      <c r="N5" s="17" t="inlineStr">
        <is>
          <t>9,700 IG</t>
        </is>
      </c>
      <c r="O5" s="16" t="inlineStr">
        <is>
          <t>Instagram @progressionbouldering follower count, web search 2026</t>
        </is>
      </c>
      <c r="P5" s="17" t="inlineStr">
        <is>
          <t>Verified Web</t>
        </is>
      </c>
      <c r="Q5" s="17" t="inlineStr">
        <is>
          <t>Cold</t>
        </is>
      </c>
      <c r="R5" s="15" t="n"/>
      <c r="S5" s="19">
        <f>IF(ISBLANK(R5),"",TODAY()-R5)</f>
        <v/>
      </c>
      <c r="T5" s="16" t="n"/>
      <c r="U5" s="15" t="n"/>
      <c r="V5" s="17" t="n"/>
      <c r="W5" s="15" t="n"/>
      <c r="X5" s="17" t="n"/>
      <c r="Y5" s="17" t="n"/>
      <c r="Z5" s="20" t="n"/>
      <c r="AA5" s="21">
        <f>IF(OR($Z5="",$Y5="",$Y5=0),"",$Z5/($Y5*24))</f>
        <v/>
      </c>
      <c r="AB5" s="20" t="n"/>
      <c r="AC5" s="16" t="n"/>
      <c r="AD5" s="16" t="n"/>
      <c r="AE5" s="16" t="n"/>
      <c r="AF5" s="16" t="n"/>
      <c r="AG5" s="16" t="n"/>
      <c r="AH5" s="17" t="inlineStr">
        <is>
          <t>No</t>
        </is>
      </c>
      <c r="AI5" s="17" t="n"/>
      <c r="AJ5" s="17" t="n"/>
      <c r="AK5" s="17" t="n"/>
      <c r="AL5" s="16" t="inlineStr">
        <is>
          <t>18,000 sq ft bouldering gym with a licensed cafe on site.</t>
        </is>
      </c>
    </row>
    <row r="6" ht="20" customHeight="1">
      <c r="A6" s="23">
        <f>IF($B6="","",ROW()-2)</f>
        <v/>
      </c>
      <c r="B6" s="22" t="inlineStr">
        <is>
          <t>Tantra Fitness</t>
        </is>
      </c>
      <c r="C6" s="22">
        <f>IF($B6="","","Gyms &amp; Studios")</f>
        <v/>
      </c>
      <c r="D6" s="23" t="inlineStr">
        <is>
          <t>Vancouver</t>
        </is>
      </c>
      <c r="E6" s="22" t="inlineStr">
        <is>
          <t>Kitsilano</t>
        </is>
      </c>
      <c r="F6" s="23" t="inlineStr">
        <is>
          <t>P2</t>
        </is>
      </c>
      <c r="G6" s="23" t="inlineStr">
        <is>
          <t>Open</t>
        </is>
      </c>
      <c r="H6" s="23" t="inlineStr">
        <is>
          <t>Maddie</t>
        </is>
      </c>
      <c r="I6" s="22" t="n"/>
      <c r="J6" s="23" t="n"/>
      <c r="K6" s="22" t="n"/>
      <c r="L6" s="23" t="n"/>
      <c r="M6" s="34" t="inlineStr">
        <is>
          <t>@tantrafitness</t>
        </is>
      </c>
      <c r="N6" s="23" t="inlineStr">
        <is>
          <t>17,000 IG</t>
        </is>
      </c>
      <c r="O6" s="22" t="inlineStr">
        <is>
          <t>Instagram @tantrafitness follower count, web search 2026 (single snippet, reverify)</t>
        </is>
      </c>
      <c r="P6" s="23" t="inlineStr">
        <is>
          <t>Pending</t>
        </is>
      </c>
      <c r="Q6" s="23" t="inlineStr">
        <is>
          <t>Cold</t>
        </is>
      </c>
      <c r="R6" s="24" t="n"/>
      <c r="S6" s="25">
        <f>IF(ISBLANK(R6),"",TODAY()-R6)</f>
        <v/>
      </c>
      <c r="T6" s="22" t="n"/>
      <c r="U6" s="24" t="n"/>
      <c r="V6" s="23" t="n"/>
      <c r="W6" s="24" t="n"/>
      <c r="X6" s="23" t="n"/>
      <c r="Y6" s="23" t="n"/>
      <c r="Z6" s="26" t="n"/>
      <c r="AA6" s="27">
        <f>IF(OR($Z6="",$Y6="",$Y6=0),"",$Z6/($Y6*24))</f>
        <v/>
      </c>
      <c r="AB6" s="26" t="n"/>
      <c r="AC6" s="22" t="n"/>
      <c r="AD6" s="22" t="n"/>
      <c r="AE6" s="22" t="n"/>
      <c r="AF6" s="22" t="n"/>
      <c r="AG6" s="22" t="n"/>
      <c r="AH6" s="23" t="inlineStr">
        <is>
          <t>No</t>
        </is>
      </c>
      <c r="AI6" s="23" t="n"/>
      <c r="AJ6" s="23" t="n"/>
      <c r="AK6" s="23" t="n"/>
      <c r="AL6" s="22" t="inlineStr">
        <is>
          <t>Pole and aerial fitness across three Vancouver locations.</t>
        </is>
      </c>
    </row>
    <row r="7" ht="20" customHeight="1">
      <c r="A7" s="17">
        <f>IF($B7="","",ROW()-2)</f>
        <v/>
      </c>
      <c r="B7" s="16" t="inlineStr">
        <is>
          <t>604 Athletics</t>
        </is>
      </c>
      <c r="C7" s="16">
        <f>IF($B7="","","Gyms &amp; Studios")</f>
        <v/>
      </c>
      <c r="D7" s="17" t="inlineStr">
        <is>
          <t>Vancouver</t>
        </is>
      </c>
      <c r="E7" s="16" t="inlineStr">
        <is>
          <t>Mount Pleasant</t>
        </is>
      </c>
      <c r="F7" s="17" t="inlineStr">
        <is>
          <t>P2</t>
        </is>
      </c>
      <c r="G7" s="17" t="inlineStr">
        <is>
          <t>Open</t>
        </is>
      </c>
      <c r="H7" s="17" t="inlineStr">
        <is>
          <t>Maddie</t>
        </is>
      </c>
      <c r="I7" s="16" t="n"/>
      <c r="J7" s="17" t="n"/>
      <c r="K7" s="16" t="n"/>
      <c r="L7" s="17" t="n"/>
      <c r="M7" s="33" t="inlineStr">
        <is>
          <t>@604_athletics</t>
        </is>
      </c>
      <c r="N7" s="17" t="inlineStr">
        <is>
          <t>6,100 IG</t>
        </is>
      </c>
      <c r="O7" s="16" t="inlineStr">
        <is>
          <t>Instagram @604_athletics follower count, web search 2026 (single snippet, reverify)</t>
        </is>
      </c>
      <c r="P7" s="17" t="inlineStr">
        <is>
          <t>Pending</t>
        </is>
      </c>
      <c r="Q7" s="17" t="inlineStr">
        <is>
          <t>Cold</t>
        </is>
      </c>
      <c r="R7" s="15" t="n"/>
      <c r="S7" s="19">
        <f>IF(ISBLANK(R7),"",TODAY()-R7)</f>
        <v/>
      </c>
      <c r="T7" s="16" t="n"/>
      <c r="U7" s="15" t="n"/>
      <c r="V7" s="17" t="n"/>
      <c r="W7" s="15" t="n"/>
      <c r="X7" s="17" t="n"/>
      <c r="Y7" s="17" t="n"/>
      <c r="Z7" s="20" t="n"/>
      <c r="AA7" s="21">
        <f>IF(OR($Z7="",$Y7="",$Y7=0),"",$Z7/($Y7*24))</f>
        <v/>
      </c>
      <c r="AB7" s="20" t="n"/>
      <c r="AC7" s="16" t="n"/>
      <c r="AD7" s="16" t="n"/>
      <c r="AE7" s="16" t="n"/>
      <c r="AF7" s="16" t="n"/>
      <c r="AG7" s="16" t="n"/>
      <c r="AH7" s="17" t="inlineStr">
        <is>
          <t>No</t>
        </is>
      </c>
      <c r="AI7" s="17" t="n"/>
      <c r="AJ7" s="17" t="n"/>
      <c r="AK7" s="17" t="n"/>
      <c r="AL7" s="16" t="inlineStr">
        <is>
          <t>CrossFit box on Main Street, runs HYROX prep classes.</t>
        </is>
      </c>
    </row>
    <row r="8" ht="20" customHeight="1">
      <c r="A8" s="23">
        <f>IF($B8="","",ROW()-2)</f>
        <v/>
      </c>
      <c r="B8" s="22" t="inlineStr">
        <is>
          <t>FAR Studio</t>
        </is>
      </c>
      <c r="C8" s="22">
        <f>IF($B8="","","Gyms &amp; Studios")</f>
        <v/>
      </c>
      <c r="D8" s="23" t="inlineStr">
        <is>
          <t>Vancouver</t>
        </is>
      </c>
      <c r="E8" s="22" t="inlineStr">
        <is>
          <t>Gastown</t>
        </is>
      </c>
      <c r="F8" s="23" t="inlineStr">
        <is>
          <t>P2</t>
        </is>
      </c>
      <c r="G8" s="23" t="inlineStr">
        <is>
          <t>Open</t>
        </is>
      </c>
      <c r="H8" s="23" t="inlineStr">
        <is>
          <t>Maddie</t>
        </is>
      </c>
      <c r="I8" s="22" t="n"/>
      <c r="J8" s="23" t="n"/>
      <c r="K8" s="22" t="n"/>
      <c r="L8" s="23" t="n"/>
      <c r="M8" s="34" t="inlineStr">
        <is>
          <t>@farstudiogym</t>
        </is>
      </c>
      <c r="N8" s="23" t="inlineStr">
        <is>
          <t>2,450 IG</t>
        </is>
      </c>
      <c r="O8" s="22" t="inlineStr">
        <is>
          <t>Instagram @farstudiogym follower count, web search 2026 (single snippet, reverify)</t>
        </is>
      </c>
      <c r="P8" s="23" t="inlineStr">
        <is>
          <t>Pending</t>
        </is>
      </c>
      <c r="Q8" s="23" t="inlineStr">
        <is>
          <t>Cold</t>
        </is>
      </c>
      <c r="R8" s="24" t="n"/>
      <c r="S8" s="25">
        <f>IF(ISBLANK(R8),"",TODAY()-R8)</f>
        <v/>
      </c>
      <c r="T8" s="22" t="n"/>
      <c r="U8" s="24" t="n"/>
      <c r="V8" s="23" t="n"/>
      <c r="W8" s="24" t="n"/>
      <c r="X8" s="23" t="n"/>
      <c r="Y8" s="23" t="n"/>
      <c r="Z8" s="26" t="n"/>
      <c r="AA8" s="27">
        <f>IF(OR($Z8="",$Y8="",$Y8=0),"",$Z8/($Y8*24))</f>
        <v/>
      </c>
      <c r="AB8" s="26" t="n"/>
      <c r="AC8" s="22" t="n"/>
      <c r="AD8" s="22" t="n"/>
      <c r="AE8" s="22" t="n"/>
      <c r="AF8" s="22" t="n"/>
      <c r="AG8" s="22" t="n"/>
      <c r="AH8" s="23" t="inlineStr">
        <is>
          <t>No</t>
        </is>
      </c>
      <c r="AI8" s="23" t="n"/>
      <c r="AJ8" s="23" t="n"/>
      <c r="AK8" s="23" t="n"/>
      <c r="AL8" s="22" t="inlineStr">
        <is>
          <t>Kickboxing and strength studio on Powell Street.</t>
        </is>
      </c>
    </row>
    <row r="9" ht="20" customHeight="1">
      <c r="A9" s="17">
        <f>IF($B9="","",ROW()-2)</f>
        <v/>
      </c>
      <c r="B9" s="16" t="inlineStr">
        <is>
          <t>The Lab Victoria</t>
        </is>
      </c>
      <c r="C9" s="16">
        <f>IF($B9="","","Gyms &amp; Studios")</f>
        <v/>
      </c>
      <c r="D9" s="17" t="inlineStr">
        <is>
          <t>Victoria</t>
        </is>
      </c>
      <c r="E9" s="16" t="inlineStr">
        <is>
          <t>Downtown</t>
        </is>
      </c>
      <c r="F9" s="17" t="inlineStr">
        <is>
          <t>P2</t>
        </is>
      </c>
      <c r="G9" s="17" t="inlineStr">
        <is>
          <t>Open</t>
        </is>
      </c>
      <c r="H9" s="17" t="inlineStr">
        <is>
          <t>Maddie</t>
        </is>
      </c>
      <c r="I9" s="16" t="n"/>
      <c r="J9" s="17" t="n"/>
      <c r="K9" s="16" t="n"/>
      <c r="L9" s="17" t="n"/>
      <c r="M9" s="33" t="inlineStr">
        <is>
          <t>@thelabvictoria</t>
        </is>
      </c>
      <c r="N9" s="17" t="inlineStr">
        <is>
          <t>3,500 IG</t>
        </is>
      </c>
      <c r="O9" s="16" t="inlineStr">
        <is>
          <t>Instagram @thelabvictoria follower count, web search 2026 (single snippet, reverify)</t>
        </is>
      </c>
      <c r="P9" s="17" t="inlineStr">
        <is>
          <t>Pending</t>
        </is>
      </c>
      <c r="Q9" s="17" t="inlineStr">
        <is>
          <t>Cold</t>
        </is>
      </c>
      <c r="R9" s="15" t="n"/>
      <c r="S9" s="19">
        <f>IF(ISBLANK(R9),"",TODAY()-R9)</f>
        <v/>
      </c>
      <c r="T9" s="16" t="n"/>
      <c r="U9" s="15" t="n"/>
      <c r="V9" s="17" t="n"/>
      <c r="W9" s="15" t="n"/>
      <c r="X9" s="17" t="n"/>
      <c r="Y9" s="17" t="n"/>
      <c r="Z9" s="20" t="n"/>
      <c r="AA9" s="21">
        <f>IF(OR($Z9="",$Y9="",$Y9=0),"",$Z9/($Y9*24))</f>
        <v/>
      </c>
      <c r="AB9" s="20" t="n"/>
      <c r="AC9" s="16" t="n"/>
      <c r="AD9" s="16" t="n"/>
      <c r="AE9" s="16" t="n"/>
      <c r="AF9" s="16" t="n"/>
      <c r="AG9" s="16" t="n"/>
      <c r="AH9" s="17" t="inlineStr">
        <is>
          <t>No</t>
        </is>
      </c>
      <c r="AI9" s="17" t="n"/>
      <c r="AJ9" s="17" t="n"/>
      <c r="AK9" s="17" t="n"/>
      <c r="AL9" s="16" t="inlineStr">
        <is>
          <t>Yoga and pilates studio on Fort Street.</t>
        </is>
      </c>
    </row>
    <row r="10" ht="20" customHeight="1">
      <c r="A10" s="23">
        <f>IF($B10="","",ROW()-2)</f>
        <v/>
      </c>
      <c r="B10" s="22" t="inlineStr">
        <is>
          <t>CrossFit BC</t>
        </is>
      </c>
      <c r="C10" s="22">
        <f>IF($B10="","","Gyms &amp; Studios")</f>
        <v/>
      </c>
      <c r="D10" s="23" t="inlineStr">
        <is>
          <t>Vancouver</t>
        </is>
      </c>
      <c r="E10" s="22" t="inlineStr">
        <is>
          <t>Olympic Village</t>
        </is>
      </c>
      <c r="F10" s="23" t="inlineStr">
        <is>
          <t>P3</t>
        </is>
      </c>
      <c r="G10" s="23" t="inlineStr">
        <is>
          <t>Open</t>
        </is>
      </c>
      <c r="H10" s="23" t="inlineStr">
        <is>
          <t>Maddie</t>
        </is>
      </c>
      <c r="I10" s="22" t="n"/>
      <c r="J10" s="23" t="n"/>
      <c r="K10" s="22" t="n"/>
      <c r="L10" s="23" t="n"/>
      <c r="M10" s="34" t="inlineStr">
        <is>
          <t>@crossfitbc</t>
        </is>
      </c>
      <c r="N10" s="23" t="inlineStr">
        <is>
          <t>TBD</t>
        </is>
      </c>
      <c r="O10" s="22" t="n"/>
      <c r="P10" s="23" t="inlineStr">
        <is>
          <t>Verified Web</t>
        </is>
      </c>
      <c r="Q10" s="23" t="inlineStr">
        <is>
          <t>Cold</t>
        </is>
      </c>
      <c r="R10" s="24" t="n"/>
      <c r="S10" s="25">
        <f>IF(ISBLANK(R10),"",TODAY()-R10)</f>
        <v/>
      </c>
      <c r="T10" s="22" t="n"/>
      <c r="U10" s="24" t="n"/>
      <c r="V10" s="23" t="n"/>
      <c r="W10" s="24" t="n"/>
      <c r="X10" s="23" t="n"/>
      <c r="Y10" s="23" t="n"/>
      <c r="Z10" s="26" t="n"/>
      <c r="AA10" s="27">
        <f>IF(OR($Z10="",$Y10="",$Y10=0),"",$Z10/($Y10*24))</f>
        <v/>
      </c>
      <c r="AB10" s="26" t="n"/>
      <c r="AC10" s="22" t="n"/>
      <c r="AD10" s="22" t="n"/>
      <c r="AE10" s="22" t="n"/>
      <c r="AF10" s="22" t="n"/>
      <c r="AG10" s="22" t="n"/>
      <c r="AH10" s="23" t="inlineStr">
        <is>
          <t>No</t>
        </is>
      </c>
      <c r="AI10" s="23" t="n"/>
      <c r="AJ10" s="23" t="n"/>
      <c r="AK10" s="23" t="n"/>
      <c r="AL10" s="22" t="inlineStr">
        <is>
          <t>CrossFit box on East 1st Avenue.</t>
        </is>
      </c>
    </row>
    <row r="11" ht="20" customHeight="1">
      <c r="A11" s="17">
        <f>IF($B11="","",ROW()-2)</f>
        <v/>
      </c>
      <c r="B11" s="16" t="inlineStr">
        <is>
          <t>CrossFit Zone</t>
        </is>
      </c>
      <c r="C11" s="16">
        <f>IF($B11="","","Gyms &amp; Studios")</f>
        <v/>
      </c>
      <c r="D11" s="17" t="inlineStr">
        <is>
          <t>Victoria</t>
        </is>
      </c>
      <c r="E11" s="16" t="inlineStr">
        <is>
          <t>Downtown</t>
        </is>
      </c>
      <c r="F11" s="17" t="inlineStr">
        <is>
          <t>P3</t>
        </is>
      </c>
      <c r="G11" s="17" t="inlineStr">
        <is>
          <t>Open</t>
        </is>
      </c>
      <c r="H11" s="17" t="inlineStr">
        <is>
          <t>Maddie</t>
        </is>
      </c>
      <c r="I11" s="16" t="n"/>
      <c r="J11" s="17" t="n"/>
      <c r="K11" s="16" t="n"/>
      <c r="L11" s="17" t="n"/>
      <c r="M11" s="33" t="inlineStr">
        <is>
          <t>@crossfit_zone_</t>
        </is>
      </c>
      <c r="N11" s="17" t="inlineStr">
        <is>
          <t>TBD</t>
        </is>
      </c>
      <c r="O11" s="16" t="n"/>
      <c r="P11" s="17" t="inlineStr">
        <is>
          <t>Verified Web</t>
        </is>
      </c>
      <c r="Q11" s="17" t="inlineStr">
        <is>
          <t>Cold</t>
        </is>
      </c>
      <c r="R11" s="15" t="n"/>
      <c r="S11" s="19">
        <f>IF(ISBLANK(R11),"",TODAY()-R11)</f>
        <v/>
      </c>
      <c r="T11" s="16" t="n"/>
      <c r="U11" s="15" t="n"/>
      <c r="V11" s="17" t="n"/>
      <c r="W11" s="15" t="n"/>
      <c r="X11" s="17" t="n"/>
      <c r="Y11" s="17" t="n"/>
      <c r="Z11" s="20" t="n"/>
      <c r="AA11" s="21">
        <f>IF(OR($Z11="",$Y11="",$Y11=0),"",$Z11/($Y11*24))</f>
        <v/>
      </c>
      <c r="AB11" s="20" t="n"/>
      <c r="AC11" s="16" t="n"/>
      <c r="AD11" s="16" t="n"/>
      <c r="AE11" s="16" t="n"/>
      <c r="AF11" s="16" t="n"/>
      <c r="AG11" s="16" t="n"/>
      <c r="AH11" s="17" t="inlineStr">
        <is>
          <t>No</t>
        </is>
      </c>
      <c r="AI11" s="17" t="n"/>
      <c r="AJ11" s="17" t="n"/>
      <c r="AK11" s="17" t="n"/>
      <c r="AL11" s="16" t="inlineStr">
        <is>
          <t>One of the oldest CrossFit boxes in Victoria, operating since 2008.</t>
        </is>
      </c>
    </row>
    <row r="12" ht="20" customHeight="1">
      <c r="A12" s="23">
        <f>IF($B12="","",ROW()-2)</f>
        <v/>
      </c>
      <c r="B12" s="22" t="inlineStr">
        <is>
          <t>CrossFit Okanagan</t>
        </is>
      </c>
      <c r="C12" s="22">
        <f>IF($B12="","","Gyms &amp; Studios")</f>
        <v/>
      </c>
      <c r="D12" s="23" t="inlineStr">
        <is>
          <t>Kelowna</t>
        </is>
      </c>
      <c r="E12" s="22" t="inlineStr">
        <is>
          <t>Kelowna</t>
        </is>
      </c>
      <c r="F12" s="23" t="inlineStr">
        <is>
          <t>P3</t>
        </is>
      </c>
      <c r="G12" s="23" t="inlineStr">
        <is>
          <t>Open</t>
        </is>
      </c>
      <c r="H12" s="23" t="inlineStr">
        <is>
          <t>Maddie</t>
        </is>
      </c>
      <c r="I12" s="22" t="n"/>
      <c r="J12" s="23" t="n"/>
      <c r="K12" s="22" t="n"/>
      <c r="L12" s="23" t="n"/>
      <c r="M12" s="34" t="inlineStr">
        <is>
          <t>@crossfitokanagan</t>
        </is>
      </c>
      <c r="N12" s="23" t="inlineStr">
        <is>
          <t>4,700 IG</t>
        </is>
      </c>
      <c r="O12" s="22" t="inlineStr">
        <is>
          <t>Instagram @crossfitokanagan follower count, web search 2026 (single snippet, reverify)</t>
        </is>
      </c>
      <c r="P12" s="23" t="inlineStr">
        <is>
          <t>Pending</t>
        </is>
      </c>
      <c r="Q12" s="23" t="inlineStr">
        <is>
          <t>Cold</t>
        </is>
      </c>
      <c r="R12" s="24" t="n"/>
      <c r="S12" s="25">
        <f>IF(ISBLANK(R12),"",TODAY()-R12)</f>
        <v/>
      </c>
      <c r="T12" s="22" t="n"/>
      <c r="U12" s="24" t="n"/>
      <c r="V12" s="23" t="n"/>
      <c r="W12" s="24" t="n"/>
      <c r="X12" s="23" t="n"/>
      <c r="Y12" s="23" t="n"/>
      <c r="Z12" s="26" t="n"/>
      <c r="AA12" s="27">
        <f>IF(OR($Z12="",$Y12="",$Y12=0),"",$Z12/($Y12*24))</f>
        <v/>
      </c>
      <c r="AB12" s="26" t="n"/>
      <c r="AC12" s="22" t="n"/>
      <c r="AD12" s="22" t="n"/>
      <c r="AE12" s="22" t="n"/>
      <c r="AF12" s="22" t="n"/>
      <c r="AG12" s="22" t="n"/>
      <c r="AH12" s="23" t="inlineStr">
        <is>
          <t>No</t>
        </is>
      </c>
      <c r="AI12" s="23" t="n"/>
      <c r="AJ12" s="23" t="n"/>
      <c r="AK12" s="23" t="n"/>
      <c r="AL12" s="22" t="inlineStr">
        <is>
          <t>CrossFit box, also runs a ForeverFit 55 plus program.</t>
        </is>
      </c>
    </row>
    <row r="13" ht="20" customHeight="1">
      <c r="A13" s="17">
        <f>IF($B13="","",ROW()-2)</f>
        <v/>
      </c>
      <c r="B13" s="16" t="n"/>
      <c r="C13" s="16">
        <f>IF($B13="","","Gyms &amp; Studios")</f>
        <v/>
      </c>
      <c r="D13" s="17" t="n"/>
      <c r="E13" s="16" t="n"/>
      <c r="F13" s="17" t="n"/>
      <c r="G13" s="17" t="n"/>
      <c r="H13" s="17" t="n"/>
      <c r="I13" s="16" t="n"/>
      <c r="J13" s="17" t="n"/>
      <c r="K13" s="16" t="n"/>
      <c r="L13" s="17" t="n"/>
      <c r="M13" s="16" t="n"/>
      <c r="N13" s="17" t="n"/>
      <c r="O13" s="16" t="n"/>
      <c r="P13" s="17" t="n"/>
      <c r="Q13" s="17" t="n"/>
      <c r="R13" s="15" t="n"/>
      <c r="S13" s="19">
        <f>IF(ISBLANK(R13),"",TODAY()-R13)</f>
        <v/>
      </c>
      <c r="T13" s="16" t="n"/>
      <c r="U13" s="15" t="n"/>
      <c r="V13" s="17" t="n"/>
      <c r="W13" s="15" t="n"/>
      <c r="X13" s="17" t="n"/>
      <c r="Y13" s="17" t="n"/>
      <c r="Z13" s="20" t="n"/>
      <c r="AA13" s="21">
        <f>IF(OR($Z13="",$Y13="",$Y13=0),"",$Z13/($Y13*24))</f>
        <v/>
      </c>
      <c r="AB13" s="20" t="n"/>
      <c r="AC13" s="16" t="n"/>
      <c r="AD13" s="16" t="n"/>
      <c r="AE13" s="16" t="n"/>
      <c r="AF13" s="16" t="n"/>
      <c r="AG13" s="16" t="n"/>
      <c r="AH13" s="17" t="n"/>
      <c r="AI13" s="17" t="n"/>
      <c r="AJ13" s="17" t="n"/>
      <c r="AK13" s="17" t="n"/>
      <c r="AL13" s="16" t="n"/>
    </row>
    <row r="14" ht="20" customHeight="1">
      <c r="A14" s="23">
        <f>IF($B14="","",ROW()-2)</f>
        <v/>
      </c>
      <c r="B14" s="22" t="n"/>
      <c r="C14" s="22">
        <f>IF($B14="","","Gyms &amp; Studios")</f>
        <v/>
      </c>
      <c r="D14" s="23" t="n"/>
      <c r="E14" s="22" t="n"/>
      <c r="F14" s="23" t="n"/>
      <c r="G14" s="23" t="n"/>
      <c r="H14" s="23" t="n"/>
      <c r="I14" s="22" t="n"/>
      <c r="J14" s="23" t="n"/>
      <c r="K14" s="22" t="n"/>
      <c r="L14" s="23" t="n"/>
      <c r="M14" s="22" t="n"/>
      <c r="N14" s="23" t="n"/>
      <c r="O14" s="22" t="n"/>
      <c r="P14" s="23" t="n"/>
      <c r="Q14" s="23" t="n"/>
      <c r="R14" s="24" t="n"/>
      <c r="S14" s="25">
        <f>IF(ISBLANK(R14),"",TODAY()-R14)</f>
        <v/>
      </c>
      <c r="T14" s="22" t="n"/>
      <c r="U14" s="24" t="n"/>
      <c r="V14" s="23" t="n"/>
      <c r="W14" s="24" t="n"/>
      <c r="X14" s="23" t="n"/>
      <c r="Y14" s="23" t="n"/>
      <c r="Z14" s="26" t="n"/>
      <c r="AA14" s="27">
        <f>IF(OR($Z14="",$Y14="",$Y14=0),"",$Z14/($Y14*24))</f>
        <v/>
      </c>
      <c r="AB14" s="26" t="n"/>
      <c r="AC14" s="22" t="n"/>
      <c r="AD14" s="22" t="n"/>
      <c r="AE14" s="22" t="n"/>
      <c r="AF14" s="22" t="n"/>
      <c r="AG14" s="22" t="n"/>
      <c r="AH14" s="23" t="n"/>
      <c r="AI14" s="23" t="n"/>
      <c r="AJ14" s="23" t="n"/>
      <c r="AK14" s="23" t="n"/>
      <c r="AL14" s="22" t="n"/>
    </row>
    <row r="15" ht="20" customHeight="1">
      <c r="A15" s="17">
        <f>IF($B15="","",ROW()-2)</f>
        <v/>
      </c>
      <c r="B15" s="16" t="n"/>
      <c r="C15" s="16">
        <f>IF($B15="","","Gyms &amp; Studios")</f>
        <v/>
      </c>
      <c r="D15" s="17" t="n"/>
      <c r="E15" s="16" t="n"/>
      <c r="F15" s="17" t="n"/>
      <c r="G15" s="17" t="n"/>
      <c r="H15" s="17" t="n"/>
      <c r="I15" s="16" t="n"/>
      <c r="J15" s="17" t="n"/>
      <c r="K15" s="16" t="n"/>
      <c r="L15" s="17" t="n"/>
      <c r="M15" s="16" t="n"/>
      <c r="N15" s="17" t="n"/>
      <c r="O15" s="16" t="n"/>
      <c r="P15" s="17" t="n"/>
      <c r="Q15" s="17" t="n"/>
      <c r="R15" s="15" t="n"/>
      <c r="S15" s="19">
        <f>IF(ISBLANK(R15),"",TODAY()-R15)</f>
        <v/>
      </c>
      <c r="T15" s="16" t="n"/>
      <c r="U15" s="15" t="n"/>
      <c r="V15" s="17" t="n"/>
      <c r="W15" s="15" t="n"/>
      <c r="X15" s="17" t="n"/>
      <c r="Y15" s="17" t="n"/>
      <c r="Z15" s="20" t="n"/>
      <c r="AA15" s="21">
        <f>IF(OR($Z15="",$Y15="",$Y15=0),"",$Z15/($Y15*24))</f>
        <v/>
      </c>
      <c r="AB15" s="20" t="n"/>
      <c r="AC15" s="16" t="n"/>
      <c r="AD15" s="16" t="n"/>
      <c r="AE15" s="16" t="n"/>
      <c r="AF15" s="16" t="n"/>
      <c r="AG15" s="16" t="n"/>
      <c r="AH15" s="17" t="n"/>
      <c r="AI15" s="17" t="n"/>
      <c r="AJ15" s="17" t="n"/>
      <c r="AK15" s="17" t="n"/>
      <c r="AL15" s="16" t="n"/>
    </row>
    <row r="16" ht="20" customHeight="1">
      <c r="A16" s="23">
        <f>IF($B16="","",ROW()-2)</f>
        <v/>
      </c>
      <c r="B16" s="22" t="n"/>
      <c r="C16" s="22">
        <f>IF($B16="","","Gyms &amp; Studios")</f>
        <v/>
      </c>
      <c r="D16" s="23" t="n"/>
      <c r="E16" s="22" t="n"/>
      <c r="F16" s="23" t="n"/>
      <c r="G16" s="23" t="n"/>
      <c r="H16" s="23" t="n"/>
      <c r="I16" s="22" t="n"/>
      <c r="J16" s="23" t="n"/>
      <c r="K16" s="22" t="n"/>
      <c r="L16" s="23" t="n"/>
      <c r="M16" s="22" t="n"/>
      <c r="N16" s="23" t="n"/>
      <c r="O16" s="22" t="n"/>
      <c r="P16" s="23" t="n"/>
      <c r="Q16" s="23" t="n"/>
      <c r="R16" s="24" t="n"/>
      <c r="S16" s="25">
        <f>IF(ISBLANK(R16),"",TODAY()-R16)</f>
        <v/>
      </c>
      <c r="T16" s="22" t="n"/>
      <c r="U16" s="24" t="n"/>
      <c r="V16" s="23" t="n"/>
      <c r="W16" s="24" t="n"/>
      <c r="X16" s="23" t="n"/>
      <c r="Y16" s="23" t="n"/>
      <c r="Z16" s="26" t="n"/>
      <c r="AA16" s="27">
        <f>IF(OR($Z16="",$Y16="",$Y16=0),"",$Z16/($Y16*24))</f>
        <v/>
      </c>
      <c r="AB16" s="26" t="n"/>
      <c r="AC16" s="22" t="n"/>
      <c r="AD16" s="22" t="n"/>
      <c r="AE16" s="22" t="n"/>
      <c r="AF16" s="22" t="n"/>
      <c r="AG16" s="22" t="n"/>
      <c r="AH16" s="23" t="n"/>
      <c r="AI16" s="23" t="n"/>
      <c r="AJ16" s="23" t="n"/>
      <c r="AK16" s="23" t="n"/>
      <c r="AL16" s="22" t="n"/>
    </row>
    <row r="17" ht="20" customHeight="1">
      <c r="A17" s="17">
        <f>IF($B17="","",ROW()-2)</f>
        <v/>
      </c>
      <c r="B17" s="16" t="n"/>
      <c r="C17" s="16">
        <f>IF($B17="","","Gyms &amp; Studios")</f>
        <v/>
      </c>
      <c r="D17" s="17" t="n"/>
      <c r="E17" s="16" t="n"/>
      <c r="F17" s="17" t="n"/>
      <c r="G17" s="17" t="n"/>
      <c r="H17" s="17" t="n"/>
      <c r="I17" s="16" t="n"/>
      <c r="J17" s="17" t="n"/>
      <c r="K17" s="16" t="n"/>
      <c r="L17" s="17" t="n"/>
      <c r="M17" s="16" t="n"/>
      <c r="N17" s="17" t="n"/>
      <c r="O17" s="16" t="n"/>
      <c r="P17" s="17" t="n"/>
      <c r="Q17" s="17" t="n"/>
      <c r="R17" s="15" t="n"/>
      <c r="S17" s="19">
        <f>IF(ISBLANK(R17),"",TODAY()-R17)</f>
        <v/>
      </c>
      <c r="T17" s="16" t="n"/>
      <c r="U17" s="15" t="n"/>
      <c r="V17" s="17" t="n"/>
      <c r="W17" s="15" t="n"/>
      <c r="X17" s="17" t="n"/>
      <c r="Y17" s="17" t="n"/>
      <c r="Z17" s="20" t="n"/>
      <c r="AA17" s="21">
        <f>IF(OR($Z17="",$Y17="",$Y17=0),"",$Z17/($Y17*24))</f>
        <v/>
      </c>
      <c r="AB17" s="20" t="n"/>
      <c r="AC17" s="16" t="n"/>
      <c r="AD17" s="16" t="n"/>
      <c r="AE17" s="16" t="n"/>
      <c r="AF17" s="16" t="n"/>
      <c r="AG17" s="16" t="n"/>
      <c r="AH17" s="17" t="n"/>
      <c r="AI17" s="17" t="n"/>
      <c r="AJ17" s="17" t="n"/>
      <c r="AK17" s="17" t="n"/>
      <c r="AL17" s="16" t="n"/>
    </row>
    <row r="18" ht="20" customHeight="1">
      <c r="A18" s="23">
        <f>IF($B18="","",ROW()-2)</f>
        <v/>
      </c>
      <c r="B18" s="22" t="n"/>
      <c r="C18" s="22">
        <f>IF($B18="","","Gyms &amp; Studios")</f>
        <v/>
      </c>
      <c r="D18" s="23" t="n"/>
      <c r="E18" s="22" t="n"/>
      <c r="F18" s="23" t="n"/>
      <c r="G18" s="23" t="n"/>
      <c r="H18" s="23" t="n"/>
      <c r="I18" s="22" t="n"/>
      <c r="J18" s="23" t="n"/>
      <c r="K18" s="22" t="n"/>
      <c r="L18" s="23" t="n"/>
      <c r="M18" s="22" t="n"/>
      <c r="N18" s="23" t="n"/>
      <c r="O18" s="22" t="n"/>
      <c r="P18" s="23" t="n"/>
      <c r="Q18" s="23" t="n"/>
      <c r="R18" s="24" t="n"/>
      <c r="S18" s="25">
        <f>IF(ISBLANK(R18),"",TODAY()-R18)</f>
        <v/>
      </c>
      <c r="T18" s="22" t="n"/>
      <c r="U18" s="24" t="n"/>
      <c r="V18" s="23" t="n"/>
      <c r="W18" s="24" t="n"/>
      <c r="X18" s="23" t="n"/>
      <c r="Y18" s="23" t="n"/>
      <c r="Z18" s="26" t="n"/>
      <c r="AA18" s="27">
        <f>IF(OR($Z18="",$Y18="",$Y18=0),"",$Z18/($Y18*24))</f>
        <v/>
      </c>
      <c r="AB18" s="26" t="n"/>
      <c r="AC18" s="22" t="n"/>
      <c r="AD18" s="22" t="n"/>
      <c r="AE18" s="22" t="n"/>
      <c r="AF18" s="22" t="n"/>
      <c r="AG18" s="22" t="n"/>
      <c r="AH18" s="23" t="n"/>
      <c r="AI18" s="23" t="n"/>
      <c r="AJ18" s="23" t="n"/>
      <c r="AK18" s="23" t="n"/>
      <c r="AL18" s="22" t="n"/>
    </row>
    <row r="19" ht="20" customHeight="1">
      <c r="A19" s="17">
        <f>IF($B19="","",ROW()-2)</f>
        <v/>
      </c>
      <c r="B19" s="16" t="n"/>
      <c r="C19" s="16">
        <f>IF($B19="","","Gyms &amp; Studios")</f>
        <v/>
      </c>
      <c r="D19" s="17" t="n"/>
      <c r="E19" s="16" t="n"/>
      <c r="F19" s="17" t="n"/>
      <c r="G19" s="17" t="n"/>
      <c r="H19" s="17" t="n"/>
      <c r="I19" s="16" t="n"/>
      <c r="J19" s="17" t="n"/>
      <c r="K19" s="16" t="n"/>
      <c r="L19" s="17" t="n"/>
      <c r="M19" s="16" t="n"/>
      <c r="N19" s="17" t="n"/>
      <c r="O19" s="16" t="n"/>
      <c r="P19" s="17" t="n"/>
      <c r="Q19" s="17" t="n"/>
      <c r="R19" s="15" t="n"/>
      <c r="S19" s="19">
        <f>IF(ISBLANK(R19),"",TODAY()-R19)</f>
        <v/>
      </c>
      <c r="T19" s="16" t="n"/>
      <c r="U19" s="15" t="n"/>
      <c r="V19" s="17" t="n"/>
      <c r="W19" s="15" t="n"/>
      <c r="X19" s="17" t="n"/>
      <c r="Y19" s="17" t="n"/>
      <c r="Z19" s="20" t="n"/>
      <c r="AA19" s="21">
        <f>IF(OR($Z19="",$Y19="",$Y19=0),"",$Z19/($Y19*24))</f>
        <v/>
      </c>
      <c r="AB19" s="20" t="n"/>
      <c r="AC19" s="16" t="n"/>
      <c r="AD19" s="16" t="n"/>
      <c r="AE19" s="16" t="n"/>
      <c r="AF19" s="16" t="n"/>
      <c r="AG19" s="16" t="n"/>
      <c r="AH19" s="17" t="n"/>
      <c r="AI19" s="17" t="n"/>
      <c r="AJ19" s="17" t="n"/>
      <c r="AK19" s="17" t="n"/>
      <c r="AL19" s="16" t="n"/>
    </row>
    <row r="20" ht="20" customHeight="1">
      <c r="A20" s="23">
        <f>IF($B20="","",ROW()-2)</f>
        <v/>
      </c>
      <c r="B20" s="22" t="n"/>
      <c r="C20" s="22">
        <f>IF($B20="","","Gyms &amp; Studios")</f>
        <v/>
      </c>
      <c r="D20" s="23" t="n"/>
      <c r="E20" s="22" t="n"/>
      <c r="F20" s="23" t="n"/>
      <c r="G20" s="23" t="n"/>
      <c r="H20" s="23" t="n"/>
      <c r="I20" s="22" t="n"/>
      <c r="J20" s="23" t="n"/>
      <c r="K20" s="22" t="n"/>
      <c r="L20" s="23" t="n"/>
      <c r="M20" s="22" t="n"/>
      <c r="N20" s="23" t="n"/>
      <c r="O20" s="22" t="n"/>
      <c r="P20" s="23" t="n"/>
      <c r="Q20" s="23" t="n"/>
      <c r="R20" s="24" t="n"/>
      <c r="S20" s="25">
        <f>IF(ISBLANK(R20),"",TODAY()-R20)</f>
        <v/>
      </c>
      <c r="T20" s="22" t="n"/>
      <c r="U20" s="24" t="n"/>
      <c r="V20" s="23" t="n"/>
      <c r="W20" s="24" t="n"/>
      <c r="X20" s="23" t="n"/>
      <c r="Y20" s="23" t="n"/>
      <c r="Z20" s="26" t="n"/>
      <c r="AA20" s="27">
        <f>IF(OR($Z20="",$Y20="",$Y20=0),"",$Z20/($Y20*24))</f>
        <v/>
      </c>
      <c r="AB20" s="26" t="n"/>
      <c r="AC20" s="22" t="n"/>
      <c r="AD20" s="22" t="n"/>
      <c r="AE20" s="22" t="n"/>
      <c r="AF20" s="22" t="n"/>
      <c r="AG20" s="22" t="n"/>
      <c r="AH20" s="23" t="n"/>
      <c r="AI20" s="23" t="n"/>
      <c r="AJ20" s="23" t="n"/>
      <c r="AK20" s="23" t="n"/>
      <c r="AL20" s="22" t="n"/>
    </row>
    <row r="21" ht="20" customHeight="1">
      <c r="A21" s="17">
        <f>IF($B21="","",ROW()-2)</f>
        <v/>
      </c>
      <c r="B21" s="16" t="n"/>
      <c r="C21" s="16">
        <f>IF($B21="","","Gyms &amp; Studios")</f>
        <v/>
      </c>
      <c r="D21" s="17" t="n"/>
      <c r="E21" s="16" t="n"/>
      <c r="F21" s="17" t="n"/>
      <c r="G21" s="17" t="n"/>
      <c r="H21" s="17" t="n"/>
      <c r="I21" s="16" t="n"/>
      <c r="J21" s="17" t="n"/>
      <c r="K21" s="16" t="n"/>
      <c r="L21" s="17" t="n"/>
      <c r="M21" s="16" t="n"/>
      <c r="N21" s="17" t="n"/>
      <c r="O21" s="16" t="n"/>
      <c r="P21" s="17" t="n"/>
      <c r="Q21" s="17" t="n"/>
      <c r="R21" s="15" t="n"/>
      <c r="S21" s="19">
        <f>IF(ISBLANK(R21),"",TODAY()-R21)</f>
        <v/>
      </c>
      <c r="T21" s="16" t="n"/>
      <c r="U21" s="15" t="n"/>
      <c r="V21" s="17" t="n"/>
      <c r="W21" s="15" t="n"/>
      <c r="X21" s="17" t="n"/>
      <c r="Y21" s="17" t="n"/>
      <c r="Z21" s="20" t="n"/>
      <c r="AA21" s="21">
        <f>IF(OR($Z21="",$Y21="",$Y21=0),"",$Z21/($Y21*24))</f>
        <v/>
      </c>
      <c r="AB21" s="20" t="n"/>
      <c r="AC21" s="16" t="n"/>
      <c r="AD21" s="16" t="n"/>
      <c r="AE21" s="16" t="n"/>
      <c r="AF21" s="16" t="n"/>
      <c r="AG21" s="16" t="n"/>
      <c r="AH21" s="17" t="n"/>
      <c r="AI21" s="17" t="n"/>
      <c r="AJ21" s="17" t="n"/>
      <c r="AK21" s="17" t="n"/>
      <c r="AL21" s="16" t="n"/>
    </row>
    <row r="22" ht="20" customHeight="1">
      <c r="A22" s="23">
        <f>IF($B22="","",ROW()-2)</f>
        <v/>
      </c>
      <c r="B22" s="22" t="n"/>
      <c r="C22" s="22">
        <f>IF($B22="","","Gyms &amp; Studios")</f>
        <v/>
      </c>
      <c r="D22" s="23" t="n"/>
      <c r="E22" s="22" t="n"/>
      <c r="F22" s="23" t="n"/>
      <c r="G22" s="23" t="n"/>
      <c r="H22" s="23" t="n"/>
      <c r="I22" s="22" t="n"/>
      <c r="J22" s="23" t="n"/>
      <c r="K22" s="22" t="n"/>
      <c r="L22" s="23" t="n"/>
      <c r="M22" s="22" t="n"/>
      <c r="N22" s="23" t="n"/>
      <c r="O22" s="22" t="n"/>
      <c r="P22" s="23" t="n"/>
      <c r="Q22" s="23" t="n"/>
      <c r="R22" s="24" t="n"/>
      <c r="S22" s="25">
        <f>IF(ISBLANK(R22),"",TODAY()-R22)</f>
        <v/>
      </c>
      <c r="T22" s="22" t="n"/>
      <c r="U22" s="24" t="n"/>
      <c r="V22" s="23" t="n"/>
      <c r="W22" s="24" t="n"/>
      <c r="X22" s="23" t="n"/>
      <c r="Y22" s="23" t="n"/>
      <c r="Z22" s="26" t="n"/>
      <c r="AA22" s="27">
        <f>IF(OR($Z22="",$Y22="",$Y22=0),"",$Z22/($Y22*24))</f>
        <v/>
      </c>
      <c r="AB22" s="26" t="n"/>
      <c r="AC22" s="22" t="n"/>
      <c r="AD22" s="22" t="n"/>
      <c r="AE22" s="22" t="n"/>
      <c r="AF22" s="22" t="n"/>
      <c r="AG22" s="22" t="n"/>
      <c r="AH22" s="23" t="n"/>
      <c r="AI22" s="23" t="n"/>
      <c r="AJ22" s="23" t="n"/>
      <c r="AK22" s="23" t="n"/>
      <c r="AL22" s="22" t="n"/>
    </row>
    <row r="23" ht="20" customHeight="1">
      <c r="A23" s="17">
        <f>IF($B23="","",ROW()-2)</f>
        <v/>
      </c>
      <c r="B23" s="16" t="n"/>
      <c r="C23" s="16">
        <f>IF($B23="","","Gyms &amp; Studios")</f>
        <v/>
      </c>
      <c r="D23" s="17" t="n"/>
      <c r="E23" s="16" t="n"/>
      <c r="F23" s="17" t="n"/>
      <c r="G23" s="17" t="n"/>
      <c r="H23" s="17" t="n"/>
      <c r="I23" s="16" t="n"/>
      <c r="J23" s="17" t="n"/>
      <c r="K23" s="16" t="n"/>
      <c r="L23" s="17" t="n"/>
      <c r="M23" s="16" t="n"/>
      <c r="N23" s="17" t="n"/>
      <c r="O23" s="16" t="n"/>
      <c r="P23" s="17" t="n"/>
      <c r="Q23" s="17" t="n"/>
      <c r="R23" s="15" t="n"/>
      <c r="S23" s="19">
        <f>IF(ISBLANK(R23),"",TODAY()-R23)</f>
        <v/>
      </c>
      <c r="T23" s="16" t="n"/>
      <c r="U23" s="15" t="n"/>
      <c r="V23" s="17" t="n"/>
      <c r="W23" s="15" t="n"/>
      <c r="X23" s="17" t="n"/>
      <c r="Y23" s="17" t="n"/>
      <c r="Z23" s="20" t="n"/>
      <c r="AA23" s="21">
        <f>IF(OR($Z23="",$Y23="",$Y23=0),"",$Z23/($Y23*24))</f>
        <v/>
      </c>
      <c r="AB23" s="20" t="n"/>
      <c r="AC23" s="16" t="n"/>
      <c r="AD23" s="16" t="n"/>
      <c r="AE23" s="16" t="n"/>
      <c r="AF23" s="16" t="n"/>
      <c r="AG23" s="16" t="n"/>
      <c r="AH23" s="17" t="n"/>
      <c r="AI23" s="17" t="n"/>
      <c r="AJ23" s="17" t="n"/>
      <c r="AK23" s="17" t="n"/>
      <c r="AL23" s="16" t="n"/>
    </row>
    <row r="24" ht="20" customHeight="1">
      <c r="A24" s="23">
        <f>IF($B24="","",ROW()-2)</f>
        <v/>
      </c>
      <c r="B24" s="22" t="n"/>
      <c r="C24" s="22">
        <f>IF($B24="","","Gyms &amp; Studios")</f>
        <v/>
      </c>
      <c r="D24" s="23" t="n"/>
      <c r="E24" s="22" t="n"/>
      <c r="F24" s="23" t="n"/>
      <c r="G24" s="23" t="n"/>
      <c r="H24" s="23" t="n"/>
      <c r="I24" s="22" t="n"/>
      <c r="J24" s="23" t="n"/>
      <c r="K24" s="22" t="n"/>
      <c r="L24" s="23" t="n"/>
      <c r="M24" s="22" t="n"/>
      <c r="N24" s="23" t="n"/>
      <c r="O24" s="22" t="n"/>
      <c r="P24" s="23" t="n"/>
      <c r="Q24" s="23" t="n"/>
      <c r="R24" s="24" t="n"/>
      <c r="S24" s="25">
        <f>IF(ISBLANK(R24),"",TODAY()-R24)</f>
        <v/>
      </c>
      <c r="T24" s="22" t="n"/>
      <c r="U24" s="24" t="n"/>
      <c r="V24" s="23" t="n"/>
      <c r="W24" s="24" t="n"/>
      <c r="X24" s="23" t="n"/>
      <c r="Y24" s="23" t="n"/>
      <c r="Z24" s="26" t="n"/>
      <c r="AA24" s="27">
        <f>IF(OR($Z24="",$Y24="",$Y24=0),"",$Z24/($Y24*24))</f>
        <v/>
      </c>
      <c r="AB24" s="26" t="n"/>
      <c r="AC24" s="22" t="n"/>
      <c r="AD24" s="22" t="n"/>
      <c r="AE24" s="22" t="n"/>
      <c r="AF24" s="22" t="n"/>
      <c r="AG24" s="22" t="n"/>
      <c r="AH24" s="23" t="n"/>
      <c r="AI24" s="23" t="n"/>
      <c r="AJ24" s="23" t="n"/>
      <c r="AK24" s="23" t="n"/>
      <c r="AL24" s="22" t="n"/>
    </row>
    <row r="25" ht="20" customHeight="1">
      <c r="A25" s="17">
        <f>IF($B25="","",ROW()-2)</f>
        <v/>
      </c>
      <c r="B25" s="16" t="n"/>
      <c r="C25" s="16">
        <f>IF($B25="","","Gyms &amp; Studios")</f>
        <v/>
      </c>
      <c r="D25" s="17" t="n"/>
      <c r="E25" s="16" t="n"/>
      <c r="F25" s="17" t="n"/>
      <c r="G25" s="17" t="n"/>
      <c r="H25" s="17" t="n"/>
      <c r="I25" s="16" t="n"/>
      <c r="J25" s="17" t="n"/>
      <c r="K25" s="16" t="n"/>
      <c r="L25" s="17" t="n"/>
      <c r="M25" s="16" t="n"/>
      <c r="N25" s="17" t="n"/>
      <c r="O25" s="16" t="n"/>
      <c r="P25" s="17" t="n"/>
      <c r="Q25" s="17" t="n"/>
      <c r="R25" s="15" t="n"/>
      <c r="S25" s="19">
        <f>IF(ISBLANK(R25),"",TODAY()-R25)</f>
        <v/>
      </c>
      <c r="T25" s="16" t="n"/>
      <c r="U25" s="15" t="n"/>
      <c r="V25" s="17" t="n"/>
      <c r="W25" s="15" t="n"/>
      <c r="X25" s="17" t="n"/>
      <c r="Y25" s="17" t="n"/>
      <c r="Z25" s="20" t="n"/>
      <c r="AA25" s="21">
        <f>IF(OR($Z25="",$Y25="",$Y25=0),"",$Z25/($Y25*24))</f>
        <v/>
      </c>
      <c r="AB25" s="20" t="n"/>
      <c r="AC25" s="16" t="n"/>
      <c r="AD25" s="16" t="n"/>
      <c r="AE25" s="16" t="n"/>
      <c r="AF25" s="16" t="n"/>
      <c r="AG25" s="16" t="n"/>
      <c r="AH25" s="17" t="n"/>
      <c r="AI25" s="17" t="n"/>
      <c r="AJ25" s="17" t="n"/>
      <c r="AK25" s="17" t="n"/>
      <c r="AL25" s="16" t="n"/>
    </row>
    <row r="26" ht="20" customHeight="1">
      <c r="A26" s="23">
        <f>IF($B26="","",ROW()-2)</f>
        <v/>
      </c>
      <c r="B26" s="22" t="n"/>
      <c r="C26" s="22">
        <f>IF($B26="","","Gyms &amp; Studios")</f>
        <v/>
      </c>
      <c r="D26" s="23" t="n"/>
      <c r="E26" s="22" t="n"/>
      <c r="F26" s="23" t="n"/>
      <c r="G26" s="23" t="n"/>
      <c r="H26" s="23" t="n"/>
      <c r="I26" s="22" t="n"/>
      <c r="J26" s="23" t="n"/>
      <c r="K26" s="22" t="n"/>
      <c r="L26" s="23" t="n"/>
      <c r="M26" s="22" t="n"/>
      <c r="N26" s="23" t="n"/>
      <c r="O26" s="22" t="n"/>
      <c r="P26" s="23" t="n"/>
      <c r="Q26" s="23" t="n"/>
      <c r="R26" s="24" t="n"/>
      <c r="S26" s="25">
        <f>IF(ISBLANK(R26),"",TODAY()-R26)</f>
        <v/>
      </c>
      <c r="T26" s="22" t="n"/>
      <c r="U26" s="24" t="n"/>
      <c r="V26" s="23" t="n"/>
      <c r="W26" s="24" t="n"/>
      <c r="X26" s="23" t="n"/>
      <c r="Y26" s="23" t="n"/>
      <c r="Z26" s="26" t="n"/>
      <c r="AA26" s="27">
        <f>IF(OR($Z26="",$Y26="",$Y26=0),"",$Z26/($Y26*24))</f>
        <v/>
      </c>
      <c r="AB26" s="26" t="n"/>
      <c r="AC26" s="22" t="n"/>
      <c r="AD26" s="22" t="n"/>
      <c r="AE26" s="22" t="n"/>
      <c r="AF26" s="22" t="n"/>
      <c r="AG26" s="22" t="n"/>
      <c r="AH26" s="23" t="n"/>
      <c r="AI26" s="23" t="n"/>
      <c r="AJ26" s="23" t="n"/>
      <c r="AK26" s="23" t="n"/>
      <c r="AL26" s="22" t="n"/>
    </row>
    <row r="27" ht="20" customHeight="1">
      <c r="A27" s="17">
        <f>IF($B27="","",ROW()-2)</f>
        <v/>
      </c>
      <c r="B27" s="16" t="n"/>
      <c r="C27" s="16">
        <f>IF($B27="","","Gyms &amp; Studios")</f>
        <v/>
      </c>
      <c r="D27" s="17" t="n"/>
      <c r="E27" s="16" t="n"/>
      <c r="F27" s="17" t="n"/>
      <c r="G27" s="17" t="n"/>
      <c r="H27" s="17" t="n"/>
      <c r="I27" s="16" t="n"/>
      <c r="J27" s="17" t="n"/>
      <c r="K27" s="16" t="n"/>
      <c r="L27" s="17" t="n"/>
      <c r="M27" s="16" t="n"/>
      <c r="N27" s="17" t="n"/>
      <c r="O27" s="16" t="n"/>
      <c r="P27" s="17" t="n"/>
      <c r="Q27" s="17" t="n"/>
      <c r="R27" s="15" t="n"/>
      <c r="S27" s="19">
        <f>IF(ISBLANK(R27),"",TODAY()-R27)</f>
        <v/>
      </c>
      <c r="T27" s="16" t="n"/>
      <c r="U27" s="15" t="n"/>
      <c r="V27" s="17" t="n"/>
      <c r="W27" s="15" t="n"/>
      <c r="X27" s="17" t="n"/>
      <c r="Y27" s="17" t="n"/>
      <c r="Z27" s="20" t="n"/>
      <c r="AA27" s="21">
        <f>IF(OR($Z27="",$Y27="",$Y27=0),"",$Z27/($Y27*24))</f>
        <v/>
      </c>
      <c r="AB27" s="20" t="n"/>
      <c r="AC27" s="16" t="n"/>
      <c r="AD27" s="16" t="n"/>
      <c r="AE27" s="16" t="n"/>
      <c r="AF27" s="16" t="n"/>
      <c r="AG27" s="16" t="n"/>
      <c r="AH27" s="17" t="n"/>
      <c r="AI27" s="17" t="n"/>
      <c r="AJ27" s="17" t="n"/>
      <c r="AK27" s="17" t="n"/>
      <c r="AL27" s="16" t="n"/>
    </row>
    <row r="28" ht="20" customHeight="1">
      <c r="A28" s="23">
        <f>IF($B28="","",ROW()-2)</f>
        <v/>
      </c>
      <c r="B28" s="22" t="n"/>
      <c r="C28" s="22">
        <f>IF($B28="","","Gyms &amp; Studios")</f>
        <v/>
      </c>
      <c r="D28" s="23" t="n"/>
      <c r="E28" s="22" t="n"/>
      <c r="F28" s="23" t="n"/>
      <c r="G28" s="23" t="n"/>
      <c r="H28" s="23" t="n"/>
      <c r="I28" s="22" t="n"/>
      <c r="J28" s="23" t="n"/>
      <c r="K28" s="22" t="n"/>
      <c r="L28" s="23" t="n"/>
      <c r="M28" s="22" t="n"/>
      <c r="N28" s="23" t="n"/>
      <c r="O28" s="22" t="n"/>
      <c r="P28" s="23" t="n"/>
      <c r="Q28" s="23" t="n"/>
      <c r="R28" s="24" t="n"/>
      <c r="S28" s="25">
        <f>IF(ISBLANK(R28),"",TODAY()-R28)</f>
        <v/>
      </c>
      <c r="T28" s="22" t="n"/>
      <c r="U28" s="24" t="n"/>
      <c r="V28" s="23" t="n"/>
      <c r="W28" s="24" t="n"/>
      <c r="X28" s="23" t="n"/>
      <c r="Y28" s="23" t="n"/>
      <c r="Z28" s="26" t="n"/>
      <c r="AA28" s="27">
        <f>IF(OR($Z28="",$Y28="",$Y28=0),"",$Z28/($Y28*24))</f>
        <v/>
      </c>
      <c r="AB28" s="26" t="n"/>
      <c r="AC28" s="22" t="n"/>
      <c r="AD28" s="22" t="n"/>
      <c r="AE28" s="22" t="n"/>
      <c r="AF28" s="22" t="n"/>
      <c r="AG28" s="22" t="n"/>
      <c r="AH28" s="23" t="n"/>
      <c r="AI28" s="23" t="n"/>
      <c r="AJ28" s="23" t="n"/>
      <c r="AK28" s="23" t="n"/>
      <c r="AL28" s="22" t="n"/>
    </row>
    <row r="29" ht="20" customHeight="1">
      <c r="A29" s="17">
        <f>IF($B29="","",ROW()-2)</f>
        <v/>
      </c>
      <c r="B29" s="16" t="n"/>
      <c r="C29" s="16">
        <f>IF($B29="","","Gyms &amp; Studios")</f>
        <v/>
      </c>
      <c r="D29" s="17" t="n"/>
      <c r="E29" s="16" t="n"/>
      <c r="F29" s="17" t="n"/>
      <c r="G29" s="17" t="n"/>
      <c r="H29" s="17" t="n"/>
      <c r="I29" s="16" t="n"/>
      <c r="J29" s="17" t="n"/>
      <c r="K29" s="16" t="n"/>
      <c r="L29" s="17" t="n"/>
      <c r="M29" s="16" t="n"/>
      <c r="N29" s="17" t="n"/>
      <c r="O29" s="16" t="n"/>
      <c r="P29" s="17" t="n"/>
      <c r="Q29" s="17" t="n"/>
      <c r="R29" s="15" t="n"/>
      <c r="S29" s="19">
        <f>IF(ISBLANK(R29),"",TODAY()-R29)</f>
        <v/>
      </c>
      <c r="T29" s="16" t="n"/>
      <c r="U29" s="15" t="n"/>
      <c r="V29" s="17" t="n"/>
      <c r="W29" s="15" t="n"/>
      <c r="X29" s="17" t="n"/>
      <c r="Y29" s="17" t="n"/>
      <c r="Z29" s="20" t="n"/>
      <c r="AA29" s="21">
        <f>IF(OR($Z29="",$Y29="",$Y29=0),"",$Z29/($Y29*24))</f>
        <v/>
      </c>
      <c r="AB29" s="20" t="n"/>
      <c r="AC29" s="16" t="n"/>
      <c r="AD29" s="16" t="n"/>
      <c r="AE29" s="16" t="n"/>
      <c r="AF29" s="16" t="n"/>
      <c r="AG29" s="16" t="n"/>
      <c r="AH29" s="17" t="n"/>
      <c r="AI29" s="17" t="n"/>
      <c r="AJ29" s="17" t="n"/>
      <c r="AK29" s="17" t="n"/>
      <c r="AL29" s="16" t="n"/>
    </row>
    <row r="30" ht="20" customHeight="1">
      <c r="A30" s="23">
        <f>IF($B30="","",ROW()-2)</f>
        <v/>
      </c>
      <c r="B30" s="22" t="n"/>
      <c r="C30" s="22">
        <f>IF($B30="","","Gyms &amp; Studios")</f>
        <v/>
      </c>
      <c r="D30" s="23" t="n"/>
      <c r="E30" s="22" t="n"/>
      <c r="F30" s="23" t="n"/>
      <c r="G30" s="23" t="n"/>
      <c r="H30" s="23" t="n"/>
      <c r="I30" s="22" t="n"/>
      <c r="J30" s="23" t="n"/>
      <c r="K30" s="22" t="n"/>
      <c r="L30" s="23" t="n"/>
      <c r="M30" s="22" t="n"/>
      <c r="N30" s="23" t="n"/>
      <c r="O30" s="22" t="n"/>
      <c r="P30" s="23" t="n"/>
      <c r="Q30" s="23" t="n"/>
      <c r="R30" s="24" t="n"/>
      <c r="S30" s="25">
        <f>IF(ISBLANK(R30),"",TODAY()-R30)</f>
        <v/>
      </c>
      <c r="T30" s="22" t="n"/>
      <c r="U30" s="24" t="n"/>
      <c r="V30" s="23" t="n"/>
      <c r="W30" s="24" t="n"/>
      <c r="X30" s="23" t="n"/>
      <c r="Y30" s="23" t="n"/>
      <c r="Z30" s="26" t="n"/>
      <c r="AA30" s="27">
        <f>IF(OR($Z30="",$Y30="",$Y30=0),"",$Z30/($Y30*24))</f>
        <v/>
      </c>
      <c r="AB30" s="26" t="n"/>
      <c r="AC30" s="22" t="n"/>
      <c r="AD30" s="22" t="n"/>
      <c r="AE30" s="22" t="n"/>
      <c r="AF30" s="22" t="n"/>
      <c r="AG30" s="22" t="n"/>
      <c r="AH30" s="23" t="n"/>
      <c r="AI30" s="23" t="n"/>
      <c r="AJ30" s="23" t="n"/>
      <c r="AK30" s="23" t="n"/>
      <c r="AL30" s="22" t="n"/>
    </row>
    <row r="31" ht="20" customHeight="1">
      <c r="A31" s="17">
        <f>IF($B31="","",ROW()-2)</f>
        <v/>
      </c>
      <c r="B31" s="16" t="n"/>
      <c r="C31" s="16">
        <f>IF($B31="","","Gyms &amp; Studios")</f>
        <v/>
      </c>
      <c r="D31" s="17" t="n"/>
      <c r="E31" s="16" t="n"/>
      <c r="F31" s="17" t="n"/>
      <c r="G31" s="17" t="n"/>
      <c r="H31" s="17" t="n"/>
      <c r="I31" s="16" t="n"/>
      <c r="J31" s="17" t="n"/>
      <c r="K31" s="16" t="n"/>
      <c r="L31" s="17" t="n"/>
      <c r="M31" s="16" t="n"/>
      <c r="N31" s="17" t="n"/>
      <c r="O31" s="16" t="n"/>
      <c r="P31" s="17" t="n"/>
      <c r="Q31" s="17" t="n"/>
      <c r="R31" s="15" t="n"/>
      <c r="S31" s="19">
        <f>IF(ISBLANK(R31),"",TODAY()-R31)</f>
        <v/>
      </c>
      <c r="T31" s="16" t="n"/>
      <c r="U31" s="15" t="n"/>
      <c r="V31" s="17" t="n"/>
      <c r="W31" s="15" t="n"/>
      <c r="X31" s="17" t="n"/>
      <c r="Y31" s="17" t="n"/>
      <c r="Z31" s="20" t="n"/>
      <c r="AA31" s="21">
        <f>IF(OR($Z31="",$Y31="",$Y31=0),"",$Z31/($Y31*24))</f>
        <v/>
      </c>
      <c r="AB31" s="20" t="n"/>
      <c r="AC31" s="16" t="n"/>
      <c r="AD31" s="16" t="n"/>
      <c r="AE31" s="16" t="n"/>
      <c r="AF31" s="16" t="n"/>
      <c r="AG31" s="16" t="n"/>
      <c r="AH31" s="17" t="n"/>
      <c r="AI31" s="17" t="n"/>
      <c r="AJ31" s="17" t="n"/>
      <c r="AK31" s="17" t="n"/>
      <c r="AL31" s="16" t="n"/>
    </row>
    <row r="32" ht="20" customHeight="1">
      <c r="A32" s="23">
        <f>IF($B32="","",ROW()-2)</f>
        <v/>
      </c>
      <c r="B32" s="22" t="n"/>
      <c r="C32" s="22">
        <f>IF($B32="","","Gyms &amp; Studios")</f>
        <v/>
      </c>
      <c r="D32" s="23" t="n"/>
      <c r="E32" s="22" t="n"/>
      <c r="F32" s="23" t="n"/>
      <c r="G32" s="23" t="n"/>
      <c r="H32" s="23" t="n"/>
      <c r="I32" s="22" t="n"/>
      <c r="J32" s="23" t="n"/>
      <c r="K32" s="22" t="n"/>
      <c r="L32" s="23" t="n"/>
      <c r="M32" s="22" t="n"/>
      <c r="N32" s="23" t="n"/>
      <c r="O32" s="22" t="n"/>
      <c r="P32" s="23" t="n"/>
      <c r="Q32" s="23" t="n"/>
      <c r="R32" s="24" t="n"/>
      <c r="S32" s="25">
        <f>IF(ISBLANK(R32),"",TODAY()-R32)</f>
        <v/>
      </c>
      <c r="T32" s="22" t="n"/>
      <c r="U32" s="24" t="n"/>
      <c r="V32" s="23" t="n"/>
      <c r="W32" s="24" t="n"/>
      <c r="X32" s="23" t="n"/>
      <c r="Y32" s="23" t="n"/>
      <c r="Z32" s="26" t="n"/>
      <c r="AA32" s="27">
        <f>IF(OR($Z32="",$Y32="",$Y32=0),"",$Z32/($Y32*24))</f>
        <v/>
      </c>
      <c r="AB32" s="26" t="n"/>
      <c r="AC32" s="22" t="n"/>
      <c r="AD32" s="22" t="n"/>
      <c r="AE32" s="22" t="n"/>
      <c r="AF32" s="22" t="n"/>
      <c r="AG32" s="22" t="n"/>
      <c r="AH32" s="23" t="n"/>
      <c r="AI32" s="23" t="n"/>
      <c r="AJ32" s="23" t="n"/>
      <c r="AK32" s="23" t="n"/>
      <c r="AL32" s="22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Events &amp; Festivals</t>
        </is>
      </c>
    </row>
    <row r="2" ht="50" customHeight="1">
      <c r="A2" s="8" t="inlineStr">
        <is>
          <t>#</t>
        </is>
      </c>
      <c r="B2" s="8" t="inlineStr">
        <is>
          <t>Partner Name</t>
        </is>
      </c>
      <c r="C2" s="8" t="inlineStr">
        <is>
          <t>Partnership Type</t>
        </is>
      </c>
      <c r="D2" s="8" t="inlineStr">
        <is>
          <t>City</t>
        </is>
      </c>
      <c r="E2" s="8" t="inlineStr">
        <is>
          <t>Neighbourhood</t>
        </is>
      </c>
      <c r="F2" s="8" t="inlineStr">
        <is>
          <t>Priority</t>
        </is>
      </c>
      <c r="G2" s="8" t="inlineStr">
        <is>
          <t>Status</t>
        </is>
      </c>
      <c r="H2" s="8" t="inlineStr">
        <is>
          <t>Primary Owner</t>
        </is>
      </c>
      <c r="I2" s="8" t="inlineStr">
        <is>
          <t>Contact Name</t>
        </is>
      </c>
      <c r="J2" s="8" t="inlineStr">
        <is>
          <t>Role</t>
        </is>
      </c>
      <c r="K2" s="8" t="inlineStr">
        <is>
          <t>Contact Email</t>
        </is>
      </c>
      <c r="L2" s="8" t="inlineStr">
        <is>
          <t>Contact Phone</t>
        </is>
      </c>
      <c r="M2" s="8" t="inlineStr">
        <is>
          <t>Instagram or Website</t>
        </is>
      </c>
      <c r="N2" s="8" t="inlineStr">
        <is>
          <t>Audience Size</t>
        </is>
      </c>
      <c r="O2" s="8" t="inlineStr">
        <is>
          <t>Audience Source</t>
        </is>
      </c>
      <c r="P2" s="8" t="inlineStr">
        <is>
          <t>Source</t>
        </is>
      </c>
      <c r="Q2" s="8" t="inlineStr">
        <is>
          <t>Warm</t>
        </is>
      </c>
      <c r="R2" s="8" t="inlineStr">
        <is>
          <t>Last Contacted</t>
        </is>
      </c>
      <c r="S2" s="8" t="inlineStr">
        <is>
          <t>Days Since Activity</t>
        </is>
      </c>
      <c r="T2" s="8" t="inlineStr">
        <is>
          <t>Next Action</t>
        </is>
      </c>
      <c r="U2" s="8" t="inlineStr">
        <is>
          <t>Next Action Date</t>
        </is>
      </c>
      <c r="V2" s="8" t="inlineStr">
        <is>
          <t>Activation Type</t>
        </is>
      </c>
      <c r="W2" s="8" t="inlineStr">
        <is>
          <t>Activation Date</t>
        </is>
      </c>
      <c r="X2" s="8" t="inlineStr">
        <is>
          <t>Cases Committed</t>
        </is>
      </c>
      <c r="Y2" s="8" t="inlineStr">
        <is>
          <t>Cases Delivered</t>
        </is>
      </c>
      <c r="Z2" s="8" t="inlineStr">
        <is>
          <t>Cost ($)</t>
        </is>
      </c>
      <c r="AA2" s="8" t="inlineStr">
        <is>
          <t>Cost Per Can</t>
        </is>
      </c>
      <c r="AB2" s="8" t="inlineStr">
        <is>
          <t>Contra Value ($)</t>
        </is>
      </c>
      <c r="AC2" s="8" t="inlineStr">
        <is>
          <t>Deliverables Promised</t>
        </is>
      </c>
      <c r="AD2" s="8" t="inlineStr">
        <is>
          <t>Deliverables Received</t>
        </is>
      </c>
      <c r="AE2" s="8" t="inlineStr">
        <is>
          <t>What They Want</t>
        </is>
      </c>
      <c r="AF2" s="8" t="inlineStr">
        <is>
          <t>Risks</t>
        </is>
      </c>
      <c r="AG2" s="8" t="inlineStr">
        <is>
          <t>Nearby Retail Doors</t>
        </is>
      </c>
      <c r="AH2" s="8" t="inlineStr">
        <is>
          <t>In BC Tracker?</t>
        </is>
      </c>
      <c r="AI2" s="8" t="inlineStr">
        <is>
          <t>Raspberry 4338</t>
        </is>
      </c>
      <c r="AJ2" s="8" t="inlineStr">
        <is>
          <t>Lemon Lime 4336</t>
        </is>
      </c>
      <c r="AK2" s="8" t="inlineStr">
        <is>
          <t>Pineapple Passion Fruit 4340</t>
        </is>
      </c>
      <c r="AL2" s="8" t="inlineStr">
        <is>
          <t>Notes</t>
        </is>
      </c>
    </row>
    <row r="3" ht="20" customHeight="1">
      <c r="A3" s="17">
        <f>IF($B3="","",ROW()-2)</f>
        <v/>
      </c>
      <c r="B3" s="16" t="inlineStr">
        <is>
          <t>Richmond Night Market</t>
        </is>
      </c>
      <c r="C3" s="16">
        <f>IF($B3="","","Events &amp; Festivals")</f>
        <v/>
      </c>
      <c r="D3" s="17" t="inlineStr">
        <is>
          <t>Richmond</t>
        </is>
      </c>
      <c r="E3" s="16" t="inlineStr">
        <is>
          <t>Bridgeport</t>
        </is>
      </c>
      <c r="F3" s="17" t="inlineStr">
        <is>
          <t>P1</t>
        </is>
      </c>
      <c r="G3" s="17" t="inlineStr">
        <is>
          <t>Open</t>
        </is>
      </c>
      <c r="H3" s="17" t="inlineStr">
        <is>
          <t>Maddie</t>
        </is>
      </c>
      <c r="I3" s="16" t="n"/>
      <c r="J3" s="17" t="n"/>
      <c r="K3" s="16" t="n"/>
      <c r="L3" s="17" t="n"/>
      <c r="M3" s="33" t="inlineStr">
        <is>
          <t>richmondnightmarket.com</t>
        </is>
      </c>
      <c r="N3" s="17" t="inlineStr">
        <is>
          <t>1,000,000+ per year</t>
        </is>
      </c>
      <c r="O3" s="16" t="inlineStr">
        <is>
          <t>vancouversbestplaces and official market materials, over a million visitors annually</t>
        </is>
      </c>
      <c r="P3" s="17" t="inlineStr">
        <is>
          <t>Verified Web</t>
        </is>
      </c>
      <c r="Q3" s="17" t="inlineStr">
        <is>
          <t>Cold</t>
        </is>
      </c>
      <c r="R3" s="15" t="n"/>
      <c r="S3" s="19">
        <f>IF(ISBLANK(R3),"",TODAY()-R3)</f>
        <v/>
      </c>
      <c r="T3" s="16" t="n"/>
      <c r="U3" s="15" t="n"/>
      <c r="V3" s="17" t="n"/>
      <c r="W3" s="15" t="n"/>
      <c r="X3" s="17" t="n"/>
      <c r="Y3" s="17" t="n"/>
      <c r="Z3" s="20" t="n"/>
      <c r="AA3" s="21">
        <f>IF(OR($Z3="",$Y3="",$Y3=0),"",$Z3/($Y3*24))</f>
        <v/>
      </c>
      <c r="AB3" s="20" t="n"/>
      <c r="AC3" s="16" t="n"/>
      <c r="AD3" s="16" t="n"/>
      <c r="AE3" s="16" t="n"/>
      <c r="AF3" s="16" t="n"/>
      <c r="AG3" s="16" t="n"/>
      <c r="AH3" s="17" t="inlineStr">
        <is>
          <t>No</t>
        </is>
      </c>
      <c r="AI3" s="17" t="n"/>
      <c r="AJ3" s="17" t="n"/>
      <c r="AK3" s="17" t="n"/>
      <c r="AL3" s="16" t="inlineStr">
        <is>
          <t>Runs Apr 24 to Sep 20 2026, Friday to Sunday evenings, near Bridgeport station.</t>
        </is>
      </c>
    </row>
    <row r="4" ht="20" customHeight="1">
      <c r="A4" s="23">
        <f>IF($B4="","",ROW()-2)</f>
        <v/>
      </c>
      <c r="B4" s="22" t="inlineStr">
        <is>
          <t>Vancouver Pride Parade and Festival</t>
        </is>
      </c>
      <c r="C4" s="22">
        <f>IF($B4="","","Events &amp; Festivals")</f>
        <v/>
      </c>
      <c r="D4" s="23" t="inlineStr">
        <is>
          <t>Vancouver</t>
        </is>
      </c>
      <c r="E4" s="22" t="inlineStr">
        <is>
          <t>West End</t>
        </is>
      </c>
      <c r="F4" s="23" t="inlineStr">
        <is>
          <t>P1</t>
        </is>
      </c>
      <c r="G4" s="23" t="inlineStr">
        <is>
          <t>Open</t>
        </is>
      </c>
      <c r="H4" s="23" t="inlineStr">
        <is>
          <t>Maddie</t>
        </is>
      </c>
      <c r="I4" s="22" t="n"/>
      <c r="J4" s="23" t="n"/>
      <c r="K4" s="22" t="n"/>
      <c r="L4" s="23" t="n"/>
      <c r="M4" s="34" t="inlineStr">
        <is>
          <t>@vancouverpride</t>
        </is>
      </c>
      <c r="N4" s="23" t="inlineStr">
        <is>
          <t>600,000+ attendees (press estimate)</t>
        </is>
      </c>
      <c r="O4" s="22" t="inlineStr">
        <is>
          <t>misterbandb and Destination Vancouver listings cite 600,000 plus, press estimate not official</t>
        </is>
      </c>
      <c r="P4" s="23" t="inlineStr">
        <is>
          <t>Verified Web</t>
        </is>
      </c>
      <c r="Q4" s="23" t="inlineStr">
        <is>
          <t>Cold</t>
        </is>
      </c>
      <c r="R4" s="24" t="n"/>
      <c r="S4" s="25">
        <f>IF(ISBLANK(R4),"",TODAY()-R4)</f>
        <v/>
      </c>
      <c r="T4" s="22" t="n"/>
      <c r="U4" s="24" t="n"/>
      <c r="V4" s="23" t="n"/>
      <c r="W4" s="24" t="n"/>
      <c r="X4" s="23" t="n"/>
      <c r="Y4" s="23" t="n"/>
      <c r="Z4" s="26" t="n"/>
      <c r="AA4" s="27">
        <f>IF(OR($Z4="",$Y4="",$Y4=0),"",$Z4/($Y4*24))</f>
        <v/>
      </c>
      <c r="AB4" s="26" t="n"/>
      <c r="AC4" s="22" t="n"/>
      <c r="AD4" s="22" t="n"/>
      <c r="AE4" s="22" t="n"/>
      <c r="AF4" s="22" t="n"/>
      <c r="AG4" s="22" t="n"/>
      <c r="AH4" s="23" t="inlineStr">
        <is>
          <t>No</t>
        </is>
      </c>
      <c r="AI4" s="23" t="n"/>
      <c r="AJ4" s="23" t="n"/>
      <c r="AK4" s="23" t="n"/>
      <c r="AL4" s="22" t="inlineStr">
        <is>
          <t>Pride week Jul 25 to Aug 2 2026, main parade Sunday Aug 2 ending at Sunset Beach.</t>
        </is>
      </c>
    </row>
    <row r="5" ht="20" customHeight="1">
      <c r="A5" s="17">
        <f>IF($B5="","",ROW()-2)</f>
        <v/>
      </c>
      <c r="B5" s="16" t="inlineStr">
        <is>
          <t>Concord Pacific Dragon Boat Summer Regatta</t>
        </is>
      </c>
      <c r="C5" s="16">
        <f>IF($B5="","","Events &amp; Festivals")</f>
        <v/>
      </c>
      <c r="D5" s="17" t="inlineStr">
        <is>
          <t>Vancouver</t>
        </is>
      </c>
      <c r="E5" s="16" t="inlineStr">
        <is>
          <t>False Creek</t>
        </is>
      </c>
      <c r="F5" s="17" t="inlineStr">
        <is>
          <t>P1</t>
        </is>
      </c>
      <c r="G5" s="17" t="inlineStr">
        <is>
          <t>Open</t>
        </is>
      </c>
      <c r="H5" s="17" t="inlineStr">
        <is>
          <t>Maddie</t>
        </is>
      </c>
      <c r="I5" s="16" t="n"/>
      <c r="J5" s="17" t="n"/>
      <c r="K5" s="16" t="n"/>
      <c r="L5" s="17" t="n"/>
      <c r="M5" s="33" t="inlineStr">
        <is>
          <t>dragonboatbc.ca</t>
        </is>
      </c>
      <c r="N5" s="17" t="inlineStr">
        <is>
          <t>TBD</t>
        </is>
      </c>
      <c r="O5" s="16" t="n"/>
      <c r="P5" s="17" t="inlineStr">
        <is>
          <t>Verified Web</t>
        </is>
      </c>
      <c r="Q5" s="17" t="inlineStr">
        <is>
          <t>Cold</t>
        </is>
      </c>
      <c r="R5" s="15" t="n"/>
      <c r="S5" s="19">
        <f>IF(ISBLANK(R5),"",TODAY()-R5)</f>
        <v/>
      </c>
      <c r="T5" s="16" t="n"/>
      <c r="U5" s="15" t="n"/>
      <c r="V5" s="17" t="n"/>
      <c r="W5" s="15" t="n"/>
      <c r="X5" s="17" t="n"/>
      <c r="Y5" s="17" t="n"/>
      <c r="Z5" s="20" t="n"/>
      <c r="AA5" s="21">
        <f>IF(OR($Z5="",$Y5="",$Y5=0),"",$Z5/($Y5*24))</f>
        <v/>
      </c>
      <c r="AB5" s="20" t="n"/>
      <c r="AC5" s="16" t="n"/>
      <c r="AD5" s="16" t="n"/>
      <c r="AE5" s="16" t="n"/>
      <c r="AF5" s="16" t="n"/>
      <c r="AG5" s="16" t="n"/>
      <c r="AH5" s="17" t="inlineStr">
        <is>
          <t>No</t>
        </is>
      </c>
      <c r="AI5" s="17" t="n"/>
      <c r="AJ5" s="17" t="n"/>
      <c r="AK5" s="17" t="n"/>
      <c r="AL5" s="16" t="inlineStr">
        <is>
          <t>One day regatta Aug 22 2026 at False Creek. Downsized for 2026 due to the FIFA security cordon, full festival returns 2027.</t>
        </is>
      </c>
    </row>
    <row r="6" ht="20" customHeight="1">
      <c r="A6" s="23">
        <f>IF($B6="","",ROW()-2)</f>
        <v/>
      </c>
      <c r="B6" s="22" t="inlineStr">
        <is>
          <t>Italian Day on The Drive</t>
        </is>
      </c>
      <c r="C6" s="22">
        <f>IF($B6="","","Events &amp; Festivals")</f>
        <v/>
      </c>
      <c r="D6" s="23" t="inlineStr">
        <is>
          <t>Vancouver</t>
        </is>
      </c>
      <c r="E6" s="22" t="inlineStr">
        <is>
          <t>Commercial Drive</t>
        </is>
      </c>
      <c r="F6" s="23" t="inlineStr">
        <is>
          <t>P2</t>
        </is>
      </c>
      <c r="G6" s="23" t="inlineStr">
        <is>
          <t>Open</t>
        </is>
      </c>
      <c r="H6" s="23" t="inlineStr">
        <is>
          <t>Maddie</t>
        </is>
      </c>
      <c r="I6" s="22" t="n"/>
      <c r="J6" s="23" t="n"/>
      <c r="K6" s="22" t="n"/>
      <c r="L6" s="23" t="n"/>
      <c r="M6" s="34" t="inlineStr">
        <is>
          <t>@italiandayonthedrive</t>
        </is>
      </c>
      <c r="N6" s="23" t="inlineStr">
        <is>
          <t>300,000 (press estimate)</t>
        </is>
      </c>
      <c r="O6" s="22" t="inlineStr">
        <is>
          <t>Vancouver Is Awesome 2026 coverage cites 300,000, press estimate not official</t>
        </is>
      </c>
      <c r="P6" s="23" t="inlineStr">
        <is>
          <t>Verified Web</t>
        </is>
      </c>
      <c r="Q6" s="23" t="inlineStr">
        <is>
          <t>Cold</t>
        </is>
      </c>
      <c r="R6" s="24" t="n"/>
      <c r="S6" s="25">
        <f>IF(ISBLANK(R6),"",TODAY()-R6)</f>
        <v/>
      </c>
      <c r="T6" s="22" t="n"/>
      <c r="U6" s="24" t="n"/>
      <c r="V6" s="23" t="n"/>
      <c r="W6" s="24" t="n"/>
      <c r="X6" s="23" t="n"/>
      <c r="Y6" s="23" t="n"/>
      <c r="Z6" s="26" t="n"/>
      <c r="AA6" s="27">
        <f>IF(OR($Z6="",$Y6="",$Y6=0),"",$Z6/($Y6*24))</f>
        <v/>
      </c>
      <c r="AB6" s="26" t="n"/>
      <c r="AC6" s="22" t="n"/>
      <c r="AD6" s="22" t="n"/>
      <c r="AE6" s="22" t="n"/>
      <c r="AF6" s="22" t="n"/>
      <c r="AG6" s="22" t="n"/>
      <c r="AH6" s="23" t="inlineStr">
        <is>
          <t>No</t>
        </is>
      </c>
      <c r="AI6" s="23" t="n"/>
      <c r="AJ6" s="23" t="n"/>
      <c r="AK6" s="23" t="n"/>
      <c r="AL6" s="22" t="inlineStr">
        <is>
          <t>Sunday Jun 14 2026, noon to 8pm, 14 blocks of Commercial Drive.</t>
        </is>
      </c>
    </row>
    <row r="7" ht="20" customHeight="1">
      <c r="A7" s="17">
        <f>IF($B7="","",ROW()-2)</f>
        <v/>
      </c>
      <c r="B7" s="16" t="inlineStr">
        <is>
          <t>Khatsahlano Street Party</t>
        </is>
      </c>
      <c r="C7" s="16">
        <f>IF($B7="","","Events &amp; Festivals")</f>
        <v/>
      </c>
      <c r="D7" s="17" t="inlineStr">
        <is>
          <t>Vancouver</t>
        </is>
      </c>
      <c r="E7" s="16" t="inlineStr">
        <is>
          <t>Kitsilano</t>
        </is>
      </c>
      <c r="F7" s="17" t="inlineStr">
        <is>
          <t>P2</t>
        </is>
      </c>
      <c r="G7" s="17" t="inlineStr">
        <is>
          <t>Open</t>
        </is>
      </c>
      <c r="H7" s="17" t="inlineStr">
        <is>
          <t>Maddie</t>
        </is>
      </c>
      <c r="I7" s="16" t="n"/>
      <c r="J7" s="17" t="n"/>
      <c r="K7" s="16" t="n"/>
      <c r="L7" s="17" t="n"/>
      <c r="M7" s="33" t="inlineStr">
        <is>
          <t>@khatsahlano</t>
        </is>
      </c>
      <c r="N7" s="17" t="inlineStr">
        <is>
          <t>TBD</t>
        </is>
      </c>
      <c r="O7" s="16" t="n"/>
      <c r="P7" s="17" t="inlineStr">
        <is>
          <t>Verified Web</t>
        </is>
      </c>
      <c r="Q7" s="17" t="inlineStr">
        <is>
          <t>Cold</t>
        </is>
      </c>
      <c r="R7" s="15" t="n"/>
      <c r="S7" s="19">
        <f>IF(ISBLANK(R7),"",TODAY()-R7)</f>
        <v/>
      </c>
      <c r="T7" s="16" t="n"/>
      <c r="U7" s="15" t="n"/>
      <c r="V7" s="17" t="n"/>
      <c r="W7" s="15" t="n"/>
      <c r="X7" s="17" t="n"/>
      <c r="Y7" s="17" t="n"/>
      <c r="Z7" s="20" t="n"/>
      <c r="AA7" s="21">
        <f>IF(OR($Z7="",$Y7="",$Y7=0),"",$Z7/($Y7*24))</f>
        <v/>
      </c>
      <c r="AB7" s="20" t="n"/>
      <c r="AC7" s="16" t="n"/>
      <c r="AD7" s="16" t="n"/>
      <c r="AE7" s="16" t="n"/>
      <c r="AF7" s="16" t="n"/>
      <c r="AG7" s="16" t="n"/>
      <c r="AH7" s="17" t="inlineStr">
        <is>
          <t>No</t>
        </is>
      </c>
      <c r="AI7" s="17" t="n"/>
      <c r="AJ7" s="17" t="n"/>
      <c r="AK7" s="17" t="n"/>
      <c r="AL7" s="16" t="inlineStr">
        <is>
          <t>Saturday Jul 11 2026 on West 4th Ave, 10 blocks, free street festival.</t>
        </is>
      </c>
    </row>
    <row r="8" ht="20" customHeight="1">
      <c r="A8" s="23">
        <f>IF($B8="","",ROW()-2)</f>
        <v/>
      </c>
      <c r="B8" s="22" t="inlineStr">
        <is>
          <t>Summer Lights in English Bay</t>
        </is>
      </c>
      <c r="C8" s="22">
        <f>IF($B8="","","Events &amp; Festivals")</f>
        <v/>
      </c>
      <c r="D8" s="23" t="inlineStr">
        <is>
          <t>Vancouver</t>
        </is>
      </c>
      <c r="E8" s="22" t="inlineStr">
        <is>
          <t>West End</t>
        </is>
      </c>
      <c r="F8" s="23" t="inlineStr">
        <is>
          <t>P2</t>
        </is>
      </c>
      <c r="G8" s="23" t="inlineStr">
        <is>
          <t>Open</t>
        </is>
      </c>
      <c r="H8" s="23" t="inlineStr">
        <is>
          <t>Maddie</t>
        </is>
      </c>
      <c r="I8" s="22" t="n"/>
      <c r="J8" s="23" t="n"/>
      <c r="K8" s="22" t="n"/>
      <c r="L8" s="23" t="n"/>
      <c r="M8" s="34" t="inlineStr">
        <is>
          <t>vancouver.ca</t>
        </is>
      </c>
      <c r="N8" s="23" t="inlineStr">
        <is>
          <t>TBD</t>
        </is>
      </c>
      <c r="O8" s="22" t="n"/>
      <c r="P8" s="23" t="inlineStr">
        <is>
          <t>Verified Web</t>
        </is>
      </c>
      <c r="Q8" s="23" t="inlineStr">
        <is>
          <t>Cold</t>
        </is>
      </c>
      <c r="R8" s="24" t="n"/>
      <c r="S8" s="25">
        <f>IF(ISBLANK(R8),"",TODAY()-R8)</f>
        <v/>
      </c>
      <c r="T8" s="22" t="n"/>
      <c r="U8" s="24" t="n"/>
      <c r="V8" s="23" t="n"/>
      <c r="W8" s="24" t="n"/>
      <c r="X8" s="23" t="n"/>
      <c r="Y8" s="23" t="n"/>
      <c r="Z8" s="26" t="n"/>
      <c r="AA8" s="27">
        <f>IF(OR($Z8="",$Y8="",$Y8=0),"",$Z8/($Y8*24))</f>
        <v/>
      </c>
      <c r="AB8" s="26" t="n"/>
      <c r="AC8" s="22" t="n"/>
      <c r="AD8" s="22" t="n"/>
      <c r="AE8" s="22" t="n"/>
      <c r="AF8" s="22" t="n"/>
      <c r="AG8" s="22" t="n"/>
      <c r="AH8" s="23" t="inlineStr">
        <is>
          <t>No</t>
        </is>
      </c>
      <c r="AI8" s="23" t="n"/>
      <c r="AJ8" s="23" t="n"/>
      <c r="AK8" s="23" t="n"/>
      <c r="AL8" s="22" t="inlineStr">
        <is>
          <t>Friday Jul 31 2026 fireworks at English Bay, BC Day long weekend. City replacement for Celebration of Light.</t>
        </is>
      </c>
    </row>
    <row r="9" ht="20" customHeight="1">
      <c r="A9" s="17">
        <f>IF($B9="","",ROW()-2)</f>
        <v/>
      </c>
      <c r="B9" s="16" t="inlineStr">
        <is>
          <t>Canada Dry Victoria Dragon Boat Festival</t>
        </is>
      </c>
      <c r="C9" s="16">
        <f>IF($B9="","","Events &amp; Festivals")</f>
        <v/>
      </c>
      <c r="D9" s="17" t="inlineStr">
        <is>
          <t>Victoria</t>
        </is>
      </c>
      <c r="E9" s="16" t="inlineStr">
        <is>
          <t>Inner Harbour</t>
        </is>
      </c>
      <c r="F9" s="17" t="inlineStr">
        <is>
          <t>P2</t>
        </is>
      </c>
      <c r="G9" s="17" t="inlineStr">
        <is>
          <t>Open</t>
        </is>
      </c>
      <c r="H9" s="17" t="inlineStr">
        <is>
          <t>Maddie</t>
        </is>
      </c>
      <c r="I9" s="16" t="n"/>
      <c r="J9" s="17" t="n"/>
      <c r="K9" s="16" t="n"/>
      <c r="L9" s="17" t="n"/>
      <c r="M9" s="33" t="inlineStr">
        <is>
          <t>victoriadragonboatfestival.com</t>
        </is>
      </c>
      <c r="N9" s="17" t="inlineStr">
        <is>
          <t>TBD</t>
        </is>
      </c>
      <c r="O9" s="16" t="n"/>
      <c r="P9" s="17" t="inlineStr">
        <is>
          <t>Verified Web</t>
        </is>
      </c>
      <c r="Q9" s="17" t="inlineStr">
        <is>
          <t>Cold</t>
        </is>
      </c>
      <c r="R9" s="15" t="n"/>
      <c r="S9" s="19">
        <f>IF(ISBLANK(R9),"",TODAY()-R9)</f>
        <v/>
      </c>
      <c r="T9" s="16" t="n"/>
      <c r="U9" s="15" t="n"/>
      <c r="V9" s="17" t="n"/>
      <c r="W9" s="15" t="n"/>
      <c r="X9" s="17" t="n"/>
      <c r="Y9" s="17" t="n"/>
      <c r="Z9" s="20" t="n"/>
      <c r="AA9" s="21">
        <f>IF(OR($Z9="",$Y9="",$Y9=0),"",$Z9/($Y9*24))</f>
        <v/>
      </c>
      <c r="AB9" s="20" t="n"/>
      <c r="AC9" s="16" t="n"/>
      <c r="AD9" s="16" t="n"/>
      <c r="AE9" s="16" t="n"/>
      <c r="AF9" s="16" t="n"/>
      <c r="AG9" s="16" t="n"/>
      <c r="AH9" s="17" t="inlineStr">
        <is>
          <t>No</t>
        </is>
      </c>
      <c r="AI9" s="17" t="n"/>
      <c r="AJ9" s="17" t="n"/>
      <c r="AK9" s="17" t="n"/>
      <c r="AL9" s="16" t="inlineStr">
        <is>
          <t>Saturday Jun 20 2026 at the Inner Harbour, more than 30 teams. Moved to June for 2026 only, back to August in 2027.</t>
        </is>
      </c>
    </row>
    <row r="10" ht="20" customHeight="1">
      <c r="A10" s="23">
        <f>IF($B10="","",ROW()-2)</f>
        <v/>
      </c>
      <c r="B10" s="22" t="inlineStr">
        <is>
          <t>Kelowna Wine Country Half Marathon</t>
        </is>
      </c>
      <c r="C10" s="22">
        <f>IF($B10="","","Events &amp; Festivals")</f>
        <v/>
      </c>
      <c r="D10" s="23" t="inlineStr">
        <is>
          <t>Kelowna</t>
        </is>
      </c>
      <c r="E10" s="22" t="inlineStr">
        <is>
          <t>Waterfront Park</t>
        </is>
      </c>
      <c r="F10" s="23" t="inlineStr">
        <is>
          <t>P2</t>
        </is>
      </c>
      <c r="G10" s="23" t="inlineStr">
        <is>
          <t>Open</t>
        </is>
      </c>
      <c r="H10" s="23" t="inlineStr">
        <is>
          <t>Maddie</t>
        </is>
      </c>
      <c r="I10" s="22" t="n"/>
      <c r="J10" s="23" t="n"/>
      <c r="K10" s="22" t="n"/>
      <c r="L10" s="23" t="n"/>
      <c r="M10" s="34" t="inlineStr">
        <is>
          <t>kelownamarathon.ca</t>
        </is>
      </c>
      <c r="N10" s="23" t="inlineStr">
        <is>
          <t>1,800 runners (cap)</t>
        </is>
      </c>
      <c r="O10" s="22" t="inlineStr">
        <is>
          <t>Event materials note registration normally limited to about 1,800 runners, confirm on site</t>
        </is>
      </c>
      <c r="P10" s="23" t="inlineStr">
        <is>
          <t>Verified Web</t>
        </is>
      </c>
      <c r="Q10" s="23" t="inlineStr">
        <is>
          <t>Cold</t>
        </is>
      </c>
      <c r="R10" s="24" t="n"/>
      <c r="S10" s="25">
        <f>IF(ISBLANK(R10),"",TODAY()-R10)</f>
        <v/>
      </c>
      <c r="T10" s="22" t="n"/>
      <c r="U10" s="24" t="n"/>
      <c r="V10" s="23" t="n"/>
      <c r="W10" s="24" t="n"/>
      <c r="X10" s="23" t="n"/>
      <c r="Y10" s="23" t="n"/>
      <c r="Z10" s="26" t="n"/>
      <c r="AA10" s="27">
        <f>IF(OR($Z10="",$Y10="",$Y10=0),"",$Z10/($Y10*24))</f>
        <v/>
      </c>
      <c r="AB10" s="26" t="n"/>
      <c r="AC10" s="22" t="n"/>
      <c r="AD10" s="22" t="n"/>
      <c r="AE10" s="22" t="n"/>
      <c r="AF10" s="22" t="n"/>
      <c r="AG10" s="22" t="n"/>
      <c r="AH10" s="23" t="inlineStr">
        <is>
          <t>No</t>
        </is>
      </c>
      <c r="AI10" s="23" t="n"/>
      <c r="AJ10" s="23" t="n"/>
      <c r="AK10" s="23" t="n"/>
      <c r="AL10" s="22" t="inlineStr">
        <is>
          <t>Saturday Jun 13 2026, finish at Waterfront Park with a post run festival.</t>
        </is>
      </c>
    </row>
    <row r="11" ht="20" customHeight="1">
      <c r="A11" s="17">
        <f>IF($B11="","",ROW()-2)</f>
        <v/>
      </c>
      <c r="B11" s="16" t="n"/>
      <c r="C11" s="16">
        <f>IF($B11="","","Events &amp; Festivals")</f>
        <v/>
      </c>
      <c r="D11" s="17" t="n"/>
      <c r="E11" s="16" t="n"/>
      <c r="F11" s="17" t="n"/>
      <c r="G11" s="17" t="n"/>
      <c r="H11" s="17" t="n"/>
      <c r="I11" s="16" t="n"/>
      <c r="J11" s="17" t="n"/>
      <c r="K11" s="16" t="n"/>
      <c r="L11" s="17" t="n"/>
      <c r="M11" s="16" t="n"/>
      <c r="N11" s="17" t="n"/>
      <c r="O11" s="16" t="n"/>
      <c r="P11" s="17" t="n"/>
      <c r="Q11" s="17" t="n"/>
      <c r="R11" s="15" t="n"/>
      <c r="S11" s="19">
        <f>IF(ISBLANK(R11),"",TODAY()-R11)</f>
        <v/>
      </c>
      <c r="T11" s="16" t="n"/>
      <c r="U11" s="15" t="n"/>
      <c r="V11" s="17" t="n"/>
      <c r="W11" s="15" t="n"/>
      <c r="X11" s="17" t="n"/>
      <c r="Y11" s="17" t="n"/>
      <c r="Z11" s="20" t="n"/>
      <c r="AA11" s="21">
        <f>IF(OR($Z11="",$Y11="",$Y11=0),"",$Z11/($Y11*24))</f>
        <v/>
      </c>
      <c r="AB11" s="20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7" t="n"/>
      <c r="AL11" s="16" t="n"/>
    </row>
    <row r="12" ht="20" customHeight="1">
      <c r="A12" s="23">
        <f>IF($B12="","",ROW()-2)</f>
        <v/>
      </c>
      <c r="B12" s="22" t="n"/>
      <c r="C12" s="22">
        <f>IF($B12="","","Events &amp; Festivals")</f>
        <v/>
      </c>
      <c r="D12" s="23" t="n"/>
      <c r="E12" s="22" t="n"/>
      <c r="F12" s="23" t="n"/>
      <c r="G12" s="23" t="n"/>
      <c r="H12" s="23" t="n"/>
      <c r="I12" s="22" t="n"/>
      <c r="J12" s="23" t="n"/>
      <c r="K12" s="22" t="n"/>
      <c r="L12" s="23" t="n"/>
      <c r="M12" s="22" t="n"/>
      <c r="N12" s="23" t="n"/>
      <c r="O12" s="22" t="n"/>
      <c r="P12" s="23" t="n"/>
      <c r="Q12" s="23" t="n"/>
      <c r="R12" s="24" t="n"/>
      <c r="S12" s="25">
        <f>IF(ISBLANK(R12),"",TODAY()-R12)</f>
        <v/>
      </c>
      <c r="T12" s="22" t="n"/>
      <c r="U12" s="24" t="n"/>
      <c r="V12" s="23" t="n"/>
      <c r="W12" s="24" t="n"/>
      <c r="X12" s="23" t="n"/>
      <c r="Y12" s="23" t="n"/>
      <c r="Z12" s="26" t="n"/>
      <c r="AA12" s="27">
        <f>IF(OR($Z12="",$Y12="",$Y12=0),"",$Z12/($Y12*24))</f>
        <v/>
      </c>
      <c r="AB12" s="26" t="n"/>
      <c r="AC12" s="22" t="n"/>
      <c r="AD12" s="22" t="n"/>
      <c r="AE12" s="22" t="n"/>
      <c r="AF12" s="22" t="n"/>
      <c r="AG12" s="22" t="n"/>
      <c r="AH12" s="23" t="n"/>
      <c r="AI12" s="23" t="n"/>
      <c r="AJ12" s="23" t="n"/>
      <c r="AK12" s="23" t="n"/>
      <c r="AL12" s="22" t="n"/>
    </row>
    <row r="13" ht="20" customHeight="1">
      <c r="A13" s="17">
        <f>IF($B13="","",ROW()-2)</f>
        <v/>
      </c>
      <c r="B13" s="16" t="n"/>
      <c r="C13" s="16">
        <f>IF($B13="","","Events &amp; Festivals")</f>
        <v/>
      </c>
      <c r="D13" s="17" t="n"/>
      <c r="E13" s="16" t="n"/>
      <c r="F13" s="17" t="n"/>
      <c r="G13" s="17" t="n"/>
      <c r="H13" s="17" t="n"/>
      <c r="I13" s="16" t="n"/>
      <c r="J13" s="17" t="n"/>
      <c r="K13" s="16" t="n"/>
      <c r="L13" s="17" t="n"/>
      <c r="M13" s="16" t="n"/>
      <c r="N13" s="17" t="n"/>
      <c r="O13" s="16" t="n"/>
      <c r="P13" s="17" t="n"/>
      <c r="Q13" s="17" t="n"/>
      <c r="R13" s="15" t="n"/>
      <c r="S13" s="19">
        <f>IF(ISBLANK(R13),"",TODAY()-R13)</f>
        <v/>
      </c>
      <c r="T13" s="16" t="n"/>
      <c r="U13" s="15" t="n"/>
      <c r="V13" s="17" t="n"/>
      <c r="W13" s="15" t="n"/>
      <c r="X13" s="17" t="n"/>
      <c r="Y13" s="17" t="n"/>
      <c r="Z13" s="20" t="n"/>
      <c r="AA13" s="21">
        <f>IF(OR($Z13="",$Y13="",$Y13=0),"",$Z13/($Y13*24))</f>
        <v/>
      </c>
      <c r="AB13" s="20" t="n"/>
      <c r="AC13" s="16" t="n"/>
      <c r="AD13" s="16" t="n"/>
      <c r="AE13" s="16" t="n"/>
      <c r="AF13" s="16" t="n"/>
      <c r="AG13" s="16" t="n"/>
      <c r="AH13" s="17" t="n"/>
      <c r="AI13" s="17" t="n"/>
      <c r="AJ13" s="17" t="n"/>
      <c r="AK13" s="17" t="n"/>
      <c r="AL13" s="16" t="n"/>
    </row>
    <row r="14" ht="20" customHeight="1">
      <c r="A14" s="23">
        <f>IF($B14="","",ROW()-2)</f>
        <v/>
      </c>
      <c r="B14" s="22" t="n"/>
      <c r="C14" s="22">
        <f>IF($B14="","","Events &amp; Festivals")</f>
        <v/>
      </c>
      <c r="D14" s="23" t="n"/>
      <c r="E14" s="22" t="n"/>
      <c r="F14" s="23" t="n"/>
      <c r="G14" s="23" t="n"/>
      <c r="H14" s="23" t="n"/>
      <c r="I14" s="22" t="n"/>
      <c r="J14" s="23" t="n"/>
      <c r="K14" s="22" t="n"/>
      <c r="L14" s="23" t="n"/>
      <c r="M14" s="22" t="n"/>
      <c r="N14" s="23" t="n"/>
      <c r="O14" s="22" t="n"/>
      <c r="P14" s="23" t="n"/>
      <c r="Q14" s="23" t="n"/>
      <c r="R14" s="24" t="n"/>
      <c r="S14" s="25">
        <f>IF(ISBLANK(R14),"",TODAY()-R14)</f>
        <v/>
      </c>
      <c r="T14" s="22" t="n"/>
      <c r="U14" s="24" t="n"/>
      <c r="V14" s="23" t="n"/>
      <c r="W14" s="24" t="n"/>
      <c r="X14" s="23" t="n"/>
      <c r="Y14" s="23" t="n"/>
      <c r="Z14" s="26" t="n"/>
      <c r="AA14" s="27">
        <f>IF(OR($Z14="",$Y14="",$Y14=0),"",$Z14/($Y14*24))</f>
        <v/>
      </c>
      <c r="AB14" s="26" t="n"/>
      <c r="AC14" s="22" t="n"/>
      <c r="AD14" s="22" t="n"/>
      <c r="AE14" s="22" t="n"/>
      <c r="AF14" s="22" t="n"/>
      <c r="AG14" s="22" t="n"/>
      <c r="AH14" s="23" t="n"/>
      <c r="AI14" s="23" t="n"/>
      <c r="AJ14" s="23" t="n"/>
      <c r="AK14" s="23" t="n"/>
      <c r="AL14" s="22" t="n"/>
    </row>
    <row r="15" ht="20" customHeight="1">
      <c r="A15" s="17">
        <f>IF($B15="","",ROW()-2)</f>
        <v/>
      </c>
      <c r="B15" s="16" t="n"/>
      <c r="C15" s="16">
        <f>IF($B15="","","Events &amp; Festivals")</f>
        <v/>
      </c>
      <c r="D15" s="17" t="n"/>
      <c r="E15" s="16" t="n"/>
      <c r="F15" s="17" t="n"/>
      <c r="G15" s="17" t="n"/>
      <c r="H15" s="17" t="n"/>
      <c r="I15" s="16" t="n"/>
      <c r="J15" s="17" t="n"/>
      <c r="K15" s="16" t="n"/>
      <c r="L15" s="17" t="n"/>
      <c r="M15" s="16" t="n"/>
      <c r="N15" s="17" t="n"/>
      <c r="O15" s="16" t="n"/>
      <c r="P15" s="17" t="n"/>
      <c r="Q15" s="17" t="n"/>
      <c r="R15" s="15" t="n"/>
      <c r="S15" s="19">
        <f>IF(ISBLANK(R15),"",TODAY()-R15)</f>
        <v/>
      </c>
      <c r="T15" s="16" t="n"/>
      <c r="U15" s="15" t="n"/>
      <c r="V15" s="17" t="n"/>
      <c r="W15" s="15" t="n"/>
      <c r="X15" s="17" t="n"/>
      <c r="Y15" s="17" t="n"/>
      <c r="Z15" s="20" t="n"/>
      <c r="AA15" s="21">
        <f>IF(OR($Z15="",$Y15="",$Y15=0),"",$Z15/($Y15*24))</f>
        <v/>
      </c>
      <c r="AB15" s="20" t="n"/>
      <c r="AC15" s="16" t="n"/>
      <c r="AD15" s="16" t="n"/>
      <c r="AE15" s="16" t="n"/>
      <c r="AF15" s="16" t="n"/>
      <c r="AG15" s="16" t="n"/>
      <c r="AH15" s="17" t="n"/>
      <c r="AI15" s="17" t="n"/>
      <c r="AJ15" s="17" t="n"/>
      <c r="AK15" s="17" t="n"/>
      <c r="AL15" s="16" t="n"/>
    </row>
    <row r="16" ht="20" customHeight="1">
      <c r="A16" s="23">
        <f>IF($B16="","",ROW()-2)</f>
        <v/>
      </c>
      <c r="B16" s="22" t="n"/>
      <c r="C16" s="22">
        <f>IF($B16="","","Events &amp; Festivals")</f>
        <v/>
      </c>
      <c r="D16" s="23" t="n"/>
      <c r="E16" s="22" t="n"/>
      <c r="F16" s="23" t="n"/>
      <c r="G16" s="23" t="n"/>
      <c r="H16" s="23" t="n"/>
      <c r="I16" s="22" t="n"/>
      <c r="J16" s="23" t="n"/>
      <c r="K16" s="22" t="n"/>
      <c r="L16" s="23" t="n"/>
      <c r="M16" s="22" t="n"/>
      <c r="N16" s="23" t="n"/>
      <c r="O16" s="22" t="n"/>
      <c r="P16" s="23" t="n"/>
      <c r="Q16" s="23" t="n"/>
      <c r="R16" s="24" t="n"/>
      <c r="S16" s="25">
        <f>IF(ISBLANK(R16),"",TODAY()-R16)</f>
        <v/>
      </c>
      <c r="T16" s="22" t="n"/>
      <c r="U16" s="24" t="n"/>
      <c r="V16" s="23" t="n"/>
      <c r="W16" s="24" t="n"/>
      <c r="X16" s="23" t="n"/>
      <c r="Y16" s="23" t="n"/>
      <c r="Z16" s="26" t="n"/>
      <c r="AA16" s="27">
        <f>IF(OR($Z16="",$Y16="",$Y16=0),"",$Z16/($Y16*24))</f>
        <v/>
      </c>
      <c r="AB16" s="26" t="n"/>
      <c r="AC16" s="22" t="n"/>
      <c r="AD16" s="22" t="n"/>
      <c r="AE16" s="22" t="n"/>
      <c r="AF16" s="22" t="n"/>
      <c r="AG16" s="22" t="n"/>
      <c r="AH16" s="23" t="n"/>
      <c r="AI16" s="23" t="n"/>
      <c r="AJ16" s="23" t="n"/>
      <c r="AK16" s="23" t="n"/>
      <c r="AL16" s="22" t="n"/>
    </row>
    <row r="17" ht="20" customHeight="1">
      <c r="A17" s="17">
        <f>IF($B17="","",ROW()-2)</f>
        <v/>
      </c>
      <c r="B17" s="16" t="n"/>
      <c r="C17" s="16">
        <f>IF($B17="","","Events &amp; Festivals")</f>
        <v/>
      </c>
      <c r="D17" s="17" t="n"/>
      <c r="E17" s="16" t="n"/>
      <c r="F17" s="17" t="n"/>
      <c r="G17" s="17" t="n"/>
      <c r="H17" s="17" t="n"/>
      <c r="I17" s="16" t="n"/>
      <c r="J17" s="17" t="n"/>
      <c r="K17" s="16" t="n"/>
      <c r="L17" s="17" t="n"/>
      <c r="M17" s="16" t="n"/>
      <c r="N17" s="17" t="n"/>
      <c r="O17" s="16" t="n"/>
      <c r="P17" s="17" t="n"/>
      <c r="Q17" s="17" t="n"/>
      <c r="R17" s="15" t="n"/>
      <c r="S17" s="19">
        <f>IF(ISBLANK(R17),"",TODAY()-R17)</f>
        <v/>
      </c>
      <c r="T17" s="16" t="n"/>
      <c r="U17" s="15" t="n"/>
      <c r="V17" s="17" t="n"/>
      <c r="W17" s="15" t="n"/>
      <c r="X17" s="17" t="n"/>
      <c r="Y17" s="17" t="n"/>
      <c r="Z17" s="20" t="n"/>
      <c r="AA17" s="21">
        <f>IF(OR($Z17="",$Y17="",$Y17=0),"",$Z17/($Y17*24))</f>
        <v/>
      </c>
      <c r="AB17" s="20" t="n"/>
      <c r="AC17" s="16" t="n"/>
      <c r="AD17" s="16" t="n"/>
      <c r="AE17" s="16" t="n"/>
      <c r="AF17" s="16" t="n"/>
      <c r="AG17" s="16" t="n"/>
      <c r="AH17" s="17" t="n"/>
      <c r="AI17" s="17" t="n"/>
      <c r="AJ17" s="17" t="n"/>
      <c r="AK17" s="17" t="n"/>
      <c r="AL17" s="16" t="n"/>
    </row>
    <row r="18" ht="20" customHeight="1">
      <c r="A18" s="23">
        <f>IF($B18="","",ROW()-2)</f>
        <v/>
      </c>
      <c r="B18" s="22" t="n"/>
      <c r="C18" s="22">
        <f>IF($B18="","","Events &amp; Festivals")</f>
        <v/>
      </c>
      <c r="D18" s="23" t="n"/>
      <c r="E18" s="22" t="n"/>
      <c r="F18" s="23" t="n"/>
      <c r="G18" s="23" t="n"/>
      <c r="H18" s="23" t="n"/>
      <c r="I18" s="22" t="n"/>
      <c r="J18" s="23" t="n"/>
      <c r="K18" s="22" t="n"/>
      <c r="L18" s="23" t="n"/>
      <c r="M18" s="22" t="n"/>
      <c r="N18" s="23" t="n"/>
      <c r="O18" s="22" t="n"/>
      <c r="P18" s="23" t="n"/>
      <c r="Q18" s="23" t="n"/>
      <c r="R18" s="24" t="n"/>
      <c r="S18" s="25">
        <f>IF(ISBLANK(R18),"",TODAY()-R18)</f>
        <v/>
      </c>
      <c r="T18" s="22" t="n"/>
      <c r="U18" s="24" t="n"/>
      <c r="V18" s="23" t="n"/>
      <c r="W18" s="24" t="n"/>
      <c r="X18" s="23" t="n"/>
      <c r="Y18" s="23" t="n"/>
      <c r="Z18" s="26" t="n"/>
      <c r="AA18" s="27">
        <f>IF(OR($Z18="",$Y18="",$Y18=0),"",$Z18/($Y18*24))</f>
        <v/>
      </c>
      <c r="AB18" s="26" t="n"/>
      <c r="AC18" s="22" t="n"/>
      <c r="AD18" s="22" t="n"/>
      <c r="AE18" s="22" t="n"/>
      <c r="AF18" s="22" t="n"/>
      <c r="AG18" s="22" t="n"/>
      <c r="AH18" s="23" t="n"/>
      <c r="AI18" s="23" t="n"/>
      <c r="AJ18" s="23" t="n"/>
      <c r="AK18" s="23" t="n"/>
      <c r="AL18" s="22" t="n"/>
    </row>
    <row r="19" ht="20" customHeight="1">
      <c r="A19" s="17">
        <f>IF($B19="","",ROW()-2)</f>
        <v/>
      </c>
      <c r="B19" s="16" t="n"/>
      <c r="C19" s="16">
        <f>IF($B19="","","Events &amp; Festivals")</f>
        <v/>
      </c>
      <c r="D19" s="17" t="n"/>
      <c r="E19" s="16" t="n"/>
      <c r="F19" s="17" t="n"/>
      <c r="G19" s="17" t="n"/>
      <c r="H19" s="17" t="n"/>
      <c r="I19" s="16" t="n"/>
      <c r="J19" s="17" t="n"/>
      <c r="K19" s="16" t="n"/>
      <c r="L19" s="17" t="n"/>
      <c r="M19" s="16" t="n"/>
      <c r="N19" s="17" t="n"/>
      <c r="O19" s="16" t="n"/>
      <c r="P19" s="17" t="n"/>
      <c r="Q19" s="17" t="n"/>
      <c r="R19" s="15" t="n"/>
      <c r="S19" s="19">
        <f>IF(ISBLANK(R19),"",TODAY()-R19)</f>
        <v/>
      </c>
      <c r="T19" s="16" t="n"/>
      <c r="U19" s="15" t="n"/>
      <c r="V19" s="17" t="n"/>
      <c r="W19" s="15" t="n"/>
      <c r="X19" s="17" t="n"/>
      <c r="Y19" s="17" t="n"/>
      <c r="Z19" s="20" t="n"/>
      <c r="AA19" s="21">
        <f>IF(OR($Z19="",$Y19="",$Y19=0),"",$Z19/($Y19*24))</f>
        <v/>
      </c>
      <c r="AB19" s="20" t="n"/>
      <c r="AC19" s="16" t="n"/>
      <c r="AD19" s="16" t="n"/>
      <c r="AE19" s="16" t="n"/>
      <c r="AF19" s="16" t="n"/>
      <c r="AG19" s="16" t="n"/>
      <c r="AH19" s="17" t="n"/>
      <c r="AI19" s="17" t="n"/>
      <c r="AJ19" s="17" t="n"/>
      <c r="AK19" s="17" t="n"/>
      <c r="AL19" s="16" t="n"/>
    </row>
    <row r="20" ht="20" customHeight="1">
      <c r="A20" s="23">
        <f>IF($B20="","",ROW()-2)</f>
        <v/>
      </c>
      <c r="B20" s="22" t="n"/>
      <c r="C20" s="22">
        <f>IF($B20="","","Events &amp; Festivals")</f>
        <v/>
      </c>
      <c r="D20" s="23" t="n"/>
      <c r="E20" s="22" t="n"/>
      <c r="F20" s="23" t="n"/>
      <c r="G20" s="23" t="n"/>
      <c r="H20" s="23" t="n"/>
      <c r="I20" s="22" t="n"/>
      <c r="J20" s="23" t="n"/>
      <c r="K20" s="22" t="n"/>
      <c r="L20" s="23" t="n"/>
      <c r="M20" s="22" t="n"/>
      <c r="N20" s="23" t="n"/>
      <c r="O20" s="22" t="n"/>
      <c r="P20" s="23" t="n"/>
      <c r="Q20" s="23" t="n"/>
      <c r="R20" s="24" t="n"/>
      <c r="S20" s="25">
        <f>IF(ISBLANK(R20),"",TODAY()-R20)</f>
        <v/>
      </c>
      <c r="T20" s="22" t="n"/>
      <c r="U20" s="24" t="n"/>
      <c r="V20" s="23" t="n"/>
      <c r="W20" s="24" t="n"/>
      <c r="X20" s="23" t="n"/>
      <c r="Y20" s="23" t="n"/>
      <c r="Z20" s="26" t="n"/>
      <c r="AA20" s="27">
        <f>IF(OR($Z20="",$Y20="",$Y20=0),"",$Z20/($Y20*24))</f>
        <v/>
      </c>
      <c r="AB20" s="26" t="n"/>
      <c r="AC20" s="22" t="n"/>
      <c r="AD20" s="22" t="n"/>
      <c r="AE20" s="22" t="n"/>
      <c r="AF20" s="22" t="n"/>
      <c r="AG20" s="22" t="n"/>
      <c r="AH20" s="23" t="n"/>
      <c r="AI20" s="23" t="n"/>
      <c r="AJ20" s="23" t="n"/>
      <c r="AK20" s="23" t="n"/>
      <c r="AL20" s="22" t="n"/>
    </row>
    <row r="21" ht="20" customHeight="1">
      <c r="A21" s="17">
        <f>IF($B21="","",ROW()-2)</f>
        <v/>
      </c>
      <c r="B21" s="16" t="n"/>
      <c r="C21" s="16">
        <f>IF($B21="","","Events &amp; Festivals")</f>
        <v/>
      </c>
      <c r="D21" s="17" t="n"/>
      <c r="E21" s="16" t="n"/>
      <c r="F21" s="17" t="n"/>
      <c r="G21" s="17" t="n"/>
      <c r="H21" s="17" t="n"/>
      <c r="I21" s="16" t="n"/>
      <c r="J21" s="17" t="n"/>
      <c r="K21" s="16" t="n"/>
      <c r="L21" s="17" t="n"/>
      <c r="M21" s="16" t="n"/>
      <c r="N21" s="17" t="n"/>
      <c r="O21" s="16" t="n"/>
      <c r="P21" s="17" t="n"/>
      <c r="Q21" s="17" t="n"/>
      <c r="R21" s="15" t="n"/>
      <c r="S21" s="19">
        <f>IF(ISBLANK(R21),"",TODAY()-R21)</f>
        <v/>
      </c>
      <c r="T21" s="16" t="n"/>
      <c r="U21" s="15" t="n"/>
      <c r="V21" s="17" t="n"/>
      <c r="W21" s="15" t="n"/>
      <c r="X21" s="17" t="n"/>
      <c r="Y21" s="17" t="n"/>
      <c r="Z21" s="20" t="n"/>
      <c r="AA21" s="21">
        <f>IF(OR($Z21="",$Y21="",$Y21=0),"",$Z21/($Y21*24))</f>
        <v/>
      </c>
      <c r="AB21" s="20" t="n"/>
      <c r="AC21" s="16" t="n"/>
      <c r="AD21" s="16" t="n"/>
      <c r="AE21" s="16" t="n"/>
      <c r="AF21" s="16" t="n"/>
      <c r="AG21" s="16" t="n"/>
      <c r="AH21" s="17" t="n"/>
      <c r="AI21" s="17" t="n"/>
      <c r="AJ21" s="17" t="n"/>
      <c r="AK21" s="17" t="n"/>
      <c r="AL21" s="16" t="n"/>
    </row>
    <row r="22" ht="20" customHeight="1">
      <c r="A22" s="23">
        <f>IF($B22="","",ROW()-2)</f>
        <v/>
      </c>
      <c r="B22" s="22" t="n"/>
      <c r="C22" s="22">
        <f>IF($B22="","","Events &amp; Festivals")</f>
        <v/>
      </c>
      <c r="D22" s="23" t="n"/>
      <c r="E22" s="22" t="n"/>
      <c r="F22" s="23" t="n"/>
      <c r="G22" s="23" t="n"/>
      <c r="H22" s="23" t="n"/>
      <c r="I22" s="22" t="n"/>
      <c r="J22" s="23" t="n"/>
      <c r="K22" s="22" t="n"/>
      <c r="L22" s="23" t="n"/>
      <c r="M22" s="22" t="n"/>
      <c r="N22" s="23" t="n"/>
      <c r="O22" s="22" t="n"/>
      <c r="P22" s="23" t="n"/>
      <c r="Q22" s="23" t="n"/>
      <c r="R22" s="24" t="n"/>
      <c r="S22" s="25">
        <f>IF(ISBLANK(R22),"",TODAY()-R22)</f>
        <v/>
      </c>
      <c r="T22" s="22" t="n"/>
      <c r="U22" s="24" t="n"/>
      <c r="V22" s="23" t="n"/>
      <c r="W22" s="24" t="n"/>
      <c r="X22" s="23" t="n"/>
      <c r="Y22" s="23" t="n"/>
      <c r="Z22" s="26" t="n"/>
      <c r="AA22" s="27">
        <f>IF(OR($Z22="",$Y22="",$Y22=0),"",$Z22/($Y22*24))</f>
        <v/>
      </c>
      <c r="AB22" s="26" t="n"/>
      <c r="AC22" s="22" t="n"/>
      <c r="AD22" s="22" t="n"/>
      <c r="AE22" s="22" t="n"/>
      <c r="AF22" s="22" t="n"/>
      <c r="AG22" s="22" t="n"/>
      <c r="AH22" s="23" t="n"/>
      <c r="AI22" s="23" t="n"/>
      <c r="AJ22" s="23" t="n"/>
      <c r="AK22" s="23" t="n"/>
      <c r="AL22" s="22" t="n"/>
    </row>
    <row r="23" ht="20" customHeight="1">
      <c r="A23" s="17">
        <f>IF($B23="","",ROW()-2)</f>
        <v/>
      </c>
      <c r="B23" s="16" t="n"/>
      <c r="C23" s="16">
        <f>IF($B23="","","Events &amp; Festivals")</f>
        <v/>
      </c>
      <c r="D23" s="17" t="n"/>
      <c r="E23" s="16" t="n"/>
      <c r="F23" s="17" t="n"/>
      <c r="G23" s="17" t="n"/>
      <c r="H23" s="17" t="n"/>
      <c r="I23" s="16" t="n"/>
      <c r="J23" s="17" t="n"/>
      <c r="K23" s="16" t="n"/>
      <c r="L23" s="17" t="n"/>
      <c r="M23" s="16" t="n"/>
      <c r="N23" s="17" t="n"/>
      <c r="O23" s="16" t="n"/>
      <c r="P23" s="17" t="n"/>
      <c r="Q23" s="17" t="n"/>
      <c r="R23" s="15" t="n"/>
      <c r="S23" s="19">
        <f>IF(ISBLANK(R23),"",TODAY()-R23)</f>
        <v/>
      </c>
      <c r="T23" s="16" t="n"/>
      <c r="U23" s="15" t="n"/>
      <c r="V23" s="17" t="n"/>
      <c r="W23" s="15" t="n"/>
      <c r="X23" s="17" t="n"/>
      <c r="Y23" s="17" t="n"/>
      <c r="Z23" s="20" t="n"/>
      <c r="AA23" s="21">
        <f>IF(OR($Z23="",$Y23="",$Y23=0),"",$Z23/($Y23*24))</f>
        <v/>
      </c>
      <c r="AB23" s="20" t="n"/>
      <c r="AC23" s="16" t="n"/>
      <c r="AD23" s="16" t="n"/>
      <c r="AE23" s="16" t="n"/>
      <c r="AF23" s="16" t="n"/>
      <c r="AG23" s="16" t="n"/>
      <c r="AH23" s="17" t="n"/>
      <c r="AI23" s="17" t="n"/>
      <c r="AJ23" s="17" t="n"/>
      <c r="AK23" s="17" t="n"/>
      <c r="AL23" s="16" t="n"/>
    </row>
    <row r="24" ht="20" customHeight="1">
      <c r="A24" s="23">
        <f>IF($B24="","",ROW()-2)</f>
        <v/>
      </c>
      <c r="B24" s="22" t="n"/>
      <c r="C24" s="22">
        <f>IF($B24="","","Events &amp; Festivals")</f>
        <v/>
      </c>
      <c r="D24" s="23" t="n"/>
      <c r="E24" s="22" t="n"/>
      <c r="F24" s="23" t="n"/>
      <c r="G24" s="23" t="n"/>
      <c r="H24" s="23" t="n"/>
      <c r="I24" s="22" t="n"/>
      <c r="J24" s="23" t="n"/>
      <c r="K24" s="22" t="n"/>
      <c r="L24" s="23" t="n"/>
      <c r="M24" s="22" t="n"/>
      <c r="N24" s="23" t="n"/>
      <c r="O24" s="22" t="n"/>
      <c r="P24" s="23" t="n"/>
      <c r="Q24" s="23" t="n"/>
      <c r="R24" s="24" t="n"/>
      <c r="S24" s="25">
        <f>IF(ISBLANK(R24),"",TODAY()-R24)</f>
        <v/>
      </c>
      <c r="T24" s="22" t="n"/>
      <c r="U24" s="24" t="n"/>
      <c r="V24" s="23" t="n"/>
      <c r="W24" s="24" t="n"/>
      <c r="X24" s="23" t="n"/>
      <c r="Y24" s="23" t="n"/>
      <c r="Z24" s="26" t="n"/>
      <c r="AA24" s="27">
        <f>IF(OR($Z24="",$Y24="",$Y24=0),"",$Z24/($Y24*24))</f>
        <v/>
      </c>
      <c r="AB24" s="26" t="n"/>
      <c r="AC24" s="22" t="n"/>
      <c r="AD24" s="22" t="n"/>
      <c r="AE24" s="22" t="n"/>
      <c r="AF24" s="22" t="n"/>
      <c r="AG24" s="22" t="n"/>
      <c r="AH24" s="23" t="n"/>
      <c r="AI24" s="23" t="n"/>
      <c r="AJ24" s="23" t="n"/>
      <c r="AK24" s="23" t="n"/>
      <c r="AL24" s="22" t="n"/>
    </row>
    <row r="25" ht="20" customHeight="1">
      <c r="A25" s="17">
        <f>IF($B25="","",ROW()-2)</f>
        <v/>
      </c>
      <c r="B25" s="16" t="n"/>
      <c r="C25" s="16">
        <f>IF($B25="","","Events &amp; Festivals")</f>
        <v/>
      </c>
      <c r="D25" s="17" t="n"/>
      <c r="E25" s="16" t="n"/>
      <c r="F25" s="17" t="n"/>
      <c r="G25" s="17" t="n"/>
      <c r="H25" s="17" t="n"/>
      <c r="I25" s="16" t="n"/>
      <c r="J25" s="17" t="n"/>
      <c r="K25" s="16" t="n"/>
      <c r="L25" s="17" t="n"/>
      <c r="M25" s="16" t="n"/>
      <c r="N25" s="17" t="n"/>
      <c r="O25" s="16" t="n"/>
      <c r="P25" s="17" t="n"/>
      <c r="Q25" s="17" t="n"/>
      <c r="R25" s="15" t="n"/>
      <c r="S25" s="19">
        <f>IF(ISBLANK(R25),"",TODAY()-R25)</f>
        <v/>
      </c>
      <c r="T25" s="16" t="n"/>
      <c r="U25" s="15" t="n"/>
      <c r="V25" s="17" t="n"/>
      <c r="W25" s="15" t="n"/>
      <c r="X25" s="17" t="n"/>
      <c r="Y25" s="17" t="n"/>
      <c r="Z25" s="20" t="n"/>
      <c r="AA25" s="21">
        <f>IF(OR($Z25="",$Y25="",$Y25=0),"",$Z25/($Y25*24))</f>
        <v/>
      </c>
      <c r="AB25" s="20" t="n"/>
      <c r="AC25" s="16" t="n"/>
      <c r="AD25" s="16" t="n"/>
      <c r="AE25" s="16" t="n"/>
      <c r="AF25" s="16" t="n"/>
      <c r="AG25" s="16" t="n"/>
      <c r="AH25" s="17" t="n"/>
      <c r="AI25" s="17" t="n"/>
      <c r="AJ25" s="17" t="n"/>
      <c r="AK25" s="17" t="n"/>
      <c r="AL25" s="16" t="n"/>
    </row>
    <row r="26" ht="20" customHeight="1">
      <c r="A26" s="23">
        <f>IF($B26="","",ROW()-2)</f>
        <v/>
      </c>
      <c r="B26" s="22" t="n"/>
      <c r="C26" s="22">
        <f>IF($B26="","","Events &amp; Festivals")</f>
        <v/>
      </c>
      <c r="D26" s="23" t="n"/>
      <c r="E26" s="22" t="n"/>
      <c r="F26" s="23" t="n"/>
      <c r="G26" s="23" t="n"/>
      <c r="H26" s="23" t="n"/>
      <c r="I26" s="22" t="n"/>
      <c r="J26" s="23" t="n"/>
      <c r="K26" s="22" t="n"/>
      <c r="L26" s="23" t="n"/>
      <c r="M26" s="22" t="n"/>
      <c r="N26" s="23" t="n"/>
      <c r="O26" s="22" t="n"/>
      <c r="P26" s="23" t="n"/>
      <c r="Q26" s="23" t="n"/>
      <c r="R26" s="24" t="n"/>
      <c r="S26" s="25">
        <f>IF(ISBLANK(R26),"",TODAY()-R26)</f>
        <v/>
      </c>
      <c r="T26" s="22" t="n"/>
      <c r="U26" s="24" t="n"/>
      <c r="V26" s="23" t="n"/>
      <c r="W26" s="24" t="n"/>
      <c r="X26" s="23" t="n"/>
      <c r="Y26" s="23" t="n"/>
      <c r="Z26" s="26" t="n"/>
      <c r="AA26" s="27">
        <f>IF(OR($Z26="",$Y26="",$Y26=0),"",$Z26/($Y26*24))</f>
        <v/>
      </c>
      <c r="AB26" s="26" t="n"/>
      <c r="AC26" s="22" t="n"/>
      <c r="AD26" s="22" t="n"/>
      <c r="AE26" s="22" t="n"/>
      <c r="AF26" s="22" t="n"/>
      <c r="AG26" s="22" t="n"/>
      <c r="AH26" s="23" t="n"/>
      <c r="AI26" s="23" t="n"/>
      <c r="AJ26" s="23" t="n"/>
      <c r="AK26" s="23" t="n"/>
      <c r="AL26" s="22" t="n"/>
    </row>
    <row r="27" ht="20" customHeight="1">
      <c r="A27" s="17">
        <f>IF($B27="","",ROW()-2)</f>
        <v/>
      </c>
      <c r="B27" s="16" t="n"/>
      <c r="C27" s="16">
        <f>IF($B27="","","Events &amp; Festivals")</f>
        <v/>
      </c>
      <c r="D27" s="17" t="n"/>
      <c r="E27" s="16" t="n"/>
      <c r="F27" s="17" t="n"/>
      <c r="G27" s="17" t="n"/>
      <c r="H27" s="17" t="n"/>
      <c r="I27" s="16" t="n"/>
      <c r="J27" s="17" t="n"/>
      <c r="K27" s="16" t="n"/>
      <c r="L27" s="17" t="n"/>
      <c r="M27" s="16" t="n"/>
      <c r="N27" s="17" t="n"/>
      <c r="O27" s="16" t="n"/>
      <c r="P27" s="17" t="n"/>
      <c r="Q27" s="17" t="n"/>
      <c r="R27" s="15" t="n"/>
      <c r="S27" s="19">
        <f>IF(ISBLANK(R27),"",TODAY()-R27)</f>
        <v/>
      </c>
      <c r="T27" s="16" t="n"/>
      <c r="U27" s="15" t="n"/>
      <c r="V27" s="17" t="n"/>
      <c r="W27" s="15" t="n"/>
      <c r="X27" s="17" t="n"/>
      <c r="Y27" s="17" t="n"/>
      <c r="Z27" s="20" t="n"/>
      <c r="AA27" s="21">
        <f>IF(OR($Z27="",$Y27="",$Y27=0),"",$Z27/($Y27*24))</f>
        <v/>
      </c>
      <c r="AB27" s="20" t="n"/>
      <c r="AC27" s="16" t="n"/>
      <c r="AD27" s="16" t="n"/>
      <c r="AE27" s="16" t="n"/>
      <c r="AF27" s="16" t="n"/>
      <c r="AG27" s="16" t="n"/>
      <c r="AH27" s="17" t="n"/>
      <c r="AI27" s="17" t="n"/>
      <c r="AJ27" s="17" t="n"/>
      <c r="AK27" s="17" t="n"/>
      <c r="AL27" s="16" t="n"/>
    </row>
    <row r="28" ht="20" customHeight="1">
      <c r="A28" s="23">
        <f>IF($B28="","",ROW()-2)</f>
        <v/>
      </c>
      <c r="B28" s="22" t="n"/>
      <c r="C28" s="22">
        <f>IF($B28="","","Events &amp; Festivals")</f>
        <v/>
      </c>
      <c r="D28" s="23" t="n"/>
      <c r="E28" s="22" t="n"/>
      <c r="F28" s="23" t="n"/>
      <c r="G28" s="23" t="n"/>
      <c r="H28" s="23" t="n"/>
      <c r="I28" s="22" t="n"/>
      <c r="J28" s="23" t="n"/>
      <c r="K28" s="22" t="n"/>
      <c r="L28" s="23" t="n"/>
      <c r="M28" s="22" t="n"/>
      <c r="N28" s="23" t="n"/>
      <c r="O28" s="22" t="n"/>
      <c r="P28" s="23" t="n"/>
      <c r="Q28" s="23" t="n"/>
      <c r="R28" s="24" t="n"/>
      <c r="S28" s="25">
        <f>IF(ISBLANK(R28),"",TODAY()-R28)</f>
        <v/>
      </c>
      <c r="T28" s="22" t="n"/>
      <c r="U28" s="24" t="n"/>
      <c r="V28" s="23" t="n"/>
      <c r="W28" s="24" t="n"/>
      <c r="X28" s="23" t="n"/>
      <c r="Y28" s="23" t="n"/>
      <c r="Z28" s="26" t="n"/>
      <c r="AA28" s="27">
        <f>IF(OR($Z28="",$Y28="",$Y28=0),"",$Z28/($Y28*24))</f>
        <v/>
      </c>
      <c r="AB28" s="26" t="n"/>
      <c r="AC28" s="22" t="n"/>
      <c r="AD28" s="22" t="n"/>
      <c r="AE28" s="22" t="n"/>
      <c r="AF28" s="22" t="n"/>
      <c r="AG28" s="22" t="n"/>
      <c r="AH28" s="23" t="n"/>
      <c r="AI28" s="23" t="n"/>
      <c r="AJ28" s="23" t="n"/>
      <c r="AK28" s="23" t="n"/>
      <c r="AL28" s="22" t="n"/>
    </row>
    <row r="29" ht="20" customHeight="1">
      <c r="A29" s="17">
        <f>IF($B29="","",ROW()-2)</f>
        <v/>
      </c>
      <c r="B29" s="16" t="n"/>
      <c r="C29" s="16">
        <f>IF($B29="","","Events &amp; Festivals")</f>
        <v/>
      </c>
      <c r="D29" s="17" t="n"/>
      <c r="E29" s="16" t="n"/>
      <c r="F29" s="17" t="n"/>
      <c r="G29" s="17" t="n"/>
      <c r="H29" s="17" t="n"/>
      <c r="I29" s="16" t="n"/>
      <c r="J29" s="17" t="n"/>
      <c r="K29" s="16" t="n"/>
      <c r="L29" s="17" t="n"/>
      <c r="M29" s="16" t="n"/>
      <c r="N29" s="17" t="n"/>
      <c r="O29" s="16" t="n"/>
      <c r="P29" s="17" t="n"/>
      <c r="Q29" s="17" t="n"/>
      <c r="R29" s="15" t="n"/>
      <c r="S29" s="19">
        <f>IF(ISBLANK(R29),"",TODAY()-R29)</f>
        <v/>
      </c>
      <c r="T29" s="16" t="n"/>
      <c r="U29" s="15" t="n"/>
      <c r="V29" s="17" t="n"/>
      <c r="W29" s="15" t="n"/>
      <c r="X29" s="17" t="n"/>
      <c r="Y29" s="17" t="n"/>
      <c r="Z29" s="20" t="n"/>
      <c r="AA29" s="21">
        <f>IF(OR($Z29="",$Y29="",$Y29=0),"",$Z29/($Y29*24))</f>
        <v/>
      </c>
      <c r="AB29" s="20" t="n"/>
      <c r="AC29" s="16" t="n"/>
      <c r="AD29" s="16" t="n"/>
      <c r="AE29" s="16" t="n"/>
      <c r="AF29" s="16" t="n"/>
      <c r="AG29" s="16" t="n"/>
      <c r="AH29" s="17" t="n"/>
      <c r="AI29" s="17" t="n"/>
      <c r="AJ29" s="17" t="n"/>
      <c r="AK29" s="17" t="n"/>
      <c r="AL29" s="16" t="n"/>
    </row>
    <row r="30" ht="20" customHeight="1">
      <c r="A30" s="23">
        <f>IF($B30="","",ROW()-2)</f>
        <v/>
      </c>
      <c r="B30" s="22" t="n"/>
      <c r="C30" s="22">
        <f>IF($B30="","","Events &amp; Festivals")</f>
        <v/>
      </c>
      <c r="D30" s="23" t="n"/>
      <c r="E30" s="22" t="n"/>
      <c r="F30" s="23" t="n"/>
      <c r="G30" s="23" t="n"/>
      <c r="H30" s="23" t="n"/>
      <c r="I30" s="22" t="n"/>
      <c r="J30" s="23" t="n"/>
      <c r="K30" s="22" t="n"/>
      <c r="L30" s="23" t="n"/>
      <c r="M30" s="22" t="n"/>
      <c r="N30" s="23" t="n"/>
      <c r="O30" s="22" t="n"/>
      <c r="P30" s="23" t="n"/>
      <c r="Q30" s="23" t="n"/>
      <c r="R30" s="24" t="n"/>
      <c r="S30" s="25">
        <f>IF(ISBLANK(R30),"",TODAY()-R30)</f>
        <v/>
      </c>
      <c r="T30" s="22" t="n"/>
      <c r="U30" s="24" t="n"/>
      <c r="V30" s="23" t="n"/>
      <c r="W30" s="24" t="n"/>
      <c r="X30" s="23" t="n"/>
      <c r="Y30" s="23" t="n"/>
      <c r="Z30" s="26" t="n"/>
      <c r="AA30" s="27">
        <f>IF(OR($Z30="",$Y30="",$Y30=0),"",$Z30/($Y30*24))</f>
        <v/>
      </c>
      <c r="AB30" s="26" t="n"/>
      <c r="AC30" s="22" t="n"/>
      <c r="AD30" s="22" t="n"/>
      <c r="AE30" s="22" t="n"/>
      <c r="AF30" s="22" t="n"/>
      <c r="AG30" s="22" t="n"/>
      <c r="AH30" s="23" t="n"/>
      <c r="AI30" s="23" t="n"/>
      <c r="AJ30" s="23" t="n"/>
      <c r="AK30" s="23" t="n"/>
      <c r="AL30" s="22" t="n"/>
    </row>
    <row r="31" ht="20" customHeight="1">
      <c r="A31" s="17">
        <f>IF($B31="","",ROW()-2)</f>
        <v/>
      </c>
      <c r="B31" s="16" t="n"/>
      <c r="C31" s="16">
        <f>IF($B31="","","Events &amp; Festivals")</f>
        <v/>
      </c>
      <c r="D31" s="17" t="n"/>
      <c r="E31" s="16" t="n"/>
      <c r="F31" s="17" t="n"/>
      <c r="G31" s="17" t="n"/>
      <c r="H31" s="17" t="n"/>
      <c r="I31" s="16" t="n"/>
      <c r="J31" s="17" t="n"/>
      <c r="K31" s="16" t="n"/>
      <c r="L31" s="17" t="n"/>
      <c r="M31" s="16" t="n"/>
      <c r="N31" s="17" t="n"/>
      <c r="O31" s="16" t="n"/>
      <c r="P31" s="17" t="n"/>
      <c r="Q31" s="17" t="n"/>
      <c r="R31" s="15" t="n"/>
      <c r="S31" s="19">
        <f>IF(ISBLANK(R31),"",TODAY()-R31)</f>
        <v/>
      </c>
      <c r="T31" s="16" t="n"/>
      <c r="U31" s="15" t="n"/>
      <c r="V31" s="17" t="n"/>
      <c r="W31" s="15" t="n"/>
      <c r="X31" s="17" t="n"/>
      <c r="Y31" s="17" t="n"/>
      <c r="Z31" s="20" t="n"/>
      <c r="AA31" s="21">
        <f>IF(OR($Z31="",$Y31="",$Y31=0),"",$Z31/($Y31*24))</f>
        <v/>
      </c>
      <c r="AB31" s="20" t="n"/>
      <c r="AC31" s="16" t="n"/>
      <c r="AD31" s="16" t="n"/>
      <c r="AE31" s="16" t="n"/>
      <c r="AF31" s="16" t="n"/>
      <c r="AG31" s="16" t="n"/>
      <c r="AH31" s="17" t="n"/>
      <c r="AI31" s="17" t="n"/>
      <c r="AJ31" s="17" t="n"/>
      <c r="AK31" s="17" t="n"/>
      <c r="AL31" s="16" t="n"/>
    </row>
    <row r="32" ht="20" customHeight="1">
      <c r="A32" s="23">
        <f>IF($B32="","",ROW()-2)</f>
        <v/>
      </c>
      <c r="B32" s="22" t="n"/>
      <c r="C32" s="22">
        <f>IF($B32="","","Events &amp; Festivals")</f>
        <v/>
      </c>
      <c r="D32" s="23" t="n"/>
      <c r="E32" s="22" t="n"/>
      <c r="F32" s="23" t="n"/>
      <c r="G32" s="23" t="n"/>
      <c r="H32" s="23" t="n"/>
      <c r="I32" s="22" t="n"/>
      <c r="J32" s="23" t="n"/>
      <c r="K32" s="22" t="n"/>
      <c r="L32" s="23" t="n"/>
      <c r="M32" s="22" t="n"/>
      <c r="N32" s="23" t="n"/>
      <c r="O32" s="22" t="n"/>
      <c r="P32" s="23" t="n"/>
      <c r="Q32" s="23" t="n"/>
      <c r="R32" s="24" t="n"/>
      <c r="S32" s="25">
        <f>IF(ISBLANK(R32),"",TODAY()-R32)</f>
        <v/>
      </c>
      <c r="T32" s="22" t="n"/>
      <c r="U32" s="24" t="n"/>
      <c r="V32" s="23" t="n"/>
      <c r="W32" s="24" t="n"/>
      <c r="X32" s="23" t="n"/>
      <c r="Y32" s="23" t="n"/>
      <c r="Z32" s="26" t="n"/>
      <c r="AA32" s="27">
        <f>IF(OR($Z32="",$Y32="",$Y32=0),"",$Z32/($Y32*24))</f>
        <v/>
      </c>
      <c r="AB32" s="26" t="n"/>
      <c r="AC32" s="22" t="n"/>
      <c r="AD32" s="22" t="n"/>
      <c r="AE32" s="22" t="n"/>
      <c r="AF32" s="22" t="n"/>
      <c r="AG32" s="22" t="n"/>
      <c r="AH32" s="23" t="n"/>
      <c r="AI32" s="23" t="n"/>
      <c r="AJ32" s="23" t="n"/>
      <c r="AK32" s="23" t="n"/>
      <c r="AL32" s="22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Sports Teams &amp; Leagues</t>
        </is>
      </c>
    </row>
    <row r="2" ht="50" customHeight="1">
      <c r="A2" s="8" t="inlineStr">
        <is>
          <t>#</t>
        </is>
      </c>
      <c r="B2" s="8" t="inlineStr">
        <is>
          <t>Partner Name</t>
        </is>
      </c>
      <c r="C2" s="8" t="inlineStr">
        <is>
          <t>Partnership Type</t>
        </is>
      </c>
      <c r="D2" s="8" t="inlineStr">
        <is>
          <t>City</t>
        </is>
      </c>
      <c r="E2" s="8" t="inlineStr">
        <is>
          <t>Neighbourhood</t>
        </is>
      </c>
      <c r="F2" s="8" t="inlineStr">
        <is>
          <t>Priority</t>
        </is>
      </c>
      <c r="G2" s="8" t="inlineStr">
        <is>
          <t>Status</t>
        </is>
      </c>
      <c r="H2" s="8" t="inlineStr">
        <is>
          <t>Primary Owner</t>
        </is>
      </c>
      <c r="I2" s="8" t="inlineStr">
        <is>
          <t>Contact Name</t>
        </is>
      </c>
      <c r="J2" s="8" t="inlineStr">
        <is>
          <t>Role</t>
        </is>
      </c>
      <c r="K2" s="8" t="inlineStr">
        <is>
          <t>Contact Email</t>
        </is>
      </c>
      <c r="L2" s="8" t="inlineStr">
        <is>
          <t>Contact Phone</t>
        </is>
      </c>
      <c r="M2" s="8" t="inlineStr">
        <is>
          <t>Instagram or Website</t>
        </is>
      </c>
      <c r="N2" s="8" t="inlineStr">
        <is>
          <t>Audience Size</t>
        </is>
      </c>
      <c r="O2" s="8" t="inlineStr">
        <is>
          <t>Audience Source</t>
        </is>
      </c>
      <c r="P2" s="8" t="inlineStr">
        <is>
          <t>Source</t>
        </is>
      </c>
      <c r="Q2" s="8" t="inlineStr">
        <is>
          <t>Warm</t>
        </is>
      </c>
      <c r="R2" s="8" t="inlineStr">
        <is>
          <t>Last Contacted</t>
        </is>
      </c>
      <c r="S2" s="8" t="inlineStr">
        <is>
          <t>Days Since Activity</t>
        </is>
      </c>
      <c r="T2" s="8" t="inlineStr">
        <is>
          <t>Next Action</t>
        </is>
      </c>
      <c r="U2" s="8" t="inlineStr">
        <is>
          <t>Next Action Date</t>
        </is>
      </c>
      <c r="V2" s="8" t="inlineStr">
        <is>
          <t>Activation Type</t>
        </is>
      </c>
      <c r="W2" s="8" t="inlineStr">
        <is>
          <t>Activation Date</t>
        </is>
      </c>
      <c r="X2" s="8" t="inlineStr">
        <is>
          <t>Cases Committed</t>
        </is>
      </c>
      <c r="Y2" s="8" t="inlineStr">
        <is>
          <t>Cases Delivered</t>
        </is>
      </c>
      <c r="Z2" s="8" t="inlineStr">
        <is>
          <t>Cost ($)</t>
        </is>
      </c>
      <c r="AA2" s="8" t="inlineStr">
        <is>
          <t>Cost Per Can</t>
        </is>
      </c>
      <c r="AB2" s="8" t="inlineStr">
        <is>
          <t>Contra Value ($)</t>
        </is>
      </c>
      <c r="AC2" s="8" t="inlineStr">
        <is>
          <t>Deliverables Promised</t>
        </is>
      </c>
      <c r="AD2" s="8" t="inlineStr">
        <is>
          <t>Deliverables Received</t>
        </is>
      </c>
      <c r="AE2" s="8" t="inlineStr">
        <is>
          <t>What They Want</t>
        </is>
      </c>
      <c r="AF2" s="8" t="inlineStr">
        <is>
          <t>Risks</t>
        </is>
      </c>
      <c r="AG2" s="8" t="inlineStr">
        <is>
          <t>Nearby Retail Doors</t>
        </is>
      </c>
      <c r="AH2" s="8" t="inlineStr">
        <is>
          <t>In BC Tracker?</t>
        </is>
      </c>
      <c r="AI2" s="8" t="inlineStr">
        <is>
          <t>Raspberry 4338</t>
        </is>
      </c>
      <c r="AJ2" s="8" t="inlineStr">
        <is>
          <t>Lemon Lime 4336</t>
        </is>
      </c>
      <c r="AK2" s="8" t="inlineStr">
        <is>
          <t>Pineapple Passion Fruit 4340</t>
        </is>
      </c>
      <c r="AL2" s="8" t="inlineStr">
        <is>
          <t>Notes</t>
        </is>
      </c>
    </row>
    <row r="3" ht="20" customHeight="1">
      <c r="A3" s="17">
        <f>IF($B3="","",ROW()-2)</f>
        <v/>
      </c>
      <c r="B3" s="16" t="inlineStr">
        <is>
          <t>Urban Rec Vancouver</t>
        </is>
      </c>
      <c r="C3" s="16">
        <f>IF($B3="","","Sports Teams &amp; Leagues")</f>
        <v/>
      </c>
      <c r="D3" s="17" t="inlineStr">
        <is>
          <t>Vancouver</t>
        </is>
      </c>
      <c r="E3" s="16" t="inlineStr">
        <is>
          <t>Mount Pleasant</t>
        </is>
      </c>
      <c r="F3" s="17" t="inlineStr">
        <is>
          <t>P1</t>
        </is>
      </c>
      <c r="G3" s="17" t="inlineStr">
        <is>
          <t>Open</t>
        </is>
      </c>
      <c r="H3" s="17" t="inlineStr">
        <is>
          <t>Maddie</t>
        </is>
      </c>
      <c r="I3" s="16" t="n"/>
      <c r="J3" s="17" t="n"/>
      <c r="K3" s="16" t="n"/>
      <c r="L3" s="17" t="n"/>
      <c r="M3" s="33" t="inlineStr">
        <is>
          <t>@urbanrec</t>
        </is>
      </c>
      <c r="N3" s="17" t="inlineStr">
        <is>
          <t>56,000 members (self stated)</t>
        </is>
      </c>
      <c r="O3" s="16" t="inlineStr">
        <is>
          <t>Urban Rec Vancouver website states over 56,000 members, brand self stated figure</t>
        </is>
      </c>
      <c r="P3" s="17" t="inlineStr">
        <is>
          <t>Verified Web</t>
        </is>
      </c>
      <c r="Q3" s="17" t="inlineStr">
        <is>
          <t>Cold</t>
        </is>
      </c>
      <c r="R3" s="15" t="n"/>
      <c r="S3" s="19">
        <f>IF(ISBLANK(R3),"",TODAY()-R3)</f>
        <v/>
      </c>
      <c r="T3" s="16" t="n"/>
      <c r="U3" s="15" t="n"/>
      <c r="V3" s="17" t="n"/>
      <c r="W3" s="15" t="n"/>
      <c r="X3" s="17" t="n"/>
      <c r="Y3" s="17" t="n"/>
      <c r="Z3" s="20" t="n"/>
      <c r="AA3" s="21">
        <f>IF(OR($Z3="",$Y3="",$Y3=0),"",$Z3/($Y3*24))</f>
        <v/>
      </c>
      <c r="AB3" s="20" t="n"/>
      <c r="AC3" s="16" t="n"/>
      <c r="AD3" s="16" t="n"/>
      <c r="AE3" s="16" t="n"/>
      <c r="AF3" s="16" t="n"/>
      <c r="AG3" s="16" t="n"/>
      <c r="AH3" s="17" t="inlineStr">
        <is>
          <t>No</t>
        </is>
      </c>
      <c r="AI3" s="17" t="n"/>
      <c r="AJ3" s="17" t="n"/>
      <c r="AK3" s="17" t="n"/>
      <c r="AL3" s="16" t="inlineStr">
        <is>
          <t>Largest sport and social club in Western Canada. Leagues across Vancouver, Richmond and Burnaby.</t>
        </is>
      </c>
    </row>
    <row r="4" ht="20" customHeight="1">
      <c r="A4" s="23">
        <f>IF($B4="","",ROW()-2)</f>
        <v/>
      </c>
      <c r="B4" s="22" t="inlineStr">
        <is>
          <t>Vancouver Dodgeball League</t>
        </is>
      </c>
      <c r="C4" s="22">
        <f>IF($B4="","","Sports Teams &amp; Leagues")</f>
        <v/>
      </c>
      <c r="D4" s="23" t="inlineStr">
        <is>
          <t>Vancouver</t>
        </is>
      </c>
      <c r="E4" s="22" t="inlineStr">
        <is>
          <t>Multiple</t>
        </is>
      </c>
      <c r="F4" s="23" t="inlineStr">
        <is>
          <t>P2</t>
        </is>
      </c>
      <c r="G4" s="23" t="inlineStr">
        <is>
          <t>Open</t>
        </is>
      </c>
      <c r="H4" s="23" t="inlineStr">
        <is>
          <t>Maddie</t>
        </is>
      </c>
      <c r="I4" s="22" t="n"/>
      <c r="J4" s="23" t="n"/>
      <c r="K4" s="22" t="n"/>
      <c r="L4" s="23" t="n"/>
      <c r="M4" s="34" t="inlineStr">
        <is>
          <t>@vdldodgeball</t>
        </is>
      </c>
      <c r="N4" s="23" t="inlineStr">
        <is>
          <t>2,000+ players, 260+ teams</t>
        </is>
      </c>
      <c r="O4" s="22" t="inlineStr">
        <is>
          <t>VDL sources describe over 260 teams and 2,000 plus players at peak</t>
        </is>
      </c>
      <c r="P4" s="23" t="inlineStr">
        <is>
          <t>Verified Web</t>
        </is>
      </c>
      <c r="Q4" s="23" t="inlineStr">
        <is>
          <t>Cold</t>
        </is>
      </c>
      <c r="R4" s="24" t="n"/>
      <c r="S4" s="25">
        <f>IF(ISBLANK(R4),"",TODAY()-R4)</f>
        <v/>
      </c>
      <c r="T4" s="22" t="n"/>
      <c r="U4" s="24" t="n"/>
      <c r="V4" s="23" t="n"/>
      <c r="W4" s="24" t="n"/>
      <c r="X4" s="23" t="n"/>
      <c r="Y4" s="23" t="n"/>
      <c r="Z4" s="26" t="n"/>
      <c r="AA4" s="27">
        <f>IF(OR($Z4="",$Y4="",$Y4=0),"",$Z4/($Y4*24))</f>
        <v/>
      </c>
      <c r="AB4" s="26" t="n"/>
      <c r="AC4" s="22" t="n"/>
      <c r="AD4" s="22" t="n"/>
      <c r="AE4" s="22" t="n"/>
      <c r="AF4" s="22" t="n"/>
      <c r="AG4" s="22" t="n"/>
      <c r="AH4" s="23" t="inlineStr">
        <is>
          <t>No</t>
        </is>
      </c>
      <c r="AI4" s="23" t="n"/>
      <c r="AJ4" s="23" t="n"/>
      <c r="AK4" s="23" t="n"/>
      <c r="AL4" s="22" t="inlineStr">
        <is>
          <t>Non profit dodgeball league playing in school and community gyms.</t>
        </is>
      </c>
    </row>
    <row r="5" ht="20" customHeight="1">
      <c r="A5" s="17">
        <f>IF($B5="","",ROW()-2)</f>
        <v/>
      </c>
      <c r="B5" s="16" t="inlineStr">
        <is>
          <t>Vancouver Pickleball Association</t>
        </is>
      </c>
      <c r="C5" s="16">
        <f>IF($B5="","","Sports Teams &amp; Leagues")</f>
        <v/>
      </c>
      <c r="D5" s="17" t="inlineStr">
        <is>
          <t>Vancouver</t>
        </is>
      </c>
      <c r="E5" s="16" t="inlineStr">
        <is>
          <t>Multiple</t>
        </is>
      </c>
      <c r="F5" s="17" t="inlineStr">
        <is>
          <t>P2</t>
        </is>
      </c>
      <c r="G5" s="17" t="inlineStr">
        <is>
          <t>Open</t>
        </is>
      </c>
      <c r="H5" s="17" t="inlineStr">
        <is>
          <t>Maddie</t>
        </is>
      </c>
      <c r="I5" s="16" t="n"/>
      <c r="J5" s="17" t="n"/>
      <c r="K5" s="16" t="n"/>
      <c r="L5" s="17" t="n"/>
      <c r="M5" s="33" t="inlineStr">
        <is>
          <t>@vancouverpickleballassociation</t>
        </is>
      </c>
      <c r="N5" s="17" t="inlineStr">
        <is>
          <t>TBD</t>
        </is>
      </c>
      <c r="O5" s="16" t="n"/>
      <c r="P5" s="17" t="inlineStr">
        <is>
          <t>Verified Web</t>
        </is>
      </c>
      <c r="Q5" s="17" t="inlineStr">
        <is>
          <t>Cold</t>
        </is>
      </c>
      <c r="R5" s="15" t="n"/>
      <c r="S5" s="19">
        <f>IF(ISBLANK(R5),"",TODAY()-R5)</f>
        <v/>
      </c>
      <c r="T5" s="16" t="n"/>
      <c r="U5" s="15" t="n"/>
      <c r="V5" s="17" t="n"/>
      <c r="W5" s="15" t="n"/>
      <c r="X5" s="17" t="n"/>
      <c r="Y5" s="17" t="n"/>
      <c r="Z5" s="20" t="n"/>
      <c r="AA5" s="21">
        <f>IF(OR($Z5="",$Y5="",$Y5=0),"",$Z5/($Y5*24))</f>
        <v/>
      </c>
      <c r="AB5" s="20" t="n"/>
      <c r="AC5" s="16" t="n"/>
      <c r="AD5" s="16" t="n"/>
      <c r="AE5" s="16" t="n"/>
      <c r="AF5" s="16" t="n"/>
      <c r="AG5" s="16" t="n"/>
      <c r="AH5" s="17" t="inlineStr">
        <is>
          <t>No</t>
        </is>
      </c>
      <c r="AI5" s="17" t="n"/>
      <c r="AJ5" s="17" t="n"/>
      <c r="AK5" s="17" t="n"/>
      <c r="AL5" s="16" t="inlineStr">
        <is>
          <t>Box league runs Apr to Sep 2026 across community centres and outdoor courts.</t>
        </is>
      </c>
    </row>
    <row r="6" ht="20" customHeight="1">
      <c r="A6" s="23">
        <f>IF($B6="","",ROW()-2)</f>
        <v/>
      </c>
      <c r="B6" s="22" t="inlineStr">
        <is>
          <t>False Creek Racing Canoe Club</t>
        </is>
      </c>
      <c r="C6" s="22">
        <f>IF($B6="","","Sports Teams &amp; Leagues")</f>
        <v/>
      </c>
      <c r="D6" s="23" t="inlineStr">
        <is>
          <t>Vancouver</t>
        </is>
      </c>
      <c r="E6" s="22" t="inlineStr">
        <is>
          <t>Granville Island</t>
        </is>
      </c>
      <c r="F6" s="23" t="inlineStr">
        <is>
          <t>P2</t>
        </is>
      </c>
      <c r="G6" s="23" t="inlineStr">
        <is>
          <t>Open</t>
        </is>
      </c>
      <c r="H6" s="23" t="inlineStr">
        <is>
          <t>Maddie</t>
        </is>
      </c>
      <c r="I6" s="22" t="n"/>
      <c r="J6" s="23" t="n"/>
      <c r="K6" s="22" t="n"/>
      <c r="L6" s="23" t="n"/>
      <c r="M6" s="34" t="inlineStr">
        <is>
          <t>@falsecreekcanoeclub</t>
        </is>
      </c>
      <c r="N6" s="23" t="inlineStr">
        <is>
          <t>TBD</t>
        </is>
      </c>
      <c r="O6" s="22" t="n"/>
      <c r="P6" s="23" t="inlineStr">
        <is>
          <t>Verified Web</t>
        </is>
      </c>
      <c r="Q6" s="23" t="inlineStr">
        <is>
          <t>Cold</t>
        </is>
      </c>
      <c r="R6" s="24" t="n"/>
      <c r="S6" s="25">
        <f>IF(ISBLANK(R6),"",TODAY()-R6)</f>
        <v/>
      </c>
      <c r="T6" s="22" t="n"/>
      <c r="U6" s="24" t="n"/>
      <c r="V6" s="23" t="n"/>
      <c r="W6" s="24" t="n"/>
      <c r="X6" s="23" t="n"/>
      <c r="Y6" s="23" t="n"/>
      <c r="Z6" s="26" t="n"/>
      <c r="AA6" s="27">
        <f>IF(OR($Z6="",$Y6="",$Y6=0),"",$Z6/($Y6*24))</f>
        <v/>
      </c>
      <c r="AB6" s="26" t="n"/>
      <c r="AC6" s="22" t="n"/>
      <c r="AD6" s="22" t="n"/>
      <c r="AE6" s="22" t="n"/>
      <c r="AF6" s="22" t="n"/>
      <c r="AG6" s="22" t="n"/>
      <c r="AH6" s="23" t="inlineStr">
        <is>
          <t>No</t>
        </is>
      </c>
      <c r="AI6" s="23" t="n"/>
      <c r="AJ6" s="23" t="n"/>
      <c r="AK6" s="23" t="n"/>
      <c r="AL6" s="22" t="inlineStr">
        <is>
          <t>Dragon boat, outrigger and sprint paddling club based on Granville Island.</t>
        </is>
      </c>
    </row>
    <row r="7" ht="20" customHeight="1">
      <c r="A7" s="17">
        <f>IF($B7="","",ROW()-2)</f>
        <v/>
      </c>
      <c r="B7" s="16" t="inlineStr">
        <is>
          <t>Victoria Sport and Social Club</t>
        </is>
      </c>
      <c r="C7" s="16">
        <f>IF($B7="","","Sports Teams &amp; Leagues")</f>
        <v/>
      </c>
      <c r="D7" s="17" t="inlineStr">
        <is>
          <t>Victoria</t>
        </is>
      </c>
      <c r="E7" s="16" t="inlineStr">
        <is>
          <t>Multiple</t>
        </is>
      </c>
      <c r="F7" s="17" t="inlineStr">
        <is>
          <t>P2</t>
        </is>
      </c>
      <c r="G7" s="17" t="inlineStr">
        <is>
          <t>Open</t>
        </is>
      </c>
      <c r="H7" s="17" t="inlineStr">
        <is>
          <t>Maddie</t>
        </is>
      </c>
      <c r="I7" s="16" t="n"/>
      <c r="J7" s="17" t="n"/>
      <c r="K7" s="16" t="n"/>
      <c r="L7" s="17" t="n"/>
      <c r="M7" s="33" t="inlineStr">
        <is>
          <t>@vicsportnsocial</t>
        </is>
      </c>
      <c r="N7" s="17" t="inlineStr">
        <is>
          <t>TBD</t>
        </is>
      </c>
      <c r="O7" s="16" t="n"/>
      <c r="P7" s="17" t="inlineStr">
        <is>
          <t>Verified Web</t>
        </is>
      </c>
      <c r="Q7" s="17" t="inlineStr">
        <is>
          <t>Cold</t>
        </is>
      </c>
      <c r="R7" s="15" t="n"/>
      <c r="S7" s="19">
        <f>IF(ISBLANK(R7),"",TODAY()-R7)</f>
        <v/>
      </c>
      <c r="T7" s="16" t="n"/>
      <c r="U7" s="15" t="n"/>
      <c r="V7" s="17" t="n"/>
      <c r="W7" s="15" t="n"/>
      <c r="X7" s="17" t="n"/>
      <c r="Y7" s="17" t="n"/>
      <c r="Z7" s="20" t="n"/>
      <c r="AA7" s="21">
        <f>IF(OR($Z7="",$Y7="",$Y7=0),"",$Z7/($Y7*24))</f>
        <v/>
      </c>
      <c r="AB7" s="20" t="n"/>
      <c r="AC7" s="16" t="n"/>
      <c r="AD7" s="16" t="n"/>
      <c r="AE7" s="16" t="n"/>
      <c r="AF7" s="16" t="n"/>
      <c r="AG7" s="16" t="n"/>
      <c r="AH7" s="17" t="inlineStr">
        <is>
          <t>No</t>
        </is>
      </c>
      <c r="AI7" s="17" t="n"/>
      <c r="AJ7" s="17" t="n"/>
      <c r="AK7" s="17" t="n"/>
      <c r="AL7" s="16" t="inlineStr">
        <is>
          <t>Mixed adult leagues, 9 plus sports running for summer 2026.</t>
        </is>
      </c>
    </row>
    <row r="8" ht="20" customHeight="1">
      <c r="A8" s="23">
        <f>IF($B8="","",ROW()-2)</f>
        <v/>
      </c>
      <c r="B8" s="22" t="inlineStr">
        <is>
          <t>Pickleball Kelowna Club</t>
        </is>
      </c>
      <c r="C8" s="22">
        <f>IF($B8="","","Sports Teams &amp; Leagues")</f>
        <v/>
      </c>
      <c r="D8" s="23" t="inlineStr">
        <is>
          <t>Kelowna</t>
        </is>
      </c>
      <c r="E8" s="22" t="inlineStr">
        <is>
          <t>Parkinson Rec Centre</t>
        </is>
      </c>
      <c r="F8" s="23" t="inlineStr">
        <is>
          <t>P2</t>
        </is>
      </c>
      <c r="G8" s="23" t="inlineStr">
        <is>
          <t>Open</t>
        </is>
      </c>
      <c r="H8" s="23" t="inlineStr">
        <is>
          <t>Maddie</t>
        </is>
      </c>
      <c r="I8" s="22" t="n"/>
      <c r="J8" s="23" t="n"/>
      <c r="K8" s="22" t="n"/>
      <c r="L8" s="23" t="n"/>
      <c r="M8" s="34" t="inlineStr">
        <is>
          <t>@pickleballkelownaclub</t>
        </is>
      </c>
      <c r="N8" s="23" t="inlineStr">
        <is>
          <t>700 members</t>
        </is>
      </c>
      <c r="O8" s="22" t="inlineStr">
        <is>
          <t>Instagram @pickleballkelownaclub states the club is home to 700 members</t>
        </is>
      </c>
      <c r="P8" s="23" t="inlineStr">
        <is>
          <t>Verified Web</t>
        </is>
      </c>
      <c r="Q8" s="23" t="inlineStr">
        <is>
          <t>Cold</t>
        </is>
      </c>
      <c r="R8" s="24" t="n"/>
      <c r="S8" s="25">
        <f>IF(ISBLANK(R8),"",TODAY()-R8)</f>
        <v/>
      </c>
      <c r="T8" s="22" t="n"/>
      <c r="U8" s="24" t="n"/>
      <c r="V8" s="23" t="n"/>
      <c r="W8" s="24" t="n"/>
      <c r="X8" s="23" t="n"/>
      <c r="Y8" s="23" t="n"/>
      <c r="Z8" s="26" t="n"/>
      <c r="AA8" s="27">
        <f>IF(OR($Z8="",$Y8="",$Y8=0),"",$Z8/($Y8*24))</f>
        <v/>
      </c>
      <c r="AB8" s="26" t="n"/>
      <c r="AC8" s="22" t="n"/>
      <c r="AD8" s="22" t="n"/>
      <c r="AE8" s="22" t="n"/>
      <c r="AF8" s="22" t="n"/>
      <c r="AG8" s="22" t="n"/>
      <c r="AH8" s="23" t="inlineStr">
        <is>
          <t>No</t>
        </is>
      </c>
      <c r="AI8" s="23" t="n"/>
      <c r="AJ8" s="23" t="n"/>
      <c r="AK8" s="23" t="n"/>
      <c r="AL8" s="22" t="inlineStr">
        <is>
          <t>Plays on 12 fenced outdoor courts, May to Sep season, hosts the Kelowna Open.</t>
        </is>
      </c>
    </row>
    <row r="9" ht="20" customHeight="1">
      <c r="A9" s="17">
        <f>IF($B9="","",ROW()-2)</f>
        <v/>
      </c>
      <c r="B9" s="16" t="n"/>
      <c r="C9" s="16">
        <f>IF($B9="","","Sports Teams &amp; Leagues")</f>
        <v/>
      </c>
      <c r="D9" s="17" t="n"/>
      <c r="E9" s="16" t="n"/>
      <c r="F9" s="17" t="n"/>
      <c r="G9" s="17" t="n"/>
      <c r="H9" s="17" t="n"/>
      <c r="I9" s="16" t="n"/>
      <c r="J9" s="17" t="n"/>
      <c r="K9" s="16" t="n"/>
      <c r="L9" s="17" t="n"/>
      <c r="M9" s="16" t="n"/>
      <c r="N9" s="17" t="n"/>
      <c r="O9" s="16" t="n"/>
      <c r="P9" s="17" t="n"/>
      <c r="Q9" s="17" t="n"/>
      <c r="R9" s="15" t="n"/>
      <c r="S9" s="19">
        <f>IF(ISBLANK(R9),"",TODAY()-R9)</f>
        <v/>
      </c>
      <c r="T9" s="16" t="n"/>
      <c r="U9" s="15" t="n"/>
      <c r="V9" s="17" t="n"/>
      <c r="W9" s="15" t="n"/>
      <c r="X9" s="17" t="n"/>
      <c r="Y9" s="17" t="n"/>
      <c r="Z9" s="20" t="n"/>
      <c r="AA9" s="21">
        <f>IF(OR($Z9="",$Y9="",$Y9=0),"",$Z9/($Y9*24))</f>
        <v/>
      </c>
      <c r="AB9" s="20" t="n"/>
      <c r="AC9" s="16" t="n"/>
      <c r="AD9" s="16" t="n"/>
      <c r="AE9" s="16" t="n"/>
      <c r="AF9" s="16" t="n"/>
      <c r="AG9" s="16" t="n"/>
      <c r="AH9" s="17" t="n"/>
      <c r="AI9" s="17" t="n"/>
      <c r="AJ9" s="17" t="n"/>
      <c r="AK9" s="17" t="n"/>
      <c r="AL9" s="16" t="n"/>
    </row>
    <row r="10" ht="20" customHeight="1">
      <c r="A10" s="23">
        <f>IF($B10="","",ROW()-2)</f>
        <v/>
      </c>
      <c r="B10" s="22" t="n"/>
      <c r="C10" s="22">
        <f>IF($B10="","","Sports Teams &amp; Leagues")</f>
        <v/>
      </c>
      <c r="D10" s="23" t="n"/>
      <c r="E10" s="22" t="n"/>
      <c r="F10" s="23" t="n"/>
      <c r="G10" s="23" t="n"/>
      <c r="H10" s="23" t="n"/>
      <c r="I10" s="22" t="n"/>
      <c r="J10" s="23" t="n"/>
      <c r="K10" s="22" t="n"/>
      <c r="L10" s="23" t="n"/>
      <c r="M10" s="22" t="n"/>
      <c r="N10" s="23" t="n"/>
      <c r="O10" s="22" t="n"/>
      <c r="P10" s="23" t="n"/>
      <c r="Q10" s="23" t="n"/>
      <c r="R10" s="24" t="n"/>
      <c r="S10" s="25">
        <f>IF(ISBLANK(R10),"",TODAY()-R10)</f>
        <v/>
      </c>
      <c r="T10" s="22" t="n"/>
      <c r="U10" s="24" t="n"/>
      <c r="V10" s="23" t="n"/>
      <c r="W10" s="24" t="n"/>
      <c r="X10" s="23" t="n"/>
      <c r="Y10" s="23" t="n"/>
      <c r="Z10" s="26" t="n"/>
      <c r="AA10" s="27">
        <f>IF(OR($Z10="",$Y10="",$Y10=0),"",$Z10/($Y10*24))</f>
        <v/>
      </c>
      <c r="AB10" s="26" t="n"/>
      <c r="AC10" s="22" t="n"/>
      <c r="AD10" s="22" t="n"/>
      <c r="AE10" s="22" t="n"/>
      <c r="AF10" s="22" t="n"/>
      <c r="AG10" s="22" t="n"/>
      <c r="AH10" s="23" t="n"/>
      <c r="AI10" s="23" t="n"/>
      <c r="AJ10" s="23" t="n"/>
      <c r="AK10" s="23" t="n"/>
      <c r="AL10" s="22" t="n"/>
    </row>
    <row r="11" ht="20" customHeight="1">
      <c r="A11" s="17">
        <f>IF($B11="","",ROW()-2)</f>
        <v/>
      </c>
      <c r="B11" s="16" t="n"/>
      <c r="C11" s="16">
        <f>IF($B11="","","Sports Teams &amp; Leagues")</f>
        <v/>
      </c>
      <c r="D11" s="17" t="n"/>
      <c r="E11" s="16" t="n"/>
      <c r="F11" s="17" t="n"/>
      <c r="G11" s="17" t="n"/>
      <c r="H11" s="17" t="n"/>
      <c r="I11" s="16" t="n"/>
      <c r="J11" s="17" t="n"/>
      <c r="K11" s="16" t="n"/>
      <c r="L11" s="17" t="n"/>
      <c r="M11" s="16" t="n"/>
      <c r="N11" s="17" t="n"/>
      <c r="O11" s="16" t="n"/>
      <c r="P11" s="17" t="n"/>
      <c r="Q11" s="17" t="n"/>
      <c r="R11" s="15" t="n"/>
      <c r="S11" s="19">
        <f>IF(ISBLANK(R11),"",TODAY()-R11)</f>
        <v/>
      </c>
      <c r="T11" s="16" t="n"/>
      <c r="U11" s="15" t="n"/>
      <c r="V11" s="17" t="n"/>
      <c r="W11" s="15" t="n"/>
      <c r="X11" s="17" t="n"/>
      <c r="Y11" s="17" t="n"/>
      <c r="Z11" s="20" t="n"/>
      <c r="AA11" s="21">
        <f>IF(OR($Z11="",$Y11="",$Y11=0),"",$Z11/($Y11*24))</f>
        <v/>
      </c>
      <c r="AB11" s="20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7" t="n"/>
      <c r="AL11" s="16" t="n"/>
    </row>
    <row r="12" ht="20" customHeight="1">
      <c r="A12" s="23">
        <f>IF($B12="","",ROW()-2)</f>
        <v/>
      </c>
      <c r="B12" s="22" t="n"/>
      <c r="C12" s="22">
        <f>IF($B12="","","Sports Teams &amp; Leagues")</f>
        <v/>
      </c>
      <c r="D12" s="23" t="n"/>
      <c r="E12" s="22" t="n"/>
      <c r="F12" s="23" t="n"/>
      <c r="G12" s="23" t="n"/>
      <c r="H12" s="23" t="n"/>
      <c r="I12" s="22" t="n"/>
      <c r="J12" s="23" t="n"/>
      <c r="K12" s="22" t="n"/>
      <c r="L12" s="23" t="n"/>
      <c r="M12" s="22" t="n"/>
      <c r="N12" s="23" t="n"/>
      <c r="O12" s="22" t="n"/>
      <c r="P12" s="23" t="n"/>
      <c r="Q12" s="23" t="n"/>
      <c r="R12" s="24" t="n"/>
      <c r="S12" s="25">
        <f>IF(ISBLANK(R12),"",TODAY()-R12)</f>
        <v/>
      </c>
      <c r="T12" s="22" t="n"/>
      <c r="U12" s="24" t="n"/>
      <c r="V12" s="23" t="n"/>
      <c r="W12" s="24" t="n"/>
      <c r="X12" s="23" t="n"/>
      <c r="Y12" s="23" t="n"/>
      <c r="Z12" s="26" t="n"/>
      <c r="AA12" s="27">
        <f>IF(OR($Z12="",$Y12="",$Y12=0),"",$Z12/($Y12*24))</f>
        <v/>
      </c>
      <c r="AB12" s="26" t="n"/>
      <c r="AC12" s="22" t="n"/>
      <c r="AD12" s="22" t="n"/>
      <c r="AE12" s="22" t="n"/>
      <c r="AF12" s="22" t="n"/>
      <c r="AG12" s="22" t="n"/>
      <c r="AH12" s="23" t="n"/>
      <c r="AI12" s="23" t="n"/>
      <c r="AJ12" s="23" t="n"/>
      <c r="AK12" s="23" t="n"/>
      <c r="AL12" s="22" t="n"/>
    </row>
    <row r="13" ht="20" customHeight="1">
      <c r="A13" s="17">
        <f>IF($B13="","",ROW()-2)</f>
        <v/>
      </c>
      <c r="B13" s="16" t="n"/>
      <c r="C13" s="16">
        <f>IF($B13="","","Sports Teams &amp; Leagues")</f>
        <v/>
      </c>
      <c r="D13" s="17" t="n"/>
      <c r="E13" s="16" t="n"/>
      <c r="F13" s="17" t="n"/>
      <c r="G13" s="17" t="n"/>
      <c r="H13" s="17" t="n"/>
      <c r="I13" s="16" t="n"/>
      <c r="J13" s="17" t="n"/>
      <c r="K13" s="16" t="n"/>
      <c r="L13" s="17" t="n"/>
      <c r="M13" s="16" t="n"/>
      <c r="N13" s="17" t="n"/>
      <c r="O13" s="16" t="n"/>
      <c r="P13" s="17" t="n"/>
      <c r="Q13" s="17" t="n"/>
      <c r="R13" s="15" t="n"/>
      <c r="S13" s="19">
        <f>IF(ISBLANK(R13),"",TODAY()-R13)</f>
        <v/>
      </c>
      <c r="T13" s="16" t="n"/>
      <c r="U13" s="15" t="n"/>
      <c r="V13" s="17" t="n"/>
      <c r="W13" s="15" t="n"/>
      <c r="X13" s="17" t="n"/>
      <c r="Y13" s="17" t="n"/>
      <c r="Z13" s="20" t="n"/>
      <c r="AA13" s="21">
        <f>IF(OR($Z13="",$Y13="",$Y13=0),"",$Z13/($Y13*24))</f>
        <v/>
      </c>
      <c r="AB13" s="20" t="n"/>
      <c r="AC13" s="16" t="n"/>
      <c r="AD13" s="16" t="n"/>
      <c r="AE13" s="16" t="n"/>
      <c r="AF13" s="16" t="n"/>
      <c r="AG13" s="16" t="n"/>
      <c r="AH13" s="17" t="n"/>
      <c r="AI13" s="17" t="n"/>
      <c r="AJ13" s="17" t="n"/>
      <c r="AK13" s="17" t="n"/>
      <c r="AL13" s="16" t="n"/>
    </row>
    <row r="14" ht="20" customHeight="1">
      <c r="A14" s="23">
        <f>IF($B14="","",ROW()-2)</f>
        <v/>
      </c>
      <c r="B14" s="22" t="n"/>
      <c r="C14" s="22">
        <f>IF($B14="","","Sports Teams &amp; Leagues")</f>
        <v/>
      </c>
      <c r="D14" s="23" t="n"/>
      <c r="E14" s="22" t="n"/>
      <c r="F14" s="23" t="n"/>
      <c r="G14" s="23" t="n"/>
      <c r="H14" s="23" t="n"/>
      <c r="I14" s="22" t="n"/>
      <c r="J14" s="23" t="n"/>
      <c r="K14" s="22" t="n"/>
      <c r="L14" s="23" t="n"/>
      <c r="M14" s="22" t="n"/>
      <c r="N14" s="23" t="n"/>
      <c r="O14" s="22" t="n"/>
      <c r="P14" s="23" t="n"/>
      <c r="Q14" s="23" t="n"/>
      <c r="R14" s="24" t="n"/>
      <c r="S14" s="25">
        <f>IF(ISBLANK(R14),"",TODAY()-R14)</f>
        <v/>
      </c>
      <c r="T14" s="22" t="n"/>
      <c r="U14" s="24" t="n"/>
      <c r="V14" s="23" t="n"/>
      <c r="W14" s="24" t="n"/>
      <c r="X14" s="23" t="n"/>
      <c r="Y14" s="23" t="n"/>
      <c r="Z14" s="26" t="n"/>
      <c r="AA14" s="27">
        <f>IF(OR($Z14="",$Y14="",$Y14=0),"",$Z14/($Y14*24))</f>
        <v/>
      </c>
      <c r="AB14" s="26" t="n"/>
      <c r="AC14" s="22" t="n"/>
      <c r="AD14" s="22" t="n"/>
      <c r="AE14" s="22" t="n"/>
      <c r="AF14" s="22" t="n"/>
      <c r="AG14" s="22" t="n"/>
      <c r="AH14" s="23" t="n"/>
      <c r="AI14" s="23" t="n"/>
      <c r="AJ14" s="23" t="n"/>
      <c r="AK14" s="23" t="n"/>
      <c r="AL14" s="22" t="n"/>
    </row>
    <row r="15" ht="20" customHeight="1">
      <c r="A15" s="17">
        <f>IF($B15="","",ROW()-2)</f>
        <v/>
      </c>
      <c r="B15" s="16" t="n"/>
      <c r="C15" s="16">
        <f>IF($B15="","","Sports Teams &amp; Leagues")</f>
        <v/>
      </c>
      <c r="D15" s="17" t="n"/>
      <c r="E15" s="16" t="n"/>
      <c r="F15" s="17" t="n"/>
      <c r="G15" s="17" t="n"/>
      <c r="H15" s="17" t="n"/>
      <c r="I15" s="16" t="n"/>
      <c r="J15" s="17" t="n"/>
      <c r="K15" s="16" t="n"/>
      <c r="L15" s="17" t="n"/>
      <c r="M15" s="16" t="n"/>
      <c r="N15" s="17" t="n"/>
      <c r="O15" s="16" t="n"/>
      <c r="P15" s="17" t="n"/>
      <c r="Q15" s="17" t="n"/>
      <c r="R15" s="15" t="n"/>
      <c r="S15" s="19">
        <f>IF(ISBLANK(R15),"",TODAY()-R15)</f>
        <v/>
      </c>
      <c r="T15" s="16" t="n"/>
      <c r="U15" s="15" t="n"/>
      <c r="V15" s="17" t="n"/>
      <c r="W15" s="15" t="n"/>
      <c r="X15" s="17" t="n"/>
      <c r="Y15" s="17" t="n"/>
      <c r="Z15" s="20" t="n"/>
      <c r="AA15" s="21">
        <f>IF(OR($Z15="",$Y15="",$Y15=0),"",$Z15/($Y15*24))</f>
        <v/>
      </c>
      <c r="AB15" s="20" t="n"/>
      <c r="AC15" s="16" t="n"/>
      <c r="AD15" s="16" t="n"/>
      <c r="AE15" s="16" t="n"/>
      <c r="AF15" s="16" t="n"/>
      <c r="AG15" s="16" t="n"/>
      <c r="AH15" s="17" t="n"/>
      <c r="AI15" s="17" t="n"/>
      <c r="AJ15" s="17" t="n"/>
      <c r="AK15" s="17" t="n"/>
      <c r="AL15" s="16" t="n"/>
    </row>
    <row r="16" ht="20" customHeight="1">
      <c r="A16" s="23">
        <f>IF($B16="","",ROW()-2)</f>
        <v/>
      </c>
      <c r="B16" s="22" t="n"/>
      <c r="C16" s="22">
        <f>IF($B16="","","Sports Teams &amp; Leagues")</f>
        <v/>
      </c>
      <c r="D16" s="23" t="n"/>
      <c r="E16" s="22" t="n"/>
      <c r="F16" s="23" t="n"/>
      <c r="G16" s="23" t="n"/>
      <c r="H16" s="23" t="n"/>
      <c r="I16" s="22" t="n"/>
      <c r="J16" s="23" t="n"/>
      <c r="K16" s="22" t="n"/>
      <c r="L16" s="23" t="n"/>
      <c r="M16" s="22" t="n"/>
      <c r="N16" s="23" t="n"/>
      <c r="O16" s="22" t="n"/>
      <c r="P16" s="23" t="n"/>
      <c r="Q16" s="23" t="n"/>
      <c r="R16" s="24" t="n"/>
      <c r="S16" s="25">
        <f>IF(ISBLANK(R16),"",TODAY()-R16)</f>
        <v/>
      </c>
      <c r="T16" s="22" t="n"/>
      <c r="U16" s="24" t="n"/>
      <c r="V16" s="23" t="n"/>
      <c r="W16" s="24" t="n"/>
      <c r="X16" s="23" t="n"/>
      <c r="Y16" s="23" t="n"/>
      <c r="Z16" s="26" t="n"/>
      <c r="AA16" s="27">
        <f>IF(OR($Z16="",$Y16="",$Y16=0),"",$Z16/($Y16*24))</f>
        <v/>
      </c>
      <c r="AB16" s="26" t="n"/>
      <c r="AC16" s="22" t="n"/>
      <c r="AD16" s="22" t="n"/>
      <c r="AE16" s="22" t="n"/>
      <c r="AF16" s="22" t="n"/>
      <c r="AG16" s="22" t="n"/>
      <c r="AH16" s="23" t="n"/>
      <c r="AI16" s="23" t="n"/>
      <c r="AJ16" s="23" t="n"/>
      <c r="AK16" s="23" t="n"/>
      <c r="AL16" s="22" t="n"/>
    </row>
    <row r="17" ht="20" customHeight="1">
      <c r="A17" s="17">
        <f>IF($B17="","",ROW()-2)</f>
        <v/>
      </c>
      <c r="B17" s="16" t="n"/>
      <c r="C17" s="16">
        <f>IF($B17="","","Sports Teams &amp; Leagues")</f>
        <v/>
      </c>
      <c r="D17" s="17" t="n"/>
      <c r="E17" s="16" t="n"/>
      <c r="F17" s="17" t="n"/>
      <c r="G17" s="17" t="n"/>
      <c r="H17" s="17" t="n"/>
      <c r="I17" s="16" t="n"/>
      <c r="J17" s="17" t="n"/>
      <c r="K17" s="16" t="n"/>
      <c r="L17" s="17" t="n"/>
      <c r="M17" s="16" t="n"/>
      <c r="N17" s="17" t="n"/>
      <c r="O17" s="16" t="n"/>
      <c r="P17" s="17" t="n"/>
      <c r="Q17" s="17" t="n"/>
      <c r="R17" s="15" t="n"/>
      <c r="S17" s="19">
        <f>IF(ISBLANK(R17),"",TODAY()-R17)</f>
        <v/>
      </c>
      <c r="T17" s="16" t="n"/>
      <c r="U17" s="15" t="n"/>
      <c r="V17" s="17" t="n"/>
      <c r="W17" s="15" t="n"/>
      <c r="X17" s="17" t="n"/>
      <c r="Y17" s="17" t="n"/>
      <c r="Z17" s="20" t="n"/>
      <c r="AA17" s="21">
        <f>IF(OR($Z17="",$Y17="",$Y17=0),"",$Z17/($Y17*24))</f>
        <v/>
      </c>
      <c r="AB17" s="20" t="n"/>
      <c r="AC17" s="16" t="n"/>
      <c r="AD17" s="16" t="n"/>
      <c r="AE17" s="16" t="n"/>
      <c r="AF17" s="16" t="n"/>
      <c r="AG17" s="16" t="n"/>
      <c r="AH17" s="17" t="n"/>
      <c r="AI17" s="17" t="n"/>
      <c r="AJ17" s="17" t="n"/>
      <c r="AK17" s="17" t="n"/>
      <c r="AL17" s="16" t="n"/>
    </row>
    <row r="18" ht="20" customHeight="1">
      <c r="A18" s="23">
        <f>IF($B18="","",ROW()-2)</f>
        <v/>
      </c>
      <c r="B18" s="22" t="n"/>
      <c r="C18" s="22">
        <f>IF($B18="","","Sports Teams &amp; Leagues")</f>
        <v/>
      </c>
      <c r="D18" s="23" t="n"/>
      <c r="E18" s="22" t="n"/>
      <c r="F18" s="23" t="n"/>
      <c r="G18" s="23" t="n"/>
      <c r="H18" s="23" t="n"/>
      <c r="I18" s="22" t="n"/>
      <c r="J18" s="23" t="n"/>
      <c r="K18" s="22" t="n"/>
      <c r="L18" s="23" t="n"/>
      <c r="M18" s="22" t="n"/>
      <c r="N18" s="23" t="n"/>
      <c r="O18" s="22" t="n"/>
      <c r="P18" s="23" t="n"/>
      <c r="Q18" s="23" t="n"/>
      <c r="R18" s="24" t="n"/>
      <c r="S18" s="25">
        <f>IF(ISBLANK(R18),"",TODAY()-R18)</f>
        <v/>
      </c>
      <c r="T18" s="22" t="n"/>
      <c r="U18" s="24" t="n"/>
      <c r="V18" s="23" t="n"/>
      <c r="W18" s="24" t="n"/>
      <c r="X18" s="23" t="n"/>
      <c r="Y18" s="23" t="n"/>
      <c r="Z18" s="26" t="n"/>
      <c r="AA18" s="27">
        <f>IF(OR($Z18="",$Y18="",$Y18=0),"",$Z18/($Y18*24))</f>
        <v/>
      </c>
      <c r="AB18" s="26" t="n"/>
      <c r="AC18" s="22" t="n"/>
      <c r="AD18" s="22" t="n"/>
      <c r="AE18" s="22" t="n"/>
      <c r="AF18" s="22" t="n"/>
      <c r="AG18" s="22" t="n"/>
      <c r="AH18" s="23" t="n"/>
      <c r="AI18" s="23" t="n"/>
      <c r="AJ18" s="23" t="n"/>
      <c r="AK18" s="23" t="n"/>
      <c r="AL18" s="22" t="n"/>
    </row>
    <row r="19" ht="20" customHeight="1">
      <c r="A19" s="17">
        <f>IF($B19="","",ROW()-2)</f>
        <v/>
      </c>
      <c r="B19" s="16" t="n"/>
      <c r="C19" s="16">
        <f>IF($B19="","","Sports Teams &amp; Leagues")</f>
        <v/>
      </c>
      <c r="D19" s="17" t="n"/>
      <c r="E19" s="16" t="n"/>
      <c r="F19" s="17" t="n"/>
      <c r="G19" s="17" t="n"/>
      <c r="H19" s="17" t="n"/>
      <c r="I19" s="16" t="n"/>
      <c r="J19" s="17" t="n"/>
      <c r="K19" s="16" t="n"/>
      <c r="L19" s="17" t="n"/>
      <c r="M19" s="16" t="n"/>
      <c r="N19" s="17" t="n"/>
      <c r="O19" s="16" t="n"/>
      <c r="P19" s="17" t="n"/>
      <c r="Q19" s="17" t="n"/>
      <c r="R19" s="15" t="n"/>
      <c r="S19" s="19">
        <f>IF(ISBLANK(R19),"",TODAY()-R19)</f>
        <v/>
      </c>
      <c r="T19" s="16" t="n"/>
      <c r="U19" s="15" t="n"/>
      <c r="V19" s="17" t="n"/>
      <c r="W19" s="15" t="n"/>
      <c r="X19" s="17" t="n"/>
      <c r="Y19" s="17" t="n"/>
      <c r="Z19" s="20" t="n"/>
      <c r="AA19" s="21">
        <f>IF(OR($Z19="",$Y19="",$Y19=0),"",$Z19/($Y19*24))</f>
        <v/>
      </c>
      <c r="AB19" s="20" t="n"/>
      <c r="AC19" s="16" t="n"/>
      <c r="AD19" s="16" t="n"/>
      <c r="AE19" s="16" t="n"/>
      <c r="AF19" s="16" t="n"/>
      <c r="AG19" s="16" t="n"/>
      <c r="AH19" s="17" t="n"/>
      <c r="AI19" s="17" t="n"/>
      <c r="AJ19" s="17" t="n"/>
      <c r="AK19" s="17" t="n"/>
      <c r="AL19" s="16" t="n"/>
    </row>
    <row r="20" ht="20" customHeight="1">
      <c r="A20" s="23">
        <f>IF($B20="","",ROW()-2)</f>
        <v/>
      </c>
      <c r="B20" s="22" t="n"/>
      <c r="C20" s="22">
        <f>IF($B20="","","Sports Teams &amp; Leagues")</f>
        <v/>
      </c>
      <c r="D20" s="23" t="n"/>
      <c r="E20" s="22" t="n"/>
      <c r="F20" s="23" t="n"/>
      <c r="G20" s="23" t="n"/>
      <c r="H20" s="23" t="n"/>
      <c r="I20" s="22" t="n"/>
      <c r="J20" s="23" t="n"/>
      <c r="K20" s="22" t="n"/>
      <c r="L20" s="23" t="n"/>
      <c r="M20" s="22" t="n"/>
      <c r="N20" s="23" t="n"/>
      <c r="O20" s="22" t="n"/>
      <c r="P20" s="23" t="n"/>
      <c r="Q20" s="23" t="n"/>
      <c r="R20" s="24" t="n"/>
      <c r="S20" s="25">
        <f>IF(ISBLANK(R20),"",TODAY()-R20)</f>
        <v/>
      </c>
      <c r="T20" s="22" t="n"/>
      <c r="U20" s="24" t="n"/>
      <c r="V20" s="23" t="n"/>
      <c r="W20" s="24" t="n"/>
      <c r="X20" s="23" t="n"/>
      <c r="Y20" s="23" t="n"/>
      <c r="Z20" s="26" t="n"/>
      <c r="AA20" s="27">
        <f>IF(OR($Z20="",$Y20="",$Y20=0),"",$Z20/($Y20*24))</f>
        <v/>
      </c>
      <c r="AB20" s="26" t="n"/>
      <c r="AC20" s="22" t="n"/>
      <c r="AD20" s="22" t="n"/>
      <c r="AE20" s="22" t="n"/>
      <c r="AF20" s="22" t="n"/>
      <c r="AG20" s="22" t="n"/>
      <c r="AH20" s="23" t="n"/>
      <c r="AI20" s="23" t="n"/>
      <c r="AJ20" s="23" t="n"/>
      <c r="AK20" s="23" t="n"/>
      <c r="AL20" s="22" t="n"/>
    </row>
    <row r="21" ht="20" customHeight="1">
      <c r="A21" s="17">
        <f>IF($B21="","",ROW()-2)</f>
        <v/>
      </c>
      <c r="B21" s="16" t="n"/>
      <c r="C21" s="16">
        <f>IF($B21="","","Sports Teams &amp; Leagues")</f>
        <v/>
      </c>
      <c r="D21" s="17" t="n"/>
      <c r="E21" s="16" t="n"/>
      <c r="F21" s="17" t="n"/>
      <c r="G21" s="17" t="n"/>
      <c r="H21" s="17" t="n"/>
      <c r="I21" s="16" t="n"/>
      <c r="J21" s="17" t="n"/>
      <c r="K21" s="16" t="n"/>
      <c r="L21" s="17" t="n"/>
      <c r="M21" s="16" t="n"/>
      <c r="N21" s="17" t="n"/>
      <c r="O21" s="16" t="n"/>
      <c r="P21" s="17" t="n"/>
      <c r="Q21" s="17" t="n"/>
      <c r="R21" s="15" t="n"/>
      <c r="S21" s="19">
        <f>IF(ISBLANK(R21),"",TODAY()-R21)</f>
        <v/>
      </c>
      <c r="T21" s="16" t="n"/>
      <c r="U21" s="15" t="n"/>
      <c r="V21" s="17" t="n"/>
      <c r="W21" s="15" t="n"/>
      <c r="X21" s="17" t="n"/>
      <c r="Y21" s="17" t="n"/>
      <c r="Z21" s="20" t="n"/>
      <c r="AA21" s="21">
        <f>IF(OR($Z21="",$Y21="",$Y21=0),"",$Z21/($Y21*24))</f>
        <v/>
      </c>
      <c r="AB21" s="20" t="n"/>
      <c r="AC21" s="16" t="n"/>
      <c r="AD21" s="16" t="n"/>
      <c r="AE21" s="16" t="n"/>
      <c r="AF21" s="16" t="n"/>
      <c r="AG21" s="16" t="n"/>
      <c r="AH21" s="17" t="n"/>
      <c r="AI21" s="17" t="n"/>
      <c r="AJ21" s="17" t="n"/>
      <c r="AK21" s="17" t="n"/>
      <c r="AL21" s="16" t="n"/>
    </row>
    <row r="22" ht="20" customHeight="1">
      <c r="A22" s="23">
        <f>IF($B22="","",ROW()-2)</f>
        <v/>
      </c>
      <c r="B22" s="22" t="n"/>
      <c r="C22" s="22">
        <f>IF($B22="","","Sports Teams &amp; Leagues")</f>
        <v/>
      </c>
      <c r="D22" s="23" t="n"/>
      <c r="E22" s="22" t="n"/>
      <c r="F22" s="23" t="n"/>
      <c r="G22" s="23" t="n"/>
      <c r="H22" s="23" t="n"/>
      <c r="I22" s="22" t="n"/>
      <c r="J22" s="23" t="n"/>
      <c r="K22" s="22" t="n"/>
      <c r="L22" s="23" t="n"/>
      <c r="M22" s="22" t="n"/>
      <c r="N22" s="23" t="n"/>
      <c r="O22" s="22" t="n"/>
      <c r="P22" s="23" t="n"/>
      <c r="Q22" s="23" t="n"/>
      <c r="R22" s="24" t="n"/>
      <c r="S22" s="25">
        <f>IF(ISBLANK(R22),"",TODAY()-R22)</f>
        <v/>
      </c>
      <c r="T22" s="22" t="n"/>
      <c r="U22" s="24" t="n"/>
      <c r="V22" s="23" t="n"/>
      <c r="W22" s="24" t="n"/>
      <c r="X22" s="23" t="n"/>
      <c r="Y22" s="23" t="n"/>
      <c r="Z22" s="26" t="n"/>
      <c r="AA22" s="27">
        <f>IF(OR($Z22="",$Y22="",$Y22=0),"",$Z22/($Y22*24))</f>
        <v/>
      </c>
      <c r="AB22" s="26" t="n"/>
      <c r="AC22" s="22" t="n"/>
      <c r="AD22" s="22" t="n"/>
      <c r="AE22" s="22" t="n"/>
      <c r="AF22" s="22" t="n"/>
      <c r="AG22" s="22" t="n"/>
      <c r="AH22" s="23" t="n"/>
      <c r="AI22" s="23" t="n"/>
      <c r="AJ22" s="23" t="n"/>
      <c r="AK22" s="23" t="n"/>
      <c r="AL22" s="22" t="n"/>
    </row>
    <row r="23" ht="20" customHeight="1">
      <c r="A23" s="17">
        <f>IF($B23="","",ROW()-2)</f>
        <v/>
      </c>
      <c r="B23" s="16" t="n"/>
      <c r="C23" s="16">
        <f>IF($B23="","","Sports Teams &amp; Leagues")</f>
        <v/>
      </c>
      <c r="D23" s="17" t="n"/>
      <c r="E23" s="16" t="n"/>
      <c r="F23" s="17" t="n"/>
      <c r="G23" s="17" t="n"/>
      <c r="H23" s="17" t="n"/>
      <c r="I23" s="16" t="n"/>
      <c r="J23" s="17" t="n"/>
      <c r="K23" s="16" t="n"/>
      <c r="L23" s="17" t="n"/>
      <c r="M23" s="16" t="n"/>
      <c r="N23" s="17" t="n"/>
      <c r="O23" s="16" t="n"/>
      <c r="P23" s="17" t="n"/>
      <c r="Q23" s="17" t="n"/>
      <c r="R23" s="15" t="n"/>
      <c r="S23" s="19">
        <f>IF(ISBLANK(R23),"",TODAY()-R23)</f>
        <v/>
      </c>
      <c r="T23" s="16" t="n"/>
      <c r="U23" s="15" t="n"/>
      <c r="V23" s="17" t="n"/>
      <c r="W23" s="15" t="n"/>
      <c r="X23" s="17" t="n"/>
      <c r="Y23" s="17" t="n"/>
      <c r="Z23" s="20" t="n"/>
      <c r="AA23" s="21">
        <f>IF(OR($Z23="",$Y23="",$Y23=0),"",$Z23/($Y23*24))</f>
        <v/>
      </c>
      <c r="AB23" s="20" t="n"/>
      <c r="AC23" s="16" t="n"/>
      <c r="AD23" s="16" t="n"/>
      <c r="AE23" s="16" t="n"/>
      <c r="AF23" s="16" t="n"/>
      <c r="AG23" s="16" t="n"/>
      <c r="AH23" s="17" t="n"/>
      <c r="AI23" s="17" t="n"/>
      <c r="AJ23" s="17" t="n"/>
      <c r="AK23" s="17" t="n"/>
      <c r="AL23" s="16" t="n"/>
    </row>
    <row r="24" ht="20" customHeight="1">
      <c r="A24" s="23">
        <f>IF($B24="","",ROW()-2)</f>
        <v/>
      </c>
      <c r="B24" s="22" t="n"/>
      <c r="C24" s="22">
        <f>IF($B24="","","Sports Teams &amp; Leagues")</f>
        <v/>
      </c>
      <c r="D24" s="23" t="n"/>
      <c r="E24" s="22" t="n"/>
      <c r="F24" s="23" t="n"/>
      <c r="G24" s="23" t="n"/>
      <c r="H24" s="23" t="n"/>
      <c r="I24" s="22" t="n"/>
      <c r="J24" s="23" t="n"/>
      <c r="K24" s="22" t="n"/>
      <c r="L24" s="23" t="n"/>
      <c r="M24" s="22" t="n"/>
      <c r="N24" s="23" t="n"/>
      <c r="O24" s="22" t="n"/>
      <c r="P24" s="23" t="n"/>
      <c r="Q24" s="23" t="n"/>
      <c r="R24" s="24" t="n"/>
      <c r="S24" s="25">
        <f>IF(ISBLANK(R24),"",TODAY()-R24)</f>
        <v/>
      </c>
      <c r="T24" s="22" t="n"/>
      <c r="U24" s="24" t="n"/>
      <c r="V24" s="23" t="n"/>
      <c r="W24" s="24" t="n"/>
      <c r="X24" s="23" t="n"/>
      <c r="Y24" s="23" t="n"/>
      <c r="Z24" s="26" t="n"/>
      <c r="AA24" s="27">
        <f>IF(OR($Z24="",$Y24="",$Y24=0),"",$Z24/($Y24*24))</f>
        <v/>
      </c>
      <c r="AB24" s="26" t="n"/>
      <c r="AC24" s="22" t="n"/>
      <c r="AD24" s="22" t="n"/>
      <c r="AE24" s="22" t="n"/>
      <c r="AF24" s="22" t="n"/>
      <c r="AG24" s="22" t="n"/>
      <c r="AH24" s="23" t="n"/>
      <c r="AI24" s="23" t="n"/>
      <c r="AJ24" s="23" t="n"/>
      <c r="AK24" s="23" t="n"/>
      <c r="AL24" s="22" t="n"/>
    </row>
    <row r="25" ht="20" customHeight="1">
      <c r="A25" s="17">
        <f>IF($B25="","",ROW()-2)</f>
        <v/>
      </c>
      <c r="B25" s="16" t="n"/>
      <c r="C25" s="16">
        <f>IF($B25="","","Sports Teams &amp; Leagues")</f>
        <v/>
      </c>
      <c r="D25" s="17" t="n"/>
      <c r="E25" s="16" t="n"/>
      <c r="F25" s="17" t="n"/>
      <c r="G25" s="17" t="n"/>
      <c r="H25" s="17" t="n"/>
      <c r="I25" s="16" t="n"/>
      <c r="J25" s="17" t="n"/>
      <c r="K25" s="16" t="n"/>
      <c r="L25" s="17" t="n"/>
      <c r="M25" s="16" t="n"/>
      <c r="N25" s="17" t="n"/>
      <c r="O25" s="16" t="n"/>
      <c r="P25" s="17" t="n"/>
      <c r="Q25" s="17" t="n"/>
      <c r="R25" s="15" t="n"/>
      <c r="S25" s="19">
        <f>IF(ISBLANK(R25),"",TODAY()-R25)</f>
        <v/>
      </c>
      <c r="T25" s="16" t="n"/>
      <c r="U25" s="15" t="n"/>
      <c r="V25" s="17" t="n"/>
      <c r="W25" s="15" t="n"/>
      <c r="X25" s="17" t="n"/>
      <c r="Y25" s="17" t="n"/>
      <c r="Z25" s="20" t="n"/>
      <c r="AA25" s="21">
        <f>IF(OR($Z25="",$Y25="",$Y25=0),"",$Z25/($Y25*24))</f>
        <v/>
      </c>
      <c r="AB25" s="20" t="n"/>
      <c r="AC25" s="16" t="n"/>
      <c r="AD25" s="16" t="n"/>
      <c r="AE25" s="16" t="n"/>
      <c r="AF25" s="16" t="n"/>
      <c r="AG25" s="16" t="n"/>
      <c r="AH25" s="17" t="n"/>
      <c r="AI25" s="17" t="n"/>
      <c r="AJ25" s="17" t="n"/>
      <c r="AK25" s="17" t="n"/>
      <c r="AL25" s="16" t="n"/>
    </row>
    <row r="26" ht="20" customHeight="1">
      <c r="A26" s="23">
        <f>IF($B26="","",ROW()-2)</f>
        <v/>
      </c>
      <c r="B26" s="22" t="n"/>
      <c r="C26" s="22">
        <f>IF($B26="","","Sports Teams &amp; Leagues")</f>
        <v/>
      </c>
      <c r="D26" s="23" t="n"/>
      <c r="E26" s="22" t="n"/>
      <c r="F26" s="23" t="n"/>
      <c r="G26" s="23" t="n"/>
      <c r="H26" s="23" t="n"/>
      <c r="I26" s="22" t="n"/>
      <c r="J26" s="23" t="n"/>
      <c r="K26" s="22" t="n"/>
      <c r="L26" s="23" t="n"/>
      <c r="M26" s="22" t="n"/>
      <c r="N26" s="23" t="n"/>
      <c r="O26" s="22" t="n"/>
      <c r="P26" s="23" t="n"/>
      <c r="Q26" s="23" t="n"/>
      <c r="R26" s="24" t="n"/>
      <c r="S26" s="25">
        <f>IF(ISBLANK(R26),"",TODAY()-R26)</f>
        <v/>
      </c>
      <c r="T26" s="22" t="n"/>
      <c r="U26" s="24" t="n"/>
      <c r="V26" s="23" t="n"/>
      <c r="W26" s="24" t="n"/>
      <c r="X26" s="23" t="n"/>
      <c r="Y26" s="23" t="n"/>
      <c r="Z26" s="26" t="n"/>
      <c r="AA26" s="27">
        <f>IF(OR($Z26="",$Y26="",$Y26=0),"",$Z26/($Y26*24))</f>
        <v/>
      </c>
      <c r="AB26" s="26" t="n"/>
      <c r="AC26" s="22" t="n"/>
      <c r="AD26" s="22" t="n"/>
      <c r="AE26" s="22" t="n"/>
      <c r="AF26" s="22" t="n"/>
      <c r="AG26" s="22" t="n"/>
      <c r="AH26" s="23" t="n"/>
      <c r="AI26" s="23" t="n"/>
      <c r="AJ26" s="23" t="n"/>
      <c r="AK26" s="23" t="n"/>
      <c r="AL26" s="22" t="n"/>
    </row>
    <row r="27" ht="20" customHeight="1">
      <c r="A27" s="17">
        <f>IF($B27="","",ROW()-2)</f>
        <v/>
      </c>
      <c r="B27" s="16" t="n"/>
      <c r="C27" s="16">
        <f>IF($B27="","","Sports Teams &amp; Leagues")</f>
        <v/>
      </c>
      <c r="D27" s="17" t="n"/>
      <c r="E27" s="16" t="n"/>
      <c r="F27" s="17" t="n"/>
      <c r="G27" s="17" t="n"/>
      <c r="H27" s="17" t="n"/>
      <c r="I27" s="16" t="n"/>
      <c r="J27" s="17" t="n"/>
      <c r="K27" s="16" t="n"/>
      <c r="L27" s="17" t="n"/>
      <c r="M27" s="16" t="n"/>
      <c r="N27" s="17" t="n"/>
      <c r="O27" s="16" t="n"/>
      <c r="P27" s="17" t="n"/>
      <c r="Q27" s="17" t="n"/>
      <c r="R27" s="15" t="n"/>
      <c r="S27" s="19">
        <f>IF(ISBLANK(R27),"",TODAY()-R27)</f>
        <v/>
      </c>
      <c r="T27" s="16" t="n"/>
      <c r="U27" s="15" t="n"/>
      <c r="V27" s="17" t="n"/>
      <c r="W27" s="15" t="n"/>
      <c r="X27" s="17" t="n"/>
      <c r="Y27" s="17" t="n"/>
      <c r="Z27" s="20" t="n"/>
      <c r="AA27" s="21">
        <f>IF(OR($Z27="",$Y27="",$Y27=0),"",$Z27/($Y27*24))</f>
        <v/>
      </c>
      <c r="AB27" s="20" t="n"/>
      <c r="AC27" s="16" t="n"/>
      <c r="AD27" s="16" t="n"/>
      <c r="AE27" s="16" t="n"/>
      <c r="AF27" s="16" t="n"/>
      <c r="AG27" s="16" t="n"/>
      <c r="AH27" s="17" t="n"/>
      <c r="AI27" s="17" t="n"/>
      <c r="AJ27" s="17" t="n"/>
      <c r="AK27" s="17" t="n"/>
      <c r="AL27" s="16" t="n"/>
    </row>
    <row r="28" ht="20" customHeight="1">
      <c r="A28" s="23">
        <f>IF($B28="","",ROW()-2)</f>
        <v/>
      </c>
      <c r="B28" s="22" t="n"/>
      <c r="C28" s="22">
        <f>IF($B28="","","Sports Teams &amp; Leagues")</f>
        <v/>
      </c>
      <c r="D28" s="23" t="n"/>
      <c r="E28" s="22" t="n"/>
      <c r="F28" s="23" t="n"/>
      <c r="G28" s="23" t="n"/>
      <c r="H28" s="23" t="n"/>
      <c r="I28" s="22" t="n"/>
      <c r="J28" s="23" t="n"/>
      <c r="K28" s="22" t="n"/>
      <c r="L28" s="23" t="n"/>
      <c r="M28" s="22" t="n"/>
      <c r="N28" s="23" t="n"/>
      <c r="O28" s="22" t="n"/>
      <c r="P28" s="23" t="n"/>
      <c r="Q28" s="23" t="n"/>
      <c r="R28" s="24" t="n"/>
      <c r="S28" s="25">
        <f>IF(ISBLANK(R28),"",TODAY()-R28)</f>
        <v/>
      </c>
      <c r="T28" s="22" t="n"/>
      <c r="U28" s="24" t="n"/>
      <c r="V28" s="23" t="n"/>
      <c r="W28" s="24" t="n"/>
      <c r="X28" s="23" t="n"/>
      <c r="Y28" s="23" t="n"/>
      <c r="Z28" s="26" t="n"/>
      <c r="AA28" s="27">
        <f>IF(OR($Z28="",$Y28="",$Y28=0),"",$Z28/($Y28*24))</f>
        <v/>
      </c>
      <c r="AB28" s="26" t="n"/>
      <c r="AC28" s="22" t="n"/>
      <c r="AD28" s="22" t="n"/>
      <c r="AE28" s="22" t="n"/>
      <c r="AF28" s="22" t="n"/>
      <c r="AG28" s="22" t="n"/>
      <c r="AH28" s="23" t="n"/>
      <c r="AI28" s="23" t="n"/>
      <c r="AJ28" s="23" t="n"/>
      <c r="AK28" s="23" t="n"/>
      <c r="AL28" s="22" t="n"/>
    </row>
    <row r="29" ht="20" customHeight="1">
      <c r="A29" s="17">
        <f>IF($B29="","",ROW()-2)</f>
        <v/>
      </c>
      <c r="B29" s="16" t="n"/>
      <c r="C29" s="16">
        <f>IF($B29="","","Sports Teams &amp; Leagues")</f>
        <v/>
      </c>
      <c r="D29" s="17" t="n"/>
      <c r="E29" s="16" t="n"/>
      <c r="F29" s="17" t="n"/>
      <c r="G29" s="17" t="n"/>
      <c r="H29" s="17" t="n"/>
      <c r="I29" s="16" t="n"/>
      <c r="J29" s="17" t="n"/>
      <c r="K29" s="16" t="n"/>
      <c r="L29" s="17" t="n"/>
      <c r="M29" s="16" t="n"/>
      <c r="N29" s="17" t="n"/>
      <c r="O29" s="16" t="n"/>
      <c r="P29" s="17" t="n"/>
      <c r="Q29" s="17" t="n"/>
      <c r="R29" s="15" t="n"/>
      <c r="S29" s="19">
        <f>IF(ISBLANK(R29),"",TODAY()-R29)</f>
        <v/>
      </c>
      <c r="T29" s="16" t="n"/>
      <c r="U29" s="15" t="n"/>
      <c r="V29" s="17" t="n"/>
      <c r="W29" s="15" t="n"/>
      <c r="X29" s="17" t="n"/>
      <c r="Y29" s="17" t="n"/>
      <c r="Z29" s="20" t="n"/>
      <c r="AA29" s="21">
        <f>IF(OR($Z29="",$Y29="",$Y29=0),"",$Z29/($Y29*24))</f>
        <v/>
      </c>
      <c r="AB29" s="20" t="n"/>
      <c r="AC29" s="16" t="n"/>
      <c r="AD29" s="16" t="n"/>
      <c r="AE29" s="16" t="n"/>
      <c r="AF29" s="16" t="n"/>
      <c r="AG29" s="16" t="n"/>
      <c r="AH29" s="17" t="n"/>
      <c r="AI29" s="17" t="n"/>
      <c r="AJ29" s="17" t="n"/>
      <c r="AK29" s="17" t="n"/>
      <c r="AL29" s="16" t="n"/>
    </row>
    <row r="30" ht="20" customHeight="1">
      <c r="A30" s="23">
        <f>IF($B30="","",ROW()-2)</f>
        <v/>
      </c>
      <c r="B30" s="22" t="n"/>
      <c r="C30" s="22">
        <f>IF($B30="","","Sports Teams &amp; Leagues")</f>
        <v/>
      </c>
      <c r="D30" s="23" t="n"/>
      <c r="E30" s="22" t="n"/>
      <c r="F30" s="23" t="n"/>
      <c r="G30" s="23" t="n"/>
      <c r="H30" s="23" t="n"/>
      <c r="I30" s="22" t="n"/>
      <c r="J30" s="23" t="n"/>
      <c r="K30" s="22" t="n"/>
      <c r="L30" s="23" t="n"/>
      <c r="M30" s="22" t="n"/>
      <c r="N30" s="23" t="n"/>
      <c r="O30" s="22" t="n"/>
      <c r="P30" s="23" t="n"/>
      <c r="Q30" s="23" t="n"/>
      <c r="R30" s="24" t="n"/>
      <c r="S30" s="25">
        <f>IF(ISBLANK(R30),"",TODAY()-R30)</f>
        <v/>
      </c>
      <c r="T30" s="22" t="n"/>
      <c r="U30" s="24" t="n"/>
      <c r="V30" s="23" t="n"/>
      <c r="W30" s="24" t="n"/>
      <c r="X30" s="23" t="n"/>
      <c r="Y30" s="23" t="n"/>
      <c r="Z30" s="26" t="n"/>
      <c r="AA30" s="27">
        <f>IF(OR($Z30="",$Y30="",$Y30=0),"",$Z30/($Y30*24))</f>
        <v/>
      </c>
      <c r="AB30" s="26" t="n"/>
      <c r="AC30" s="22" t="n"/>
      <c r="AD30" s="22" t="n"/>
      <c r="AE30" s="22" t="n"/>
      <c r="AF30" s="22" t="n"/>
      <c r="AG30" s="22" t="n"/>
      <c r="AH30" s="23" t="n"/>
      <c r="AI30" s="23" t="n"/>
      <c r="AJ30" s="23" t="n"/>
      <c r="AK30" s="23" t="n"/>
      <c r="AL30" s="22" t="n"/>
    </row>
    <row r="31" ht="20" customHeight="1">
      <c r="A31" s="17">
        <f>IF($B31="","",ROW()-2)</f>
        <v/>
      </c>
      <c r="B31" s="16" t="n"/>
      <c r="C31" s="16">
        <f>IF($B31="","","Sports Teams &amp; Leagues")</f>
        <v/>
      </c>
      <c r="D31" s="17" t="n"/>
      <c r="E31" s="16" t="n"/>
      <c r="F31" s="17" t="n"/>
      <c r="G31" s="17" t="n"/>
      <c r="H31" s="17" t="n"/>
      <c r="I31" s="16" t="n"/>
      <c r="J31" s="17" t="n"/>
      <c r="K31" s="16" t="n"/>
      <c r="L31" s="17" t="n"/>
      <c r="M31" s="16" t="n"/>
      <c r="N31" s="17" t="n"/>
      <c r="O31" s="16" t="n"/>
      <c r="P31" s="17" t="n"/>
      <c r="Q31" s="17" t="n"/>
      <c r="R31" s="15" t="n"/>
      <c r="S31" s="19">
        <f>IF(ISBLANK(R31),"",TODAY()-R31)</f>
        <v/>
      </c>
      <c r="T31" s="16" t="n"/>
      <c r="U31" s="15" t="n"/>
      <c r="V31" s="17" t="n"/>
      <c r="W31" s="15" t="n"/>
      <c r="X31" s="17" t="n"/>
      <c r="Y31" s="17" t="n"/>
      <c r="Z31" s="20" t="n"/>
      <c r="AA31" s="21">
        <f>IF(OR($Z31="",$Y31="",$Y31=0),"",$Z31/($Y31*24))</f>
        <v/>
      </c>
      <c r="AB31" s="20" t="n"/>
      <c r="AC31" s="16" t="n"/>
      <c r="AD31" s="16" t="n"/>
      <c r="AE31" s="16" t="n"/>
      <c r="AF31" s="16" t="n"/>
      <c r="AG31" s="16" t="n"/>
      <c r="AH31" s="17" t="n"/>
      <c r="AI31" s="17" t="n"/>
      <c r="AJ31" s="17" t="n"/>
      <c r="AK31" s="17" t="n"/>
      <c r="AL31" s="16" t="n"/>
    </row>
    <row r="32" ht="20" customHeight="1">
      <c r="A32" s="23">
        <f>IF($B32="","",ROW()-2)</f>
        <v/>
      </c>
      <c r="B32" s="22" t="n"/>
      <c r="C32" s="22">
        <f>IF($B32="","","Sports Teams &amp; Leagues")</f>
        <v/>
      </c>
      <c r="D32" s="23" t="n"/>
      <c r="E32" s="22" t="n"/>
      <c r="F32" s="23" t="n"/>
      <c r="G32" s="23" t="n"/>
      <c r="H32" s="23" t="n"/>
      <c r="I32" s="22" t="n"/>
      <c r="J32" s="23" t="n"/>
      <c r="K32" s="22" t="n"/>
      <c r="L32" s="23" t="n"/>
      <c r="M32" s="22" t="n"/>
      <c r="N32" s="23" t="n"/>
      <c r="O32" s="22" t="n"/>
      <c r="P32" s="23" t="n"/>
      <c r="Q32" s="23" t="n"/>
      <c r="R32" s="24" t="n"/>
      <c r="S32" s="25">
        <f>IF(ISBLANK(R32),"",TODAY()-R32)</f>
        <v/>
      </c>
      <c r="T32" s="22" t="n"/>
      <c r="U32" s="24" t="n"/>
      <c r="V32" s="23" t="n"/>
      <c r="W32" s="24" t="n"/>
      <c r="X32" s="23" t="n"/>
      <c r="Y32" s="23" t="n"/>
      <c r="Z32" s="26" t="n"/>
      <c r="AA32" s="27">
        <f>IF(OR($Z32="",$Y32="",$Y32=0),"",$Z32/($Y32*24))</f>
        <v/>
      </c>
      <c r="AB32" s="26" t="n"/>
      <c r="AC32" s="22" t="n"/>
      <c r="AD32" s="22" t="n"/>
      <c r="AE32" s="22" t="n"/>
      <c r="AF32" s="22" t="n"/>
      <c r="AG32" s="22" t="n"/>
      <c r="AH32" s="23" t="n"/>
      <c r="AI32" s="23" t="n"/>
      <c r="AJ32" s="23" t="n"/>
      <c r="AK32" s="23" t="n"/>
      <c r="AL32" s="22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Campus &amp; Student Groups</t>
        </is>
      </c>
    </row>
    <row r="2" ht="50" customHeight="1">
      <c r="A2" s="8" t="inlineStr">
        <is>
          <t>#</t>
        </is>
      </c>
      <c r="B2" s="8" t="inlineStr">
        <is>
          <t>Partner Name</t>
        </is>
      </c>
      <c r="C2" s="8" t="inlineStr">
        <is>
          <t>Partnership Type</t>
        </is>
      </c>
      <c r="D2" s="8" t="inlineStr">
        <is>
          <t>City</t>
        </is>
      </c>
      <c r="E2" s="8" t="inlineStr">
        <is>
          <t>Neighbourhood</t>
        </is>
      </c>
      <c r="F2" s="8" t="inlineStr">
        <is>
          <t>Priority</t>
        </is>
      </c>
      <c r="G2" s="8" t="inlineStr">
        <is>
          <t>Status</t>
        </is>
      </c>
      <c r="H2" s="8" t="inlineStr">
        <is>
          <t>Primary Owner</t>
        </is>
      </c>
      <c r="I2" s="8" t="inlineStr">
        <is>
          <t>Contact Name</t>
        </is>
      </c>
      <c r="J2" s="8" t="inlineStr">
        <is>
          <t>Role</t>
        </is>
      </c>
      <c r="K2" s="8" t="inlineStr">
        <is>
          <t>Contact Email</t>
        </is>
      </c>
      <c r="L2" s="8" t="inlineStr">
        <is>
          <t>Contact Phone</t>
        </is>
      </c>
      <c r="M2" s="8" t="inlineStr">
        <is>
          <t>Instagram or Website</t>
        </is>
      </c>
      <c r="N2" s="8" t="inlineStr">
        <is>
          <t>Audience Size</t>
        </is>
      </c>
      <c r="O2" s="8" t="inlineStr">
        <is>
          <t>Audience Source</t>
        </is>
      </c>
      <c r="P2" s="8" t="inlineStr">
        <is>
          <t>Source</t>
        </is>
      </c>
      <c r="Q2" s="8" t="inlineStr">
        <is>
          <t>Warm</t>
        </is>
      </c>
      <c r="R2" s="8" t="inlineStr">
        <is>
          <t>Last Contacted</t>
        </is>
      </c>
      <c r="S2" s="8" t="inlineStr">
        <is>
          <t>Days Since Activity</t>
        </is>
      </c>
      <c r="T2" s="8" t="inlineStr">
        <is>
          <t>Next Action</t>
        </is>
      </c>
      <c r="U2" s="8" t="inlineStr">
        <is>
          <t>Next Action Date</t>
        </is>
      </c>
      <c r="V2" s="8" t="inlineStr">
        <is>
          <t>Activation Type</t>
        </is>
      </c>
      <c r="W2" s="8" t="inlineStr">
        <is>
          <t>Activation Date</t>
        </is>
      </c>
      <c r="X2" s="8" t="inlineStr">
        <is>
          <t>Cases Committed</t>
        </is>
      </c>
      <c r="Y2" s="8" t="inlineStr">
        <is>
          <t>Cases Delivered</t>
        </is>
      </c>
      <c r="Z2" s="8" t="inlineStr">
        <is>
          <t>Cost ($)</t>
        </is>
      </c>
      <c r="AA2" s="8" t="inlineStr">
        <is>
          <t>Cost Per Can</t>
        </is>
      </c>
      <c r="AB2" s="8" t="inlineStr">
        <is>
          <t>Contra Value ($)</t>
        </is>
      </c>
      <c r="AC2" s="8" t="inlineStr">
        <is>
          <t>Deliverables Promised</t>
        </is>
      </c>
      <c r="AD2" s="8" t="inlineStr">
        <is>
          <t>Deliverables Received</t>
        </is>
      </c>
      <c r="AE2" s="8" t="inlineStr">
        <is>
          <t>What They Want</t>
        </is>
      </c>
      <c r="AF2" s="8" t="inlineStr">
        <is>
          <t>Risks</t>
        </is>
      </c>
      <c r="AG2" s="8" t="inlineStr">
        <is>
          <t>Nearby Retail Doors</t>
        </is>
      </c>
      <c r="AH2" s="8" t="inlineStr">
        <is>
          <t>In BC Tracker?</t>
        </is>
      </c>
      <c r="AI2" s="8" t="inlineStr">
        <is>
          <t>Raspberry 4338</t>
        </is>
      </c>
      <c r="AJ2" s="8" t="inlineStr">
        <is>
          <t>Lemon Lime 4336</t>
        </is>
      </c>
      <c r="AK2" s="8" t="inlineStr">
        <is>
          <t>Pineapple Passion Fruit 4340</t>
        </is>
      </c>
      <c r="AL2" s="8" t="inlineStr">
        <is>
          <t>Notes</t>
        </is>
      </c>
    </row>
    <row r="3" ht="20" customHeight="1">
      <c r="A3" s="17">
        <f>IF($B3="","",ROW()-2)</f>
        <v/>
      </c>
      <c r="B3" s="16" t="inlineStr">
        <is>
          <t>UBC Thunderbirds Athletics</t>
        </is>
      </c>
      <c r="C3" s="16">
        <f>IF($B3="","","Campus &amp; Student Groups")</f>
        <v/>
      </c>
      <c r="D3" s="17" t="inlineStr">
        <is>
          <t>Vancouver</t>
        </is>
      </c>
      <c r="E3" s="16" t="inlineStr">
        <is>
          <t>UBC</t>
        </is>
      </c>
      <c r="F3" s="17" t="inlineStr">
        <is>
          <t>P1</t>
        </is>
      </c>
      <c r="G3" s="17" t="inlineStr">
        <is>
          <t>Open</t>
        </is>
      </c>
      <c r="H3" s="17" t="inlineStr">
        <is>
          <t>Maddie</t>
        </is>
      </c>
      <c r="I3" s="16" t="n"/>
      <c r="J3" s="17" t="n"/>
      <c r="K3" s="16" t="n"/>
      <c r="L3" s="17" t="n"/>
      <c r="M3" s="33" t="inlineStr">
        <is>
          <t>@ubctbirds</t>
        </is>
      </c>
      <c r="N3" s="17" t="inlineStr">
        <is>
          <t>33,000 IG</t>
        </is>
      </c>
      <c r="O3" s="16" t="inlineStr">
        <is>
          <t>Instagram @ubctbirds follower count, web search 2026. 26 varsity teams per gothunderbirds.ca</t>
        </is>
      </c>
      <c r="P3" s="17" t="inlineStr">
        <is>
          <t>Verified Web</t>
        </is>
      </c>
      <c r="Q3" s="17" t="inlineStr">
        <is>
          <t>Cold</t>
        </is>
      </c>
      <c r="R3" s="15" t="n"/>
      <c r="S3" s="19">
        <f>IF(ISBLANK(R3),"",TODAY()-R3)</f>
        <v/>
      </c>
      <c r="T3" s="16" t="n"/>
      <c r="U3" s="15" t="n"/>
      <c r="V3" s="17" t="n"/>
      <c r="W3" s="15" t="n"/>
      <c r="X3" s="17" t="n"/>
      <c r="Y3" s="17" t="n"/>
      <c r="Z3" s="20" t="n"/>
      <c r="AA3" s="21">
        <f>IF(OR($Z3="",$Y3="",$Y3=0),"",$Z3/($Y3*24))</f>
        <v/>
      </c>
      <c r="AB3" s="20" t="n"/>
      <c r="AC3" s="16" t="n"/>
      <c r="AD3" s="16" t="n"/>
      <c r="AE3" s="16" t="n"/>
      <c r="AF3" s="16" t="n"/>
      <c r="AG3" s="16" t="n"/>
      <c r="AH3" s="17" t="inlineStr">
        <is>
          <t>No</t>
        </is>
      </c>
      <c r="AI3" s="17" t="n"/>
      <c r="AJ3" s="17" t="n"/>
      <c r="AK3" s="17" t="n"/>
      <c r="AL3" s="16" t="inlineStr">
        <is>
          <t>26 varsity teams across 15 sports at the Point Grey campus.</t>
        </is>
      </c>
    </row>
    <row r="4" ht="20" customHeight="1">
      <c r="A4" s="23">
        <f>IF($B4="","",ROW()-2)</f>
        <v/>
      </c>
      <c r="B4" s="22" t="inlineStr">
        <is>
          <t>AMS of UBC</t>
        </is>
      </c>
      <c r="C4" s="22">
        <f>IF($B4="","","Campus &amp; Student Groups")</f>
        <v/>
      </c>
      <c r="D4" s="23" t="inlineStr">
        <is>
          <t>Vancouver</t>
        </is>
      </c>
      <c r="E4" s="22" t="inlineStr">
        <is>
          <t>UBC</t>
        </is>
      </c>
      <c r="F4" s="23" t="inlineStr">
        <is>
          <t>P1</t>
        </is>
      </c>
      <c r="G4" s="23" t="inlineStr">
        <is>
          <t>Open</t>
        </is>
      </c>
      <c r="H4" s="23" t="inlineStr">
        <is>
          <t>Maddie</t>
        </is>
      </c>
      <c r="I4" s="22" t="n"/>
      <c r="J4" s="23" t="n"/>
      <c r="K4" s="22" t="n"/>
      <c r="L4" s="23" t="n"/>
      <c r="M4" s="34" t="inlineStr">
        <is>
          <t>ams.ubc.ca</t>
        </is>
      </c>
      <c r="N4" s="23" t="inlineStr">
        <is>
          <t>60,000 students</t>
        </is>
      </c>
      <c r="O4" s="22" t="inlineStr">
        <is>
          <t>AMS represents more than 60,000 students per ams.ubc.ca, operates 200 plus clubs</t>
        </is>
      </c>
      <c r="P4" s="23" t="inlineStr">
        <is>
          <t>Verified Web</t>
        </is>
      </c>
      <c r="Q4" s="23" t="inlineStr">
        <is>
          <t>Cold</t>
        </is>
      </c>
      <c r="R4" s="24" t="n"/>
      <c r="S4" s="25">
        <f>IF(ISBLANK(R4),"",TODAY()-R4)</f>
        <v/>
      </c>
      <c r="T4" s="22" t="n"/>
      <c r="U4" s="24" t="n"/>
      <c r="V4" s="23" t="n"/>
      <c r="W4" s="24" t="n"/>
      <c r="X4" s="23" t="n"/>
      <c r="Y4" s="23" t="n"/>
      <c r="Z4" s="26" t="n"/>
      <c r="AA4" s="27">
        <f>IF(OR($Z4="",$Y4="",$Y4=0),"",$Z4/($Y4*24))</f>
        <v/>
      </c>
      <c r="AB4" s="26" t="n"/>
      <c r="AC4" s="22" t="n"/>
      <c r="AD4" s="22" t="n"/>
      <c r="AE4" s="22" t="n"/>
      <c r="AF4" s="22" t="n"/>
      <c r="AG4" s="22" t="n"/>
      <c r="AH4" s="23" t="inlineStr">
        <is>
          <t>No</t>
        </is>
      </c>
      <c r="AI4" s="23" t="n"/>
      <c r="AJ4" s="23" t="n"/>
      <c r="AK4" s="23" t="n"/>
      <c r="AL4" s="22" t="inlineStr">
        <is>
          <t>Student society running the Nest student union building and 200 plus clubs.</t>
        </is>
      </c>
    </row>
    <row r="5" ht="20" customHeight="1">
      <c r="A5" s="17">
        <f>IF($B5="","",ROW()-2)</f>
        <v/>
      </c>
      <c r="B5" s="16" t="inlineStr">
        <is>
          <t>SFU Recreation</t>
        </is>
      </c>
      <c r="C5" s="16">
        <f>IF($B5="","","Campus &amp; Student Groups")</f>
        <v/>
      </c>
      <c r="D5" s="17" t="inlineStr">
        <is>
          <t>Burnaby</t>
        </is>
      </c>
      <c r="E5" s="16" t="inlineStr">
        <is>
          <t>Burnaby Mountain</t>
        </is>
      </c>
      <c r="F5" s="17" t="inlineStr">
        <is>
          <t>P2</t>
        </is>
      </c>
      <c r="G5" s="17" t="inlineStr">
        <is>
          <t>Open</t>
        </is>
      </c>
      <c r="H5" s="17" t="inlineStr">
        <is>
          <t>Maddie</t>
        </is>
      </c>
      <c r="I5" s="16" t="n"/>
      <c r="J5" s="17" t="n"/>
      <c r="K5" s="16" t="n"/>
      <c r="L5" s="17" t="n"/>
      <c r="M5" s="33" t="inlineStr">
        <is>
          <t>@sfurecreation</t>
        </is>
      </c>
      <c r="N5" s="17" t="inlineStr">
        <is>
          <t>4,500 IG</t>
        </is>
      </c>
      <c r="O5" s="16" t="inlineStr">
        <is>
          <t>Instagram @sfurecreation follower count, web search 2026</t>
        </is>
      </c>
      <c r="P5" s="17" t="inlineStr">
        <is>
          <t>Verified Web</t>
        </is>
      </c>
      <c r="Q5" s="17" t="inlineStr">
        <is>
          <t>Cold</t>
        </is>
      </c>
      <c r="R5" s="15" t="n"/>
      <c r="S5" s="19">
        <f>IF(ISBLANK(R5),"",TODAY()-R5)</f>
        <v/>
      </c>
      <c r="T5" s="16" t="n"/>
      <c r="U5" s="15" t="n"/>
      <c r="V5" s="17" t="n"/>
      <c r="W5" s="15" t="n"/>
      <c r="X5" s="17" t="n"/>
      <c r="Y5" s="17" t="n"/>
      <c r="Z5" s="20" t="n"/>
      <c r="AA5" s="21">
        <f>IF(OR($Z5="",$Y5="",$Y5=0),"",$Z5/($Y5*24))</f>
        <v/>
      </c>
      <c r="AB5" s="20" t="n"/>
      <c r="AC5" s="16" t="n"/>
      <c r="AD5" s="16" t="n"/>
      <c r="AE5" s="16" t="n"/>
      <c r="AF5" s="16" t="n"/>
      <c r="AG5" s="16" t="n"/>
      <c r="AH5" s="17" t="inlineStr">
        <is>
          <t>No</t>
        </is>
      </c>
      <c r="AI5" s="17" t="n"/>
      <c r="AJ5" s="17" t="n"/>
      <c r="AK5" s="17" t="n"/>
      <c r="AL5" s="16" t="inlineStr">
        <is>
          <t>Intramural leagues open to students, staff and faculty.</t>
        </is>
      </c>
    </row>
    <row r="6" ht="20" customHeight="1">
      <c r="A6" s="23">
        <f>IF($B6="","",ROW()-2)</f>
        <v/>
      </c>
      <c r="B6" s="22" t="inlineStr">
        <is>
          <t>UVic Vikes Recreation</t>
        </is>
      </c>
      <c r="C6" s="22">
        <f>IF($B6="","","Campus &amp; Student Groups")</f>
        <v/>
      </c>
      <c r="D6" s="23" t="inlineStr">
        <is>
          <t>Victoria</t>
        </is>
      </c>
      <c r="E6" s="22" t="inlineStr">
        <is>
          <t>UVic</t>
        </is>
      </c>
      <c r="F6" s="23" t="inlineStr">
        <is>
          <t>P2</t>
        </is>
      </c>
      <c r="G6" s="23" t="inlineStr">
        <is>
          <t>Open</t>
        </is>
      </c>
      <c r="H6" s="23" t="inlineStr">
        <is>
          <t>Maddie</t>
        </is>
      </c>
      <c r="I6" s="22" t="n"/>
      <c r="J6" s="23" t="n"/>
      <c r="K6" s="22" t="n"/>
      <c r="L6" s="23" t="n"/>
      <c r="M6" s="34" t="inlineStr">
        <is>
          <t>vikesrec.ca</t>
        </is>
      </c>
      <c r="N6" s="23" t="inlineStr">
        <is>
          <t>22,000 students</t>
        </is>
      </c>
      <c r="O6" s="22" t="inlineStr">
        <is>
          <t>UVic enrolment over 22,000 students per uvic.ca, Vikes Recreation open to all students</t>
        </is>
      </c>
      <c r="P6" s="23" t="inlineStr">
        <is>
          <t>Verified Web</t>
        </is>
      </c>
      <c r="Q6" s="23" t="inlineStr">
        <is>
          <t>Cold</t>
        </is>
      </c>
      <c r="R6" s="24" t="n"/>
      <c r="S6" s="25">
        <f>IF(ISBLANK(R6),"",TODAY()-R6)</f>
        <v/>
      </c>
      <c r="T6" s="22" t="n"/>
      <c r="U6" s="24" t="n"/>
      <c r="V6" s="23" t="n"/>
      <c r="W6" s="24" t="n"/>
      <c r="X6" s="23" t="n"/>
      <c r="Y6" s="23" t="n"/>
      <c r="Z6" s="26" t="n"/>
      <c r="AA6" s="27">
        <f>IF(OR($Z6="",$Y6="",$Y6=0),"",$Z6/($Y6*24))</f>
        <v/>
      </c>
      <c r="AB6" s="26" t="n"/>
      <c r="AC6" s="22" t="n"/>
      <c r="AD6" s="22" t="n"/>
      <c r="AE6" s="22" t="n"/>
      <c r="AF6" s="22" t="n"/>
      <c r="AG6" s="22" t="n"/>
      <c r="AH6" s="23" t="inlineStr">
        <is>
          <t>No</t>
        </is>
      </c>
      <c r="AI6" s="23" t="n"/>
      <c r="AJ6" s="23" t="n"/>
      <c r="AK6" s="23" t="n"/>
      <c r="AL6" s="22" t="inlineStr">
        <is>
          <t>Campus recreation programs based at the CARSA centre.</t>
        </is>
      </c>
    </row>
    <row r="7" ht="20" customHeight="1">
      <c r="A7" s="17">
        <f>IF($B7="","",ROW()-2)</f>
        <v/>
      </c>
      <c r="B7" s="16" t="inlineStr">
        <is>
          <t>Students' Union Okanagan of UBC</t>
        </is>
      </c>
      <c r="C7" s="16">
        <f>IF($B7="","","Campus &amp; Student Groups")</f>
        <v/>
      </c>
      <c r="D7" s="17" t="inlineStr">
        <is>
          <t>Kelowna</t>
        </is>
      </c>
      <c r="E7" s="16" t="inlineStr">
        <is>
          <t>UBC Okanagan</t>
        </is>
      </c>
      <c r="F7" s="17" t="inlineStr">
        <is>
          <t>P2</t>
        </is>
      </c>
      <c r="G7" s="17" t="inlineStr">
        <is>
          <t>Open</t>
        </is>
      </c>
      <c r="H7" s="17" t="inlineStr">
        <is>
          <t>Maddie</t>
        </is>
      </c>
      <c r="I7" s="16" t="n"/>
      <c r="J7" s="17" t="n"/>
      <c r="K7" s="16" t="n"/>
      <c r="L7" s="17" t="n"/>
      <c r="M7" s="33" t="inlineStr">
        <is>
          <t>@suo_ubc</t>
        </is>
      </c>
      <c r="N7" s="17" t="inlineStr">
        <is>
          <t>12,000 students</t>
        </is>
      </c>
      <c r="O7" s="16" t="inlineStr">
        <is>
          <t>SUO represents over 12,000 students per suo.ca</t>
        </is>
      </c>
      <c r="P7" s="17" t="inlineStr">
        <is>
          <t>Verified Web</t>
        </is>
      </c>
      <c r="Q7" s="17" t="inlineStr">
        <is>
          <t>Cold</t>
        </is>
      </c>
      <c r="R7" s="15" t="n"/>
      <c r="S7" s="19">
        <f>IF(ISBLANK(R7),"",TODAY()-R7)</f>
        <v/>
      </c>
      <c r="T7" s="16" t="n"/>
      <c r="U7" s="15" t="n"/>
      <c r="V7" s="17" t="n"/>
      <c r="W7" s="15" t="n"/>
      <c r="X7" s="17" t="n"/>
      <c r="Y7" s="17" t="n"/>
      <c r="Z7" s="20" t="n"/>
      <c r="AA7" s="21">
        <f>IF(OR($Z7="",$Y7="",$Y7=0),"",$Z7/($Y7*24))</f>
        <v/>
      </c>
      <c r="AB7" s="20" t="n"/>
      <c r="AC7" s="16" t="n"/>
      <c r="AD7" s="16" t="n"/>
      <c r="AE7" s="16" t="n"/>
      <c r="AF7" s="16" t="n"/>
      <c r="AG7" s="16" t="n"/>
      <c r="AH7" s="17" t="inlineStr">
        <is>
          <t>No</t>
        </is>
      </c>
      <c r="AI7" s="17" t="n"/>
      <c r="AJ7" s="17" t="n"/>
      <c r="AK7" s="17" t="n"/>
      <c r="AL7" s="16" t="inlineStr">
        <is>
          <t>Runs The Well student pub and The Green Bean cafe. New recreation facility broke ground May 2026.</t>
        </is>
      </c>
    </row>
    <row r="8" ht="20" customHeight="1">
      <c r="A8" s="23">
        <f>IF($B8="","",ROW()-2)</f>
        <v/>
      </c>
      <c r="B8" s="22" t="inlineStr">
        <is>
          <t>Camosun College Student Society</t>
        </is>
      </c>
      <c r="C8" s="22">
        <f>IF($B8="","","Campus &amp; Student Groups")</f>
        <v/>
      </c>
      <c r="D8" s="23" t="inlineStr">
        <is>
          <t>Victoria</t>
        </is>
      </c>
      <c r="E8" s="22" t="inlineStr">
        <is>
          <t>Lansdowne</t>
        </is>
      </c>
      <c r="F8" s="23" t="inlineStr">
        <is>
          <t>P3</t>
        </is>
      </c>
      <c r="G8" s="23" t="inlineStr">
        <is>
          <t>Open</t>
        </is>
      </c>
      <c r="H8" s="23" t="inlineStr">
        <is>
          <t>Maddie</t>
        </is>
      </c>
      <c r="I8" s="22" t="n"/>
      <c r="J8" s="23" t="n"/>
      <c r="K8" s="22" t="n"/>
      <c r="L8" s="23" t="n"/>
      <c r="M8" s="34" t="inlineStr">
        <is>
          <t>camosunstudent.org</t>
        </is>
      </c>
      <c r="N8" s="23" t="inlineStr">
        <is>
          <t>9,000+ students</t>
        </is>
      </c>
      <c r="O8" s="22" t="inlineStr">
        <is>
          <t>CCSS represents the 9,000 plus students of Camosun College per camosunstudent.org</t>
        </is>
      </c>
      <c r="P8" s="23" t="inlineStr">
        <is>
          <t>Verified Web</t>
        </is>
      </c>
      <c r="Q8" s="23" t="inlineStr">
        <is>
          <t>Cold</t>
        </is>
      </c>
      <c r="R8" s="24" t="n"/>
      <c r="S8" s="25">
        <f>IF(ISBLANK(R8),"",TODAY()-R8)</f>
        <v/>
      </c>
      <c r="T8" s="22" t="n"/>
      <c r="U8" s="24" t="n"/>
      <c r="V8" s="23" t="n"/>
      <c r="W8" s="24" t="n"/>
      <c r="X8" s="23" t="n"/>
      <c r="Y8" s="23" t="n"/>
      <c r="Z8" s="26" t="n"/>
      <c r="AA8" s="27">
        <f>IF(OR($Z8="",$Y8="",$Y8=0),"",$Z8/($Y8*24))</f>
        <v/>
      </c>
      <c r="AB8" s="26" t="n"/>
      <c r="AC8" s="22" t="n"/>
      <c r="AD8" s="22" t="n"/>
      <c r="AE8" s="22" t="n"/>
      <c r="AF8" s="22" t="n"/>
      <c r="AG8" s="22" t="n"/>
      <c r="AH8" s="23" t="inlineStr">
        <is>
          <t>No</t>
        </is>
      </c>
      <c r="AI8" s="23" t="n"/>
      <c r="AJ8" s="23" t="n"/>
      <c r="AK8" s="23" t="n"/>
      <c r="AL8" s="22" t="inlineStr">
        <is>
          <t>Student society across the Lansdowne and Interurban campuses.</t>
        </is>
      </c>
    </row>
    <row r="9" ht="20" customHeight="1">
      <c r="A9" s="17">
        <f>IF($B9="","",ROW()-2)</f>
        <v/>
      </c>
      <c r="B9" s="16" t="n"/>
      <c r="C9" s="16">
        <f>IF($B9="","","Campus &amp; Student Groups")</f>
        <v/>
      </c>
      <c r="D9" s="17" t="n"/>
      <c r="E9" s="16" t="n"/>
      <c r="F9" s="17" t="n"/>
      <c r="G9" s="17" t="n"/>
      <c r="H9" s="17" t="n"/>
      <c r="I9" s="16" t="n"/>
      <c r="J9" s="17" t="n"/>
      <c r="K9" s="16" t="n"/>
      <c r="L9" s="17" t="n"/>
      <c r="M9" s="16" t="n"/>
      <c r="N9" s="17" t="n"/>
      <c r="O9" s="16" t="n"/>
      <c r="P9" s="17" t="n"/>
      <c r="Q9" s="17" t="n"/>
      <c r="R9" s="15" t="n"/>
      <c r="S9" s="19">
        <f>IF(ISBLANK(R9),"",TODAY()-R9)</f>
        <v/>
      </c>
      <c r="T9" s="16" t="n"/>
      <c r="U9" s="15" t="n"/>
      <c r="V9" s="17" t="n"/>
      <c r="W9" s="15" t="n"/>
      <c r="X9" s="17" t="n"/>
      <c r="Y9" s="17" t="n"/>
      <c r="Z9" s="20" t="n"/>
      <c r="AA9" s="21">
        <f>IF(OR($Z9="",$Y9="",$Y9=0),"",$Z9/($Y9*24))</f>
        <v/>
      </c>
      <c r="AB9" s="20" t="n"/>
      <c r="AC9" s="16" t="n"/>
      <c r="AD9" s="16" t="n"/>
      <c r="AE9" s="16" t="n"/>
      <c r="AF9" s="16" t="n"/>
      <c r="AG9" s="16" t="n"/>
      <c r="AH9" s="17" t="n"/>
      <c r="AI9" s="17" t="n"/>
      <c r="AJ9" s="17" t="n"/>
      <c r="AK9" s="17" t="n"/>
      <c r="AL9" s="16" t="n"/>
    </row>
    <row r="10" ht="20" customHeight="1">
      <c r="A10" s="23">
        <f>IF($B10="","",ROW()-2)</f>
        <v/>
      </c>
      <c r="B10" s="22" t="n"/>
      <c r="C10" s="22">
        <f>IF($B10="","","Campus &amp; Student Groups")</f>
        <v/>
      </c>
      <c r="D10" s="23" t="n"/>
      <c r="E10" s="22" t="n"/>
      <c r="F10" s="23" t="n"/>
      <c r="G10" s="23" t="n"/>
      <c r="H10" s="23" t="n"/>
      <c r="I10" s="22" t="n"/>
      <c r="J10" s="23" t="n"/>
      <c r="K10" s="22" t="n"/>
      <c r="L10" s="23" t="n"/>
      <c r="M10" s="22" t="n"/>
      <c r="N10" s="23" t="n"/>
      <c r="O10" s="22" t="n"/>
      <c r="P10" s="23" t="n"/>
      <c r="Q10" s="23" t="n"/>
      <c r="R10" s="24" t="n"/>
      <c r="S10" s="25">
        <f>IF(ISBLANK(R10),"",TODAY()-R10)</f>
        <v/>
      </c>
      <c r="T10" s="22" t="n"/>
      <c r="U10" s="24" t="n"/>
      <c r="V10" s="23" t="n"/>
      <c r="W10" s="24" t="n"/>
      <c r="X10" s="23" t="n"/>
      <c r="Y10" s="23" t="n"/>
      <c r="Z10" s="26" t="n"/>
      <c r="AA10" s="27">
        <f>IF(OR($Z10="",$Y10="",$Y10=0),"",$Z10/($Y10*24))</f>
        <v/>
      </c>
      <c r="AB10" s="26" t="n"/>
      <c r="AC10" s="22" t="n"/>
      <c r="AD10" s="22" t="n"/>
      <c r="AE10" s="22" t="n"/>
      <c r="AF10" s="22" t="n"/>
      <c r="AG10" s="22" t="n"/>
      <c r="AH10" s="23" t="n"/>
      <c r="AI10" s="23" t="n"/>
      <c r="AJ10" s="23" t="n"/>
      <c r="AK10" s="23" t="n"/>
      <c r="AL10" s="22" t="n"/>
    </row>
    <row r="11" ht="20" customHeight="1">
      <c r="A11" s="17">
        <f>IF($B11="","",ROW()-2)</f>
        <v/>
      </c>
      <c r="B11" s="16" t="n"/>
      <c r="C11" s="16">
        <f>IF($B11="","","Campus &amp; Student Groups")</f>
        <v/>
      </c>
      <c r="D11" s="17" t="n"/>
      <c r="E11" s="16" t="n"/>
      <c r="F11" s="17" t="n"/>
      <c r="G11" s="17" t="n"/>
      <c r="H11" s="17" t="n"/>
      <c r="I11" s="16" t="n"/>
      <c r="J11" s="17" t="n"/>
      <c r="K11" s="16" t="n"/>
      <c r="L11" s="17" t="n"/>
      <c r="M11" s="16" t="n"/>
      <c r="N11" s="17" t="n"/>
      <c r="O11" s="16" t="n"/>
      <c r="P11" s="17" t="n"/>
      <c r="Q11" s="17" t="n"/>
      <c r="R11" s="15" t="n"/>
      <c r="S11" s="19">
        <f>IF(ISBLANK(R11),"",TODAY()-R11)</f>
        <v/>
      </c>
      <c r="T11" s="16" t="n"/>
      <c r="U11" s="15" t="n"/>
      <c r="V11" s="17" t="n"/>
      <c r="W11" s="15" t="n"/>
      <c r="X11" s="17" t="n"/>
      <c r="Y11" s="17" t="n"/>
      <c r="Z11" s="20" t="n"/>
      <c r="AA11" s="21">
        <f>IF(OR($Z11="",$Y11="",$Y11=0),"",$Z11/($Y11*24))</f>
        <v/>
      </c>
      <c r="AB11" s="20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7" t="n"/>
      <c r="AL11" s="16" t="n"/>
    </row>
    <row r="12" ht="20" customHeight="1">
      <c r="A12" s="23">
        <f>IF($B12="","",ROW()-2)</f>
        <v/>
      </c>
      <c r="B12" s="22" t="n"/>
      <c r="C12" s="22">
        <f>IF($B12="","","Campus &amp; Student Groups")</f>
        <v/>
      </c>
      <c r="D12" s="23" t="n"/>
      <c r="E12" s="22" t="n"/>
      <c r="F12" s="23" t="n"/>
      <c r="G12" s="23" t="n"/>
      <c r="H12" s="23" t="n"/>
      <c r="I12" s="22" t="n"/>
      <c r="J12" s="23" t="n"/>
      <c r="K12" s="22" t="n"/>
      <c r="L12" s="23" t="n"/>
      <c r="M12" s="22" t="n"/>
      <c r="N12" s="23" t="n"/>
      <c r="O12" s="22" t="n"/>
      <c r="P12" s="23" t="n"/>
      <c r="Q12" s="23" t="n"/>
      <c r="R12" s="24" t="n"/>
      <c r="S12" s="25">
        <f>IF(ISBLANK(R12),"",TODAY()-R12)</f>
        <v/>
      </c>
      <c r="T12" s="22" t="n"/>
      <c r="U12" s="24" t="n"/>
      <c r="V12" s="23" t="n"/>
      <c r="W12" s="24" t="n"/>
      <c r="X12" s="23" t="n"/>
      <c r="Y12" s="23" t="n"/>
      <c r="Z12" s="26" t="n"/>
      <c r="AA12" s="27">
        <f>IF(OR($Z12="",$Y12="",$Y12=0),"",$Z12/($Y12*24))</f>
        <v/>
      </c>
      <c r="AB12" s="26" t="n"/>
      <c r="AC12" s="22" t="n"/>
      <c r="AD12" s="22" t="n"/>
      <c r="AE12" s="22" t="n"/>
      <c r="AF12" s="22" t="n"/>
      <c r="AG12" s="22" t="n"/>
      <c r="AH12" s="23" t="n"/>
      <c r="AI12" s="23" t="n"/>
      <c r="AJ12" s="23" t="n"/>
      <c r="AK12" s="23" t="n"/>
      <c r="AL12" s="22" t="n"/>
    </row>
    <row r="13" ht="20" customHeight="1">
      <c r="A13" s="17">
        <f>IF($B13="","",ROW()-2)</f>
        <v/>
      </c>
      <c r="B13" s="16" t="n"/>
      <c r="C13" s="16">
        <f>IF($B13="","","Campus &amp; Student Groups")</f>
        <v/>
      </c>
      <c r="D13" s="17" t="n"/>
      <c r="E13" s="16" t="n"/>
      <c r="F13" s="17" t="n"/>
      <c r="G13" s="17" t="n"/>
      <c r="H13" s="17" t="n"/>
      <c r="I13" s="16" t="n"/>
      <c r="J13" s="17" t="n"/>
      <c r="K13" s="16" t="n"/>
      <c r="L13" s="17" t="n"/>
      <c r="M13" s="16" t="n"/>
      <c r="N13" s="17" t="n"/>
      <c r="O13" s="16" t="n"/>
      <c r="P13" s="17" t="n"/>
      <c r="Q13" s="17" t="n"/>
      <c r="R13" s="15" t="n"/>
      <c r="S13" s="19">
        <f>IF(ISBLANK(R13),"",TODAY()-R13)</f>
        <v/>
      </c>
      <c r="T13" s="16" t="n"/>
      <c r="U13" s="15" t="n"/>
      <c r="V13" s="17" t="n"/>
      <c r="W13" s="15" t="n"/>
      <c r="X13" s="17" t="n"/>
      <c r="Y13" s="17" t="n"/>
      <c r="Z13" s="20" t="n"/>
      <c r="AA13" s="21">
        <f>IF(OR($Z13="",$Y13="",$Y13=0),"",$Z13/($Y13*24))</f>
        <v/>
      </c>
      <c r="AB13" s="20" t="n"/>
      <c r="AC13" s="16" t="n"/>
      <c r="AD13" s="16" t="n"/>
      <c r="AE13" s="16" t="n"/>
      <c r="AF13" s="16" t="n"/>
      <c r="AG13" s="16" t="n"/>
      <c r="AH13" s="17" t="n"/>
      <c r="AI13" s="17" t="n"/>
      <c r="AJ13" s="17" t="n"/>
      <c r="AK13" s="17" t="n"/>
      <c r="AL13" s="16" t="n"/>
    </row>
    <row r="14" ht="20" customHeight="1">
      <c r="A14" s="23">
        <f>IF($B14="","",ROW()-2)</f>
        <v/>
      </c>
      <c r="B14" s="22" t="n"/>
      <c r="C14" s="22">
        <f>IF($B14="","","Campus &amp; Student Groups")</f>
        <v/>
      </c>
      <c r="D14" s="23" t="n"/>
      <c r="E14" s="22" t="n"/>
      <c r="F14" s="23" t="n"/>
      <c r="G14" s="23" t="n"/>
      <c r="H14" s="23" t="n"/>
      <c r="I14" s="22" t="n"/>
      <c r="J14" s="23" t="n"/>
      <c r="K14" s="22" t="n"/>
      <c r="L14" s="23" t="n"/>
      <c r="M14" s="22" t="n"/>
      <c r="N14" s="23" t="n"/>
      <c r="O14" s="22" t="n"/>
      <c r="P14" s="23" t="n"/>
      <c r="Q14" s="23" t="n"/>
      <c r="R14" s="24" t="n"/>
      <c r="S14" s="25">
        <f>IF(ISBLANK(R14),"",TODAY()-R14)</f>
        <v/>
      </c>
      <c r="T14" s="22" t="n"/>
      <c r="U14" s="24" t="n"/>
      <c r="V14" s="23" t="n"/>
      <c r="W14" s="24" t="n"/>
      <c r="X14" s="23" t="n"/>
      <c r="Y14" s="23" t="n"/>
      <c r="Z14" s="26" t="n"/>
      <c r="AA14" s="27">
        <f>IF(OR($Z14="",$Y14="",$Y14=0),"",$Z14/($Y14*24))</f>
        <v/>
      </c>
      <c r="AB14" s="26" t="n"/>
      <c r="AC14" s="22" t="n"/>
      <c r="AD14" s="22" t="n"/>
      <c r="AE14" s="22" t="n"/>
      <c r="AF14" s="22" t="n"/>
      <c r="AG14" s="22" t="n"/>
      <c r="AH14" s="23" t="n"/>
      <c r="AI14" s="23" t="n"/>
      <c r="AJ14" s="23" t="n"/>
      <c r="AK14" s="23" t="n"/>
      <c r="AL14" s="22" t="n"/>
    </row>
    <row r="15" ht="20" customHeight="1">
      <c r="A15" s="17">
        <f>IF($B15="","",ROW()-2)</f>
        <v/>
      </c>
      <c r="B15" s="16" t="n"/>
      <c r="C15" s="16">
        <f>IF($B15="","","Campus &amp; Student Groups")</f>
        <v/>
      </c>
      <c r="D15" s="17" t="n"/>
      <c r="E15" s="16" t="n"/>
      <c r="F15" s="17" t="n"/>
      <c r="G15" s="17" t="n"/>
      <c r="H15" s="17" t="n"/>
      <c r="I15" s="16" t="n"/>
      <c r="J15" s="17" t="n"/>
      <c r="K15" s="16" t="n"/>
      <c r="L15" s="17" t="n"/>
      <c r="M15" s="16" t="n"/>
      <c r="N15" s="17" t="n"/>
      <c r="O15" s="16" t="n"/>
      <c r="P15" s="17" t="n"/>
      <c r="Q15" s="17" t="n"/>
      <c r="R15" s="15" t="n"/>
      <c r="S15" s="19">
        <f>IF(ISBLANK(R15),"",TODAY()-R15)</f>
        <v/>
      </c>
      <c r="T15" s="16" t="n"/>
      <c r="U15" s="15" t="n"/>
      <c r="V15" s="17" t="n"/>
      <c r="W15" s="15" t="n"/>
      <c r="X15" s="17" t="n"/>
      <c r="Y15" s="17" t="n"/>
      <c r="Z15" s="20" t="n"/>
      <c r="AA15" s="21">
        <f>IF(OR($Z15="",$Y15="",$Y15=0),"",$Z15/($Y15*24))</f>
        <v/>
      </c>
      <c r="AB15" s="20" t="n"/>
      <c r="AC15" s="16" t="n"/>
      <c r="AD15" s="16" t="n"/>
      <c r="AE15" s="16" t="n"/>
      <c r="AF15" s="16" t="n"/>
      <c r="AG15" s="16" t="n"/>
      <c r="AH15" s="17" t="n"/>
      <c r="AI15" s="17" t="n"/>
      <c r="AJ15" s="17" t="n"/>
      <c r="AK15" s="17" t="n"/>
      <c r="AL15" s="16" t="n"/>
    </row>
    <row r="16" ht="20" customHeight="1">
      <c r="A16" s="23">
        <f>IF($B16="","",ROW()-2)</f>
        <v/>
      </c>
      <c r="B16" s="22" t="n"/>
      <c r="C16" s="22">
        <f>IF($B16="","","Campus &amp; Student Groups")</f>
        <v/>
      </c>
      <c r="D16" s="23" t="n"/>
      <c r="E16" s="22" t="n"/>
      <c r="F16" s="23" t="n"/>
      <c r="G16" s="23" t="n"/>
      <c r="H16" s="23" t="n"/>
      <c r="I16" s="22" t="n"/>
      <c r="J16" s="23" t="n"/>
      <c r="K16" s="22" t="n"/>
      <c r="L16" s="23" t="n"/>
      <c r="M16" s="22" t="n"/>
      <c r="N16" s="23" t="n"/>
      <c r="O16" s="22" t="n"/>
      <c r="P16" s="23" t="n"/>
      <c r="Q16" s="23" t="n"/>
      <c r="R16" s="24" t="n"/>
      <c r="S16" s="25">
        <f>IF(ISBLANK(R16),"",TODAY()-R16)</f>
        <v/>
      </c>
      <c r="T16" s="22" t="n"/>
      <c r="U16" s="24" t="n"/>
      <c r="V16" s="23" t="n"/>
      <c r="W16" s="24" t="n"/>
      <c r="X16" s="23" t="n"/>
      <c r="Y16" s="23" t="n"/>
      <c r="Z16" s="26" t="n"/>
      <c r="AA16" s="27">
        <f>IF(OR($Z16="",$Y16="",$Y16=0),"",$Z16/($Y16*24))</f>
        <v/>
      </c>
      <c r="AB16" s="26" t="n"/>
      <c r="AC16" s="22" t="n"/>
      <c r="AD16" s="22" t="n"/>
      <c r="AE16" s="22" t="n"/>
      <c r="AF16" s="22" t="n"/>
      <c r="AG16" s="22" t="n"/>
      <c r="AH16" s="23" t="n"/>
      <c r="AI16" s="23" t="n"/>
      <c r="AJ16" s="23" t="n"/>
      <c r="AK16" s="23" t="n"/>
      <c r="AL16" s="22" t="n"/>
    </row>
    <row r="17" ht="20" customHeight="1">
      <c r="A17" s="17">
        <f>IF($B17="","",ROW()-2)</f>
        <v/>
      </c>
      <c r="B17" s="16" t="n"/>
      <c r="C17" s="16">
        <f>IF($B17="","","Campus &amp; Student Groups")</f>
        <v/>
      </c>
      <c r="D17" s="17" t="n"/>
      <c r="E17" s="16" t="n"/>
      <c r="F17" s="17" t="n"/>
      <c r="G17" s="17" t="n"/>
      <c r="H17" s="17" t="n"/>
      <c r="I17" s="16" t="n"/>
      <c r="J17" s="17" t="n"/>
      <c r="K17" s="16" t="n"/>
      <c r="L17" s="17" t="n"/>
      <c r="M17" s="16" t="n"/>
      <c r="N17" s="17" t="n"/>
      <c r="O17" s="16" t="n"/>
      <c r="P17" s="17" t="n"/>
      <c r="Q17" s="17" t="n"/>
      <c r="R17" s="15" t="n"/>
      <c r="S17" s="19">
        <f>IF(ISBLANK(R17),"",TODAY()-R17)</f>
        <v/>
      </c>
      <c r="T17" s="16" t="n"/>
      <c r="U17" s="15" t="n"/>
      <c r="V17" s="17" t="n"/>
      <c r="W17" s="15" t="n"/>
      <c r="X17" s="17" t="n"/>
      <c r="Y17" s="17" t="n"/>
      <c r="Z17" s="20" t="n"/>
      <c r="AA17" s="21">
        <f>IF(OR($Z17="",$Y17="",$Y17=0),"",$Z17/($Y17*24))</f>
        <v/>
      </c>
      <c r="AB17" s="20" t="n"/>
      <c r="AC17" s="16" t="n"/>
      <c r="AD17" s="16" t="n"/>
      <c r="AE17" s="16" t="n"/>
      <c r="AF17" s="16" t="n"/>
      <c r="AG17" s="16" t="n"/>
      <c r="AH17" s="17" t="n"/>
      <c r="AI17" s="17" t="n"/>
      <c r="AJ17" s="17" t="n"/>
      <c r="AK17" s="17" t="n"/>
      <c r="AL17" s="16" t="n"/>
    </row>
    <row r="18" ht="20" customHeight="1">
      <c r="A18" s="23">
        <f>IF($B18="","",ROW()-2)</f>
        <v/>
      </c>
      <c r="B18" s="22" t="n"/>
      <c r="C18" s="22">
        <f>IF($B18="","","Campus &amp; Student Groups")</f>
        <v/>
      </c>
      <c r="D18" s="23" t="n"/>
      <c r="E18" s="22" t="n"/>
      <c r="F18" s="23" t="n"/>
      <c r="G18" s="23" t="n"/>
      <c r="H18" s="23" t="n"/>
      <c r="I18" s="22" t="n"/>
      <c r="J18" s="23" t="n"/>
      <c r="K18" s="22" t="n"/>
      <c r="L18" s="23" t="n"/>
      <c r="M18" s="22" t="n"/>
      <c r="N18" s="23" t="n"/>
      <c r="O18" s="22" t="n"/>
      <c r="P18" s="23" t="n"/>
      <c r="Q18" s="23" t="n"/>
      <c r="R18" s="24" t="n"/>
      <c r="S18" s="25">
        <f>IF(ISBLANK(R18),"",TODAY()-R18)</f>
        <v/>
      </c>
      <c r="T18" s="22" t="n"/>
      <c r="U18" s="24" t="n"/>
      <c r="V18" s="23" t="n"/>
      <c r="W18" s="24" t="n"/>
      <c r="X18" s="23" t="n"/>
      <c r="Y18" s="23" t="n"/>
      <c r="Z18" s="26" t="n"/>
      <c r="AA18" s="27">
        <f>IF(OR($Z18="",$Y18="",$Y18=0),"",$Z18/($Y18*24))</f>
        <v/>
      </c>
      <c r="AB18" s="26" t="n"/>
      <c r="AC18" s="22" t="n"/>
      <c r="AD18" s="22" t="n"/>
      <c r="AE18" s="22" t="n"/>
      <c r="AF18" s="22" t="n"/>
      <c r="AG18" s="22" t="n"/>
      <c r="AH18" s="23" t="n"/>
      <c r="AI18" s="23" t="n"/>
      <c r="AJ18" s="23" t="n"/>
      <c r="AK18" s="23" t="n"/>
      <c r="AL18" s="22" t="n"/>
    </row>
    <row r="19" ht="20" customHeight="1">
      <c r="A19" s="17">
        <f>IF($B19="","",ROW()-2)</f>
        <v/>
      </c>
      <c r="B19" s="16" t="n"/>
      <c r="C19" s="16">
        <f>IF($B19="","","Campus &amp; Student Groups")</f>
        <v/>
      </c>
      <c r="D19" s="17" t="n"/>
      <c r="E19" s="16" t="n"/>
      <c r="F19" s="17" t="n"/>
      <c r="G19" s="17" t="n"/>
      <c r="H19" s="17" t="n"/>
      <c r="I19" s="16" t="n"/>
      <c r="J19" s="17" t="n"/>
      <c r="K19" s="16" t="n"/>
      <c r="L19" s="17" t="n"/>
      <c r="M19" s="16" t="n"/>
      <c r="N19" s="17" t="n"/>
      <c r="O19" s="16" t="n"/>
      <c r="P19" s="17" t="n"/>
      <c r="Q19" s="17" t="n"/>
      <c r="R19" s="15" t="n"/>
      <c r="S19" s="19">
        <f>IF(ISBLANK(R19),"",TODAY()-R19)</f>
        <v/>
      </c>
      <c r="T19" s="16" t="n"/>
      <c r="U19" s="15" t="n"/>
      <c r="V19" s="17" t="n"/>
      <c r="W19" s="15" t="n"/>
      <c r="X19" s="17" t="n"/>
      <c r="Y19" s="17" t="n"/>
      <c r="Z19" s="20" t="n"/>
      <c r="AA19" s="21">
        <f>IF(OR($Z19="",$Y19="",$Y19=0),"",$Z19/($Y19*24))</f>
        <v/>
      </c>
      <c r="AB19" s="20" t="n"/>
      <c r="AC19" s="16" t="n"/>
      <c r="AD19" s="16" t="n"/>
      <c r="AE19" s="16" t="n"/>
      <c r="AF19" s="16" t="n"/>
      <c r="AG19" s="16" t="n"/>
      <c r="AH19" s="17" t="n"/>
      <c r="AI19" s="17" t="n"/>
      <c r="AJ19" s="17" t="n"/>
      <c r="AK19" s="17" t="n"/>
      <c r="AL19" s="16" t="n"/>
    </row>
    <row r="20" ht="20" customHeight="1">
      <c r="A20" s="23">
        <f>IF($B20="","",ROW()-2)</f>
        <v/>
      </c>
      <c r="B20" s="22" t="n"/>
      <c r="C20" s="22">
        <f>IF($B20="","","Campus &amp; Student Groups")</f>
        <v/>
      </c>
      <c r="D20" s="23" t="n"/>
      <c r="E20" s="22" t="n"/>
      <c r="F20" s="23" t="n"/>
      <c r="G20" s="23" t="n"/>
      <c r="H20" s="23" t="n"/>
      <c r="I20" s="22" t="n"/>
      <c r="J20" s="23" t="n"/>
      <c r="K20" s="22" t="n"/>
      <c r="L20" s="23" t="n"/>
      <c r="M20" s="22" t="n"/>
      <c r="N20" s="23" t="n"/>
      <c r="O20" s="22" t="n"/>
      <c r="P20" s="23" t="n"/>
      <c r="Q20" s="23" t="n"/>
      <c r="R20" s="24" t="n"/>
      <c r="S20" s="25">
        <f>IF(ISBLANK(R20),"",TODAY()-R20)</f>
        <v/>
      </c>
      <c r="T20" s="22" t="n"/>
      <c r="U20" s="24" t="n"/>
      <c r="V20" s="23" t="n"/>
      <c r="W20" s="24" t="n"/>
      <c r="X20" s="23" t="n"/>
      <c r="Y20" s="23" t="n"/>
      <c r="Z20" s="26" t="n"/>
      <c r="AA20" s="27">
        <f>IF(OR($Z20="",$Y20="",$Y20=0),"",$Z20/($Y20*24))</f>
        <v/>
      </c>
      <c r="AB20" s="26" t="n"/>
      <c r="AC20" s="22" t="n"/>
      <c r="AD20" s="22" t="n"/>
      <c r="AE20" s="22" t="n"/>
      <c r="AF20" s="22" t="n"/>
      <c r="AG20" s="22" t="n"/>
      <c r="AH20" s="23" t="n"/>
      <c r="AI20" s="23" t="n"/>
      <c r="AJ20" s="23" t="n"/>
      <c r="AK20" s="23" t="n"/>
      <c r="AL20" s="22" t="n"/>
    </row>
    <row r="21" ht="20" customHeight="1">
      <c r="A21" s="17">
        <f>IF($B21="","",ROW()-2)</f>
        <v/>
      </c>
      <c r="B21" s="16" t="n"/>
      <c r="C21" s="16">
        <f>IF($B21="","","Campus &amp; Student Groups")</f>
        <v/>
      </c>
      <c r="D21" s="17" t="n"/>
      <c r="E21" s="16" t="n"/>
      <c r="F21" s="17" t="n"/>
      <c r="G21" s="17" t="n"/>
      <c r="H21" s="17" t="n"/>
      <c r="I21" s="16" t="n"/>
      <c r="J21" s="17" t="n"/>
      <c r="K21" s="16" t="n"/>
      <c r="L21" s="17" t="n"/>
      <c r="M21" s="16" t="n"/>
      <c r="N21" s="17" t="n"/>
      <c r="O21" s="16" t="n"/>
      <c r="P21" s="17" t="n"/>
      <c r="Q21" s="17" t="n"/>
      <c r="R21" s="15" t="n"/>
      <c r="S21" s="19">
        <f>IF(ISBLANK(R21),"",TODAY()-R21)</f>
        <v/>
      </c>
      <c r="T21" s="16" t="n"/>
      <c r="U21" s="15" t="n"/>
      <c r="V21" s="17" t="n"/>
      <c r="W21" s="15" t="n"/>
      <c r="X21" s="17" t="n"/>
      <c r="Y21" s="17" t="n"/>
      <c r="Z21" s="20" t="n"/>
      <c r="AA21" s="21">
        <f>IF(OR($Z21="",$Y21="",$Y21=0),"",$Z21/($Y21*24))</f>
        <v/>
      </c>
      <c r="AB21" s="20" t="n"/>
      <c r="AC21" s="16" t="n"/>
      <c r="AD21" s="16" t="n"/>
      <c r="AE21" s="16" t="n"/>
      <c r="AF21" s="16" t="n"/>
      <c r="AG21" s="16" t="n"/>
      <c r="AH21" s="17" t="n"/>
      <c r="AI21" s="17" t="n"/>
      <c r="AJ21" s="17" t="n"/>
      <c r="AK21" s="17" t="n"/>
      <c r="AL21" s="16" t="n"/>
    </row>
    <row r="22" ht="20" customHeight="1">
      <c r="A22" s="23">
        <f>IF($B22="","",ROW()-2)</f>
        <v/>
      </c>
      <c r="B22" s="22" t="n"/>
      <c r="C22" s="22">
        <f>IF($B22="","","Campus &amp; Student Groups")</f>
        <v/>
      </c>
      <c r="D22" s="23" t="n"/>
      <c r="E22" s="22" t="n"/>
      <c r="F22" s="23" t="n"/>
      <c r="G22" s="23" t="n"/>
      <c r="H22" s="23" t="n"/>
      <c r="I22" s="22" t="n"/>
      <c r="J22" s="23" t="n"/>
      <c r="K22" s="22" t="n"/>
      <c r="L22" s="23" t="n"/>
      <c r="M22" s="22" t="n"/>
      <c r="N22" s="23" t="n"/>
      <c r="O22" s="22" t="n"/>
      <c r="P22" s="23" t="n"/>
      <c r="Q22" s="23" t="n"/>
      <c r="R22" s="24" t="n"/>
      <c r="S22" s="25">
        <f>IF(ISBLANK(R22),"",TODAY()-R22)</f>
        <v/>
      </c>
      <c r="T22" s="22" t="n"/>
      <c r="U22" s="24" t="n"/>
      <c r="V22" s="23" t="n"/>
      <c r="W22" s="24" t="n"/>
      <c r="X22" s="23" t="n"/>
      <c r="Y22" s="23" t="n"/>
      <c r="Z22" s="26" t="n"/>
      <c r="AA22" s="27">
        <f>IF(OR($Z22="",$Y22="",$Y22=0),"",$Z22/($Y22*24))</f>
        <v/>
      </c>
      <c r="AB22" s="26" t="n"/>
      <c r="AC22" s="22" t="n"/>
      <c r="AD22" s="22" t="n"/>
      <c r="AE22" s="22" t="n"/>
      <c r="AF22" s="22" t="n"/>
      <c r="AG22" s="22" t="n"/>
      <c r="AH22" s="23" t="n"/>
      <c r="AI22" s="23" t="n"/>
      <c r="AJ22" s="23" t="n"/>
      <c r="AK22" s="23" t="n"/>
      <c r="AL22" s="22" t="n"/>
    </row>
    <row r="23" ht="20" customHeight="1">
      <c r="A23" s="17">
        <f>IF($B23="","",ROW()-2)</f>
        <v/>
      </c>
      <c r="B23" s="16" t="n"/>
      <c r="C23" s="16">
        <f>IF($B23="","","Campus &amp; Student Groups")</f>
        <v/>
      </c>
      <c r="D23" s="17" t="n"/>
      <c r="E23" s="16" t="n"/>
      <c r="F23" s="17" t="n"/>
      <c r="G23" s="17" t="n"/>
      <c r="H23" s="17" t="n"/>
      <c r="I23" s="16" t="n"/>
      <c r="J23" s="17" t="n"/>
      <c r="K23" s="16" t="n"/>
      <c r="L23" s="17" t="n"/>
      <c r="M23" s="16" t="n"/>
      <c r="N23" s="17" t="n"/>
      <c r="O23" s="16" t="n"/>
      <c r="P23" s="17" t="n"/>
      <c r="Q23" s="17" t="n"/>
      <c r="R23" s="15" t="n"/>
      <c r="S23" s="19">
        <f>IF(ISBLANK(R23),"",TODAY()-R23)</f>
        <v/>
      </c>
      <c r="T23" s="16" t="n"/>
      <c r="U23" s="15" t="n"/>
      <c r="V23" s="17" t="n"/>
      <c r="W23" s="15" t="n"/>
      <c r="X23" s="17" t="n"/>
      <c r="Y23" s="17" t="n"/>
      <c r="Z23" s="20" t="n"/>
      <c r="AA23" s="21">
        <f>IF(OR($Z23="",$Y23="",$Y23=0),"",$Z23/($Y23*24))</f>
        <v/>
      </c>
      <c r="AB23" s="20" t="n"/>
      <c r="AC23" s="16" t="n"/>
      <c r="AD23" s="16" t="n"/>
      <c r="AE23" s="16" t="n"/>
      <c r="AF23" s="16" t="n"/>
      <c r="AG23" s="16" t="n"/>
      <c r="AH23" s="17" t="n"/>
      <c r="AI23" s="17" t="n"/>
      <c r="AJ23" s="17" t="n"/>
      <c r="AK23" s="17" t="n"/>
      <c r="AL23" s="16" t="n"/>
    </row>
    <row r="24" ht="20" customHeight="1">
      <c r="A24" s="23">
        <f>IF($B24="","",ROW()-2)</f>
        <v/>
      </c>
      <c r="B24" s="22" t="n"/>
      <c r="C24" s="22">
        <f>IF($B24="","","Campus &amp; Student Groups")</f>
        <v/>
      </c>
      <c r="D24" s="23" t="n"/>
      <c r="E24" s="22" t="n"/>
      <c r="F24" s="23" t="n"/>
      <c r="G24" s="23" t="n"/>
      <c r="H24" s="23" t="n"/>
      <c r="I24" s="22" t="n"/>
      <c r="J24" s="23" t="n"/>
      <c r="K24" s="22" t="n"/>
      <c r="L24" s="23" t="n"/>
      <c r="M24" s="22" t="n"/>
      <c r="N24" s="23" t="n"/>
      <c r="O24" s="22" t="n"/>
      <c r="P24" s="23" t="n"/>
      <c r="Q24" s="23" t="n"/>
      <c r="R24" s="24" t="n"/>
      <c r="S24" s="25">
        <f>IF(ISBLANK(R24),"",TODAY()-R24)</f>
        <v/>
      </c>
      <c r="T24" s="22" t="n"/>
      <c r="U24" s="24" t="n"/>
      <c r="V24" s="23" t="n"/>
      <c r="W24" s="24" t="n"/>
      <c r="X24" s="23" t="n"/>
      <c r="Y24" s="23" t="n"/>
      <c r="Z24" s="26" t="n"/>
      <c r="AA24" s="27">
        <f>IF(OR($Z24="",$Y24="",$Y24=0),"",$Z24/($Y24*24))</f>
        <v/>
      </c>
      <c r="AB24" s="26" t="n"/>
      <c r="AC24" s="22" t="n"/>
      <c r="AD24" s="22" t="n"/>
      <c r="AE24" s="22" t="n"/>
      <c r="AF24" s="22" t="n"/>
      <c r="AG24" s="22" t="n"/>
      <c r="AH24" s="23" t="n"/>
      <c r="AI24" s="23" t="n"/>
      <c r="AJ24" s="23" t="n"/>
      <c r="AK24" s="23" t="n"/>
      <c r="AL24" s="22" t="n"/>
    </row>
    <row r="25" ht="20" customHeight="1">
      <c r="A25" s="17">
        <f>IF($B25="","",ROW()-2)</f>
        <v/>
      </c>
      <c r="B25" s="16" t="n"/>
      <c r="C25" s="16">
        <f>IF($B25="","","Campus &amp; Student Groups")</f>
        <v/>
      </c>
      <c r="D25" s="17" t="n"/>
      <c r="E25" s="16" t="n"/>
      <c r="F25" s="17" t="n"/>
      <c r="G25" s="17" t="n"/>
      <c r="H25" s="17" t="n"/>
      <c r="I25" s="16" t="n"/>
      <c r="J25" s="17" t="n"/>
      <c r="K25" s="16" t="n"/>
      <c r="L25" s="17" t="n"/>
      <c r="M25" s="16" t="n"/>
      <c r="N25" s="17" t="n"/>
      <c r="O25" s="16" t="n"/>
      <c r="P25" s="17" t="n"/>
      <c r="Q25" s="17" t="n"/>
      <c r="R25" s="15" t="n"/>
      <c r="S25" s="19">
        <f>IF(ISBLANK(R25),"",TODAY()-R25)</f>
        <v/>
      </c>
      <c r="T25" s="16" t="n"/>
      <c r="U25" s="15" t="n"/>
      <c r="V25" s="17" t="n"/>
      <c r="W25" s="15" t="n"/>
      <c r="X25" s="17" t="n"/>
      <c r="Y25" s="17" t="n"/>
      <c r="Z25" s="20" t="n"/>
      <c r="AA25" s="21">
        <f>IF(OR($Z25="",$Y25="",$Y25=0),"",$Z25/($Y25*24))</f>
        <v/>
      </c>
      <c r="AB25" s="20" t="n"/>
      <c r="AC25" s="16" t="n"/>
      <c r="AD25" s="16" t="n"/>
      <c r="AE25" s="16" t="n"/>
      <c r="AF25" s="16" t="n"/>
      <c r="AG25" s="16" t="n"/>
      <c r="AH25" s="17" t="n"/>
      <c r="AI25" s="17" t="n"/>
      <c r="AJ25" s="17" t="n"/>
      <c r="AK25" s="17" t="n"/>
      <c r="AL25" s="16" t="n"/>
    </row>
    <row r="26" ht="20" customHeight="1">
      <c r="A26" s="23">
        <f>IF($B26="","",ROW()-2)</f>
        <v/>
      </c>
      <c r="B26" s="22" t="n"/>
      <c r="C26" s="22">
        <f>IF($B26="","","Campus &amp; Student Groups")</f>
        <v/>
      </c>
      <c r="D26" s="23" t="n"/>
      <c r="E26" s="22" t="n"/>
      <c r="F26" s="23" t="n"/>
      <c r="G26" s="23" t="n"/>
      <c r="H26" s="23" t="n"/>
      <c r="I26" s="22" t="n"/>
      <c r="J26" s="23" t="n"/>
      <c r="K26" s="22" t="n"/>
      <c r="L26" s="23" t="n"/>
      <c r="M26" s="22" t="n"/>
      <c r="N26" s="23" t="n"/>
      <c r="O26" s="22" t="n"/>
      <c r="P26" s="23" t="n"/>
      <c r="Q26" s="23" t="n"/>
      <c r="R26" s="24" t="n"/>
      <c r="S26" s="25">
        <f>IF(ISBLANK(R26),"",TODAY()-R26)</f>
        <v/>
      </c>
      <c r="T26" s="22" t="n"/>
      <c r="U26" s="24" t="n"/>
      <c r="V26" s="23" t="n"/>
      <c r="W26" s="24" t="n"/>
      <c r="X26" s="23" t="n"/>
      <c r="Y26" s="23" t="n"/>
      <c r="Z26" s="26" t="n"/>
      <c r="AA26" s="27">
        <f>IF(OR($Z26="",$Y26="",$Y26=0),"",$Z26/($Y26*24))</f>
        <v/>
      </c>
      <c r="AB26" s="26" t="n"/>
      <c r="AC26" s="22" t="n"/>
      <c r="AD26" s="22" t="n"/>
      <c r="AE26" s="22" t="n"/>
      <c r="AF26" s="22" t="n"/>
      <c r="AG26" s="22" t="n"/>
      <c r="AH26" s="23" t="n"/>
      <c r="AI26" s="23" t="n"/>
      <c r="AJ26" s="23" t="n"/>
      <c r="AK26" s="23" t="n"/>
      <c r="AL26" s="22" t="n"/>
    </row>
    <row r="27" ht="20" customHeight="1">
      <c r="A27" s="17">
        <f>IF($B27="","",ROW()-2)</f>
        <v/>
      </c>
      <c r="B27" s="16" t="n"/>
      <c r="C27" s="16">
        <f>IF($B27="","","Campus &amp; Student Groups")</f>
        <v/>
      </c>
      <c r="D27" s="17" t="n"/>
      <c r="E27" s="16" t="n"/>
      <c r="F27" s="17" t="n"/>
      <c r="G27" s="17" t="n"/>
      <c r="H27" s="17" t="n"/>
      <c r="I27" s="16" t="n"/>
      <c r="J27" s="17" t="n"/>
      <c r="K27" s="16" t="n"/>
      <c r="L27" s="17" t="n"/>
      <c r="M27" s="16" t="n"/>
      <c r="N27" s="17" t="n"/>
      <c r="O27" s="16" t="n"/>
      <c r="P27" s="17" t="n"/>
      <c r="Q27" s="17" t="n"/>
      <c r="R27" s="15" t="n"/>
      <c r="S27" s="19">
        <f>IF(ISBLANK(R27),"",TODAY()-R27)</f>
        <v/>
      </c>
      <c r="T27" s="16" t="n"/>
      <c r="U27" s="15" t="n"/>
      <c r="V27" s="17" t="n"/>
      <c r="W27" s="15" t="n"/>
      <c r="X27" s="17" t="n"/>
      <c r="Y27" s="17" t="n"/>
      <c r="Z27" s="20" t="n"/>
      <c r="AA27" s="21">
        <f>IF(OR($Z27="",$Y27="",$Y27=0),"",$Z27/($Y27*24))</f>
        <v/>
      </c>
      <c r="AB27" s="20" t="n"/>
      <c r="AC27" s="16" t="n"/>
      <c r="AD27" s="16" t="n"/>
      <c r="AE27" s="16" t="n"/>
      <c r="AF27" s="16" t="n"/>
      <c r="AG27" s="16" t="n"/>
      <c r="AH27" s="17" t="n"/>
      <c r="AI27" s="17" t="n"/>
      <c r="AJ27" s="17" t="n"/>
      <c r="AK27" s="17" t="n"/>
      <c r="AL27" s="16" t="n"/>
    </row>
    <row r="28" ht="20" customHeight="1">
      <c r="A28" s="23">
        <f>IF($B28="","",ROW()-2)</f>
        <v/>
      </c>
      <c r="B28" s="22" t="n"/>
      <c r="C28" s="22">
        <f>IF($B28="","","Campus &amp; Student Groups")</f>
        <v/>
      </c>
      <c r="D28" s="23" t="n"/>
      <c r="E28" s="22" t="n"/>
      <c r="F28" s="23" t="n"/>
      <c r="G28" s="23" t="n"/>
      <c r="H28" s="23" t="n"/>
      <c r="I28" s="22" t="n"/>
      <c r="J28" s="23" t="n"/>
      <c r="K28" s="22" t="n"/>
      <c r="L28" s="23" t="n"/>
      <c r="M28" s="22" t="n"/>
      <c r="N28" s="23" t="n"/>
      <c r="O28" s="22" t="n"/>
      <c r="P28" s="23" t="n"/>
      <c r="Q28" s="23" t="n"/>
      <c r="R28" s="24" t="n"/>
      <c r="S28" s="25">
        <f>IF(ISBLANK(R28),"",TODAY()-R28)</f>
        <v/>
      </c>
      <c r="T28" s="22" t="n"/>
      <c r="U28" s="24" t="n"/>
      <c r="V28" s="23" t="n"/>
      <c r="W28" s="24" t="n"/>
      <c r="X28" s="23" t="n"/>
      <c r="Y28" s="23" t="n"/>
      <c r="Z28" s="26" t="n"/>
      <c r="AA28" s="27">
        <f>IF(OR($Z28="",$Y28="",$Y28=0),"",$Z28/($Y28*24))</f>
        <v/>
      </c>
      <c r="AB28" s="26" t="n"/>
      <c r="AC28" s="22" t="n"/>
      <c r="AD28" s="22" t="n"/>
      <c r="AE28" s="22" t="n"/>
      <c r="AF28" s="22" t="n"/>
      <c r="AG28" s="22" t="n"/>
      <c r="AH28" s="23" t="n"/>
      <c r="AI28" s="23" t="n"/>
      <c r="AJ28" s="23" t="n"/>
      <c r="AK28" s="23" t="n"/>
      <c r="AL28" s="22" t="n"/>
    </row>
    <row r="29" ht="20" customHeight="1">
      <c r="A29" s="17">
        <f>IF($B29="","",ROW()-2)</f>
        <v/>
      </c>
      <c r="B29" s="16" t="n"/>
      <c r="C29" s="16">
        <f>IF($B29="","","Campus &amp; Student Groups")</f>
        <v/>
      </c>
      <c r="D29" s="17" t="n"/>
      <c r="E29" s="16" t="n"/>
      <c r="F29" s="17" t="n"/>
      <c r="G29" s="17" t="n"/>
      <c r="H29" s="17" t="n"/>
      <c r="I29" s="16" t="n"/>
      <c r="J29" s="17" t="n"/>
      <c r="K29" s="16" t="n"/>
      <c r="L29" s="17" t="n"/>
      <c r="M29" s="16" t="n"/>
      <c r="N29" s="17" t="n"/>
      <c r="O29" s="16" t="n"/>
      <c r="P29" s="17" t="n"/>
      <c r="Q29" s="17" t="n"/>
      <c r="R29" s="15" t="n"/>
      <c r="S29" s="19">
        <f>IF(ISBLANK(R29),"",TODAY()-R29)</f>
        <v/>
      </c>
      <c r="T29" s="16" t="n"/>
      <c r="U29" s="15" t="n"/>
      <c r="V29" s="17" t="n"/>
      <c r="W29" s="15" t="n"/>
      <c r="X29" s="17" t="n"/>
      <c r="Y29" s="17" t="n"/>
      <c r="Z29" s="20" t="n"/>
      <c r="AA29" s="21">
        <f>IF(OR($Z29="",$Y29="",$Y29=0),"",$Z29/($Y29*24))</f>
        <v/>
      </c>
      <c r="AB29" s="20" t="n"/>
      <c r="AC29" s="16" t="n"/>
      <c r="AD29" s="16" t="n"/>
      <c r="AE29" s="16" t="n"/>
      <c r="AF29" s="16" t="n"/>
      <c r="AG29" s="16" t="n"/>
      <c r="AH29" s="17" t="n"/>
      <c r="AI29" s="17" t="n"/>
      <c r="AJ29" s="17" t="n"/>
      <c r="AK29" s="17" t="n"/>
      <c r="AL29" s="16" t="n"/>
    </row>
    <row r="30" ht="20" customHeight="1">
      <c r="A30" s="23">
        <f>IF($B30="","",ROW()-2)</f>
        <v/>
      </c>
      <c r="B30" s="22" t="n"/>
      <c r="C30" s="22">
        <f>IF($B30="","","Campus &amp; Student Groups")</f>
        <v/>
      </c>
      <c r="D30" s="23" t="n"/>
      <c r="E30" s="22" t="n"/>
      <c r="F30" s="23" t="n"/>
      <c r="G30" s="23" t="n"/>
      <c r="H30" s="23" t="n"/>
      <c r="I30" s="22" t="n"/>
      <c r="J30" s="23" t="n"/>
      <c r="K30" s="22" t="n"/>
      <c r="L30" s="23" t="n"/>
      <c r="M30" s="22" t="n"/>
      <c r="N30" s="23" t="n"/>
      <c r="O30" s="22" t="n"/>
      <c r="P30" s="23" t="n"/>
      <c r="Q30" s="23" t="n"/>
      <c r="R30" s="24" t="n"/>
      <c r="S30" s="25">
        <f>IF(ISBLANK(R30),"",TODAY()-R30)</f>
        <v/>
      </c>
      <c r="T30" s="22" t="n"/>
      <c r="U30" s="24" t="n"/>
      <c r="V30" s="23" t="n"/>
      <c r="W30" s="24" t="n"/>
      <c r="X30" s="23" t="n"/>
      <c r="Y30" s="23" t="n"/>
      <c r="Z30" s="26" t="n"/>
      <c r="AA30" s="27">
        <f>IF(OR($Z30="",$Y30="",$Y30=0),"",$Z30/($Y30*24))</f>
        <v/>
      </c>
      <c r="AB30" s="26" t="n"/>
      <c r="AC30" s="22" t="n"/>
      <c r="AD30" s="22" t="n"/>
      <c r="AE30" s="22" t="n"/>
      <c r="AF30" s="22" t="n"/>
      <c r="AG30" s="22" t="n"/>
      <c r="AH30" s="23" t="n"/>
      <c r="AI30" s="23" t="n"/>
      <c r="AJ30" s="23" t="n"/>
      <c r="AK30" s="23" t="n"/>
      <c r="AL30" s="22" t="n"/>
    </row>
    <row r="31" ht="20" customHeight="1">
      <c r="A31" s="17">
        <f>IF($B31="","",ROW()-2)</f>
        <v/>
      </c>
      <c r="B31" s="16" t="n"/>
      <c r="C31" s="16">
        <f>IF($B31="","","Campus &amp; Student Groups")</f>
        <v/>
      </c>
      <c r="D31" s="17" t="n"/>
      <c r="E31" s="16" t="n"/>
      <c r="F31" s="17" t="n"/>
      <c r="G31" s="17" t="n"/>
      <c r="H31" s="17" t="n"/>
      <c r="I31" s="16" t="n"/>
      <c r="J31" s="17" t="n"/>
      <c r="K31" s="16" t="n"/>
      <c r="L31" s="17" t="n"/>
      <c r="M31" s="16" t="n"/>
      <c r="N31" s="17" t="n"/>
      <c r="O31" s="16" t="n"/>
      <c r="P31" s="17" t="n"/>
      <c r="Q31" s="17" t="n"/>
      <c r="R31" s="15" t="n"/>
      <c r="S31" s="19">
        <f>IF(ISBLANK(R31),"",TODAY()-R31)</f>
        <v/>
      </c>
      <c r="T31" s="16" t="n"/>
      <c r="U31" s="15" t="n"/>
      <c r="V31" s="17" t="n"/>
      <c r="W31" s="15" t="n"/>
      <c r="X31" s="17" t="n"/>
      <c r="Y31" s="17" t="n"/>
      <c r="Z31" s="20" t="n"/>
      <c r="AA31" s="21">
        <f>IF(OR($Z31="",$Y31="",$Y31=0),"",$Z31/($Y31*24))</f>
        <v/>
      </c>
      <c r="AB31" s="20" t="n"/>
      <c r="AC31" s="16" t="n"/>
      <c r="AD31" s="16" t="n"/>
      <c r="AE31" s="16" t="n"/>
      <c r="AF31" s="16" t="n"/>
      <c r="AG31" s="16" t="n"/>
      <c r="AH31" s="17" t="n"/>
      <c r="AI31" s="17" t="n"/>
      <c r="AJ31" s="17" t="n"/>
      <c r="AK31" s="17" t="n"/>
      <c r="AL31" s="16" t="n"/>
    </row>
    <row r="32" ht="20" customHeight="1">
      <c r="A32" s="23">
        <f>IF($B32="","",ROW()-2)</f>
        <v/>
      </c>
      <c r="B32" s="22" t="n"/>
      <c r="C32" s="22">
        <f>IF($B32="","","Campus &amp; Student Groups")</f>
        <v/>
      </c>
      <c r="D32" s="23" t="n"/>
      <c r="E32" s="22" t="n"/>
      <c r="F32" s="23" t="n"/>
      <c r="G32" s="23" t="n"/>
      <c r="H32" s="23" t="n"/>
      <c r="I32" s="22" t="n"/>
      <c r="J32" s="23" t="n"/>
      <c r="K32" s="22" t="n"/>
      <c r="L32" s="23" t="n"/>
      <c r="M32" s="22" t="n"/>
      <c r="N32" s="23" t="n"/>
      <c r="O32" s="22" t="n"/>
      <c r="P32" s="23" t="n"/>
      <c r="Q32" s="23" t="n"/>
      <c r="R32" s="24" t="n"/>
      <c r="S32" s="25">
        <f>IF(ISBLANK(R32),"",TODAY()-R32)</f>
        <v/>
      </c>
      <c r="T32" s="22" t="n"/>
      <c r="U32" s="24" t="n"/>
      <c r="V32" s="23" t="n"/>
      <c r="W32" s="24" t="n"/>
      <c r="X32" s="23" t="n"/>
      <c r="Y32" s="23" t="n"/>
      <c r="Z32" s="26" t="n"/>
      <c r="AA32" s="27">
        <f>IF(OR($Z32="",$Y32="",$Y32=0),"",$Z32/($Y32*24))</f>
        <v/>
      </c>
      <c r="AB32" s="26" t="n"/>
      <c r="AC32" s="22" t="n"/>
      <c r="AD32" s="22" t="n"/>
      <c r="AE32" s="22" t="n"/>
      <c r="AF32" s="22" t="n"/>
      <c r="AG32" s="22" t="n"/>
      <c r="AH32" s="23" t="n"/>
      <c r="AI32" s="23" t="n"/>
      <c r="AJ32" s="23" t="n"/>
      <c r="AK32" s="23" t="n"/>
      <c r="AL32" s="22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Wellness &amp; Recovery</t>
        </is>
      </c>
    </row>
    <row r="2" ht="50" customHeight="1">
      <c r="A2" s="8" t="inlineStr">
        <is>
          <t>#</t>
        </is>
      </c>
      <c r="B2" s="8" t="inlineStr">
        <is>
          <t>Partner Name</t>
        </is>
      </c>
      <c r="C2" s="8" t="inlineStr">
        <is>
          <t>Partnership Type</t>
        </is>
      </c>
      <c r="D2" s="8" t="inlineStr">
        <is>
          <t>City</t>
        </is>
      </c>
      <c r="E2" s="8" t="inlineStr">
        <is>
          <t>Neighbourhood</t>
        </is>
      </c>
      <c r="F2" s="8" t="inlineStr">
        <is>
          <t>Priority</t>
        </is>
      </c>
      <c r="G2" s="8" t="inlineStr">
        <is>
          <t>Status</t>
        </is>
      </c>
      <c r="H2" s="8" t="inlineStr">
        <is>
          <t>Primary Owner</t>
        </is>
      </c>
      <c r="I2" s="8" t="inlineStr">
        <is>
          <t>Contact Name</t>
        </is>
      </c>
      <c r="J2" s="8" t="inlineStr">
        <is>
          <t>Role</t>
        </is>
      </c>
      <c r="K2" s="8" t="inlineStr">
        <is>
          <t>Contact Email</t>
        </is>
      </c>
      <c r="L2" s="8" t="inlineStr">
        <is>
          <t>Contact Phone</t>
        </is>
      </c>
      <c r="M2" s="8" t="inlineStr">
        <is>
          <t>Instagram or Website</t>
        </is>
      </c>
      <c r="N2" s="8" t="inlineStr">
        <is>
          <t>Audience Size</t>
        </is>
      </c>
      <c r="O2" s="8" t="inlineStr">
        <is>
          <t>Audience Source</t>
        </is>
      </c>
      <c r="P2" s="8" t="inlineStr">
        <is>
          <t>Source</t>
        </is>
      </c>
      <c r="Q2" s="8" t="inlineStr">
        <is>
          <t>Warm</t>
        </is>
      </c>
      <c r="R2" s="8" t="inlineStr">
        <is>
          <t>Last Contacted</t>
        </is>
      </c>
      <c r="S2" s="8" t="inlineStr">
        <is>
          <t>Days Since Activity</t>
        </is>
      </c>
      <c r="T2" s="8" t="inlineStr">
        <is>
          <t>Next Action</t>
        </is>
      </c>
      <c r="U2" s="8" t="inlineStr">
        <is>
          <t>Next Action Date</t>
        </is>
      </c>
      <c r="V2" s="8" t="inlineStr">
        <is>
          <t>Activation Type</t>
        </is>
      </c>
      <c r="W2" s="8" t="inlineStr">
        <is>
          <t>Activation Date</t>
        </is>
      </c>
      <c r="X2" s="8" t="inlineStr">
        <is>
          <t>Cases Committed</t>
        </is>
      </c>
      <c r="Y2" s="8" t="inlineStr">
        <is>
          <t>Cases Delivered</t>
        </is>
      </c>
      <c r="Z2" s="8" t="inlineStr">
        <is>
          <t>Cost ($)</t>
        </is>
      </c>
      <c r="AA2" s="8" t="inlineStr">
        <is>
          <t>Cost Per Can</t>
        </is>
      </c>
      <c r="AB2" s="8" t="inlineStr">
        <is>
          <t>Contra Value ($)</t>
        </is>
      </c>
      <c r="AC2" s="8" t="inlineStr">
        <is>
          <t>Deliverables Promised</t>
        </is>
      </c>
      <c r="AD2" s="8" t="inlineStr">
        <is>
          <t>Deliverables Received</t>
        </is>
      </c>
      <c r="AE2" s="8" t="inlineStr">
        <is>
          <t>What They Want</t>
        </is>
      </c>
      <c r="AF2" s="8" t="inlineStr">
        <is>
          <t>Risks</t>
        </is>
      </c>
      <c r="AG2" s="8" t="inlineStr">
        <is>
          <t>Nearby Retail Doors</t>
        </is>
      </c>
      <c r="AH2" s="8" t="inlineStr">
        <is>
          <t>In BC Tracker?</t>
        </is>
      </c>
      <c r="AI2" s="8" t="inlineStr">
        <is>
          <t>Raspberry 4338</t>
        </is>
      </c>
      <c r="AJ2" s="8" t="inlineStr">
        <is>
          <t>Lemon Lime 4336</t>
        </is>
      </c>
      <c r="AK2" s="8" t="inlineStr">
        <is>
          <t>Pineapple Passion Fruit 4340</t>
        </is>
      </c>
      <c r="AL2" s="8" t="inlineStr">
        <is>
          <t>Notes</t>
        </is>
      </c>
    </row>
    <row r="3" ht="20" customHeight="1">
      <c r="A3" s="17">
        <f>IF($B3="","",ROW()-2)</f>
        <v/>
      </c>
      <c r="B3" s="16" t="inlineStr">
        <is>
          <t>Tevah Wellness</t>
        </is>
      </c>
      <c r="C3" s="16">
        <f>IF($B3="","","Wellness &amp; Recovery")</f>
        <v/>
      </c>
      <c r="D3" s="17" t="inlineStr">
        <is>
          <t>Vancouver</t>
        </is>
      </c>
      <c r="E3" s="16" t="inlineStr">
        <is>
          <t>Yaletown</t>
        </is>
      </c>
      <c r="F3" s="17" t="inlineStr">
        <is>
          <t>P1</t>
        </is>
      </c>
      <c r="G3" s="17" t="inlineStr">
        <is>
          <t>Open</t>
        </is>
      </c>
      <c r="H3" s="17" t="inlineStr">
        <is>
          <t>Maddie</t>
        </is>
      </c>
      <c r="I3" s="16" t="n"/>
      <c r="J3" s="17" t="n"/>
      <c r="K3" s="16" t="n"/>
      <c r="L3" s="17" t="n"/>
      <c r="M3" s="16" t="n"/>
      <c r="N3" s="17" t="inlineStr">
        <is>
          <t>TBD</t>
        </is>
      </c>
      <c r="O3" s="16" t="n"/>
      <c r="P3" s="17" t="inlineStr">
        <is>
          <t>Verified Web</t>
        </is>
      </c>
      <c r="Q3" s="17" t="inlineStr">
        <is>
          <t>Cold</t>
        </is>
      </c>
      <c r="R3" s="15" t="n"/>
      <c r="S3" s="19">
        <f>IF(ISBLANK(R3),"",TODAY()-R3)</f>
        <v/>
      </c>
      <c r="T3" s="16" t="n"/>
      <c r="U3" s="15" t="n"/>
      <c r="V3" s="17" t="n"/>
      <c r="W3" s="15" t="n"/>
      <c r="X3" s="17" t="n"/>
      <c r="Y3" s="17" t="n"/>
      <c r="Z3" s="20" t="n"/>
      <c r="AA3" s="21">
        <f>IF(OR($Z3="",$Y3="",$Y3=0),"",$Z3/($Y3*24))</f>
        <v/>
      </c>
      <c r="AB3" s="20" t="n"/>
      <c r="AC3" s="16" t="n"/>
      <c r="AD3" s="16" t="n"/>
      <c r="AE3" s="16" t="n"/>
      <c r="AF3" s="16" t="n"/>
      <c r="AG3" s="16" t="n"/>
      <c r="AH3" s="17" t="inlineStr">
        <is>
          <t>Yes</t>
        </is>
      </c>
      <c r="AI3" s="17" t="n"/>
      <c r="AJ3" s="17" t="n"/>
      <c r="AK3" s="17" t="n"/>
      <c r="AL3" s="16" t="inlineStr">
        <is>
          <t>Imported from the BC Tracker Community tab so it is tracked once. Sauna and recovery. Address 955 Pacific Blvd.</t>
        </is>
      </c>
    </row>
    <row r="4" ht="20" customHeight="1">
      <c r="A4" s="23">
        <f>IF($B4="","",ROW()-2)</f>
        <v/>
      </c>
      <c r="B4" s="22" t="inlineStr">
        <is>
          <t>HAVN Saunas</t>
        </is>
      </c>
      <c r="C4" s="22">
        <f>IF($B4="","","Wellness &amp; Recovery")</f>
        <v/>
      </c>
      <c r="D4" s="23" t="inlineStr">
        <is>
          <t>Victoria</t>
        </is>
      </c>
      <c r="E4" s="22" t="inlineStr">
        <is>
          <t>Inner Harbour</t>
        </is>
      </c>
      <c r="F4" s="23" t="inlineStr">
        <is>
          <t>P1</t>
        </is>
      </c>
      <c r="G4" s="23" t="inlineStr">
        <is>
          <t>Open</t>
        </is>
      </c>
      <c r="H4" s="23" t="inlineStr">
        <is>
          <t>Maddie</t>
        </is>
      </c>
      <c r="I4" s="22" t="n"/>
      <c r="J4" s="23" t="n"/>
      <c r="K4" s="22" t="n"/>
      <c r="L4" s="23" t="n"/>
      <c r="M4" s="34" t="inlineStr">
        <is>
          <t>@havn.saunas</t>
        </is>
      </c>
      <c r="N4" s="23" t="inlineStr">
        <is>
          <t>34,000 IG</t>
        </is>
      </c>
      <c r="O4" s="22" t="inlineStr">
        <is>
          <t>Instagram @havn.saunas follower count, web search 2026</t>
        </is>
      </c>
      <c r="P4" s="23" t="inlineStr">
        <is>
          <t>Verified Web</t>
        </is>
      </c>
      <c r="Q4" s="23" t="inlineStr">
        <is>
          <t>Cold</t>
        </is>
      </c>
      <c r="R4" s="24" t="n"/>
      <c r="S4" s="25">
        <f>IF(ISBLANK(R4),"",TODAY()-R4)</f>
        <v/>
      </c>
      <c r="T4" s="22" t="n"/>
      <c r="U4" s="24" t="n"/>
      <c r="V4" s="23" t="n"/>
      <c r="W4" s="24" t="n"/>
      <c r="X4" s="23" t="n"/>
      <c r="Y4" s="23" t="n"/>
      <c r="Z4" s="26" t="n"/>
      <c r="AA4" s="27">
        <f>IF(OR($Z4="",$Y4="",$Y4=0),"",$Z4/($Y4*24))</f>
        <v/>
      </c>
      <c r="AB4" s="26" t="n"/>
      <c r="AC4" s="22" t="n"/>
      <c r="AD4" s="22" t="n"/>
      <c r="AE4" s="22" t="n"/>
      <c r="AF4" s="22" t="n"/>
      <c r="AG4" s="22" t="n"/>
      <c r="AH4" s="23" t="inlineStr">
        <is>
          <t>No</t>
        </is>
      </c>
      <c r="AI4" s="23" t="n"/>
      <c r="AJ4" s="23" t="n"/>
      <c r="AK4" s="23" t="n"/>
      <c r="AL4" s="22" t="inlineStr">
        <is>
          <t>Floating sauna barge on the Inner Harbour with cold plunge circuits.</t>
        </is>
      </c>
    </row>
    <row r="5" ht="20" customHeight="1">
      <c r="A5" s="17">
        <f>IF($B5="","",ROW()-2)</f>
        <v/>
      </c>
      <c r="B5" s="16" t="inlineStr">
        <is>
          <t>Kolm Kontrast Nordic Spa</t>
        </is>
      </c>
      <c r="C5" s="16">
        <f>IF($B5="","","Wellness &amp; Recovery")</f>
        <v/>
      </c>
      <c r="D5" s="17" t="inlineStr">
        <is>
          <t>Vancouver</t>
        </is>
      </c>
      <c r="E5" s="16" t="inlineStr">
        <is>
          <t>Cambie Village</t>
        </is>
      </c>
      <c r="F5" s="17" t="inlineStr">
        <is>
          <t>P1</t>
        </is>
      </c>
      <c r="G5" s="17" t="inlineStr">
        <is>
          <t>Open</t>
        </is>
      </c>
      <c r="H5" s="17" t="inlineStr">
        <is>
          <t>Maddie</t>
        </is>
      </c>
      <c r="I5" s="16" t="n"/>
      <c r="J5" s="17" t="n"/>
      <c r="K5" s="16" t="n"/>
      <c r="L5" s="17" t="n"/>
      <c r="M5" s="33" t="inlineStr">
        <is>
          <t>@kolmkontrast</t>
        </is>
      </c>
      <c r="N5" s="17" t="inlineStr">
        <is>
          <t>12,000 IG</t>
        </is>
      </c>
      <c r="O5" s="16" t="inlineStr">
        <is>
          <t>Instagram @kolmkontrast follower count, web search 2026</t>
        </is>
      </c>
      <c r="P5" s="17" t="inlineStr">
        <is>
          <t>Verified Web</t>
        </is>
      </c>
      <c r="Q5" s="17" t="inlineStr">
        <is>
          <t>Cold</t>
        </is>
      </c>
      <c r="R5" s="15" t="n"/>
      <c r="S5" s="19">
        <f>IF(ISBLANK(R5),"",TODAY()-R5)</f>
        <v/>
      </c>
      <c r="T5" s="16" t="n"/>
      <c r="U5" s="15" t="n"/>
      <c r="V5" s="17" t="n"/>
      <c r="W5" s="15" t="n"/>
      <c r="X5" s="17" t="n"/>
      <c r="Y5" s="17" t="n"/>
      <c r="Z5" s="20" t="n"/>
      <c r="AA5" s="21">
        <f>IF(OR($Z5="",$Y5="",$Y5=0),"",$Z5/($Y5*24))</f>
        <v/>
      </c>
      <c r="AB5" s="20" t="n"/>
      <c r="AC5" s="16" t="n"/>
      <c r="AD5" s="16" t="n"/>
      <c r="AE5" s="16" t="n"/>
      <c r="AF5" s="16" t="n"/>
      <c r="AG5" s="16" t="n"/>
      <c r="AH5" s="17" t="inlineStr">
        <is>
          <t>No</t>
        </is>
      </c>
      <c r="AI5" s="17" t="n"/>
      <c r="AJ5" s="17" t="n"/>
      <c r="AK5" s="17" t="n"/>
      <c r="AL5" s="16" t="inlineStr">
        <is>
          <t>Nordic spa at 525 W 8th Ave with heat and cold cycles.</t>
        </is>
      </c>
    </row>
    <row r="6" ht="20" customHeight="1">
      <c r="A6" s="23">
        <f>IF($B6="","",ROW()-2)</f>
        <v/>
      </c>
      <c r="B6" s="22" t="inlineStr">
        <is>
          <t>RITUAL Nordic Spa</t>
        </is>
      </c>
      <c r="C6" s="22">
        <f>IF($B6="","","Wellness &amp; Recovery")</f>
        <v/>
      </c>
      <c r="D6" s="23" t="inlineStr">
        <is>
          <t>Victoria</t>
        </is>
      </c>
      <c r="E6" s="22" t="inlineStr">
        <is>
          <t>Harris Green</t>
        </is>
      </c>
      <c r="F6" s="23" t="inlineStr">
        <is>
          <t>P2</t>
        </is>
      </c>
      <c r="G6" s="23" t="inlineStr">
        <is>
          <t>Open</t>
        </is>
      </c>
      <c r="H6" s="23" t="inlineStr">
        <is>
          <t>Maddie</t>
        </is>
      </c>
      <c r="I6" s="22" t="n"/>
      <c r="J6" s="23" t="n"/>
      <c r="K6" s="22" t="n"/>
      <c r="L6" s="23" t="n"/>
      <c r="M6" s="34" t="inlineStr">
        <is>
          <t>@ritualnordicspa</t>
        </is>
      </c>
      <c r="N6" s="23" t="inlineStr">
        <is>
          <t>9,400 IG</t>
        </is>
      </c>
      <c r="O6" s="22" t="inlineStr">
        <is>
          <t>Instagram @ritualnordicspa follower count, web search 2026</t>
        </is>
      </c>
      <c r="P6" s="23" t="inlineStr">
        <is>
          <t>Verified Web</t>
        </is>
      </c>
      <c r="Q6" s="23" t="inlineStr">
        <is>
          <t>Cold</t>
        </is>
      </c>
      <c r="R6" s="24" t="n"/>
      <c r="S6" s="25">
        <f>IF(ISBLANK(R6),"",TODAY()-R6)</f>
        <v/>
      </c>
      <c r="T6" s="22" t="n"/>
      <c r="U6" s="24" t="n"/>
      <c r="V6" s="23" t="n"/>
      <c r="W6" s="24" t="n"/>
      <c r="X6" s="23" t="n"/>
      <c r="Y6" s="23" t="n"/>
      <c r="Z6" s="26" t="n"/>
      <c r="AA6" s="27">
        <f>IF(OR($Z6="",$Y6="",$Y6=0),"",$Z6/($Y6*24))</f>
        <v/>
      </c>
      <c r="AB6" s="26" t="n"/>
      <c r="AC6" s="22" t="n"/>
      <c r="AD6" s="22" t="n"/>
      <c r="AE6" s="22" t="n"/>
      <c r="AF6" s="22" t="n"/>
      <c r="AG6" s="22" t="n"/>
      <c r="AH6" s="23" t="inlineStr">
        <is>
          <t>No</t>
        </is>
      </c>
      <c r="AI6" s="23" t="n"/>
      <c r="AJ6" s="23" t="n"/>
      <c r="AK6" s="23" t="n"/>
      <c r="AL6" s="22" t="inlineStr">
        <is>
          <t>Nordic spa with an onsite cafe and salt lounge.</t>
        </is>
      </c>
    </row>
    <row r="7" ht="20" customHeight="1">
      <c r="A7" s="17">
        <f>IF($B7="","",ROW()-2)</f>
        <v/>
      </c>
      <c r="B7" s="16" t="inlineStr">
        <is>
          <t>Float House Vancouver</t>
        </is>
      </c>
      <c r="C7" s="16">
        <f>IF($B7="","","Wellness &amp; Recovery")</f>
        <v/>
      </c>
      <c r="D7" s="17" t="inlineStr">
        <is>
          <t>Vancouver</t>
        </is>
      </c>
      <c r="E7" s="16" t="inlineStr">
        <is>
          <t>Gastown</t>
        </is>
      </c>
      <c r="F7" s="17" t="inlineStr">
        <is>
          <t>P2</t>
        </is>
      </c>
      <c r="G7" s="17" t="inlineStr">
        <is>
          <t>Open</t>
        </is>
      </c>
      <c r="H7" s="17" t="inlineStr">
        <is>
          <t>Maddie</t>
        </is>
      </c>
      <c r="I7" s="16" t="n"/>
      <c r="J7" s="17" t="n"/>
      <c r="K7" s="16" t="n"/>
      <c r="L7" s="17" t="n"/>
      <c r="M7" s="33" t="inlineStr">
        <is>
          <t>@float_house</t>
        </is>
      </c>
      <c r="N7" s="17" t="inlineStr">
        <is>
          <t>9,000 IG</t>
        </is>
      </c>
      <c r="O7" s="16" t="inlineStr">
        <is>
          <t>Instagram @float_house follower count, web search 2026</t>
        </is>
      </c>
      <c r="P7" s="17" t="inlineStr">
        <is>
          <t>Verified Web</t>
        </is>
      </c>
      <c r="Q7" s="17" t="inlineStr">
        <is>
          <t>Cold</t>
        </is>
      </c>
      <c r="R7" s="15" t="n"/>
      <c r="S7" s="19">
        <f>IF(ISBLANK(R7),"",TODAY()-R7)</f>
        <v/>
      </c>
      <c r="T7" s="16" t="n"/>
      <c r="U7" s="15" t="n"/>
      <c r="V7" s="17" t="n"/>
      <c r="W7" s="15" t="n"/>
      <c r="X7" s="17" t="n"/>
      <c r="Y7" s="17" t="n"/>
      <c r="Z7" s="20" t="n"/>
      <c r="AA7" s="21">
        <f>IF(OR($Z7="",$Y7="",$Y7=0),"",$Z7/($Y7*24))</f>
        <v/>
      </c>
      <c r="AB7" s="20" t="n"/>
      <c r="AC7" s="16" t="n"/>
      <c r="AD7" s="16" t="n"/>
      <c r="AE7" s="16" t="n"/>
      <c r="AF7" s="16" t="n"/>
      <c r="AG7" s="16" t="n"/>
      <c r="AH7" s="17" t="inlineStr">
        <is>
          <t>No</t>
        </is>
      </c>
      <c r="AI7" s="17" t="n"/>
      <c r="AJ7" s="17" t="n"/>
      <c r="AK7" s="17" t="n"/>
      <c r="AL7" s="16" t="inlineStr">
        <is>
          <t>Float and cold plunge studio at 70 W Cordova St.</t>
        </is>
      </c>
    </row>
    <row r="8" ht="20" customHeight="1">
      <c r="A8" s="23">
        <f>IF($B8="","",ROW()-2)</f>
        <v/>
      </c>
      <c r="B8" s="22" t="inlineStr">
        <is>
          <t>Regen Recovery</t>
        </is>
      </c>
      <c r="C8" s="22">
        <f>IF($B8="","","Wellness &amp; Recovery")</f>
        <v/>
      </c>
      <c r="D8" s="23" t="inlineStr">
        <is>
          <t>Vancouver</t>
        </is>
      </c>
      <c r="E8" s="22" t="inlineStr">
        <is>
          <t>Downtown</t>
        </is>
      </c>
      <c r="F8" s="23" t="inlineStr">
        <is>
          <t>P2</t>
        </is>
      </c>
      <c r="G8" s="23" t="inlineStr">
        <is>
          <t>Open</t>
        </is>
      </c>
      <c r="H8" s="23" t="inlineStr">
        <is>
          <t>Maddie</t>
        </is>
      </c>
      <c r="I8" s="22" t="n"/>
      <c r="J8" s="23" t="n"/>
      <c r="K8" s="22" t="n"/>
      <c r="L8" s="23" t="n"/>
      <c r="M8" s="34" t="inlineStr">
        <is>
          <t>@regenrecovery</t>
        </is>
      </c>
      <c r="N8" s="23" t="inlineStr">
        <is>
          <t>3,900 IG</t>
        </is>
      </c>
      <c r="O8" s="22" t="inlineStr">
        <is>
          <t>Instagram @regenrecovery follower count, web search 2026</t>
        </is>
      </c>
      <c r="P8" s="23" t="inlineStr">
        <is>
          <t>Verified Web</t>
        </is>
      </c>
      <c r="Q8" s="23" t="inlineStr">
        <is>
          <t>Cold</t>
        </is>
      </c>
      <c r="R8" s="24" t="n"/>
      <c r="S8" s="25">
        <f>IF(ISBLANK(R8),"",TODAY()-R8)</f>
        <v/>
      </c>
      <c r="T8" s="22" t="n"/>
      <c r="U8" s="24" t="n"/>
      <c r="V8" s="23" t="n"/>
      <c r="W8" s="24" t="n"/>
      <c r="X8" s="23" t="n"/>
      <c r="Y8" s="23" t="n"/>
      <c r="Z8" s="26" t="n"/>
      <c r="AA8" s="27">
        <f>IF(OR($Z8="",$Y8="",$Y8=0),"",$Z8/($Y8*24))</f>
        <v/>
      </c>
      <c r="AB8" s="26" t="n"/>
      <c r="AC8" s="22" t="n"/>
      <c r="AD8" s="22" t="n"/>
      <c r="AE8" s="22" t="n"/>
      <c r="AF8" s="22" t="n"/>
      <c r="AG8" s="22" t="n"/>
      <c r="AH8" s="23" t="inlineStr">
        <is>
          <t>No</t>
        </is>
      </c>
      <c r="AI8" s="23" t="n"/>
      <c r="AJ8" s="23" t="n"/>
      <c r="AK8" s="23" t="n"/>
      <c r="AL8" s="22" t="inlineStr">
        <is>
          <t>Recovery lounge with sauna, cold plunge and IV services.</t>
        </is>
      </c>
    </row>
    <row r="9" ht="20" customHeight="1">
      <c r="A9" s="17">
        <f>IF($B9="","",ROW()-2)</f>
        <v/>
      </c>
      <c r="B9" s="16" t="inlineStr">
        <is>
          <t>BioShack</t>
        </is>
      </c>
      <c r="C9" s="16">
        <f>IF($B9="","","Wellness &amp; Recovery")</f>
        <v/>
      </c>
      <c r="D9" s="17" t="inlineStr">
        <is>
          <t>Kelowna</t>
        </is>
      </c>
      <c r="E9" s="16" t="inlineStr">
        <is>
          <t>Kelowna</t>
        </is>
      </c>
      <c r="F9" s="17" t="inlineStr">
        <is>
          <t>P3</t>
        </is>
      </c>
      <c r="G9" s="17" t="inlineStr">
        <is>
          <t>Open</t>
        </is>
      </c>
      <c r="H9" s="17" t="inlineStr">
        <is>
          <t>Maddie</t>
        </is>
      </c>
      <c r="I9" s="16" t="n"/>
      <c r="J9" s="17" t="n"/>
      <c r="K9" s="16" t="n"/>
      <c r="L9" s="17" t="n"/>
      <c r="M9" s="33" t="inlineStr">
        <is>
          <t>@bioshack</t>
        </is>
      </c>
      <c r="N9" s="17" t="inlineStr">
        <is>
          <t>TBD</t>
        </is>
      </c>
      <c r="O9" s="16" t="n"/>
      <c r="P9" s="17" t="inlineStr">
        <is>
          <t>Verified Web</t>
        </is>
      </c>
      <c r="Q9" s="17" t="inlineStr">
        <is>
          <t>Cold</t>
        </is>
      </c>
      <c r="R9" s="15" t="n"/>
      <c r="S9" s="19">
        <f>IF(ISBLANK(R9),"",TODAY()-R9)</f>
        <v/>
      </c>
      <c r="T9" s="16" t="n"/>
      <c r="U9" s="15" t="n"/>
      <c r="V9" s="17" t="n"/>
      <c r="W9" s="15" t="n"/>
      <c r="X9" s="17" t="n"/>
      <c r="Y9" s="17" t="n"/>
      <c r="Z9" s="20" t="n"/>
      <c r="AA9" s="21">
        <f>IF(OR($Z9="",$Y9="",$Y9=0),"",$Z9/($Y9*24))</f>
        <v/>
      </c>
      <c r="AB9" s="20" t="n"/>
      <c r="AC9" s="16" t="n"/>
      <c r="AD9" s="16" t="n"/>
      <c r="AE9" s="16" t="n"/>
      <c r="AF9" s="16" t="n"/>
      <c r="AG9" s="16" t="n"/>
      <c r="AH9" s="17" t="inlineStr">
        <is>
          <t>No</t>
        </is>
      </c>
      <c r="AI9" s="17" t="n"/>
      <c r="AJ9" s="17" t="n"/>
      <c r="AK9" s="17" t="n"/>
      <c r="AL9" s="16" t="inlineStr">
        <is>
          <t>Self led contrast therapy suite located at Sweat Studios.</t>
        </is>
      </c>
    </row>
    <row r="10" ht="20" customHeight="1">
      <c r="A10" s="23">
        <f>IF($B10="","",ROW()-2)</f>
        <v/>
      </c>
      <c r="B10" s="22" t="n"/>
      <c r="C10" s="22">
        <f>IF($B10="","","Wellness &amp; Recovery")</f>
        <v/>
      </c>
      <c r="D10" s="23" t="n"/>
      <c r="E10" s="22" t="n"/>
      <c r="F10" s="23" t="n"/>
      <c r="G10" s="23" t="n"/>
      <c r="H10" s="23" t="n"/>
      <c r="I10" s="22" t="n"/>
      <c r="J10" s="23" t="n"/>
      <c r="K10" s="22" t="n"/>
      <c r="L10" s="23" t="n"/>
      <c r="M10" s="22" t="n"/>
      <c r="N10" s="23" t="n"/>
      <c r="O10" s="22" t="n"/>
      <c r="P10" s="23" t="n"/>
      <c r="Q10" s="23" t="n"/>
      <c r="R10" s="24" t="n"/>
      <c r="S10" s="25">
        <f>IF(ISBLANK(R10),"",TODAY()-R10)</f>
        <v/>
      </c>
      <c r="T10" s="22" t="n"/>
      <c r="U10" s="24" t="n"/>
      <c r="V10" s="23" t="n"/>
      <c r="W10" s="24" t="n"/>
      <c r="X10" s="23" t="n"/>
      <c r="Y10" s="23" t="n"/>
      <c r="Z10" s="26" t="n"/>
      <c r="AA10" s="27">
        <f>IF(OR($Z10="",$Y10="",$Y10=0),"",$Z10/($Y10*24))</f>
        <v/>
      </c>
      <c r="AB10" s="26" t="n"/>
      <c r="AC10" s="22" t="n"/>
      <c r="AD10" s="22" t="n"/>
      <c r="AE10" s="22" t="n"/>
      <c r="AF10" s="22" t="n"/>
      <c r="AG10" s="22" t="n"/>
      <c r="AH10" s="23" t="n"/>
      <c r="AI10" s="23" t="n"/>
      <c r="AJ10" s="23" t="n"/>
      <c r="AK10" s="23" t="n"/>
      <c r="AL10" s="22" t="n"/>
    </row>
    <row r="11" ht="20" customHeight="1">
      <c r="A11" s="17">
        <f>IF($B11="","",ROW()-2)</f>
        <v/>
      </c>
      <c r="B11" s="16" t="n"/>
      <c r="C11" s="16">
        <f>IF($B11="","","Wellness &amp; Recovery")</f>
        <v/>
      </c>
      <c r="D11" s="17" t="n"/>
      <c r="E11" s="16" t="n"/>
      <c r="F11" s="17" t="n"/>
      <c r="G11" s="17" t="n"/>
      <c r="H11" s="17" t="n"/>
      <c r="I11" s="16" t="n"/>
      <c r="J11" s="17" t="n"/>
      <c r="K11" s="16" t="n"/>
      <c r="L11" s="17" t="n"/>
      <c r="M11" s="16" t="n"/>
      <c r="N11" s="17" t="n"/>
      <c r="O11" s="16" t="n"/>
      <c r="P11" s="17" t="n"/>
      <c r="Q11" s="17" t="n"/>
      <c r="R11" s="15" t="n"/>
      <c r="S11" s="19">
        <f>IF(ISBLANK(R11),"",TODAY()-R11)</f>
        <v/>
      </c>
      <c r="T11" s="16" t="n"/>
      <c r="U11" s="15" t="n"/>
      <c r="V11" s="17" t="n"/>
      <c r="W11" s="15" t="n"/>
      <c r="X11" s="17" t="n"/>
      <c r="Y11" s="17" t="n"/>
      <c r="Z11" s="20" t="n"/>
      <c r="AA11" s="21">
        <f>IF(OR($Z11="",$Y11="",$Y11=0),"",$Z11/($Y11*24))</f>
        <v/>
      </c>
      <c r="AB11" s="20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7" t="n"/>
      <c r="AL11" s="16" t="n"/>
    </row>
    <row r="12" ht="20" customHeight="1">
      <c r="A12" s="23">
        <f>IF($B12="","",ROW()-2)</f>
        <v/>
      </c>
      <c r="B12" s="22" t="n"/>
      <c r="C12" s="22">
        <f>IF($B12="","","Wellness &amp; Recovery")</f>
        <v/>
      </c>
      <c r="D12" s="23" t="n"/>
      <c r="E12" s="22" t="n"/>
      <c r="F12" s="23" t="n"/>
      <c r="G12" s="23" t="n"/>
      <c r="H12" s="23" t="n"/>
      <c r="I12" s="22" t="n"/>
      <c r="J12" s="23" t="n"/>
      <c r="K12" s="22" t="n"/>
      <c r="L12" s="23" t="n"/>
      <c r="M12" s="22" t="n"/>
      <c r="N12" s="23" t="n"/>
      <c r="O12" s="22" t="n"/>
      <c r="P12" s="23" t="n"/>
      <c r="Q12" s="23" t="n"/>
      <c r="R12" s="24" t="n"/>
      <c r="S12" s="25">
        <f>IF(ISBLANK(R12),"",TODAY()-R12)</f>
        <v/>
      </c>
      <c r="T12" s="22" t="n"/>
      <c r="U12" s="24" t="n"/>
      <c r="V12" s="23" t="n"/>
      <c r="W12" s="24" t="n"/>
      <c r="X12" s="23" t="n"/>
      <c r="Y12" s="23" t="n"/>
      <c r="Z12" s="26" t="n"/>
      <c r="AA12" s="27">
        <f>IF(OR($Z12="",$Y12="",$Y12=0),"",$Z12/($Y12*24))</f>
        <v/>
      </c>
      <c r="AB12" s="26" t="n"/>
      <c r="AC12" s="22" t="n"/>
      <c r="AD12" s="22" t="n"/>
      <c r="AE12" s="22" t="n"/>
      <c r="AF12" s="22" t="n"/>
      <c r="AG12" s="22" t="n"/>
      <c r="AH12" s="23" t="n"/>
      <c r="AI12" s="23" t="n"/>
      <c r="AJ12" s="23" t="n"/>
      <c r="AK12" s="23" t="n"/>
      <c r="AL12" s="22" t="n"/>
    </row>
    <row r="13" ht="20" customHeight="1">
      <c r="A13" s="17">
        <f>IF($B13="","",ROW()-2)</f>
        <v/>
      </c>
      <c r="B13" s="16" t="n"/>
      <c r="C13" s="16">
        <f>IF($B13="","","Wellness &amp; Recovery")</f>
        <v/>
      </c>
      <c r="D13" s="17" t="n"/>
      <c r="E13" s="16" t="n"/>
      <c r="F13" s="17" t="n"/>
      <c r="G13" s="17" t="n"/>
      <c r="H13" s="17" t="n"/>
      <c r="I13" s="16" t="n"/>
      <c r="J13" s="17" t="n"/>
      <c r="K13" s="16" t="n"/>
      <c r="L13" s="17" t="n"/>
      <c r="M13" s="16" t="n"/>
      <c r="N13" s="17" t="n"/>
      <c r="O13" s="16" t="n"/>
      <c r="P13" s="17" t="n"/>
      <c r="Q13" s="17" t="n"/>
      <c r="R13" s="15" t="n"/>
      <c r="S13" s="19">
        <f>IF(ISBLANK(R13),"",TODAY()-R13)</f>
        <v/>
      </c>
      <c r="T13" s="16" t="n"/>
      <c r="U13" s="15" t="n"/>
      <c r="V13" s="17" t="n"/>
      <c r="W13" s="15" t="n"/>
      <c r="X13" s="17" t="n"/>
      <c r="Y13" s="17" t="n"/>
      <c r="Z13" s="20" t="n"/>
      <c r="AA13" s="21">
        <f>IF(OR($Z13="",$Y13="",$Y13=0),"",$Z13/($Y13*24))</f>
        <v/>
      </c>
      <c r="AB13" s="20" t="n"/>
      <c r="AC13" s="16" t="n"/>
      <c r="AD13" s="16" t="n"/>
      <c r="AE13" s="16" t="n"/>
      <c r="AF13" s="16" t="n"/>
      <c r="AG13" s="16" t="n"/>
      <c r="AH13" s="17" t="n"/>
      <c r="AI13" s="17" t="n"/>
      <c r="AJ13" s="17" t="n"/>
      <c r="AK13" s="17" t="n"/>
      <c r="AL13" s="16" t="n"/>
    </row>
    <row r="14" ht="20" customHeight="1">
      <c r="A14" s="23">
        <f>IF($B14="","",ROW()-2)</f>
        <v/>
      </c>
      <c r="B14" s="22" t="n"/>
      <c r="C14" s="22">
        <f>IF($B14="","","Wellness &amp; Recovery")</f>
        <v/>
      </c>
      <c r="D14" s="23" t="n"/>
      <c r="E14" s="22" t="n"/>
      <c r="F14" s="23" t="n"/>
      <c r="G14" s="23" t="n"/>
      <c r="H14" s="23" t="n"/>
      <c r="I14" s="22" t="n"/>
      <c r="J14" s="23" t="n"/>
      <c r="K14" s="22" t="n"/>
      <c r="L14" s="23" t="n"/>
      <c r="M14" s="22" t="n"/>
      <c r="N14" s="23" t="n"/>
      <c r="O14" s="22" t="n"/>
      <c r="P14" s="23" t="n"/>
      <c r="Q14" s="23" t="n"/>
      <c r="R14" s="24" t="n"/>
      <c r="S14" s="25">
        <f>IF(ISBLANK(R14),"",TODAY()-R14)</f>
        <v/>
      </c>
      <c r="T14" s="22" t="n"/>
      <c r="U14" s="24" t="n"/>
      <c r="V14" s="23" t="n"/>
      <c r="W14" s="24" t="n"/>
      <c r="X14" s="23" t="n"/>
      <c r="Y14" s="23" t="n"/>
      <c r="Z14" s="26" t="n"/>
      <c r="AA14" s="27">
        <f>IF(OR($Z14="",$Y14="",$Y14=0),"",$Z14/($Y14*24))</f>
        <v/>
      </c>
      <c r="AB14" s="26" t="n"/>
      <c r="AC14" s="22" t="n"/>
      <c r="AD14" s="22" t="n"/>
      <c r="AE14" s="22" t="n"/>
      <c r="AF14" s="22" t="n"/>
      <c r="AG14" s="22" t="n"/>
      <c r="AH14" s="23" t="n"/>
      <c r="AI14" s="23" t="n"/>
      <c r="AJ14" s="23" t="n"/>
      <c r="AK14" s="23" t="n"/>
      <c r="AL14" s="22" t="n"/>
    </row>
    <row r="15" ht="20" customHeight="1">
      <c r="A15" s="17">
        <f>IF($B15="","",ROW()-2)</f>
        <v/>
      </c>
      <c r="B15" s="16" t="n"/>
      <c r="C15" s="16">
        <f>IF($B15="","","Wellness &amp; Recovery")</f>
        <v/>
      </c>
      <c r="D15" s="17" t="n"/>
      <c r="E15" s="16" t="n"/>
      <c r="F15" s="17" t="n"/>
      <c r="G15" s="17" t="n"/>
      <c r="H15" s="17" t="n"/>
      <c r="I15" s="16" t="n"/>
      <c r="J15" s="17" t="n"/>
      <c r="K15" s="16" t="n"/>
      <c r="L15" s="17" t="n"/>
      <c r="M15" s="16" t="n"/>
      <c r="N15" s="17" t="n"/>
      <c r="O15" s="16" t="n"/>
      <c r="P15" s="17" t="n"/>
      <c r="Q15" s="17" t="n"/>
      <c r="R15" s="15" t="n"/>
      <c r="S15" s="19">
        <f>IF(ISBLANK(R15),"",TODAY()-R15)</f>
        <v/>
      </c>
      <c r="T15" s="16" t="n"/>
      <c r="U15" s="15" t="n"/>
      <c r="V15" s="17" t="n"/>
      <c r="W15" s="15" t="n"/>
      <c r="X15" s="17" t="n"/>
      <c r="Y15" s="17" t="n"/>
      <c r="Z15" s="20" t="n"/>
      <c r="AA15" s="21">
        <f>IF(OR($Z15="",$Y15="",$Y15=0),"",$Z15/($Y15*24))</f>
        <v/>
      </c>
      <c r="AB15" s="20" t="n"/>
      <c r="AC15" s="16" t="n"/>
      <c r="AD15" s="16" t="n"/>
      <c r="AE15" s="16" t="n"/>
      <c r="AF15" s="16" t="n"/>
      <c r="AG15" s="16" t="n"/>
      <c r="AH15" s="17" t="n"/>
      <c r="AI15" s="17" t="n"/>
      <c r="AJ15" s="17" t="n"/>
      <c r="AK15" s="17" t="n"/>
      <c r="AL15" s="16" t="n"/>
    </row>
    <row r="16" ht="20" customHeight="1">
      <c r="A16" s="23">
        <f>IF($B16="","",ROW()-2)</f>
        <v/>
      </c>
      <c r="B16" s="22" t="n"/>
      <c r="C16" s="22">
        <f>IF($B16="","","Wellness &amp; Recovery")</f>
        <v/>
      </c>
      <c r="D16" s="23" t="n"/>
      <c r="E16" s="22" t="n"/>
      <c r="F16" s="23" t="n"/>
      <c r="G16" s="23" t="n"/>
      <c r="H16" s="23" t="n"/>
      <c r="I16" s="22" t="n"/>
      <c r="J16" s="23" t="n"/>
      <c r="K16" s="22" t="n"/>
      <c r="L16" s="23" t="n"/>
      <c r="M16" s="22" t="n"/>
      <c r="N16" s="23" t="n"/>
      <c r="O16" s="22" t="n"/>
      <c r="P16" s="23" t="n"/>
      <c r="Q16" s="23" t="n"/>
      <c r="R16" s="24" t="n"/>
      <c r="S16" s="25">
        <f>IF(ISBLANK(R16),"",TODAY()-R16)</f>
        <v/>
      </c>
      <c r="T16" s="22" t="n"/>
      <c r="U16" s="24" t="n"/>
      <c r="V16" s="23" t="n"/>
      <c r="W16" s="24" t="n"/>
      <c r="X16" s="23" t="n"/>
      <c r="Y16" s="23" t="n"/>
      <c r="Z16" s="26" t="n"/>
      <c r="AA16" s="27">
        <f>IF(OR($Z16="",$Y16="",$Y16=0),"",$Z16/($Y16*24))</f>
        <v/>
      </c>
      <c r="AB16" s="26" t="n"/>
      <c r="AC16" s="22" t="n"/>
      <c r="AD16" s="22" t="n"/>
      <c r="AE16" s="22" t="n"/>
      <c r="AF16" s="22" t="n"/>
      <c r="AG16" s="22" t="n"/>
      <c r="AH16" s="23" t="n"/>
      <c r="AI16" s="23" t="n"/>
      <c r="AJ16" s="23" t="n"/>
      <c r="AK16" s="23" t="n"/>
      <c r="AL16" s="22" t="n"/>
    </row>
    <row r="17" ht="20" customHeight="1">
      <c r="A17" s="17">
        <f>IF($B17="","",ROW()-2)</f>
        <v/>
      </c>
      <c r="B17" s="16" t="n"/>
      <c r="C17" s="16">
        <f>IF($B17="","","Wellness &amp; Recovery")</f>
        <v/>
      </c>
      <c r="D17" s="17" t="n"/>
      <c r="E17" s="16" t="n"/>
      <c r="F17" s="17" t="n"/>
      <c r="G17" s="17" t="n"/>
      <c r="H17" s="17" t="n"/>
      <c r="I17" s="16" t="n"/>
      <c r="J17" s="17" t="n"/>
      <c r="K17" s="16" t="n"/>
      <c r="L17" s="17" t="n"/>
      <c r="M17" s="16" t="n"/>
      <c r="N17" s="17" t="n"/>
      <c r="O17" s="16" t="n"/>
      <c r="P17" s="17" t="n"/>
      <c r="Q17" s="17" t="n"/>
      <c r="R17" s="15" t="n"/>
      <c r="S17" s="19">
        <f>IF(ISBLANK(R17),"",TODAY()-R17)</f>
        <v/>
      </c>
      <c r="T17" s="16" t="n"/>
      <c r="U17" s="15" t="n"/>
      <c r="V17" s="17" t="n"/>
      <c r="W17" s="15" t="n"/>
      <c r="X17" s="17" t="n"/>
      <c r="Y17" s="17" t="n"/>
      <c r="Z17" s="20" t="n"/>
      <c r="AA17" s="21">
        <f>IF(OR($Z17="",$Y17="",$Y17=0),"",$Z17/($Y17*24))</f>
        <v/>
      </c>
      <c r="AB17" s="20" t="n"/>
      <c r="AC17" s="16" t="n"/>
      <c r="AD17" s="16" t="n"/>
      <c r="AE17" s="16" t="n"/>
      <c r="AF17" s="16" t="n"/>
      <c r="AG17" s="16" t="n"/>
      <c r="AH17" s="17" t="n"/>
      <c r="AI17" s="17" t="n"/>
      <c r="AJ17" s="17" t="n"/>
      <c r="AK17" s="17" t="n"/>
      <c r="AL17" s="16" t="n"/>
    </row>
    <row r="18" ht="20" customHeight="1">
      <c r="A18" s="23">
        <f>IF($B18="","",ROW()-2)</f>
        <v/>
      </c>
      <c r="B18" s="22" t="n"/>
      <c r="C18" s="22">
        <f>IF($B18="","","Wellness &amp; Recovery")</f>
        <v/>
      </c>
      <c r="D18" s="23" t="n"/>
      <c r="E18" s="22" t="n"/>
      <c r="F18" s="23" t="n"/>
      <c r="G18" s="23" t="n"/>
      <c r="H18" s="23" t="n"/>
      <c r="I18" s="22" t="n"/>
      <c r="J18" s="23" t="n"/>
      <c r="K18" s="22" t="n"/>
      <c r="L18" s="23" t="n"/>
      <c r="M18" s="22" t="n"/>
      <c r="N18" s="23" t="n"/>
      <c r="O18" s="22" t="n"/>
      <c r="P18" s="23" t="n"/>
      <c r="Q18" s="23" t="n"/>
      <c r="R18" s="24" t="n"/>
      <c r="S18" s="25">
        <f>IF(ISBLANK(R18),"",TODAY()-R18)</f>
        <v/>
      </c>
      <c r="T18" s="22" t="n"/>
      <c r="U18" s="24" t="n"/>
      <c r="V18" s="23" t="n"/>
      <c r="W18" s="24" t="n"/>
      <c r="X18" s="23" t="n"/>
      <c r="Y18" s="23" t="n"/>
      <c r="Z18" s="26" t="n"/>
      <c r="AA18" s="27">
        <f>IF(OR($Z18="",$Y18="",$Y18=0),"",$Z18/($Y18*24))</f>
        <v/>
      </c>
      <c r="AB18" s="26" t="n"/>
      <c r="AC18" s="22" t="n"/>
      <c r="AD18" s="22" t="n"/>
      <c r="AE18" s="22" t="n"/>
      <c r="AF18" s="22" t="n"/>
      <c r="AG18" s="22" t="n"/>
      <c r="AH18" s="23" t="n"/>
      <c r="AI18" s="23" t="n"/>
      <c r="AJ18" s="23" t="n"/>
      <c r="AK18" s="23" t="n"/>
      <c r="AL18" s="22" t="n"/>
    </row>
    <row r="19" ht="20" customHeight="1">
      <c r="A19" s="17">
        <f>IF($B19="","",ROW()-2)</f>
        <v/>
      </c>
      <c r="B19" s="16" t="n"/>
      <c r="C19" s="16">
        <f>IF($B19="","","Wellness &amp; Recovery")</f>
        <v/>
      </c>
      <c r="D19" s="17" t="n"/>
      <c r="E19" s="16" t="n"/>
      <c r="F19" s="17" t="n"/>
      <c r="G19" s="17" t="n"/>
      <c r="H19" s="17" t="n"/>
      <c r="I19" s="16" t="n"/>
      <c r="J19" s="17" t="n"/>
      <c r="K19" s="16" t="n"/>
      <c r="L19" s="17" t="n"/>
      <c r="M19" s="16" t="n"/>
      <c r="N19" s="17" t="n"/>
      <c r="O19" s="16" t="n"/>
      <c r="P19" s="17" t="n"/>
      <c r="Q19" s="17" t="n"/>
      <c r="R19" s="15" t="n"/>
      <c r="S19" s="19">
        <f>IF(ISBLANK(R19),"",TODAY()-R19)</f>
        <v/>
      </c>
      <c r="T19" s="16" t="n"/>
      <c r="U19" s="15" t="n"/>
      <c r="V19" s="17" t="n"/>
      <c r="W19" s="15" t="n"/>
      <c r="X19" s="17" t="n"/>
      <c r="Y19" s="17" t="n"/>
      <c r="Z19" s="20" t="n"/>
      <c r="AA19" s="21">
        <f>IF(OR($Z19="",$Y19="",$Y19=0),"",$Z19/($Y19*24))</f>
        <v/>
      </c>
      <c r="AB19" s="20" t="n"/>
      <c r="AC19" s="16" t="n"/>
      <c r="AD19" s="16" t="n"/>
      <c r="AE19" s="16" t="n"/>
      <c r="AF19" s="16" t="n"/>
      <c r="AG19" s="16" t="n"/>
      <c r="AH19" s="17" t="n"/>
      <c r="AI19" s="17" t="n"/>
      <c r="AJ19" s="17" t="n"/>
      <c r="AK19" s="17" t="n"/>
      <c r="AL19" s="16" t="n"/>
    </row>
    <row r="20" ht="20" customHeight="1">
      <c r="A20" s="23">
        <f>IF($B20="","",ROW()-2)</f>
        <v/>
      </c>
      <c r="B20" s="22" t="n"/>
      <c r="C20" s="22">
        <f>IF($B20="","","Wellness &amp; Recovery")</f>
        <v/>
      </c>
      <c r="D20" s="23" t="n"/>
      <c r="E20" s="22" t="n"/>
      <c r="F20" s="23" t="n"/>
      <c r="G20" s="23" t="n"/>
      <c r="H20" s="23" t="n"/>
      <c r="I20" s="22" t="n"/>
      <c r="J20" s="23" t="n"/>
      <c r="K20" s="22" t="n"/>
      <c r="L20" s="23" t="n"/>
      <c r="M20" s="22" t="n"/>
      <c r="N20" s="23" t="n"/>
      <c r="O20" s="22" t="n"/>
      <c r="P20" s="23" t="n"/>
      <c r="Q20" s="23" t="n"/>
      <c r="R20" s="24" t="n"/>
      <c r="S20" s="25">
        <f>IF(ISBLANK(R20),"",TODAY()-R20)</f>
        <v/>
      </c>
      <c r="T20" s="22" t="n"/>
      <c r="U20" s="24" t="n"/>
      <c r="V20" s="23" t="n"/>
      <c r="W20" s="24" t="n"/>
      <c r="X20" s="23" t="n"/>
      <c r="Y20" s="23" t="n"/>
      <c r="Z20" s="26" t="n"/>
      <c r="AA20" s="27">
        <f>IF(OR($Z20="",$Y20="",$Y20=0),"",$Z20/($Y20*24))</f>
        <v/>
      </c>
      <c r="AB20" s="26" t="n"/>
      <c r="AC20" s="22" t="n"/>
      <c r="AD20" s="22" t="n"/>
      <c r="AE20" s="22" t="n"/>
      <c r="AF20" s="22" t="n"/>
      <c r="AG20" s="22" t="n"/>
      <c r="AH20" s="23" t="n"/>
      <c r="AI20" s="23" t="n"/>
      <c r="AJ20" s="23" t="n"/>
      <c r="AK20" s="23" t="n"/>
      <c r="AL20" s="22" t="n"/>
    </row>
    <row r="21" ht="20" customHeight="1">
      <c r="A21" s="17">
        <f>IF($B21="","",ROW()-2)</f>
        <v/>
      </c>
      <c r="B21" s="16" t="n"/>
      <c r="C21" s="16">
        <f>IF($B21="","","Wellness &amp; Recovery")</f>
        <v/>
      </c>
      <c r="D21" s="17" t="n"/>
      <c r="E21" s="16" t="n"/>
      <c r="F21" s="17" t="n"/>
      <c r="G21" s="17" t="n"/>
      <c r="H21" s="17" t="n"/>
      <c r="I21" s="16" t="n"/>
      <c r="J21" s="17" t="n"/>
      <c r="K21" s="16" t="n"/>
      <c r="L21" s="17" t="n"/>
      <c r="M21" s="16" t="n"/>
      <c r="N21" s="17" t="n"/>
      <c r="O21" s="16" t="n"/>
      <c r="P21" s="17" t="n"/>
      <c r="Q21" s="17" t="n"/>
      <c r="R21" s="15" t="n"/>
      <c r="S21" s="19">
        <f>IF(ISBLANK(R21),"",TODAY()-R21)</f>
        <v/>
      </c>
      <c r="T21" s="16" t="n"/>
      <c r="U21" s="15" t="n"/>
      <c r="V21" s="17" t="n"/>
      <c r="W21" s="15" t="n"/>
      <c r="X21" s="17" t="n"/>
      <c r="Y21" s="17" t="n"/>
      <c r="Z21" s="20" t="n"/>
      <c r="AA21" s="21">
        <f>IF(OR($Z21="",$Y21="",$Y21=0),"",$Z21/($Y21*24))</f>
        <v/>
      </c>
      <c r="AB21" s="20" t="n"/>
      <c r="AC21" s="16" t="n"/>
      <c r="AD21" s="16" t="n"/>
      <c r="AE21" s="16" t="n"/>
      <c r="AF21" s="16" t="n"/>
      <c r="AG21" s="16" t="n"/>
      <c r="AH21" s="17" t="n"/>
      <c r="AI21" s="17" t="n"/>
      <c r="AJ21" s="17" t="n"/>
      <c r="AK21" s="17" t="n"/>
      <c r="AL21" s="16" t="n"/>
    </row>
    <row r="22" ht="20" customHeight="1">
      <c r="A22" s="23">
        <f>IF($B22="","",ROW()-2)</f>
        <v/>
      </c>
      <c r="B22" s="22" t="n"/>
      <c r="C22" s="22">
        <f>IF($B22="","","Wellness &amp; Recovery")</f>
        <v/>
      </c>
      <c r="D22" s="23" t="n"/>
      <c r="E22" s="22" t="n"/>
      <c r="F22" s="23" t="n"/>
      <c r="G22" s="23" t="n"/>
      <c r="H22" s="23" t="n"/>
      <c r="I22" s="22" t="n"/>
      <c r="J22" s="23" t="n"/>
      <c r="K22" s="22" t="n"/>
      <c r="L22" s="23" t="n"/>
      <c r="M22" s="22" t="n"/>
      <c r="N22" s="23" t="n"/>
      <c r="O22" s="22" t="n"/>
      <c r="P22" s="23" t="n"/>
      <c r="Q22" s="23" t="n"/>
      <c r="R22" s="24" t="n"/>
      <c r="S22" s="25">
        <f>IF(ISBLANK(R22),"",TODAY()-R22)</f>
        <v/>
      </c>
      <c r="T22" s="22" t="n"/>
      <c r="U22" s="24" t="n"/>
      <c r="V22" s="23" t="n"/>
      <c r="W22" s="24" t="n"/>
      <c r="X22" s="23" t="n"/>
      <c r="Y22" s="23" t="n"/>
      <c r="Z22" s="26" t="n"/>
      <c r="AA22" s="27">
        <f>IF(OR($Z22="",$Y22="",$Y22=0),"",$Z22/($Y22*24))</f>
        <v/>
      </c>
      <c r="AB22" s="26" t="n"/>
      <c r="AC22" s="22" t="n"/>
      <c r="AD22" s="22" t="n"/>
      <c r="AE22" s="22" t="n"/>
      <c r="AF22" s="22" t="n"/>
      <c r="AG22" s="22" t="n"/>
      <c r="AH22" s="23" t="n"/>
      <c r="AI22" s="23" t="n"/>
      <c r="AJ22" s="23" t="n"/>
      <c r="AK22" s="23" t="n"/>
      <c r="AL22" s="22" t="n"/>
    </row>
    <row r="23" ht="20" customHeight="1">
      <c r="A23" s="17">
        <f>IF($B23="","",ROW()-2)</f>
        <v/>
      </c>
      <c r="B23" s="16" t="n"/>
      <c r="C23" s="16">
        <f>IF($B23="","","Wellness &amp; Recovery")</f>
        <v/>
      </c>
      <c r="D23" s="17" t="n"/>
      <c r="E23" s="16" t="n"/>
      <c r="F23" s="17" t="n"/>
      <c r="G23" s="17" t="n"/>
      <c r="H23" s="17" t="n"/>
      <c r="I23" s="16" t="n"/>
      <c r="J23" s="17" t="n"/>
      <c r="K23" s="16" t="n"/>
      <c r="L23" s="17" t="n"/>
      <c r="M23" s="16" t="n"/>
      <c r="N23" s="17" t="n"/>
      <c r="O23" s="16" t="n"/>
      <c r="P23" s="17" t="n"/>
      <c r="Q23" s="17" t="n"/>
      <c r="R23" s="15" t="n"/>
      <c r="S23" s="19">
        <f>IF(ISBLANK(R23),"",TODAY()-R23)</f>
        <v/>
      </c>
      <c r="T23" s="16" t="n"/>
      <c r="U23" s="15" t="n"/>
      <c r="V23" s="17" t="n"/>
      <c r="W23" s="15" t="n"/>
      <c r="X23" s="17" t="n"/>
      <c r="Y23" s="17" t="n"/>
      <c r="Z23" s="20" t="n"/>
      <c r="AA23" s="21">
        <f>IF(OR($Z23="",$Y23="",$Y23=0),"",$Z23/($Y23*24))</f>
        <v/>
      </c>
      <c r="AB23" s="20" t="n"/>
      <c r="AC23" s="16" t="n"/>
      <c r="AD23" s="16" t="n"/>
      <c r="AE23" s="16" t="n"/>
      <c r="AF23" s="16" t="n"/>
      <c r="AG23" s="16" t="n"/>
      <c r="AH23" s="17" t="n"/>
      <c r="AI23" s="17" t="n"/>
      <c r="AJ23" s="17" t="n"/>
      <c r="AK23" s="17" t="n"/>
      <c r="AL23" s="16" t="n"/>
    </row>
    <row r="24" ht="20" customHeight="1">
      <c r="A24" s="23">
        <f>IF($B24="","",ROW()-2)</f>
        <v/>
      </c>
      <c r="B24" s="22" t="n"/>
      <c r="C24" s="22">
        <f>IF($B24="","","Wellness &amp; Recovery")</f>
        <v/>
      </c>
      <c r="D24" s="23" t="n"/>
      <c r="E24" s="22" t="n"/>
      <c r="F24" s="23" t="n"/>
      <c r="G24" s="23" t="n"/>
      <c r="H24" s="23" t="n"/>
      <c r="I24" s="22" t="n"/>
      <c r="J24" s="23" t="n"/>
      <c r="K24" s="22" t="n"/>
      <c r="L24" s="23" t="n"/>
      <c r="M24" s="22" t="n"/>
      <c r="N24" s="23" t="n"/>
      <c r="O24" s="22" t="n"/>
      <c r="P24" s="23" t="n"/>
      <c r="Q24" s="23" t="n"/>
      <c r="R24" s="24" t="n"/>
      <c r="S24" s="25">
        <f>IF(ISBLANK(R24),"",TODAY()-R24)</f>
        <v/>
      </c>
      <c r="T24" s="22" t="n"/>
      <c r="U24" s="24" t="n"/>
      <c r="V24" s="23" t="n"/>
      <c r="W24" s="24" t="n"/>
      <c r="X24" s="23" t="n"/>
      <c r="Y24" s="23" t="n"/>
      <c r="Z24" s="26" t="n"/>
      <c r="AA24" s="27">
        <f>IF(OR($Z24="",$Y24="",$Y24=0),"",$Z24/($Y24*24))</f>
        <v/>
      </c>
      <c r="AB24" s="26" t="n"/>
      <c r="AC24" s="22" t="n"/>
      <c r="AD24" s="22" t="n"/>
      <c r="AE24" s="22" t="n"/>
      <c r="AF24" s="22" t="n"/>
      <c r="AG24" s="22" t="n"/>
      <c r="AH24" s="23" t="n"/>
      <c r="AI24" s="23" t="n"/>
      <c r="AJ24" s="23" t="n"/>
      <c r="AK24" s="23" t="n"/>
      <c r="AL24" s="22" t="n"/>
    </row>
    <row r="25" ht="20" customHeight="1">
      <c r="A25" s="17">
        <f>IF($B25="","",ROW()-2)</f>
        <v/>
      </c>
      <c r="B25" s="16" t="n"/>
      <c r="C25" s="16">
        <f>IF($B25="","","Wellness &amp; Recovery")</f>
        <v/>
      </c>
      <c r="D25" s="17" t="n"/>
      <c r="E25" s="16" t="n"/>
      <c r="F25" s="17" t="n"/>
      <c r="G25" s="17" t="n"/>
      <c r="H25" s="17" t="n"/>
      <c r="I25" s="16" t="n"/>
      <c r="J25" s="17" t="n"/>
      <c r="K25" s="16" t="n"/>
      <c r="L25" s="17" t="n"/>
      <c r="M25" s="16" t="n"/>
      <c r="N25" s="17" t="n"/>
      <c r="O25" s="16" t="n"/>
      <c r="P25" s="17" t="n"/>
      <c r="Q25" s="17" t="n"/>
      <c r="R25" s="15" t="n"/>
      <c r="S25" s="19">
        <f>IF(ISBLANK(R25),"",TODAY()-R25)</f>
        <v/>
      </c>
      <c r="T25" s="16" t="n"/>
      <c r="U25" s="15" t="n"/>
      <c r="V25" s="17" t="n"/>
      <c r="W25" s="15" t="n"/>
      <c r="X25" s="17" t="n"/>
      <c r="Y25" s="17" t="n"/>
      <c r="Z25" s="20" t="n"/>
      <c r="AA25" s="21">
        <f>IF(OR($Z25="",$Y25="",$Y25=0),"",$Z25/($Y25*24))</f>
        <v/>
      </c>
      <c r="AB25" s="20" t="n"/>
      <c r="AC25" s="16" t="n"/>
      <c r="AD25" s="16" t="n"/>
      <c r="AE25" s="16" t="n"/>
      <c r="AF25" s="16" t="n"/>
      <c r="AG25" s="16" t="n"/>
      <c r="AH25" s="17" t="n"/>
      <c r="AI25" s="17" t="n"/>
      <c r="AJ25" s="17" t="n"/>
      <c r="AK25" s="17" t="n"/>
      <c r="AL25" s="16" t="n"/>
    </row>
    <row r="26" ht="20" customHeight="1">
      <c r="A26" s="23">
        <f>IF($B26="","",ROW()-2)</f>
        <v/>
      </c>
      <c r="B26" s="22" t="n"/>
      <c r="C26" s="22">
        <f>IF($B26="","","Wellness &amp; Recovery")</f>
        <v/>
      </c>
      <c r="D26" s="23" t="n"/>
      <c r="E26" s="22" t="n"/>
      <c r="F26" s="23" t="n"/>
      <c r="G26" s="23" t="n"/>
      <c r="H26" s="23" t="n"/>
      <c r="I26" s="22" t="n"/>
      <c r="J26" s="23" t="n"/>
      <c r="K26" s="22" t="n"/>
      <c r="L26" s="23" t="n"/>
      <c r="M26" s="22" t="n"/>
      <c r="N26" s="23" t="n"/>
      <c r="O26" s="22" t="n"/>
      <c r="P26" s="23" t="n"/>
      <c r="Q26" s="23" t="n"/>
      <c r="R26" s="24" t="n"/>
      <c r="S26" s="25">
        <f>IF(ISBLANK(R26),"",TODAY()-R26)</f>
        <v/>
      </c>
      <c r="T26" s="22" t="n"/>
      <c r="U26" s="24" t="n"/>
      <c r="V26" s="23" t="n"/>
      <c r="W26" s="24" t="n"/>
      <c r="X26" s="23" t="n"/>
      <c r="Y26" s="23" t="n"/>
      <c r="Z26" s="26" t="n"/>
      <c r="AA26" s="27">
        <f>IF(OR($Z26="",$Y26="",$Y26=0),"",$Z26/($Y26*24))</f>
        <v/>
      </c>
      <c r="AB26" s="26" t="n"/>
      <c r="AC26" s="22" t="n"/>
      <c r="AD26" s="22" t="n"/>
      <c r="AE26" s="22" t="n"/>
      <c r="AF26" s="22" t="n"/>
      <c r="AG26" s="22" t="n"/>
      <c r="AH26" s="23" t="n"/>
      <c r="AI26" s="23" t="n"/>
      <c r="AJ26" s="23" t="n"/>
      <c r="AK26" s="23" t="n"/>
      <c r="AL26" s="22" t="n"/>
    </row>
    <row r="27" ht="20" customHeight="1">
      <c r="A27" s="17">
        <f>IF($B27="","",ROW()-2)</f>
        <v/>
      </c>
      <c r="B27" s="16" t="n"/>
      <c r="C27" s="16">
        <f>IF($B27="","","Wellness &amp; Recovery")</f>
        <v/>
      </c>
      <c r="D27" s="17" t="n"/>
      <c r="E27" s="16" t="n"/>
      <c r="F27" s="17" t="n"/>
      <c r="G27" s="17" t="n"/>
      <c r="H27" s="17" t="n"/>
      <c r="I27" s="16" t="n"/>
      <c r="J27" s="17" t="n"/>
      <c r="K27" s="16" t="n"/>
      <c r="L27" s="17" t="n"/>
      <c r="M27" s="16" t="n"/>
      <c r="N27" s="17" t="n"/>
      <c r="O27" s="16" t="n"/>
      <c r="P27" s="17" t="n"/>
      <c r="Q27" s="17" t="n"/>
      <c r="R27" s="15" t="n"/>
      <c r="S27" s="19">
        <f>IF(ISBLANK(R27),"",TODAY()-R27)</f>
        <v/>
      </c>
      <c r="T27" s="16" t="n"/>
      <c r="U27" s="15" t="n"/>
      <c r="V27" s="17" t="n"/>
      <c r="W27" s="15" t="n"/>
      <c r="X27" s="17" t="n"/>
      <c r="Y27" s="17" t="n"/>
      <c r="Z27" s="20" t="n"/>
      <c r="AA27" s="21">
        <f>IF(OR($Z27="",$Y27="",$Y27=0),"",$Z27/($Y27*24))</f>
        <v/>
      </c>
      <c r="AB27" s="20" t="n"/>
      <c r="AC27" s="16" t="n"/>
      <c r="AD27" s="16" t="n"/>
      <c r="AE27" s="16" t="n"/>
      <c r="AF27" s="16" t="n"/>
      <c r="AG27" s="16" t="n"/>
      <c r="AH27" s="17" t="n"/>
      <c r="AI27" s="17" t="n"/>
      <c r="AJ27" s="17" t="n"/>
      <c r="AK27" s="17" t="n"/>
      <c r="AL27" s="16" t="n"/>
    </row>
    <row r="28" ht="20" customHeight="1">
      <c r="A28" s="23">
        <f>IF($B28="","",ROW()-2)</f>
        <v/>
      </c>
      <c r="B28" s="22" t="n"/>
      <c r="C28" s="22">
        <f>IF($B28="","","Wellness &amp; Recovery")</f>
        <v/>
      </c>
      <c r="D28" s="23" t="n"/>
      <c r="E28" s="22" t="n"/>
      <c r="F28" s="23" t="n"/>
      <c r="G28" s="23" t="n"/>
      <c r="H28" s="23" t="n"/>
      <c r="I28" s="22" t="n"/>
      <c r="J28" s="23" t="n"/>
      <c r="K28" s="22" t="n"/>
      <c r="L28" s="23" t="n"/>
      <c r="M28" s="22" t="n"/>
      <c r="N28" s="23" t="n"/>
      <c r="O28" s="22" t="n"/>
      <c r="P28" s="23" t="n"/>
      <c r="Q28" s="23" t="n"/>
      <c r="R28" s="24" t="n"/>
      <c r="S28" s="25">
        <f>IF(ISBLANK(R28),"",TODAY()-R28)</f>
        <v/>
      </c>
      <c r="T28" s="22" t="n"/>
      <c r="U28" s="24" t="n"/>
      <c r="V28" s="23" t="n"/>
      <c r="W28" s="24" t="n"/>
      <c r="X28" s="23" t="n"/>
      <c r="Y28" s="23" t="n"/>
      <c r="Z28" s="26" t="n"/>
      <c r="AA28" s="27">
        <f>IF(OR($Z28="",$Y28="",$Y28=0),"",$Z28/($Y28*24))</f>
        <v/>
      </c>
      <c r="AB28" s="26" t="n"/>
      <c r="AC28" s="22" t="n"/>
      <c r="AD28" s="22" t="n"/>
      <c r="AE28" s="22" t="n"/>
      <c r="AF28" s="22" t="n"/>
      <c r="AG28" s="22" t="n"/>
      <c r="AH28" s="23" t="n"/>
      <c r="AI28" s="23" t="n"/>
      <c r="AJ28" s="23" t="n"/>
      <c r="AK28" s="23" t="n"/>
      <c r="AL28" s="22" t="n"/>
    </row>
    <row r="29" ht="20" customHeight="1">
      <c r="A29" s="17">
        <f>IF($B29="","",ROW()-2)</f>
        <v/>
      </c>
      <c r="B29" s="16" t="n"/>
      <c r="C29" s="16">
        <f>IF($B29="","","Wellness &amp; Recovery")</f>
        <v/>
      </c>
      <c r="D29" s="17" t="n"/>
      <c r="E29" s="16" t="n"/>
      <c r="F29" s="17" t="n"/>
      <c r="G29" s="17" t="n"/>
      <c r="H29" s="17" t="n"/>
      <c r="I29" s="16" t="n"/>
      <c r="J29" s="17" t="n"/>
      <c r="K29" s="16" t="n"/>
      <c r="L29" s="17" t="n"/>
      <c r="M29" s="16" t="n"/>
      <c r="N29" s="17" t="n"/>
      <c r="O29" s="16" t="n"/>
      <c r="P29" s="17" t="n"/>
      <c r="Q29" s="17" t="n"/>
      <c r="R29" s="15" t="n"/>
      <c r="S29" s="19">
        <f>IF(ISBLANK(R29),"",TODAY()-R29)</f>
        <v/>
      </c>
      <c r="T29" s="16" t="n"/>
      <c r="U29" s="15" t="n"/>
      <c r="V29" s="17" t="n"/>
      <c r="W29" s="15" t="n"/>
      <c r="X29" s="17" t="n"/>
      <c r="Y29" s="17" t="n"/>
      <c r="Z29" s="20" t="n"/>
      <c r="AA29" s="21">
        <f>IF(OR($Z29="",$Y29="",$Y29=0),"",$Z29/($Y29*24))</f>
        <v/>
      </c>
      <c r="AB29" s="20" t="n"/>
      <c r="AC29" s="16" t="n"/>
      <c r="AD29" s="16" t="n"/>
      <c r="AE29" s="16" t="n"/>
      <c r="AF29" s="16" t="n"/>
      <c r="AG29" s="16" t="n"/>
      <c r="AH29" s="17" t="n"/>
      <c r="AI29" s="17" t="n"/>
      <c r="AJ29" s="17" t="n"/>
      <c r="AK29" s="17" t="n"/>
      <c r="AL29" s="16" t="n"/>
    </row>
    <row r="30" ht="20" customHeight="1">
      <c r="A30" s="23">
        <f>IF($B30="","",ROW()-2)</f>
        <v/>
      </c>
      <c r="B30" s="22" t="n"/>
      <c r="C30" s="22">
        <f>IF($B30="","","Wellness &amp; Recovery")</f>
        <v/>
      </c>
      <c r="D30" s="23" t="n"/>
      <c r="E30" s="22" t="n"/>
      <c r="F30" s="23" t="n"/>
      <c r="G30" s="23" t="n"/>
      <c r="H30" s="23" t="n"/>
      <c r="I30" s="22" t="n"/>
      <c r="J30" s="23" t="n"/>
      <c r="K30" s="22" t="n"/>
      <c r="L30" s="23" t="n"/>
      <c r="M30" s="22" t="n"/>
      <c r="N30" s="23" t="n"/>
      <c r="O30" s="22" t="n"/>
      <c r="P30" s="23" t="n"/>
      <c r="Q30" s="23" t="n"/>
      <c r="R30" s="24" t="n"/>
      <c r="S30" s="25">
        <f>IF(ISBLANK(R30),"",TODAY()-R30)</f>
        <v/>
      </c>
      <c r="T30" s="22" t="n"/>
      <c r="U30" s="24" t="n"/>
      <c r="V30" s="23" t="n"/>
      <c r="W30" s="24" t="n"/>
      <c r="X30" s="23" t="n"/>
      <c r="Y30" s="23" t="n"/>
      <c r="Z30" s="26" t="n"/>
      <c r="AA30" s="27">
        <f>IF(OR($Z30="",$Y30="",$Y30=0),"",$Z30/($Y30*24))</f>
        <v/>
      </c>
      <c r="AB30" s="26" t="n"/>
      <c r="AC30" s="22" t="n"/>
      <c r="AD30" s="22" t="n"/>
      <c r="AE30" s="22" t="n"/>
      <c r="AF30" s="22" t="n"/>
      <c r="AG30" s="22" t="n"/>
      <c r="AH30" s="23" t="n"/>
      <c r="AI30" s="23" t="n"/>
      <c r="AJ30" s="23" t="n"/>
      <c r="AK30" s="23" t="n"/>
      <c r="AL30" s="22" t="n"/>
    </row>
    <row r="31" ht="20" customHeight="1">
      <c r="A31" s="17">
        <f>IF($B31="","",ROW()-2)</f>
        <v/>
      </c>
      <c r="B31" s="16" t="n"/>
      <c r="C31" s="16">
        <f>IF($B31="","","Wellness &amp; Recovery")</f>
        <v/>
      </c>
      <c r="D31" s="17" t="n"/>
      <c r="E31" s="16" t="n"/>
      <c r="F31" s="17" t="n"/>
      <c r="G31" s="17" t="n"/>
      <c r="H31" s="17" t="n"/>
      <c r="I31" s="16" t="n"/>
      <c r="J31" s="17" t="n"/>
      <c r="K31" s="16" t="n"/>
      <c r="L31" s="17" t="n"/>
      <c r="M31" s="16" t="n"/>
      <c r="N31" s="17" t="n"/>
      <c r="O31" s="16" t="n"/>
      <c r="P31" s="17" t="n"/>
      <c r="Q31" s="17" t="n"/>
      <c r="R31" s="15" t="n"/>
      <c r="S31" s="19">
        <f>IF(ISBLANK(R31),"",TODAY()-R31)</f>
        <v/>
      </c>
      <c r="T31" s="16" t="n"/>
      <c r="U31" s="15" t="n"/>
      <c r="V31" s="17" t="n"/>
      <c r="W31" s="15" t="n"/>
      <c r="X31" s="17" t="n"/>
      <c r="Y31" s="17" t="n"/>
      <c r="Z31" s="20" t="n"/>
      <c r="AA31" s="21">
        <f>IF(OR($Z31="",$Y31="",$Y31=0),"",$Z31/($Y31*24))</f>
        <v/>
      </c>
      <c r="AB31" s="20" t="n"/>
      <c r="AC31" s="16" t="n"/>
      <c r="AD31" s="16" t="n"/>
      <c r="AE31" s="16" t="n"/>
      <c r="AF31" s="16" t="n"/>
      <c r="AG31" s="16" t="n"/>
      <c r="AH31" s="17" t="n"/>
      <c r="AI31" s="17" t="n"/>
      <c r="AJ31" s="17" t="n"/>
      <c r="AK31" s="17" t="n"/>
      <c r="AL31" s="16" t="n"/>
    </row>
    <row r="32" ht="20" customHeight="1">
      <c r="A32" s="23">
        <f>IF($B32="","",ROW()-2)</f>
        <v/>
      </c>
      <c r="B32" s="22" t="n"/>
      <c r="C32" s="22">
        <f>IF($B32="","","Wellness &amp; Recovery")</f>
        <v/>
      </c>
      <c r="D32" s="23" t="n"/>
      <c r="E32" s="22" t="n"/>
      <c r="F32" s="23" t="n"/>
      <c r="G32" s="23" t="n"/>
      <c r="H32" s="23" t="n"/>
      <c r="I32" s="22" t="n"/>
      <c r="J32" s="23" t="n"/>
      <c r="K32" s="22" t="n"/>
      <c r="L32" s="23" t="n"/>
      <c r="M32" s="22" t="n"/>
      <c r="N32" s="23" t="n"/>
      <c r="O32" s="22" t="n"/>
      <c r="P32" s="23" t="n"/>
      <c r="Q32" s="23" t="n"/>
      <c r="R32" s="24" t="n"/>
      <c r="S32" s="25">
        <f>IF(ISBLANK(R32),"",TODAY()-R32)</f>
        <v/>
      </c>
      <c r="T32" s="22" t="n"/>
      <c r="U32" s="24" t="n"/>
      <c r="V32" s="23" t="n"/>
      <c r="W32" s="24" t="n"/>
      <c r="X32" s="23" t="n"/>
      <c r="Y32" s="23" t="n"/>
      <c r="Z32" s="26" t="n"/>
      <c r="AA32" s="27">
        <f>IF(OR($Z32="",$Y32="",$Y32=0),"",$Z32/($Y32*24))</f>
        <v/>
      </c>
      <c r="AB32" s="26" t="n"/>
      <c r="AC32" s="22" t="n"/>
      <c r="AD32" s="22" t="n"/>
      <c r="AE32" s="22" t="n"/>
      <c r="AF32" s="22" t="n"/>
      <c r="AG32" s="22" t="n"/>
      <c r="AH32" s="23" t="n"/>
      <c r="AI32" s="23" t="n"/>
      <c r="AJ32" s="23" t="n"/>
      <c r="AK32" s="23" t="n"/>
      <c r="AL32" s="22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Ambassadors &amp; Creators</t>
        </is>
      </c>
    </row>
    <row r="2" ht="50" customHeight="1">
      <c r="A2" s="8" t="inlineStr">
        <is>
          <t>#</t>
        </is>
      </c>
      <c r="B2" s="8" t="inlineStr">
        <is>
          <t>Partner Name</t>
        </is>
      </c>
      <c r="C2" s="8" t="inlineStr">
        <is>
          <t>Partnership Type</t>
        </is>
      </c>
      <c r="D2" s="8" t="inlineStr">
        <is>
          <t>City</t>
        </is>
      </c>
      <c r="E2" s="8" t="inlineStr">
        <is>
          <t>Neighbourhood</t>
        </is>
      </c>
      <c r="F2" s="8" t="inlineStr">
        <is>
          <t>Priority</t>
        </is>
      </c>
      <c r="G2" s="8" t="inlineStr">
        <is>
          <t>Status</t>
        </is>
      </c>
      <c r="H2" s="8" t="inlineStr">
        <is>
          <t>Primary Owner</t>
        </is>
      </c>
      <c r="I2" s="8" t="inlineStr">
        <is>
          <t>Contact Name</t>
        </is>
      </c>
      <c r="J2" s="8" t="inlineStr">
        <is>
          <t>Role</t>
        </is>
      </c>
      <c r="K2" s="8" t="inlineStr">
        <is>
          <t>Contact Email</t>
        </is>
      </c>
      <c r="L2" s="8" t="inlineStr">
        <is>
          <t>Contact Phone</t>
        </is>
      </c>
      <c r="M2" s="8" t="inlineStr">
        <is>
          <t>Instagram or Website</t>
        </is>
      </c>
      <c r="N2" s="8" t="inlineStr">
        <is>
          <t>Audience Size</t>
        </is>
      </c>
      <c r="O2" s="8" t="inlineStr">
        <is>
          <t>Audience Source</t>
        </is>
      </c>
      <c r="P2" s="8" t="inlineStr">
        <is>
          <t>Source</t>
        </is>
      </c>
      <c r="Q2" s="8" t="inlineStr">
        <is>
          <t>Warm</t>
        </is>
      </c>
      <c r="R2" s="8" t="inlineStr">
        <is>
          <t>Last Contacted</t>
        </is>
      </c>
      <c r="S2" s="8" t="inlineStr">
        <is>
          <t>Days Since Activity</t>
        </is>
      </c>
      <c r="T2" s="8" t="inlineStr">
        <is>
          <t>Next Action</t>
        </is>
      </c>
      <c r="U2" s="8" t="inlineStr">
        <is>
          <t>Next Action Date</t>
        </is>
      </c>
      <c r="V2" s="8" t="inlineStr">
        <is>
          <t>Activation Type</t>
        </is>
      </c>
      <c r="W2" s="8" t="inlineStr">
        <is>
          <t>Activation Date</t>
        </is>
      </c>
      <c r="X2" s="8" t="inlineStr">
        <is>
          <t>Cases Committed</t>
        </is>
      </c>
      <c r="Y2" s="8" t="inlineStr">
        <is>
          <t>Cases Delivered</t>
        </is>
      </c>
      <c r="Z2" s="8" t="inlineStr">
        <is>
          <t>Cost ($)</t>
        </is>
      </c>
      <c r="AA2" s="8" t="inlineStr">
        <is>
          <t>Cost Per Can</t>
        </is>
      </c>
      <c r="AB2" s="8" t="inlineStr">
        <is>
          <t>Contra Value ($)</t>
        </is>
      </c>
      <c r="AC2" s="8" t="inlineStr">
        <is>
          <t>Deliverables Promised</t>
        </is>
      </c>
      <c r="AD2" s="8" t="inlineStr">
        <is>
          <t>Deliverables Received</t>
        </is>
      </c>
      <c r="AE2" s="8" t="inlineStr">
        <is>
          <t>What They Want</t>
        </is>
      </c>
      <c r="AF2" s="8" t="inlineStr">
        <is>
          <t>Risks</t>
        </is>
      </c>
      <c r="AG2" s="8" t="inlineStr">
        <is>
          <t>Nearby Retail Doors</t>
        </is>
      </c>
      <c r="AH2" s="8" t="inlineStr">
        <is>
          <t>In BC Tracker?</t>
        </is>
      </c>
      <c r="AI2" s="8" t="inlineStr">
        <is>
          <t>Raspberry 4338</t>
        </is>
      </c>
      <c r="AJ2" s="8" t="inlineStr">
        <is>
          <t>Lemon Lime 4336</t>
        </is>
      </c>
      <c r="AK2" s="8" t="inlineStr">
        <is>
          <t>Pineapple Passion Fruit 4340</t>
        </is>
      </c>
      <c r="AL2" s="8" t="inlineStr">
        <is>
          <t>Notes</t>
        </is>
      </c>
    </row>
    <row r="3" ht="20" customHeight="1">
      <c r="A3" s="17">
        <f>IF($B3="","",ROW()-2)</f>
        <v/>
      </c>
      <c r="B3" s="16" t="inlineStr">
        <is>
          <t>Angela Liguori</t>
        </is>
      </c>
      <c r="C3" s="16">
        <f>IF($B3="","","Ambassadors &amp; Creators")</f>
        <v/>
      </c>
      <c r="D3" s="17" t="inlineStr">
        <is>
          <t>Vancouver</t>
        </is>
      </c>
      <c r="E3" s="16" t="n"/>
      <c r="F3" s="17" t="inlineStr">
        <is>
          <t>P1</t>
        </is>
      </c>
      <c r="G3" s="17" t="inlineStr">
        <is>
          <t>Open</t>
        </is>
      </c>
      <c r="H3" s="17" t="inlineStr">
        <is>
          <t>Maddie</t>
        </is>
      </c>
      <c r="I3" s="16" t="n"/>
      <c r="J3" s="17" t="n"/>
      <c r="K3" s="16" t="n"/>
      <c r="L3" s="17" t="n"/>
      <c r="M3" s="33" t="inlineStr">
        <is>
          <t>@angelaliggs</t>
        </is>
      </c>
      <c r="N3" s="17" t="inlineStr">
        <is>
          <t>908,000 IG</t>
        </is>
      </c>
      <c r="O3" s="16" t="inlineStr">
        <is>
          <t>Instagram @angelaliggs follower count, web search 2026</t>
        </is>
      </c>
      <c r="P3" s="17" t="inlineStr">
        <is>
          <t>Verified Web</t>
        </is>
      </c>
      <c r="Q3" s="17" t="inlineStr">
        <is>
          <t>Cold</t>
        </is>
      </c>
      <c r="R3" s="15" t="n"/>
      <c r="S3" s="19">
        <f>IF(ISBLANK(R3),"",TODAY()-R3)</f>
        <v/>
      </c>
      <c r="T3" s="16" t="n"/>
      <c r="U3" s="15" t="n"/>
      <c r="V3" s="17" t="n"/>
      <c r="W3" s="15" t="n"/>
      <c r="X3" s="17" t="n"/>
      <c r="Y3" s="17" t="n"/>
      <c r="Z3" s="20" t="n"/>
      <c r="AA3" s="21">
        <f>IF(OR($Z3="",$Y3="",$Y3=0),"",$Z3/($Y3*24))</f>
        <v/>
      </c>
      <c r="AB3" s="20" t="n"/>
      <c r="AC3" s="16" t="n"/>
      <c r="AD3" s="16" t="n"/>
      <c r="AE3" s="16" t="n"/>
      <c r="AF3" s="16" t="n"/>
      <c r="AG3" s="16" t="n"/>
      <c r="AH3" s="17" t="inlineStr">
        <is>
          <t>No</t>
        </is>
      </c>
      <c r="AI3" s="17" t="n"/>
      <c r="AJ3" s="17" t="n"/>
      <c r="AK3" s="17" t="n"/>
      <c r="AL3" s="16" t="inlineStr">
        <is>
          <t>Outdoor and hiking creator covering BC trails.</t>
        </is>
      </c>
    </row>
    <row r="4" ht="20" customHeight="1">
      <c r="A4" s="23">
        <f>IF($B4="","",ROW()-2)</f>
        <v/>
      </c>
      <c r="B4" s="22" t="inlineStr">
        <is>
          <t>Bailey Campbell</t>
        </is>
      </c>
      <c r="C4" s="22">
        <f>IF($B4="","","Ambassadors &amp; Creators")</f>
        <v/>
      </c>
      <c r="D4" s="23" t="inlineStr">
        <is>
          <t>Kelowna</t>
        </is>
      </c>
      <c r="E4" s="22" t="n"/>
      <c r="F4" s="23" t="inlineStr">
        <is>
          <t>P1</t>
        </is>
      </c>
      <c r="G4" s="23" t="inlineStr">
        <is>
          <t>Open</t>
        </is>
      </c>
      <c r="H4" s="23" t="inlineStr">
        <is>
          <t>Maddie</t>
        </is>
      </c>
      <c r="I4" s="22" t="n"/>
      <c r="J4" s="23" t="n"/>
      <c r="K4" s="22" t="n"/>
      <c r="L4" s="23" t="n"/>
      <c r="M4" s="34" t="inlineStr">
        <is>
          <t>@basicswithbails</t>
        </is>
      </c>
      <c r="N4" s="23" t="inlineStr">
        <is>
          <t>641,000 IG</t>
        </is>
      </c>
      <c r="O4" s="22" t="inlineStr">
        <is>
          <t>Instagram @basicswithbails follower count, web search 2026. A tracker listed 394,700, reverify</t>
        </is>
      </c>
      <c r="P4" s="23" t="inlineStr">
        <is>
          <t>Verified Web</t>
        </is>
      </c>
      <c r="Q4" s="23" t="inlineStr">
        <is>
          <t>Cold</t>
        </is>
      </c>
      <c r="R4" s="24" t="n"/>
      <c r="S4" s="25">
        <f>IF(ISBLANK(R4),"",TODAY()-R4)</f>
        <v/>
      </c>
      <c r="T4" s="22" t="n"/>
      <c r="U4" s="24" t="n"/>
      <c r="V4" s="23" t="n"/>
      <c r="W4" s="24" t="n"/>
      <c r="X4" s="23" t="n"/>
      <c r="Y4" s="23" t="n"/>
      <c r="Z4" s="26" t="n"/>
      <c r="AA4" s="27">
        <f>IF(OR($Z4="",$Y4="",$Y4=0),"",$Z4/($Y4*24))</f>
        <v/>
      </c>
      <c r="AB4" s="26" t="n"/>
      <c r="AC4" s="22" t="n"/>
      <c r="AD4" s="22" t="n"/>
      <c r="AE4" s="22" t="n"/>
      <c r="AF4" s="22" t="n"/>
      <c r="AG4" s="22" t="n"/>
      <c r="AH4" s="23" t="inlineStr">
        <is>
          <t>No</t>
        </is>
      </c>
      <c r="AI4" s="23" t="n"/>
      <c r="AJ4" s="23" t="n"/>
      <c r="AK4" s="23" t="n"/>
      <c r="AL4" s="22" t="inlineStr">
        <is>
          <t>Kelowna Foodie. Recipe and lifestyle content.</t>
        </is>
      </c>
    </row>
    <row r="5" ht="20" customHeight="1">
      <c r="A5" s="17">
        <f>IF($B5="","",ROW()-2)</f>
        <v/>
      </c>
      <c r="B5" s="16" t="inlineStr">
        <is>
          <t>Twin Coast</t>
        </is>
      </c>
      <c r="C5" s="16">
        <f>IF($B5="","","Ambassadors &amp; Creators")</f>
        <v/>
      </c>
      <c r="D5" s="17" t="inlineStr">
        <is>
          <t>Vancouver</t>
        </is>
      </c>
      <c r="E5" s="16" t="n"/>
      <c r="F5" s="17" t="inlineStr">
        <is>
          <t>P1</t>
        </is>
      </c>
      <c r="G5" s="17" t="inlineStr">
        <is>
          <t>Open</t>
        </is>
      </c>
      <c r="H5" s="17" t="inlineStr">
        <is>
          <t>Maddie</t>
        </is>
      </c>
      <c r="I5" s="16" t="n"/>
      <c r="J5" s="17" t="n"/>
      <c r="K5" s="16" t="n"/>
      <c r="L5" s="17" t="n"/>
      <c r="M5" s="33" t="inlineStr">
        <is>
          <t>@twincoast</t>
        </is>
      </c>
      <c r="N5" s="17" t="inlineStr">
        <is>
          <t>537,000 IG</t>
        </is>
      </c>
      <c r="O5" s="16" t="inlineStr">
        <is>
          <t>Instagram @twincoast follower count, web search 2026. Also large on TikTok and YouTube</t>
        </is>
      </c>
      <c r="P5" s="17" t="inlineStr">
        <is>
          <t>Verified Web</t>
        </is>
      </c>
      <c r="Q5" s="17" t="inlineStr">
        <is>
          <t>Cold</t>
        </is>
      </c>
      <c r="R5" s="15" t="n"/>
      <c r="S5" s="19">
        <f>IF(ISBLANK(R5),"",TODAY()-R5)</f>
        <v/>
      </c>
      <c r="T5" s="16" t="n"/>
      <c r="U5" s="15" t="n"/>
      <c r="V5" s="17" t="n"/>
      <c r="W5" s="15" t="n"/>
      <c r="X5" s="17" t="n"/>
      <c r="Y5" s="17" t="n"/>
      <c r="Z5" s="20" t="n"/>
      <c r="AA5" s="21">
        <f>IF(OR($Z5="",$Y5="",$Y5=0),"",$Z5/($Y5*24))</f>
        <v/>
      </c>
      <c r="AB5" s="20" t="n"/>
      <c r="AC5" s="16" t="n"/>
      <c r="AD5" s="16" t="n"/>
      <c r="AE5" s="16" t="n"/>
      <c r="AF5" s="16" t="n"/>
      <c r="AG5" s="16" t="n"/>
      <c r="AH5" s="17" t="inlineStr">
        <is>
          <t>No</t>
        </is>
      </c>
      <c r="AI5" s="17" t="n"/>
      <c r="AJ5" s="17" t="n"/>
      <c r="AK5" s="17" t="n"/>
      <c r="AL5" s="16" t="inlineStr">
        <is>
          <t>Twin sisters, plant based recipe creators with a cookbook brand.</t>
        </is>
      </c>
    </row>
    <row r="6" ht="20" customHeight="1">
      <c r="A6" s="23">
        <f>IF($B6="","",ROW()-2)</f>
        <v/>
      </c>
      <c r="B6" s="22" t="inlineStr">
        <is>
          <t>Vancouver Dietitians</t>
        </is>
      </c>
      <c r="C6" s="22">
        <f>IF($B6="","","Ambassadors &amp; Creators")</f>
        <v/>
      </c>
      <c r="D6" s="23" t="inlineStr">
        <is>
          <t>Vancouver</t>
        </is>
      </c>
      <c r="E6" s="22" t="inlineStr">
        <is>
          <t>South Granville</t>
        </is>
      </c>
      <c r="F6" s="23" t="inlineStr">
        <is>
          <t>P2</t>
        </is>
      </c>
      <c r="G6" s="23" t="inlineStr">
        <is>
          <t>Open</t>
        </is>
      </c>
      <c r="H6" s="23" t="inlineStr">
        <is>
          <t>Maddie</t>
        </is>
      </c>
      <c r="I6" s="22" t="n"/>
      <c r="J6" s="23" t="n"/>
      <c r="K6" s="22" t="n"/>
      <c r="L6" s="23" t="n"/>
      <c r="M6" s="34" t="inlineStr">
        <is>
          <t>@vancouverdietitians</t>
        </is>
      </c>
      <c r="N6" s="23" t="inlineStr">
        <is>
          <t>64,000 IG</t>
        </is>
      </c>
      <c r="O6" s="22" t="inlineStr">
        <is>
          <t>Instagram @vancouverdietitians follower count, web search 2026</t>
        </is>
      </c>
      <c r="P6" s="23" t="inlineStr">
        <is>
          <t>Verified Web</t>
        </is>
      </c>
      <c r="Q6" s="23" t="inlineStr">
        <is>
          <t>Cold</t>
        </is>
      </c>
      <c r="R6" s="24" t="n"/>
      <c r="S6" s="25">
        <f>IF(ISBLANK(R6),"",TODAY()-R6)</f>
        <v/>
      </c>
      <c r="T6" s="22" t="n"/>
      <c r="U6" s="24" t="n"/>
      <c r="V6" s="23" t="n"/>
      <c r="W6" s="24" t="n"/>
      <c r="X6" s="23" t="n"/>
      <c r="Y6" s="23" t="n"/>
      <c r="Z6" s="26" t="n"/>
      <c r="AA6" s="27">
        <f>IF(OR($Z6="",$Y6="",$Y6=0),"",$Z6/($Y6*24))</f>
        <v/>
      </c>
      <c r="AB6" s="26" t="n"/>
      <c r="AC6" s="22" t="n"/>
      <c r="AD6" s="22" t="n"/>
      <c r="AE6" s="22" t="n"/>
      <c r="AF6" s="22" t="n"/>
      <c r="AG6" s="22" t="n"/>
      <c r="AH6" s="23" t="inlineStr">
        <is>
          <t>No</t>
        </is>
      </c>
      <c r="AI6" s="23" t="n"/>
      <c r="AJ6" s="23" t="n"/>
      <c r="AK6" s="23" t="n"/>
      <c r="AL6" s="22" t="inlineStr">
        <is>
          <t>Registered dietitian duo with a South Granville clinic.</t>
        </is>
      </c>
    </row>
    <row r="7" ht="20" customHeight="1">
      <c r="A7" s="17">
        <f>IF($B7="","",ROW()-2)</f>
        <v/>
      </c>
      <c r="B7" s="16" t="inlineStr">
        <is>
          <t>Cam Lee</t>
        </is>
      </c>
      <c r="C7" s="16">
        <f>IF($B7="","","Ambassadors &amp; Creators")</f>
        <v/>
      </c>
      <c r="D7" s="17" t="inlineStr">
        <is>
          <t>Vancouver</t>
        </is>
      </c>
      <c r="E7" s="16" t="n"/>
      <c r="F7" s="17" t="inlineStr">
        <is>
          <t>P2</t>
        </is>
      </c>
      <c r="G7" s="17" t="inlineStr">
        <is>
          <t>Open</t>
        </is>
      </c>
      <c r="H7" s="17" t="inlineStr">
        <is>
          <t>Maddie</t>
        </is>
      </c>
      <c r="I7" s="16" t="n"/>
      <c r="J7" s="17" t="n"/>
      <c r="K7" s="16" t="n"/>
      <c r="L7" s="17" t="n"/>
      <c r="M7" s="33" t="inlineStr">
        <is>
          <t>@camleeyoga</t>
        </is>
      </c>
      <c r="N7" s="17" t="inlineStr">
        <is>
          <t>47,000 IG</t>
        </is>
      </c>
      <c r="O7" s="16" t="inlineStr">
        <is>
          <t>Instagram @camleeyoga follower count, web search 2026</t>
        </is>
      </c>
      <c r="P7" s="17" t="inlineStr">
        <is>
          <t>Verified Web</t>
        </is>
      </c>
      <c r="Q7" s="17" t="inlineStr">
        <is>
          <t>Cold</t>
        </is>
      </c>
      <c r="R7" s="15" t="n"/>
      <c r="S7" s="19">
        <f>IF(ISBLANK(R7),"",TODAY()-R7)</f>
        <v/>
      </c>
      <c r="T7" s="16" t="n"/>
      <c r="U7" s="15" t="n"/>
      <c r="V7" s="17" t="n"/>
      <c r="W7" s="15" t="n"/>
      <c r="X7" s="17" t="n"/>
      <c r="Y7" s="17" t="n"/>
      <c r="Z7" s="20" t="n"/>
      <c r="AA7" s="21">
        <f>IF(OR($Z7="",$Y7="",$Y7=0),"",$Z7/($Y7*24))</f>
        <v/>
      </c>
      <c r="AB7" s="20" t="n"/>
      <c r="AC7" s="16" t="n"/>
      <c r="AD7" s="16" t="n"/>
      <c r="AE7" s="16" t="n"/>
      <c r="AF7" s="16" t="n"/>
      <c r="AG7" s="16" t="n"/>
      <c r="AH7" s="17" t="inlineStr">
        <is>
          <t>No</t>
        </is>
      </c>
      <c r="AI7" s="17" t="n"/>
      <c r="AJ7" s="17" t="n"/>
      <c r="AK7" s="17" t="n"/>
      <c r="AL7" s="16" t="inlineStr">
        <is>
          <t>Yoga and wellness creator.</t>
        </is>
      </c>
    </row>
    <row r="8" ht="20" customHeight="1">
      <c r="A8" s="23">
        <f>IF($B8="","",ROW()-2)</f>
        <v/>
      </c>
      <c r="B8" s="22" t="inlineStr">
        <is>
          <t>Caroline Doucet</t>
        </is>
      </c>
      <c r="C8" s="22">
        <f>IF($B8="","","Ambassadors &amp; Creators")</f>
        <v/>
      </c>
      <c r="D8" s="23" t="inlineStr">
        <is>
          <t>Vancouver</t>
        </is>
      </c>
      <c r="E8" s="22" t="n"/>
      <c r="F8" s="23" t="inlineStr">
        <is>
          <t>P2</t>
        </is>
      </c>
      <c r="G8" s="23" t="inlineStr">
        <is>
          <t>Open</t>
        </is>
      </c>
      <c r="H8" s="23" t="inlineStr">
        <is>
          <t>Maddie</t>
        </is>
      </c>
      <c r="I8" s="22" t="n"/>
      <c r="J8" s="23" t="n"/>
      <c r="K8" s="22" t="n"/>
      <c r="L8" s="23" t="n"/>
      <c r="M8" s="34" t="inlineStr">
        <is>
          <t>@nourishedbycaroline</t>
        </is>
      </c>
      <c r="N8" s="23" t="inlineStr">
        <is>
          <t>38,000 IG</t>
        </is>
      </c>
      <c r="O8" s="22" t="inlineStr">
        <is>
          <t>Instagram @nourishedbycaroline follower count, web search 2026</t>
        </is>
      </c>
      <c r="P8" s="23" t="inlineStr">
        <is>
          <t>Verified Web</t>
        </is>
      </c>
      <c r="Q8" s="23" t="inlineStr">
        <is>
          <t>Cold</t>
        </is>
      </c>
      <c r="R8" s="24" t="n"/>
      <c r="S8" s="25">
        <f>IF(ISBLANK(R8),"",TODAY()-R8)</f>
        <v/>
      </c>
      <c r="T8" s="22" t="n"/>
      <c r="U8" s="24" t="n"/>
      <c r="V8" s="23" t="n"/>
      <c r="W8" s="24" t="n"/>
      <c r="X8" s="23" t="n"/>
      <c r="Y8" s="23" t="n"/>
      <c r="Z8" s="26" t="n"/>
      <c r="AA8" s="27">
        <f>IF(OR($Z8="",$Y8="",$Y8=0),"",$Z8/($Y8*24))</f>
        <v/>
      </c>
      <c r="AB8" s="26" t="n"/>
      <c r="AC8" s="22" t="n"/>
      <c r="AD8" s="22" t="n"/>
      <c r="AE8" s="22" t="n"/>
      <c r="AF8" s="22" t="n"/>
      <c r="AG8" s="22" t="n"/>
      <c r="AH8" s="23" t="inlineStr">
        <is>
          <t>No</t>
        </is>
      </c>
      <c r="AI8" s="23" t="n"/>
      <c r="AJ8" s="23" t="n"/>
      <c r="AK8" s="23" t="n"/>
      <c r="AL8" s="22" t="inlineStr">
        <is>
          <t>Registered dietitian, plant based recipes, non diet approach.</t>
        </is>
      </c>
    </row>
    <row r="9" ht="20" customHeight="1">
      <c r="A9" s="17">
        <f>IF($B9="","",ROW()-2)</f>
        <v/>
      </c>
      <c r="B9" s="16" t="inlineStr">
        <is>
          <t>Trudy Leung</t>
        </is>
      </c>
      <c r="C9" s="16">
        <f>IF($B9="","","Ambassadors &amp; Creators")</f>
        <v/>
      </c>
      <c r="D9" s="17" t="inlineStr">
        <is>
          <t>Vancouver</t>
        </is>
      </c>
      <c r="E9" s="16" t="n"/>
      <c r="F9" s="17" t="inlineStr">
        <is>
          <t>P2</t>
        </is>
      </c>
      <c r="G9" s="17" t="inlineStr">
        <is>
          <t>Open</t>
        </is>
      </c>
      <c r="H9" s="17" t="inlineStr">
        <is>
          <t>Maddie</t>
        </is>
      </c>
      <c r="I9" s="16" t="n"/>
      <c r="J9" s="17" t="n"/>
      <c r="K9" s="16" t="n"/>
      <c r="L9" s="17" t="n"/>
      <c r="M9" s="33" t="inlineStr">
        <is>
          <t>@missvancityfoodie</t>
        </is>
      </c>
      <c r="N9" s="17" t="inlineStr">
        <is>
          <t>37,000 IG</t>
        </is>
      </c>
      <c r="O9" s="16" t="inlineStr">
        <is>
          <t>Instagram @missvancityfoodie follower count, web search 2026</t>
        </is>
      </c>
      <c r="P9" s="17" t="inlineStr">
        <is>
          <t>Verified Web</t>
        </is>
      </c>
      <c r="Q9" s="17" t="inlineStr">
        <is>
          <t>Cold</t>
        </is>
      </c>
      <c r="R9" s="15" t="n"/>
      <c r="S9" s="19">
        <f>IF(ISBLANK(R9),"",TODAY()-R9)</f>
        <v/>
      </c>
      <c r="T9" s="16" t="n"/>
      <c r="U9" s="15" t="n"/>
      <c r="V9" s="17" t="n"/>
      <c r="W9" s="15" t="n"/>
      <c r="X9" s="17" t="n"/>
      <c r="Y9" s="17" t="n"/>
      <c r="Z9" s="20" t="n"/>
      <c r="AA9" s="21">
        <f>IF(OR($Z9="",$Y9="",$Y9=0),"",$Z9/($Y9*24))</f>
        <v/>
      </c>
      <c r="AB9" s="20" t="n"/>
      <c r="AC9" s="16" t="n"/>
      <c r="AD9" s="16" t="n"/>
      <c r="AE9" s="16" t="n"/>
      <c r="AF9" s="16" t="n"/>
      <c r="AG9" s="16" t="n"/>
      <c r="AH9" s="17" t="inlineStr">
        <is>
          <t>No</t>
        </is>
      </c>
      <c r="AI9" s="17" t="n"/>
      <c r="AJ9" s="17" t="n"/>
      <c r="AK9" s="17" t="n"/>
      <c r="AL9" s="16" t="inlineStr">
        <is>
          <t>Miss Vancity Foodie. Local food and lifestyle content.</t>
        </is>
      </c>
    </row>
    <row r="10" ht="20" customHeight="1">
      <c r="A10" s="23">
        <f>IF($B10="","",ROW()-2)</f>
        <v/>
      </c>
      <c r="B10" s="22" t="inlineStr">
        <is>
          <t>Hilary Ann Yang</t>
        </is>
      </c>
      <c r="C10" s="22">
        <f>IF($B10="","","Ambassadors &amp; Creators")</f>
        <v/>
      </c>
      <c r="D10" s="23" t="inlineStr">
        <is>
          <t>Vancouver</t>
        </is>
      </c>
      <c r="E10" s="22" t="n"/>
      <c r="F10" s="23" t="inlineStr">
        <is>
          <t>P2</t>
        </is>
      </c>
      <c r="G10" s="23" t="inlineStr">
        <is>
          <t>Open</t>
        </is>
      </c>
      <c r="H10" s="23" t="inlineStr">
        <is>
          <t>Maddie</t>
        </is>
      </c>
      <c r="I10" s="22" t="n"/>
      <c r="J10" s="23" t="n"/>
      <c r="K10" s="22" t="n"/>
      <c r="L10" s="23" t="n"/>
      <c r="M10" s="34" t="inlineStr">
        <is>
          <t>@thehilaryann</t>
        </is>
      </c>
      <c r="N10" s="23" t="inlineStr">
        <is>
          <t>31,000 IG</t>
        </is>
      </c>
      <c r="O10" s="22" t="inlineStr">
        <is>
          <t>Instagram @thehilaryann follower count, web search 2026</t>
        </is>
      </c>
      <c r="P10" s="23" t="inlineStr">
        <is>
          <t>Verified Web</t>
        </is>
      </c>
      <c r="Q10" s="23" t="inlineStr">
        <is>
          <t>Cold</t>
        </is>
      </c>
      <c r="R10" s="24" t="n"/>
      <c r="S10" s="25">
        <f>IF(ISBLANK(R10),"",TODAY()-R10)</f>
        <v/>
      </c>
      <c r="T10" s="22" t="n"/>
      <c r="U10" s="24" t="n"/>
      <c r="V10" s="23" t="n"/>
      <c r="W10" s="24" t="n"/>
      <c r="X10" s="23" t="n"/>
      <c r="Y10" s="23" t="n"/>
      <c r="Z10" s="26" t="n"/>
      <c r="AA10" s="27">
        <f>IF(OR($Z10="",$Y10="",$Y10=0),"",$Z10/($Y10*24))</f>
        <v/>
      </c>
      <c r="AB10" s="26" t="n"/>
      <c r="AC10" s="22" t="n"/>
      <c r="AD10" s="22" t="n"/>
      <c r="AE10" s="22" t="n"/>
      <c r="AF10" s="22" t="n"/>
      <c r="AG10" s="22" t="n"/>
      <c r="AH10" s="23" t="inlineStr">
        <is>
          <t>No</t>
        </is>
      </c>
      <c r="AI10" s="23" t="n"/>
      <c r="AJ10" s="23" t="n"/>
      <c r="AK10" s="23" t="n"/>
      <c r="AL10" s="22" t="inlineStr">
        <is>
          <t>Trail running creator tied to Squamish, runs a women's trail running community.</t>
        </is>
      </c>
    </row>
    <row r="11" ht="20" customHeight="1">
      <c r="A11" s="17">
        <f>IF($B11="","",ROW()-2)</f>
        <v/>
      </c>
      <c r="B11" s="16" t="n"/>
      <c r="C11" s="16">
        <f>IF($B11="","","Ambassadors &amp; Creators")</f>
        <v/>
      </c>
      <c r="D11" s="17" t="n"/>
      <c r="E11" s="16" t="n"/>
      <c r="F11" s="17" t="n"/>
      <c r="G11" s="17" t="n"/>
      <c r="H11" s="17" t="n"/>
      <c r="I11" s="16" t="n"/>
      <c r="J11" s="17" t="n"/>
      <c r="K11" s="16" t="n"/>
      <c r="L11" s="17" t="n"/>
      <c r="M11" s="16" t="n"/>
      <c r="N11" s="17" t="n"/>
      <c r="O11" s="16" t="n"/>
      <c r="P11" s="17" t="n"/>
      <c r="Q11" s="17" t="n"/>
      <c r="R11" s="15" t="n"/>
      <c r="S11" s="19">
        <f>IF(ISBLANK(R11),"",TODAY()-R11)</f>
        <v/>
      </c>
      <c r="T11" s="16" t="n"/>
      <c r="U11" s="15" t="n"/>
      <c r="V11" s="17" t="n"/>
      <c r="W11" s="15" t="n"/>
      <c r="X11" s="17" t="n"/>
      <c r="Y11" s="17" t="n"/>
      <c r="Z11" s="20" t="n"/>
      <c r="AA11" s="21">
        <f>IF(OR($Z11="",$Y11="",$Y11=0),"",$Z11/($Y11*24))</f>
        <v/>
      </c>
      <c r="AB11" s="20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7" t="n"/>
      <c r="AL11" s="16" t="n"/>
    </row>
    <row r="12" ht="20" customHeight="1">
      <c r="A12" s="23">
        <f>IF($B12="","",ROW()-2)</f>
        <v/>
      </c>
      <c r="B12" s="22" t="n"/>
      <c r="C12" s="22">
        <f>IF($B12="","","Ambassadors &amp; Creators")</f>
        <v/>
      </c>
      <c r="D12" s="23" t="n"/>
      <c r="E12" s="22" t="n"/>
      <c r="F12" s="23" t="n"/>
      <c r="G12" s="23" t="n"/>
      <c r="H12" s="23" t="n"/>
      <c r="I12" s="22" t="n"/>
      <c r="J12" s="23" t="n"/>
      <c r="K12" s="22" t="n"/>
      <c r="L12" s="23" t="n"/>
      <c r="M12" s="22" t="n"/>
      <c r="N12" s="23" t="n"/>
      <c r="O12" s="22" t="n"/>
      <c r="P12" s="23" t="n"/>
      <c r="Q12" s="23" t="n"/>
      <c r="R12" s="24" t="n"/>
      <c r="S12" s="25">
        <f>IF(ISBLANK(R12),"",TODAY()-R12)</f>
        <v/>
      </c>
      <c r="T12" s="22" t="n"/>
      <c r="U12" s="24" t="n"/>
      <c r="V12" s="23" t="n"/>
      <c r="W12" s="24" t="n"/>
      <c r="X12" s="23" t="n"/>
      <c r="Y12" s="23" t="n"/>
      <c r="Z12" s="26" t="n"/>
      <c r="AA12" s="27">
        <f>IF(OR($Z12="",$Y12="",$Y12=0),"",$Z12/($Y12*24))</f>
        <v/>
      </c>
      <c r="AB12" s="26" t="n"/>
      <c r="AC12" s="22" t="n"/>
      <c r="AD12" s="22" t="n"/>
      <c r="AE12" s="22" t="n"/>
      <c r="AF12" s="22" t="n"/>
      <c r="AG12" s="22" t="n"/>
      <c r="AH12" s="23" t="n"/>
      <c r="AI12" s="23" t="n"/>
      <c r="AJ12" s="23" t="n"/>
      <c r="AK12" s="23" t="n"/>
      <c r="AL12" s="22" t="n"/>
    </row>
    <row r="13" ht="20" customHeight="1">
      <c r="A13" s="17">
        <f>IF($B13="","",ROW()-2)</f>
        <v/>
      </c>
      <c r="B13" s="16" t="n"/>
      <c r="C13" s="16">
        <f>IF($B13="","","Ambassadors &amp; Creators")</f>
        <v/>
      </c>
      <c r="D13" s="17" t="n"/>
      <c r="E13" s="16" t="n"/>
      <c r="F13" s="17" t="n"/>
      <c r="G13" s="17" t="n"/>
      <c r="H13" s="17" t="n"/>
      <c r="I13" s="16" t="n"/>
      <c r="J13" s="17" t="n"/>
      <c r="K13" s="16" t="n"/>
      <c r="L13" s="17" t="n"/>
      <c r="M13" s="16" t="n"/>
      <c r="N13" s="17" t="n"/>
      <c r="O13" s="16" t="n"/>
      <c r="P13" s="17" t="n"/>
      <c r="Q13" s="17" t="n"/>
      <c r="R13" s="15" t="n"/>
      <c r="S13" s="19">
        <f>IF(ISBLANK(R13),"",TODAY()-R13)</f>
        <v/>
      </c>
      <c r="T13" s="16" t="n"/>
      <c r="U13" s="15" t="n"/>
      <c r="V13" s="17" t="n"/>
      <c r="W13" s="15" t="n"/>
      <c r="X13" s="17" t="n"/>
      <c r="Y13" s="17" t="n"/>
      <c r="Z13" s="20" t="n"/>
      <c r="AA13" s="21">
        <f>IF(OR($Z13="",$Y13="",$Y13=0),"",$Z13/($Y13*24))</f>
        <v/>
      </c>
      <c r="AB13" s="20" t="n"/>
      <c r="AC13" s="16" t="n"/>
      <c r="AD13" s="16" t="n"/>
      <c r="AE13" s="16" t="n"/>
      <c r="AF13" s="16" t="n"/>
      <c r="AG13" s="16" t="n"/>
      <c r="AH13" s="17" t="n"/>
      <c r="AI13" s="17" t="n"/>
      <c r="AJ13" s="17" t="n"/>
      <c r="AK13" s="17" t="n"/>
      <c r="AL13" s="16" t="n"/>
    </row>
    <row r="14" ht="20" customHeight="1">
      <c r="A14" s="23">
        <f>IF($B14="","",ROW()-2)</f>
        <v/>
      </c>
      <c r="B14" s="22" t="n"/>
      <c r="C14" s="22">
        <f>IF($B14="","","Ambassadors &amp; Creators")</f>
        <v/>
      </c>
      <c r="D14" s="23" t="n"/>
      <c r="E14" s="22" t="n"/>
      <c r="F14" s="23" t="n"/>
      <c r="G14" s="23" t="n"/>
      <c r="H14" s="23" t="n"/>
      <c r="I14" s="22" t="n"/>
      <c r="J14" s="23" t="n"/>
      <c r="K14" s="22" t="n"/>
      <c r="L14" s="23" t="n"/>
      <c r="M14" s="22" t="n"/>
      <c r="N14" s="23" t="n"/>
      <c r="O14" s="22" t="n"/>
      <c r="P14" s="23" t="n"/>
      <c r="Q14" s="23" t="n"/>
      <c r="R14" s="24" t="n"/>
      <c r="S14" s="25">
        <f>IF(ISBLANK(R14),"",TODAY()-R14)</f>
        <v/>
      </c>
      <c r="T14" s="22" t="n"/>
      <c r="U14" s="24" t="n"/>
      <c r="V14" s="23" t="n"/>
      <c r="W14" s="24" t="n"/>
      <c r="X14" s="23" t="n"/>
      <c r="Y14" s="23" t="n"/>
      <c r="Z14" s="26" t="n"/>
      <c r="AA14" s="27">
        <f>IF(OR($Z14="",$Y14="",$Y14=0),"",$Z14/($Y14*24))</f>
        <v/>
      </c>
      <c r="AB14" s="26" t="n"/>
      <c r="AC14" s="22" t="n"/>
      <c r="AD14" s="22" t="n"/>
      <c r="AE14" s="22" t="n"/>
      <c r="AF14" s="22" t="n"/>
      <c r="AG14" s="22" t="n"/>
      <c r="AH14" s="23" t="n"/>
      <c r="AI14" s="23" t="n"/>
      <c r="AJ14" s="23" t="n"/>
      <c r="AK14" s="23" t="n"/>
      <c r="AL14" s="22" t="n"/>
    </row>
    <row r="15" ht="20" customHeight="1">
      <c r="A15" s="17">
        <f>IF($B15="","",ROW()-2)</f>
        <v/>
      </c>
      <c r="B15" s="16" t="n"/>
      <c r="C15" s="16">
        <f>IF($B15="","","Ambassadors &amp; Creators")</f>
        <v/>
      </c>
      <c r="D15" s="17" t="n"/>
      <c r="E15" s="16" t="n"/>
      <c r="F15" s="17" t="n"/>
      <c r="G15" s="17" t="n"/>
      <c r="H15" s="17" t="n"/>
      <c r="I15" s="16" t="n"/>
      <c r="J15" s="17" t="n"/>
      <c r="K15" s="16" t="n"/>
      <c r="L15" s="17" t="n"/>
      <c r="M15" s="16" t="n"/>
      <c r="N15" s="17" t="n"/>
      <c r="O15" s="16" t="n"/>
      <c r="P15" s="17" t="n"/>
      <c r="Q15" s="17" t="n"/>
      <c r="R15" s="15" t="n"/>
      <c r="S15" s="19">
        <f>IF(ISBLANK(R15),"",TODAY()-R15)</f>
        <v/>
      </c>
      <c r="T15" s="16" t="n"/>
      <c r="U15" s="15" t="n"/>
      <c r="V15" s="17" t="n"/>
      <c r="W15" s="15" t="n"/>
      <c r="X15" s="17" t="n"/>
      <c r="Y15" s="17" t="n"/>
      <c r="Z15" s="20" t="n"/>
      <c r="AA15" s="21">
        <f>IF(OR($Z15="",$Y15="",$Y15=0),"",$Z15/($Y15*24))</f>
        <v/>
      </c>
      <c r="AB15" s="20" t="n"/>
      <c r="AC15" s="16" t="n"/>
      <c r="AD15" s="16" t="n"/>
      <c r="AE15" s="16" t="n"/>
      <c r="AF15" s="16" t="n"/>
      <c r="AG15" s="16" t="n"/>
      <c r="AH15" s="17" t="n"/>
      <c r="AI15" s="17" t="n"/>
      <c r="AJ15" s="17" t="n"/>
      <c r="AK15" s="17" t="n"/>
      <c r="AL15" s="16" t="n"/>
    </row>
    <row r="16" ht="20" customHeight="1">
      <c r="A16" s="23">
        <f>IF($B16="","",ROW()-2)</f>
        <v/>
      </c>
      <c r="B16" s="22" t="n"/>
      <c r="C16" s="22">
        <f>IF($B16="","","Ambassadors &amp; Creators")</f>
        <v/>
      </c>
      <c r="D16" s="23" t="n"/>
      <c r="E16" s="22" t="n"/>
      <c r="F16" s="23" t="n"/>
      <c r="G16" s="23" t="n"/>
      <c r="H16" s="23" t="n"/>
      <c r="I16" s="22" t="n"/>
      <c r="J16" s="23" t="n"/>
      <c r="K16" s="22" t="n"/>
      <c r="L16" s="23" t="n"/>
      <c r="M16" s="22" t="n"/>
      <c r="N16" s="23" t="n"/>
      <c r="O16" s="22" t="n"/>
      <c r="P16" s="23" t="n"/>
      <c r="Q16" s="23" t="n"/>
      <c r="R16" s="24" t="n"/>
      <c r="S16" s="25">
        <f>IF(ISBLANK(R16),"",TODAY()-R16)</f>
        <v/>
      </c>
      <c r="T16" s="22" t="n"/>
      <c r="U16" s="24" t="n"/>
      <c r="V16" s="23" t="n"/>
      <c r="W16" s="24" t="n"/>
      <c r="X16" s="23" t="n"/>
      <c r="Y16" s="23" t="n"/>
      <c r="Z16" s="26" t="n"/>
      <c r="AA16" s="27">
        <f>IF(OR($Z16="",$Y16="",$Y16=0),"",$Z16/($Y16*24))</f>
        <v/>
      </c>
      <c r="AB16" s="26" t="n"/>
      <c r="AC16" s="22" t="n"/>
      <c r="AD16" s="22" t="n"/>
      <c r="AE16" s="22" t="n"/>
      <c r="AF16" s="22" t="n"/>
      <c r="AG16" s="22" t="n"/>
      <c r="AH16" s="23" t="n"/>
      <c r="AI16" s="23" t="n"/>
      <c r="AJ16" s="23" t="n"/>
      <c r="AK16" s="23" t="n"/>
      <c r="AL16" s="22" t="n"/>
    </row>
    <row r="17" ht="20" customHeight="1">
      <c r="A17" s="17">
        <f>IF($B17="","",ROW()-2)</f>
        <v/>
      </c>
      <c r="B17" s="16" t="n"/>
      <c r="C17" s="16">
        <f>IF($B17="","","Ambassadors &amp; Creators")</f>
        <v/>
      </c>
      <c r="D17" s="17" t="n"/>
      <c r="E17" s="16" t="n"/>
      <c r="F17" s="17" t="n"/>
      <c r="G17" s="17" t="n"/>
      <c r="H17" s="17" t="n"/>
      <c r="I17" s="16" t="n"/>
      <c r="J17" s="17" t="n"/>
      <c r="K17" s="16" t="n"/>
      <c r="L17" s="17" t="n"/>
      <c r="M17" s="16" t="n"/>
      <c r="N17" s="17" t="n"/>
      <c r="O17" s="16" t="n"/>
      <c r="P17" s="17" t="n"/>
      <c r="Q17" s="17" t="n"/>
      <c r="R17" s="15" t="n"/>
      <c r="S17" s="19">
        <f>IF(ISBLANK(R17),"",TODAY()-R17)</f>
        <v/>
      </c>
      <c r="T17" s="16" t="n"/>
      <c r="U17" s="15" t="n"/>
      <c r="V17" s="17" t="n"/>
      <c r="W17" s="15" t="n"/>
      <c r="X17" s="17" t="n"/>
      <c r="Y17" s="17" t="n"/>
      <c r="Z17" s="20" t="n"/>
      <c r="AA17" s="21">
        <f>IF(OR($Z17="",$Y17="",$Y17=0),"",$Z17/($Y17*24))</f>
        <v/>
      </c>
      <c r="AB17" s="20" t="n"/>
      <c r="AC17" s="16" t="n"/>
      <c r="AD17" s="16" t="n"/>
      <c r="AE17" s="16" t="n"/>
      <c r="AF17" s="16" t="n"/>
      <c r="AG17" s="16" t="n"/>
      <c r="AH17" s="17" t="n"/>
      <c r="AI17" s="17" t="n"/>
      <c r="AJ17" s="17" t="n"/>
      <c r="AK17" s="17" t="n"/>
      <c r="AL17" s="16" t="n"/>
    </row>
    <row r="18" ht="20" customHeight="1">
      <c r="A18" s="23">
        <f>IF($B18="","",ROW()-2)</f>
        <v/>
      </c>
      <c r="B18" s="22" t="n"/>
      <c r="C18" s="22">
        <f>IF($B18="","","Ambassadors &amp; Creators")</f>
        <v/>
      </c>
      <c r="D18" s="23" t="n"/>
      <c r="E18" s="22" t="n"/>
      <c r="F18" s="23" t="n"/>
      <c r="G18" s="23" t="n"/>
      <c r="H18" s="23" t="n"/>
      <c r="I18" s="22" t="n"/>
      <c r="J18" s="23" t="n"/>
      <c r="K18" s="22" t="n"/>
      <c r="L18" s="23" t="n"/>
      <c r="M18" s="22" t="n"/>
      <c r="N18" s="23" t="n"/>
      <c r="O18" s="22" t="n"/>
      <c r="P18" s="23" t="n"/>
      <c r="Q18" s="23" t="n"/>
      <c r="R18" s="24" t="n"/>
      <c r="S18" s="25">
        <f>IF(ISBLANK(R18),"",TODAY()-R18)</f>
        <v/>
      </c>
      <c r="T18" s="22" t="n"/>
      <c r="U18" s="24" t="n"/>
      <c r="V18" s="23" t="n"/>
      <c r="W18" s="24" t="n"/>
      <c r="X18" s="23" t="n"/>
      <c r="Y18" s="23" t="n"/>
      <c r="Z18" s="26" t="n"/>
      <c r="AA18" s="27">
        <f>IF(OR($Z18="",$Y18="",$Y18=0),"",$Z18/($Y18*24))</f>
        <v/>
      </c>
      <c r="AB18" s="26" t="n"/>
      <c r="AC18" s="22" t="n"/>
      <c r="AD18" s="22" t="n"/>
      <c r="AE18" s="22" t="n"/>
      <c r="AF18" s="22" t="n"/>
      <c r="AG18" s="22" t="n"/>
      <c r="AH18" s="23" t="n"/>
      <c r="AI18" s="23" t="n"/>
      <c r="AJ18" s="23" t="n"/>
      <c r="AK18" s="23" t="n"/>
      <c r="AL18" s="22" t="n"/>
    </row>
    <row r="19" ht="20" customHeight="1">
      <c r="A19" s="17">
        <f>IF($B19="","",ROW()-2)</f>
        <v/>
      </c>
      <c r="B19" s="16" t="n"/>
      <c r="C19" s="16">
        <f>IF($B19="","","Ambassadors &amp; Creators")</f>
        <v/>
      </c>
      <c r="D19" s="17" t="n"/>
      <c r="E19" s="16" t="n"/>
      <c r="F19" s="17" t="n"/>
      <c r="G19" s="17" t="n"/>
      <c r="H19" s="17" t="n"/>
      <c r="I19" s="16" t="n"/>
      <c r="J19" s="17" t="n"/>
      <c r="K19" s="16" t="n"/>
      <c r="L19" s="17" t="n"/>
      <c r="M19" s="16" t="n"/>
      <c r="N19" s="17" t="n"/>
      <c r="O19" s="16" t="n"/>
      <c r="P19" s="17" t="n"/>
      <c r="Q19" s="17" t="n"/>
      <c r="R19" s="15" t="n"/>
      <c r="S19" s="19">
        <f>IF(ISBLANK(R19),"",TODAY()-R19)</f>
        <v/>
      </c>
      <c r="T19" s="16" t="n"/>
      <c r="U19" s="15" t="n"/>
      <c r="V19" s="17" t="n"/>
      <c r="W19" s="15" t="n"/>
      <c r="X19" s="17" t="n"/>
      <c r="Y19" s="17" t="n"/>
      <c r="Z19" s="20" t="n"/>
      <c r="AA19" s="21">
        <f>IF(OR($Z19="",$Y19="",$Y19=0),"",$Z19/($Y19*24))</f>
        <v/>
      </c>
      <c r="AB19" s="20" t="n"/>
      <c r="AC19" s="16" t="n"/>
      <c r="AD19" s="16" t="n"/>
      <c r="AE19" s="16" t="n"/>
      <c r="AF19" s="16" t="n"/>
      <c r="AG19" s="16" t="n"/>
      <c r="AH19" s="17" t="n"/>
      <c r="AI19" s="17" t="n"/>
      <c r="AJ19" s="17" t="n"/>
      <c r="AK19" s="17" t="n"/>
      <c r="AL19" s="16" t="n"/>
    </row>
    <row r="20" ht="20" customHeight="1">
      <c r="A20" s="23">
        <f>IF($B20="","",ROW()-2)</f>
        <v/>
      </c>
      <c r="B20" s="22" t="n"/>
      <c r="C20" s="22">
        <f>IF($B20="","","Ambassadors &amp; Creators")</f>
        <v/>
      </c>
      <c r="D20" s="23" t="n"/>
      <c r="E20" s="22" t="n"/>
      <c r="F20" s="23" t="n"/>
      <c r="G20" s="23" t="n"/>
      <c r="H20" s="23" t="n"/>
      <c r="I20" s="22" t="n"/>
      <c r="J20" s="23" t="n"/>
      <c r="K20" s="22" t="n"/>
      <c r="L20" s="23" t="n"/>
      <c r="M20" s="22" t="n"/>
      <c r="N20" s="23" t="n"/>
      <c r="O20" s="22" t="n"/>
      <c r="P20" s="23" t="n"/>
      <c r="Q20" s="23" t="n"/>
      <c r="R20" s="24" t="n"/>
      <c r="S20" s="25">
        <f>IF(ISBLANK(R20),"",TODAY()-R20)</f>
        <v/>
      </c>
      <c r="T20" s="22" t="n"/>
      <c r="U20" s="24" t="n"/>
      <c r="V20" s="23" t="n"/>
      <c r="W20" s="24" t="n"/>
      <c r="X20" s="23" t="n"/>
      <c r="Y20" s="23" t="n"/>
      <c r="Z20" s="26" t="n"/>
      <c r="AA20" s="27">
        <f>IF(OR($Z20="",$Y20="",$Y20=0),"",$Z20/($Y20*24))</f>
        <v/>
      </c>
      <c r="AB20" s="26" t="n"/>
      <c r="AC20" s="22" t="n"/>
      <c r="AD20" s="22" t="n"/>
      <c r="AE20" s="22" t="n"/>
      <c r="AF20" s="22" t="n"/>
      <c r="AG20" s="22" t="n"/>
      <c r="AH20" s="23" t="n"/>
      <c r="AI20" s="23" t="n"/>
      <c r="AJ20" s="23" t="n"/>
      <c r="AK20" s="23" t="n"/>
      <c r="AL20" s="22" t="n"/>
    </row>
    <row r="21" ht="20" customHeight="1">
      <c r="A21" s="17">
        <f>IF($B21="","",ROW()-2)</f>
        <v/>
      </c>
      <c r="B21" s="16" t="n"/>
      <c r="C21" s="16">
        <f>IF($B21="","","Ambassadors &amp; Creators")</f>
        <v/>
      </c>
      <c r="D21" s="17" t="n"/>
      <c r="E21" s="16" t="n"/>
      <c r="F21" s="17" t="n"/>
      <c r="G21" s="17" t="n"/>
      <c r="H21" s="17" t="n"/>
      <c r="I21" s="16" t="n"/>
      <c r="J21" s="17" t="n"/>
      <c r="K21" s="16" t="n"/>
      <c r="L21" s="17" t="n"/>
      <c r="M21" s="16" t="n"/>
      <c r="N21" s="17" t="n"/>
      <c r="O21" s="16" t="n"/>
      <c r="P21" s="17" t="n"/>
      <c r="Q21" s="17" t="n"/>
      <c r="R21" s="15" t="n"/>
      <c r="S21" s="19">
        <f>IF(ISBLANK(R21),"",TODAY()-R21)</f>
        <v/>
      </c>
      <c r="T21" s="16" t="n"/>
      <c r="U21" s="15" t="n"/>
      <c r="V21" s="17" t="n"/>
      <c r="W21" s="15" t="n"/>
      <c r="X21" s="17" t="n"/>
      <c r="Y21" s="17" t="n"/>
      <c r="Z21" s="20" t="n"/>
      <c r="AA21" s="21">
        <f>IF(OR($Z21="",$Y21="",$Y21=0),"",$Z21/($Y21*24))</f>
        <v/>
      </c>
      <c r="AB21" s="20" t="n"/>
      <c r="AC21" s="16" t="n"/>
      <c r="AD21" s="16" t="n"/>
      <c r="AE21" s="16" t="n"/>
      <c r="AF21" s="16" t="n"/>
      <c r="AG21" s="16" t="n"/>
      <c r="AH21" s="17" t="n"/>
      <c r="AI21" s="17" t="n"/>
      <c r="AJ21" s="17" t="n"/>
      <c r="AK21" s="17" t="n"/>
      <c r="AL21" s="16" t="n"/>
    </row>
    <row r="22" ht="20" customHeight="1">
      <c r="A22" s="23">
        <f>IF($B22="","",ROW()-2)</f>
        <v/>
      </c>
      <c r="B22" s="22" t="n"/>
      <c r="C22" s="22">
        <f>IF($B22="","","Ambassadors &amp; Creators")</f>
        <v/>
      </c>
      <c r="D22" s="23" t="n"/>
      <c r="E22" s="22" t="n"/>
      <c r="F22" s="23" t="n"/>
      <c r="G22" s="23" t="n"/>
      <c r="H22" s="23" t="n"/>
      <c r="I22" s="22" t="n"/>
      <c r="J22" s="23" t="n"/>
      <c r="K22" s="22" t="n"/>
      <c r="L22" s="23" t="n"/>
      <c r="M22" s="22" t="n"/>
      <c r="N22" s="23" t="n"/>
      <c r="O22" s="22" t="n"/>
      <c r="P22" s="23" t="n"/>
      <c r="Q22" s="23" t="n"/>
      <c r="R22" s="24" t="n"/>
      <c r="S22" s="25">
        <f>IF(ISBLANK(R22),"",TODAY()-R22)</f>
        <v/>
      </c>
      <c r="T22" s="22" t="n"/>
      <c r="U22" s="24" t="n"/>
      <c r="V22" s="23" t="n"/>
      <c r="W22" s="24" t="n"/>
      <c r="X22" s="23" t="n"/>
      <c r="Y22" s="23" t="n"/>
      <c r="Z22" s="26" t="n"/>
      <c r="AA22" s="27">
        <f>IF(OR($Z22="",$Y22="",$Y22=0),"",$Z22/($Y22*24))</f>
        <v/>
      </c>
      <c r="AB22" s="26" t="n"/>
      <c r="AC22" s="22" t="n"/>
      <c r="AD22" s="22" t="n"/>
      <c r="AE22" s="22" t="n"/>
      <c r="AF22" s="22" t="n"/>
      <c r="AG22" s="22" t="n"/>
      <c r="AH22" s="23" t="n"/>
      <c r="AI22" s="23" t="n"/>
      <c r="AJ22" s="23" t="n"/>
      <c r="AK22" s="23" t="n"/>
      <c r="AL22" s="22" t="n"/>
    </row>
    <row r="23" ht="20" customHeight="1">
      <c r="A23" s="17">
        <f>IF($B23="","",ROW()-2)</f>
        <v/>
      </c>
      <c r="B23" s="16" t="n"/>
      <c r="C23" s="16">
        <f>IF($B23="","","Ambassadors &amp; Creators")</f>
        <v/>
      </c>
      <c r="D23" s="17" t="n"/>
      <c r="E23" s="16" t="n"/>
      <c r="F23" s="17" t="n"/>
      <c r="G23" s="17" t="n"/>
      <c r="H23" s="17" t="n"/>
      <c r="I23" s="16" t="n"/>
      <c r="J23" s="17" t="n"/>
      <c r="K23" s="16" t="n"/>
      <c r="L23" s="17" t="n"/>
      <c r="M23" s="16" t="n"/>
      <c r="N23" s="17" t="n"/>
      <c r="O23" s="16" t="n"/>
      <c r="P23" s="17" t="n"/>
      <c r="Q23" s="17" t="n"/>
      <c r="R23" s="15" t="n"/>
      <c r="S23" s="19">
        <f>IF(ISBLANK(R23),"",TODAY()-R23)</f>
        <v/>
      </c>
      <c r="T23" s="16" t="n"/>
      <c r="U23" s="15" t="n"/>
      <c r="V23" s="17" t="n"/>
      <c r="W23" s="15" t="n"/>
      <c r="X23" s="17" t="n"/>
      <c r="Y23" s="17" t="n"/>
      <c r="Z23" s="20" t="n"/>
      <c r="AA23" s="21">
        <f>IF(OR($Z23="",$Y23="",$Y23=0),"",$Z23/($Y23*24))</f>
        <v/>
      </c>
      <c r="AB23" s="20" t="n"/>
      <c r="AC23" s="16" t="n"/>
      <c r="AD23" s="16" t="n"/>
      <c r="AE23" s="16" t="n"/>
      <c r="AF23" s="16" t="n"/>
      <c r="AG23" s="16" t="n"/>
      <c r="AH23" s="17" t="n"/>
      <c r="AI23" s="17" t="n"/>
      <c r="AJ23" s="17" t="n"/>
      <c r="AK23" s="17" t="n"/>
      <c r="AL23" s="16" t="n"/>
    </row>
    <row r="24" ht="20" customHeight="1">
      <c r="A24" s="23">
        <f>IF($B24="","",ROW()-2)</f>
        <v/>
      </c>
      <c r="B24" s="22" t="n"/>
      <c r="C24" s="22">
        <f>IF($B24="","","Ambassadors &amp; Creators")</f>
        <v/>
      </c>
      <c r="D24" s="23" t="n"/>
      <c r="E24" s="22" t="n"/>
      <c r="F24" s="23" t="n"/>
      <c r="G24" s="23" t="n"/>
      <c r="H24" s="23" t="n"/>
      <c r="I24" s="22" t="n"/>
      <c r="J24" s="23" t="n"/>
      <c r="K24" s="22" t="n"/>
      <c r="L24" s="23" t="n"/>
      <c r="M24" s="22" t="n"/>
      <c r="N24" s="23" t="n"/>
      <c r="O24" s="22" t="n"/>
      <c r="P24" s="23" t="n"/>
      <c r="Q24" s="23" t="n"/>
      <c r="R24" s="24" t="n"/>
      <c r="S24" s="25">
        <f>IF(ISBLANK(R24),"",TODAY()-R24)</f>
        <v/>
      </c>
      <c r="T24" s="22" t="n"/>
      <c r="U24" s="24" t="n"/>
      <c r="V24" s="23" t="n"/>
      <c r="W24" s="24" t="n"/>
      <c r="X24" s="23" t="n"/>
      <c r="Y24" s="23" t="n"/>
      <c r="Z24" s="26" t="n"/>
      <c r="AA24" s="27">
        <f>IF(OR($Z24="",$Y24="",$Y24=0),"",$Z24/($Y24*24))</f>
        <v/>
      </c>
      <c r="AB24" s="26" t="n"/>
      <c r="AC24" s="22" t="n"/>
      <c r="AD24" s="22" t="n"/>
      <c r="AE24" s="22" t="n"/>
      <c r="AF24" s="22" t="n"/>
      <c r="AG24" s="22" t="n"/>
      <c r="AH24" s="23" t="n"/>
      <c r="AI24" s="23" t="n"/>
      <c r="AJ24" s="23" t="n"/>
      <c r="AK24" s="23" t="n"/>
      <c r="AL24" s="22" t="n"/>
    </row>
    <row r="25" ht="20" customHeight="1">
      <c r="A25" s="17">
        <f>IF($B25="","",ROW()-2)</f>
        <v/>
      </c>
      <c r="B25" s="16" t="n"/>
      <c r="C25" s="16">
        <f>IF($B25="","","Ambassadors &amp; Creators")</f>
        <v/>
      </c>
      <c r="D25" s="17" t="n"/>
      <c r="E25" s="16" t="n"/>
      <c r="F25" s="17" t="n"/>
      <c r="G25" s="17" t="n"/>
      <c r="H25" s="17" t="n"/>
      <c r="I25" s="16" t="n"/>
      <c r="J25" s="17" t="n"/>
      <c r="K25" s="16" t="n"/>
      <c r="L25" s="17" t="n"/>
      <c r="M25" s="16" t="n"/>
      <c r="N25" s="17" t="n"/>
      <c r="O25" s="16" t="n"/>
      <c r="P25" s="17" t="n"/>
      <c r="Q25" s="17" t="n"/>
      <c r="R25" s="15" t="n"/>
      <c r="S25" s="19">
        <f>IF(ISBLANK(R25),"",TODAY()-R25)</f>
        <v/>
      </c>
      <c r="T25" s="16" t="n"/>
      <c r="U25" s="15" t="n"/>
      <c r="V25" s="17" t="n"/>
      <c r="W25" s="15" t="n"/>
      <c r="X25" s="17" t="n"/>
      <c r="Y25" s="17" t="n"/>
      <c r="Z25" s="20" t="n"/>
      <c r="AA25" s="21">
        <f>IF(OR($Z25="",$Y25="",$Y25=0),"",$Z25/($Y25*24))</f>
        <v/>
      </c>
      <c r="AB25" s="20" t="n"/>
      <c r="AC25" s="16" t="n"/>
      <c r="AD25" s="16" t="n"/>
      <c r="AE25" s="16" t="n"/>
      <c r="AF25" s="16" t="n"/>
      <c r="AG25" s="16" t="n"/>
      <c r="AH25" s="17" t="n"/>
      <c r="AI25" s="17" t="n"/>
      <c r="AJ25" s="17" t="n"/>
      <c r="AK25" s="17" t="n"/>
      <c r="AL25" s="16" t="n"/>
    </row>
    <row r="26" ht="20" customHeight="1">
      <c r="A26" s="23">
        <f>IF($B26="","",ROW()-2)</f>
        <v/>
      </c>
      <c r="B26" s="22" t="n"/>
      <c r="C26" s="22">
        <f>IF($B26="","","Ambassadors &amp; Creators")</f>
        <v/>
      </c>
      <c r="D26" s="23" t="n"/>
      <c r="E26" s="22" t="n"/>
      <c r="F26" s="23" t="n"/>
      <c r="G26" s="23" t="n"/>
      <c r="H26" s="23" t="n"/>
      <c r="I26" s="22" t="n"/>
      <c r="J26" s="23" t="n"/>
      <c r="K26" s="22" t="n"/>
      <c r="L26" s="23" t="n"/>
      <c r="M26" s="22" t="n"/>
      <c r="N26" s="23" t="n"/>
      <c r="O26" s="22" t="n"/>
      <c r="P26" s="23" t="n"/>
      <c r="Q26" s="23" t="n"/>
      <c r="R26" s="24" t="n"/>
      <c r="S26" s="25">
        <f>IF(ISBLANK(R26),"",TODAY()-R26)</f>
        <v/>
      </c>
      <c r="T26" s="22" t="n"/>
      <c r="U26" s="24" t="n"/>
      <c r="V26" s="23" t="n"/>
      <c r="W26" s="24" t="n"/>
      <c r="X26" s="23" t="n"/>
      <c r="Y26" s="23" t="n"/>
      <c r="Z26" s="26" t="n"/>
      <c r="AA26" s="27">
        <f>IF(OR($Z26="",$Y26="",$Y26=0),"",$Z26/($Y26*24))</f>
        <v/>
      </c>
      <c r="AB26" s="26" t="n"/>
      <c r="AC26" s="22" t="n"/>
      <c r="AD26" s="22" t="n"/>
      <c r="AE26" s="22" t="n"/>
      <c r="AF26" s="22" t="n"/>
      <c r="AG26" s="22" t="n"/>
      <c r="AH26" s="23" t="n"/>
      <c r="AI26" s="23" t="n"/>
      <c r="AJ26" s="23" t="n"/>
      <c r="AK26" s="23" t="n"/>
      <c r="AL26" s="22" t="n"/>
    </row>
    <row r="27" ht="20" customHeight="1">
      <c r="A27" s="17">
        <f>IF($B27="","",ROW()-2)</f>
        <v/>
      </c>
      <c r="B27" s="16" t="n"/>
      <c r="C27" s="16">
        <f>IF($B27="","","Ambassadors &amp; Creators")</f>
        <v/>
      </c>
      <c r="D27" s="17" t="n"/>
      <c r="E27" s="16" t="n"/>
      <c r="F27" s="17" t="n"/>
      <c r="G27" s="17" t="n"/>
      <c r="H27" s="17" t="n"/>
      <c r="I27" s="16" t="n"/>
      <c r="J27" s="17" t="n"/>
      <c r="K27" s="16" t="n"/>
      <c r="L27" s="17" t="n"/>
      <c r="M27" s="16" t="n"/>
      <c r="N27" s="17" t="n"/>
      <c r="O27" s="16" t="n"/>
      <c r="P27" s="17" t="n"/>
      <c r="Q27" s="17" t="n"/>
      <c r="R27" s="15" t="n"/>
      <c r="S27" s="19">
        <f>IF(ISBLANK(R27),"",TODAY()-R27)</f>
        <v/>
      </c>
      <c r="T27" s="16" t="n"/>
      <c r="U27" s="15" t="n"/>
      <c r="V27" s="17" t="n"/>
      <c r="W27" s="15" t="n"/>
      <c r="X27" s="17" t="n"/>
      <c r="Y27" s="17" t="n"/>
      <c r="Z27" s="20" t="n"/>
      <c r="AA27" s="21">
        <f>IF(OR($Z27="",$Y27="",$Y27=0),"",$Z27/($Y27*24))</f>
        <v/>
      </c>
      <c r="AB27" s="20" t="n"/>
      <c r="AC27" s="16" t="n"/>
      <c r="AD27" s="16" t="n"/>
      <c r="AE27" s="16" t="n"/>
      <c r="AF27" s="16" t="n"/>
      <c r="AG27" s="16" t="n"/>
      <c r="AH27" s="17" t="n"/>
      <c r="AI27" s="17" t="n"/>
      <c r="AJ27" s="17" t="n"/>
      <c r="AK27" s="17" t="n"/>
      <c r="AL27" s="16" t="n"/>
    </row>
    <row r="28" ht="20" customHeight="1">
      <c r="A28" s="23">
        <f>IF($B28="","",ROW()-2)</f>
        <v/>
      </c>
      <c r="B28" s="22" t="n"/>
      <c r="C28" s="22">
        <f>IF($B28="","","Ambassadors &amp; Creators")</f>
        <v/>
      </c>
      <c r="D28" s="23" t="n"/>
      <c r="E28" s="22" t="n"/>
      <c r="F28" s="23" t="n"/>
      <c r="G28" s="23" t="n"/>
      <c r="H28" s="23" t="n"/>
      <c r="I28" s="22" t="n"/>
      <c r="J28" s="23" t="n"/>
      <c r="K28" s="22" t="n"/>
      <c r="L28" s="23" t="n"/>
      <c r="M28" s="22" t="n"/>
      <c r="N28" s="23" t="n"/>
      <c r="O28" s="22" t="n"/>
      <c r="P28" s="23" t="n"/>
      <c r="Q28" s="23" t="n"/>
      <c r="R28" s="24" t="n"/>
      <c r="S28" s="25">
        <f>IF(ISBLANK(R28),"",TODAY()-R28)</f>
        <v/>
      </c>
      <c r="T28" s="22" t="n"/>
      <c r="U28" s="24" t="n"/>
      <c r="V28" s="23" t="n"/>
      <c r="W28" s="24" t="n"/>
      <c r="X28" s="23" t="n"/>
      <c r="Y28" s="23" t="n"/>
      <c r="Z28" s="26" t="n"/>
      <c r="AA28" s="27">
        <f>IF(OR($Z28="",$Y28="",$Y28=0),"",$Z28/($Y28*24))</f>
        <v/>
      </c>
      <c r="AB28" s="26" t="n"/>
      <c r="AC28" s="22" t="n"/>
      <c r="AD28" s="22" t="n"/>
      <c r="AE28" s="22" t="n"/>
      <c r="AF28" s="22" t="n"/>
      <c r="AG28" s="22" t="n"/>
      <c r="AH28" s="23" t="n"/>
      <c r="AI28" s="23" t="n"/>
      <c r="AJ28" s="23" t="n"/>
      <c r="AK28" s="23" t="n"/>
      <c r="AL28" s="22" t="n"/>
    </row>
    <row r="29" ht="20" customHeight="1">
      <c r="A29" s="17">
        <f>IF($B29="","",ROW()-2)</f>
        <v/>
      </c>
      <c r="B29" s="16" t="n"/>
      <c r="C29" s="16">
        <f>IF($B29="","","Ambassadors &amp; Creators")</f>
        <v/>
      </c>
      <c r="D29" s="17" t="n"/>
      <c r="E29" s="16" t="n"/>
      <c r="F29" s="17" t="n"/>
      <c r="G29" s="17" t="n"/>
      <c r="H29" s="17" t="n"/>
      <c r="I29" s="16" t="n"/>
      <c r="J29" s="17" t="n"/>
      <c r="K29" s="16" t="n"/>
      <c r="L29" s="17" t="n"/>
      <c r="M29" s="16" t="n"/>
      <c r="N29" s="17" t="n"/>
      <c r="O29" s="16" t="n"/>
      <c r="P29" s="17" t="n"/>
      <c r="Q29" s="17" t="n"/>
      <c r="R29" s="15" t="n"/>
      <c r="S29" s="19">
        <f>IF(ISBLANK(R29),"",TODAY()-R29)</f>
        <v/>
      </c>
      <c r="T29" s="16" t="n"/>
      <c r="U29" s="15" t="n"/>
      <c r="V29" s="17" t="n"/>
      <c r="W29" s="15" t="n"/>
      <c r="X29" s="17" t="n"/>
      <c r="Y29" s="17" t="n"/>
      <c r="Z29" s="20" t="n"/>
      <c r="AA29" s="21">
        <f>IF(OR($Z29="",$Y29="",$Y29=0),"",$Z29/($Y29*24))</f>
        <v/>
      </c>
      <c r="AB29" s="20" t="n"/>
      <c r="AC29" s="16" t="n"/>
      <c r="AD29" s="16" t="n"/>
      <c r="AE29" s="16" t="n"/>
      <c r="AF29" s="16" t="n"/>
      <c r="AG29" s="16" t="n"/>
      <c r="AH29" s="17" t="n"/>
      <c r="AI29" s="17" t="n"/>
      <c r="AJ29" s="17" t="n"/>
      <c r="AK29" s="17" t="n"/>
      <c r="AL29" s="16" t="n"/>
    </row>
    <row r="30" ht="20" customHeight="1">
      <c r="A30" s="23">
        <f>IF($B30="","",ROW()-2)</f>
        <v/>
      </c>
      <c r="B30" s="22" t="n"/>
      <c r="C30" s="22">
        <f>IF($B30="","","Ambassadors &amp; Creators")</f>
        <v/>
      </c>
      <c r="D30" s="23" t="n"/>
      <c r="E30" s="22" t="n"/>
      <c r="F30" s="23" t="n"/>
      <c r="G30" s="23" t="n"/>
      <c r="H30" s="23" t="n"/>
      <c r="I30" s="22" t="n"/>
      <c r="J30" s="23" t="n"/>
      <c r="K30" s="22" t="n"/>
      <c r="L30" s="23" t="n"/>
      <c r="M30" s="22" t="n"/>
      <c r="N30" s="23" t="n"/>
      <c r="O30" s="22" t="n"/>
      <c r="P30" s="23" t="n"/>
      <c r="Q30" s="23" t="n"/>
      <c r="R30" s="24" t="n"/>
      <c r="S30" s="25">
        <f>IF(ISBLANK(R30),"",TODAY()-R30)</f>
        <v/>
      </c>
      <c r="T30" s="22" t="n"/>
      <c r="U30" s="24" t="n"/>
      <c r="V30" s="23" t="n"/>
      <c r="W30" s="24" t="n"/>
      <c r="X30" s="23" t="n"/>
      <c r="Y30" s="23" t="n"/>
      <c r="Z30" s="26" t="n"/>
      <c r="AA30" s="27">
        <f>IF(OR($Z30="",$Y30="",$Y30=0),"",$Z30/($Y30*24))</f>
        <v/>
      </c>
      <c r="AB30" s="26" t="n"/>
      <c r="AC30" s="22" t="n"/>
      <c r="AD30" s="22" t="n"/>
      <c r="AE30" s="22" t="n"/>
      <c r="AF30" s="22" t="n"/>
      <c r="AG30" s="22" t="n"/>
      <c r="AH30" s="23" t="n"/>
      <c r="AI30" s="23" t="n"/>
      <c r="AJ30" s="23" t="n"/>
      <c r="AK30" s="23" t="n"/>
      <c r="AL30" s="22" t="n"/>
    </row>
    <row r="31" ht="20" customHeight="1">
      <c r="A31" s="17">
        <f>IF($B31="","",ROW()-2)</f>
        <v/>
      </c>
      <c r="B31" s="16" t="n"/>
      <c r="C31" s="16">
        <f>IF($B31="","","Ambassadors &amp; Creators")</f>
        <v/>
      </c>
      <c r="D31" s="17" t="n"/>
      <c r="E31" s="16" t="n"/>
      <c r="F31" s="17" t="n"/>
      <c r="G31" s="17" t="n"/>
      <c r="H31" s="17" t="n"/>
      <c r="I31" s="16" t="n"/>
      <c r="J31" s="17" t="n"/>
      <c r="K31" s="16" t="n"/>
      <c r="L31" s="17" t="n"/>
      <c r="M31" s="16" t="n"/>
      <c r="N31" s="17" t="n"/>
      <c r="O31" s="16" t="n"/>
      <c r="P31" s="17" t="n"/>
      <c r="Q31" s="17" t="n"/>
      <c r="R31" s="15" t="n"/>
      <c r="S31" s="19">
        <f>IF(ISBLANK(R31),"",TODAY()-R31)</f>
        <v/>
      </c>
      <c r="T31" s="16" t="n"/>
      <c r="U31" s="15" t="n"/>
      <c r="V31" s="17" t="n"/>
      <c r="W31" s="15" t="n"/>
      <c r="X31" s="17" t="n"/>
      <c r="Y31" s="17" t="n"/>
      <c r="Z31" s="20" t="n"/>
      <c r="AA31" s="21">
        <f>IF(OR($Z31="",$Y31="",$Y31=0),"",$Z31/($Y31*24))</f>
        <v/>
      </c>
      <c r="AB31" s="20" t="n"/>
      <c r="AC31" s="16" t="n"/>
      <c r="AD31" s="16" t="n"/>
      <c r="AE31" s="16" t="n"/>
      <c r="AF31" s="16" t="n"/>
      <c r="AG31" s="16" t="n"/>
      <c r="AH31" s="17" t="n"/>
      <c r="AI31" s="17" t="n"/>
      <c r="AJ31" s="17" t="n"/>
      <c r="AK31" s="17" t="n"/>
      <c r="AL31" s="16" t="n"/>
    </row>
    <row r="32" ht="20" customHeight="1">
      <c r="A32" s="23">
        <f>IF($B32="","",ROW()-2)</f>
        <v/>
      </c>
      <c r="B32" s="22" t="n"/>
      <c r="C32" s="22">
        <f>IF($B32="","","Ambassadors &amp; Creators")</f>
        <v/>
      </c>
      <c r="D32" s="23" t="n"/>
      <c r="E32" s="22" t="n"/>
      <c r="F32" s="23" t="n"/>
      <c r="G32" s="23" t="n"/>
      <c r="H32" s="23" t="n"/>
      <c r="I32" s="22" t="n"/>
      <c r="J32" s="23" t="n"/>
      <c r="K32" s="22" t="n"/>
      <c r="L32" s="23" t="n"/>
      <c r="M32" s="22" t="n"/>
      <c r="N32" s="23" t="n"/>
      <c r="O32" s="22" t="n"/>
      <c r="P32" s="23" t="n"/>
      <c r="Q32" s="23" t="n"/>
      <c r="R32" s="24" t="n"/>
      <c r="S32" s="25">
        <f>IF(ISBLANK(R32),"",TODAY()-R32)</f>
        <v/>
      </c>
      <c r="T32" s="22" t="n"/>
      <c r="U32" s="24" t="n"/>
      <c r="V32" s="23" t="n"/>
      <c r="W32" s="24" t="n"/>
      <c r="X32" s="23" t="n"/>
      <c r="Y32" s="23" t="n"/>
      <c r="Z32" s="26" t="n"/>
      <c r="AA32" s="27">
        <f>IF(OR($Z32="",$Y32="",$Y32=0),"",$Z32/($Y32*24))</f>
        <v/>
      </c>
      <c r="AB32" s="26" t="n"/>
      <c r="AC32" s="22" t="n"/>
      <c r="AD32" s="22" t="n"/>
      <c r="AE32" s="22" t="n"/>
      <c r="AF32" s="22" t="n"/>
      <c r="AG32" s="22" t="n"/>
      <c r="AH32" s="23" t="n"/>
      <c r="AI32" s="23" t="n"/>
      <c r="AJ32" s="23" t="n"/>
      <c r="AK32" s="23" t="n"/>
      <c r="AL32" s="22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Charity &amp; Causes</t>
        </is>
      </c>
    </row>
    <row r="2" ht="50" customHeight="1">
      <c r="A2" s="8" t="inlineStr">
        <is>
          <t>#</t>
        </is>
      </c>
      <c r="B2" s="8" t="inlineStr">
        <is>
          <t>Partner Name</t>
        </is>
      </c>
      <c r="C2" s="8" t="inlineStr">
        <is>
          <t>Partnership Type</t>
        </is>
      </c>
      <c r="D2" s="8" t="inlineStr">
        <is>
          <t>City</t>
        </is>
      </c>
      <c r="E2" s="8" t="inlineStr">
        <is>
          <t>Neighbourhood</t>
        </is>
      </c>
      <c r="F2" s="8" t="inlineStr">
        <is>
          <t>Priority</t>
        </is>
      </c>
      <c r="G2" s="8" t="inlineStr">
        <is>
          <t>Status</t>
        </is>
      </c>
      <c r="H2" s="8" t="inlineStr">
        <is>
          <t>Primary Owner</t>
        </is>
      </c>
      <c r="I2" s="8" t="inlineStr">
        <is>
          <t>Contact Name</t>
        </is>
      </c>
      <c r="J2" s="8" t="inlineStr">
        <is>
          <t>Role</t>
        </is>
      </c>
      <c r="K2" s="8" t="inlineStr">
        <is>
          <t>Contact Email</t>
        </is>
      </c>
      <c r="L2" s="8" t="inlineStr">
        <is>
          <t>Contact Phone</t>
        </is>
      </c>
      <c r="M2" s="8" t="inlineStr">
        <is>
          <t>Instagram or Website</t>
        </is>
      </c>
      <c r="N2" s="8" t="inlineStr">
        <is>
          <t>Audience Size</t>
        </is>
      </c>
      <c r="O2" s="8" t="inlineStr">
        <is>
          <t>Audience Source</t>
        </is>
      </c>
      <c r="P2" s="8" t="inlineStr">
        <is>
          <t>Source</t>
        </is>
      </c>
      <c r="Q2" s="8" t="inlineStr">
        <is>
          <t>Warm</t>
        </is>
      </c>
      <c r="R2" s="8" t="inlineStr">
        <is>
          <t>Last Contacted</t>
        </is>
      </c>
      <c r="S2" s="8" t="inlineStr">
        <is>
          <t>Days Since Activity</t>
        </is>
      </c>
      <c r="T2" s="8" t="inlineStr">
        <is>
          <t>Next Action</t>
        </is>
      </c>
      <c r="U2" s="8" t="inlineStr">
        <is>
          <t>Next Action Date</t>
        </is>
      </c>
      <c r="V2" s="8" t="inlineStr">
        <is>
          <t>Activation Type</t>
        </is>
      </c>
      <c r="W2" s="8" t="inlineStr">
        <is>
          <t>Activation Date</t>
        </is>
      </c>
      <c r="X2" s="8" t="inlineStr">
        <is>
          <t>Cases Committed</t>
        </is>
      </c>
      <c r="Y2" s="8" t="inlineStr">
        <is>
          <t>Cases Delivered</t>
        </is>
      </c>
      <c r="Z2" s="8" t="inlineStr">
        <is>
          <t>Cost ($)</t>
        </is>
      </c>
      <c r="AA2" s="8" t="inlineStr">
        <is>
          <t>Cost Per Can</t>
        </is>
      </c>
      <c r="AB2" s="8" t="inlineStr">
        <is>
          <t>Contra Value ($)</t>
        </is>
      </c>
      <c r="AC2" s="8" t="inlineStr">
        <is>
          <t>Deliverables Promised</t>
        </is>
      </c>
      <c r="AD2" s="8" t="inlineStr">
        <is>
          <t>Deliverables Received</t>
        </is>
      </c>
      <c r="AE2" s="8" t="inlineStr">
        <is>
          <t>What They Want</t>
        </is>
      </c>
      <c r="AF2" s="8" t="inlineStr">
        <is>
          <t>Risks</t>
        </is>
      </c>
      <c r="AG2" s="8" t="inlineStr">
        <is>
          <t>Nearby Retail Doors</t>
        </is>
      </c>
      <c r="AH2" s="8" t="inlineStr">
        <is>
          <t>In BC Tracker?</t>
        </is>
      </c>
      <c r="AI2" s="8" t="inlineStr">
        <is>
          <t>Raspberry 4338</t>
        </is>
      </c>
      <c r="AJ2" s="8" t="inlineStr">
        <is>
          <t>Lemon Lime 4336</t>
        </is>
      </c>
      <c r="AK2" s="8" t="inlineStr">
        <is>
          <t>Pineapple Passion Fruit 4340</t>
        </is>
      </c>
      <c r="AL2" s="8" t="inlineStr">
        <is>
          <t>Notes</t>
        </is>
      </c>
    </row>
    <row r="3" ht="20" customHeight="1">
      <c r="A3" s="17">
        <f>IF($B3="","",ROW()-2)</f>
        <v/>
      </c>
      <c r="B3" s="16" t="inlineStr">
        <is>
          <t>BC Children's Hospital Foundation</t>
        </is>
      </c>
      <c r="C3" s="16">
        <f>IF($B3="","","Charity &amp; Causes")</f>
        <v/>
      </c>
      <c r="D3" s="17" t="inlineStr">
        <is>
          <t>Vancouver</t>
        </is>
      </c>
      <c r="E3" s="16" t="inlineStr">
        <is>
          <t>Queen Elizabeth Park</t>
        </is>
      </c>
      <c r="F3" s="17" t="inlineStr">
        <is>
          <t>P1</t>
        </is>
      </c>
      <c r="G3" s="17" t="inlineStr">
        <is>
          <t>Open</t>
        </is>
      </c>
      <c r="H3" s="17" t="inlineStr">
        <is>
          <t>Maddie</t>
        </is>
      </c>
      <c r="I3" s="16" t="n"/>
      <c r="J3" s="17" t="n"/>
      <c r="K3" s="16" t="n"/>
      <c r="L3" s="17" t="n"/>
      <c r="M3" s="33" t="inlineStr">
        <is>
          <t>fundraise.bcchf.ca</t>
        </is>
      </c>
      <c r="N3" s="17" t="inlineStr">
        <is>
          <t>10,000 runners target 2026</t>
        </is>
      </c>
      <c r="O3" s="16" t="inlineStr">
        <is>
          <t>runguides and BCCHF pages, 2026 aims to welcome more than 10,000 runners</t>
        </is>
      </c>
      <c r="P3" s="17" t="inlineStr">
        <is>
          <t>Verified Web</t>
        </is>
      </c>
      <c r="Q3" s="17" t="inlineStr">
        <is>
          <t>Cold</t>
        </is>
      </c>
      <c r="R3" s="15" t="n"/>
      <c r="S3" s="19">
        <f>IF(ISBLANK(R3),"",TODAY()-R3)</f>
        <v/>
      </c>
      <c r="T3" s="16" t="n"/>
      <c r="U3" s="15" t="n"/>
      <c r="V3" s="17" t="n"/>
      <c r="W3" s="15" t="n"/>
      <c r="X3" s="17" t="n"/>
      <c r="Y3" s="17" t="n"/>
      <c r="Z3" s="20" t="n"/>
      <c r="AA3" s="21">
        <f>IF(OR($Z3="",$Y3="",$Y3=0),"",$Z3/($Y3*24))</f>
        <v/>
      </c>
      <c r="AB3" s="20" t="n"/>
      <c r="AC3" s="16" t="n"/>
      <c r="AD3" s="16" t="n"/>
      <c r="AE3" s="16" t="n"/>
      <c r="AF3" s="16" t="n"/>
      <c r="AG3" s="16" t="n"/>
      <c r="AH3" s="17" t="inlineStr">
        <is>
          <t>No</t>
        </is>
      </c>
      <c r="AI3" s="17" t="n"/>
      <c r="AJ3" s="17" t="n"/>
      <c r="AK3" s="17" t="n"/>
      <c r="AL3" s="16" t="inlineStr">
        <is>
          <t>Hosts RBC Race for the Kids, Jun 8 2026 at Queen Elizabeth Park. 5k plus 2k fun run and a family carnival.</t>
        </is>
      </c>
    </row>
    <row r="4" ht="20" customHeight="1">
      <c r="A4" s="23">
        <f>IF($B4="","",ROW()-2)</f>
        <v/>
      </c>
      <c r="B4" s="22" t="inlineStr">
        <is>
          <t>Greater Vancouver Food Bank</t>
        </is>
      </c>
      <c r="C4" s="22">
        <f>IF($B4="","","Charity &amp; Causes")</f>
        <v/>
      </c>
      <c r="D4" s="23" t="inlineStr">
        <is>
          <t>Burnaby</t>
        </is>
      </c>
      <c r="E4" s="22" t="inlineStr">
        <is>
          <t>Swangard Stadium</t>
        </is>
      </c>
      <c r="F4" s="23" t="inlineStr">
        <is>
          <t>P2</t>
        </is>
      </c>
      <c r="G4" s="23" t="inlineStr">
        <is>
          <t>Open</t>
        </is>
      </c>
      <c r="H4" s="23" t="inlineStr">
        <is>
          <t>Maddie</t>
        </is>
      </c>
      <c r="I4" s="22" t="n"/>
      <c r="J4" s="23" t="n"/>
      <c r="K4" s="22" t="n"/>
      <c r="L4" s="23" t="n"/>
      <c r="M4" s="34" t="inlineStr">
        <is>
          <t>foodbank.bc.ca</t>
        </is>
      </c>
      <c r="N4" s="23" t="inlineStr">
        <is>
          <t>TBD</t>
        </is>
      </c>
      <c r="O4" s="22" t="n"/>
      <c r="P4" s="23" t="inlineStr">
        <is>
          <t>Verified Web</t>
        </is>
      </c>
      <c r="Q4" s="23" t="inlineStr">
        <is>
          <t>Cold</t>
        </is>
      </c>
      <c r="R4" s="24" t="n"/>
      <c r="S4" s="25">
        <f>IF(ISBLANK(R4),"",TODAY()-R4)</f>
        <v/>
      </c>
      <c r="T4" s="22" t="n"/>
      <c r="U4" s="24" t="n"/>
      <c r="V4" s="23" t="n"/>
      <c r="W4" s="24" t="n"/>
      <c r="X4" s="23" t="n"/>
      <c r="Y4" s="23" t="n"/>
      <c r="Z4" s="26" t="n"/>
      <c r="AA4" s="27">
        <f>IF(OR($Z4="",$Y4="",$Y4=0),"",$Z4/($Y4*24))</f>
        <v/>
      </c>
      <c r="AB4" s="26" t="n"/>
      <c r="AC4" s="22" t="n"/>
      <c r="AD4" s="22" t="n"/>
      <c r="AE4" s="22" t="n"/>
      <c r="AF4" s="22" t="n"/>
      <c r="AG4" s="22" t="n"/>
      <c r="AH4" s="23" t="inlineStr">
        <is>
          <t>No</t>
        </is>
      </c>
      <c r="AI4" s="23" t="n"/>
      <c r="AJ4" s="23" t="n"/>
      <c r="AK4" s="23" t="n"/>
      <c r="AL4" s="22" t="inlineStr">
        <is>
          <t>Hosts Foodstock, Jun 23 2026 at Swangard Stadium. A 19 plus outdoor music and food festival.</t>
        </is>
      </c>
    </row>
    <row r="5" ht="20" customHeight="1">
      <c r="A5" s="17">
        <f>IF($B5="","",ROW()-2)</f>
        <v/>
      </c>
      <c r="B5" s="16" t="inlineStr">
        <is>
          <t>Backpack Buddies</t>
        </is>
      </c>
      <c r="C5" s="16">
        <f>IF($B5="","","Charity &amp; Causes")</f>
        <v/>
      </c>
      <c r="D5" s="17" t="inlineStr">
        <is>
          <t>Vancouver</t>
        </is>
      </c>
      <c r="E5" s="16" t="inlineStr">
        <is>
          <t>Multiple</t>
        </is>
      </c>
      <c r="F5" s="17" t="inlineStr">
        <is>
          <t>P2</t>
        </is>
      </c>
      <c r="G5" s="17" t="inlineStr">
        <is>
          <t>Open</t>
        </is>
      </c>
      <c r="H5" s="17" t="inlineStr">
        <is>
          <t>Maddie</t>
        </is>
      </c>
      <c r="I5" s="16" t="n"/>
      <c r="J5" s="17" t="n"/>
      <c r="K5" s="16" t="n"/>
      <c r="L5" s="17" t="n"/>
      <c r="M5" s="33" t="inlineStr">
        <is>
          <t>@backpackbuddiesbc</t>
        </is>
      </c>
      <c r="N5" s="17" t="inlineStr">
        <is>
          <t>4,347 IG, 6,800 kids weekly</t>
        </is>
      </c>
      <c r="O5" s="16" t="inlineStr">
        <is>
          <t>Web search, 4,347 Instagram followers and over 6,800 kids reached weekly, 1.8 million meals in 2025 and 2026</t>
        </is>
      </c>
      <c r="P5" s="17" t="inlineStr">
        <is>
          <t>Verified Web</t>
        </is>
      </c>
      <c r="Q5" s="17" t="inlineStr">
        <is>
          <t>Cold</t>
        </is>
      </c>
      <c r="R5" s="15" t="n"/>
      <c r="S5" s="19">
        <f>IF(ISBLANK(R5),"",TODAY()-R5)</f>
        <v/>
      </c>
      <c r="T5" s="16" t="n"/>
      <c r="U5" s="15" t="n"/>
      <c r="V5" s="17" t="n"/>
      <c r="W5" s="15" t="n"/>
      <c r="X5" s="17" t="n"/>
      <c r="Y5" s="17" t="n"/>
      <c r="Z5" s="20" t="n"/>
      <c r="AA5" s="21">
        <f>IF(OR($Z5="",$Y5="",$Y5=0),"",$Z5/($Y5*24))</f>
        <v/>
      </c>
      <c r="AB5" s="20" t="n"/>
      <c r="AC5" s="16" t="n"/>
      <c r="AD5" s="16" t="n"/>
      <c r="AE5" s="16" t="n"/>
      <c r="AF5" s="16" t="n"/>
      <c r="AG5" s="16" t="n"/>
      <c r="AH5" s="17" t="inlineStr">
        <is>
          <t>No</t>
        </is>
      </c>
      <c r="AI5" s="17" t="n"/>
      <c r="AJ5" s="17" t="n"/>
      <c r="AK5" s="17" t="n"/>
      <c r="AL5" s="16" t="inlineStr">
        <is>
          <t>Hosts the Birdies and Buddies golf tournament Jun 8 2026. School food programs across 83 BC communities.</t>
        </is>
      </c>
    </row>
    <row r="6" ht="20" customHeight="1">
      <c r="A6" s="23">
        <f>IF($B6="","",ROW()-2)</f>
        <v/>
      </c>
      <c r="B6" s="22" t="inlineStr">
        <is>
          <t>Victoria Hospice</t>
        </is>
      </c>
      <c r="C6" s="22">
        <f>IF($B6="","","Charity &amp; Causes")</f>
        <v/>
      </c>
      <c r="D6" s="23" t="inlineStr">
        <is>
          <t>Victoria</t>
        </is>
      </c>
      <c r="E6" s="22" t="inlineStr">
        <is>
          <t>Oak Bay</t>
        </is>
      </c>
      <c r="F6" s="23" t="inlineStr">
        <is>
          <t>P3</t>
        </is>
      </c>
      <c r="G6" s="23" t="inlineStr">
        <is>
          <t>Open</t>
        </is>
      </c>
      <c r="H6" s="23" t="inlineStr">
        <is>
          <t>Maddie</t>
        </is>
      </c>
      <c r="I6" s="22" t="n"/>
      <c r="J6" s="23" t="n"/>
      <c r="K6" s="22" t="n"/>
      <c r="L6" s="23" t="n"/>
      <c r="M6" s="34" t="inlineStr">
        <is>
          <t>victoriahospice.org</t>
        </is>
      </c>
      <c r="N6" s="23" t="inlineStr">
        <is>
          <t>TBD</t>
        </is>
      </c>
      <c r="O6" s="22" t="n"/>
      <c r="P6" s="23" t="inlineStr">
        <is>
          <t>Verified Web</t>
        </is>
      </c>
      <c r="Q6" s="23" t="inlineStr">
        <is>
          <t>Cold</t>
        </is>
      </c>
      <c r="R6" s="24" t="n"/>
      <c r="S6" s="25">
        <f>IF(ISBLANK(R6),"",TODAY()-R6)</f>
        <v/>
      </c>
      <c r="T6" s="22" t="n"/>
      <c r="U6" s="24" t="n"/>
      <c r="V6" s="23" t="n"/>
      <c r="W6" s="24" t="n"/>
      <c r="X6" s="23" t="n"/>
      <c r="Y6" s="23" t="n"/>
      <c r="Z6" s="26" t="n"/>
      <c r="AA6" s="27">
        <f>IF(OR($Z6="",$Y6="",$Y6=0),"",$Z6/($Y6*24))</f>
        <v/>
      </c>
      <c r="AB6" s="26" t="n"/>
      <c r="AC6" s="22" t="n"/>
      <c r="AD6" s="22" t="n"/>
      <c r="AE6" s="22" t="n"/>
      <c r="AF6" s="22" t="n"/>
      <c r="AG6" s="22" t="n"/>
      <c r="AH6" s="23" t="inlineStr">
        <is>
          <t>No</t>
        </is>
      </c>
      <c r="AI6" s="23" t="n"/>
      <c r="AJ6" s="23" t="n"/>
      <c r="AK6" s="23" t="n"/>
      <c r="AL6" s="22" t="inlineStr">
        <is>
          <t>Hosts Hike for Hospice, May 3 2026 at Willows Beach. A Goddess Run charity of choice.</t>
        </is>
      </c>
    </row>
    <row r="7" ht="20" customHeight="1">
      <c r="A7" s="17">
        <f>IF($B7="","",ROW()-2)</f>
        <v/>
      </c>
      <c r="B7" s="16" t="inlineStr">
        <is>
          <t>Wild One Run for Youth Mental Health</t>
        </is>
      </c>
      <c r="C7" s="16">
        <f>IF($B7="","","Charity &amp; Causes")</f>
        <v/>
      </c>
      <c r="D7" s="17" t="inlineStr">
        <is>
          <t>Kelowna</t>
        </is>
      </c>
      <c r="E7" s="16" t="inlineStr">
        <is>
          <t>Wilden</t>
        </is>
      </c>
      <c r="F7" s="17" t="inlineStr">
        <is>
          <t>P3</t>
        </is>
      </c>
      <c r="G7" s="17" t="inlineStr">
        <is>
          <t>Open</t>
        </is>
      </c>
      <c r="H7" s="17" t="inlineStr">
        <is>
          <t>Maddie</t>
        </is>
      </c>
      <c r="I7" s="16" t="n"/>
      <c r="J7" s="17" t="n"/>
      <c r="K7" s="16" t="n"/>
      <c r="L7" s="17" t="n"/>
      <c r="M7" s="33" t="inlineStr">
        <is>
          <t>wildonerun.ca</t>
        </is>
      </c>
      <c r="N7" s="17" t="inlineStr">
        <is>
          <t>TBD</t>
        </is>
      </c>
      <c r="O7" s="16" t="n"/>
      <c r="P7" s="17" t="inlineStr">
        <is>
          <t>Verified Web</t>
        </is>
      </c>
      <c r="Q7" s="17" t="inlineStr">
        <is>
          <t>Cold</t>
        </is>
      </c>
      <c r="R7" s="15" t="n"/>
      <c r="S7" s="19">
        <f>IF(ISBLANK(R7),"",TODAY()-R7)</f>
        <v/>
      </c>
      <c r="T7" s="16" t="n"/>
      <c r="U7" s="15" t="n"/>
      <c r="V7" s="17" t="n"/>
      <c r="W7" s="15" t="n"/>
      <c r="X7" s="17" t="n"/>
      <c r="Y7" s="17" t="n"/>
      <c r="Z7" s="20" t="n"/>
      <c r="AA7" s="21">
        <f>IF(OR($Z7="",$Y7="",$Y7=0),"",$Z7/($Y7*24))</f>
        <v/>
      </c>
      <c r="AB7" s="20" t="n"/>
      <c r="AC7" s="16" t="n"/>
      <c r="AD7" s="16" t="n"/>
      <c r="AE7" s="16" t="n"/>
      <c r="AF7" s="16" t="n"/>
      <c r="AG7" s="16" t="n"/>
      <c r="AH7" s="17" t="inlineStr">
        <is>
          <t>No</t>
        </is>
      </c>
      <c r="AI7" s="17" t="n"/>
      <c r="AJ7" s="17" t="n"/>
      <c r="AK7" s="17" t="n"/>
      <c r="AL7" s="16" t="inlineStr">
        <is>
          <t>Trail run and walk Oct 3 2026 on the Wilden trails. Proceeds to Foundry Kelowna.</t>
        </is>
      </c>
    </row>
    <row r="8" ht="20" customHeight="1">
      <c r="A8" s="23">
        <f>IF($B8="","",ROW()-2)</f>
        <v/>
      </c>
      <c r="B8" s="22" t="n"/>
      <c r="C8" s="22">
        <f>IF($B8="","","Charity &amp; Causes")</f>
        <v/>
      </c>
      <c r="D8" s="23" t="n"/>
      <c r="E8" s="22" t="n"/>
      <c r="F8" s="23" t="n"/>
      <c r="G8" s="23" t="n"/>
      <c r="H8" s="23" t="n"/>
      <c r="I8" s="22" t="n"/>
      <c r="J8" s="23" t="n"/>
      <c r="K8" s="22" t="n"/>
      <c r="L8" s="23" t="n"/>
      <c r="M8" s="22" t="n"/>
      <c r="N8" s="23" t="n"/>
      <c r="O8" s="22" t="n"/>
      <c r="P8" s="23" t="n"/>
      <c r="Q8" s="23" t="n"/>
      <c r="R8" s="24" t="n"/>
      <c r="S8" s="25">
        <f>IF(ISBLANK(R8),"",TODAY()-R8)</f>
        <v/>
      </c>
      <c r="T8" s="22" t="n"/>
      <c r="U8" s="24" t="n"/>
      <c r="V8" s="23" t="n"/>
      <c r="W8" s="24" t="n"/>
      <c r="X8" s="23" t="n"/>
      <c r="Y8" s="23" t="n"/>
      <c r="Z8" s="26" t="n"/>
      <c r="AA8" s="27">
        <f>IF(OR($Z8="",$Y8="",$Y8=0),"",$Z8/($Y8*24))</f>
        <v/>
      </c>
      <c r="AB8" s="26" t="n"/>
      <c r="AC8" s="22" t="n"/>
      <c r="AD8" s="22" t="n"/>
      <c r="AE8" s="22" t="n"/>
      <c r="AF8" s="22" t="n"/>
      <c r="AG8" s="22" t="n"/>
      <c r="AH8" s="23" t="n"/>
      <c r="AI8" s="23" t="n"/>
      <c r="AJ8" s="23" t="n"/>
      <c r="AK8" s="23" t="n"/>
      <c r="AL8" s="22" t="n"/>
    </row>
    <row r="9" ht="20" customHeight="1">
      <c r="A9" s="17">
        <f>IF($B9="","",ROW()-2)</f>
        <v/>
      </c>
      <c r="B9" s="16" t="n"/>
      <c r="C9" s="16">
        <f>IF($B9="","","Charity &amp; Causes")</f>
        <v/>
      </c>
      <c r="D9" s="17" t="n"/>
      <c r="E9" s="16" t="n"/>
      <c r="F9" s="17" t="n"/>
      <c r="G9" s="17" t="n"/>
      <c r="H9" s="17" t="n"/>
      <c r="I9" s="16" t="n"/>
      <c r="J9" s="17" t="n"/>
      <c r="K9" s="16" t="n"/>
      <c r="L9" s="17" t="n"/>
      <c r="M9" s="16" t="n"/>
      <c r="N9" s="17" t="n"/>
      <c r="O9" s="16" t="n"/>
      <c r="P9" s="17" t="n"/>
      <c r="Q9" s="17" t="n"/>
      <c r="R9" s="15" t="n"/>
      <c r="S9" s="19">
        <f>IF(ISBLANK(R9),"",TODAY()-R9)</f>
        <v/>
      </c>
      <c r="T9" s="16" t="n"/>
      <c r="U9" s="15" t="n"/>
      <c r="V9" s="17" t="n"/>
      <c r="W9" s="15" t="n"/>
      <c r="X9" s="17" t="n"/>
      <c r="Y9" s="17" t="n"/>
      <c r="Z9" s="20" t="n"/>
      <c r="AA9" s="21">
        <f>IF(OR($Z9="",$Y9="",$Y9=0),"",$Z9/($Y9*24))</f>
        <v/>
      </c>
      <c r="AB9" s="20" t="n"/>
      <c r="AC9" s="16" t="n"/>
      <c r="AD9" s="16" t="n"/>
      <c r="AE9" s="16" t="n"/>
      <c r="AF9" s="16" t="n"/>
      <c r="AG9" s="16" t="n"/>
      <c r="AH9" s="17" t="n"/>
      <c r="AI9" s="17" t="n"/>
      <c r="AJ9" s="17" t="n"/>
      <c r="AK9" s="17" t="n"/>
      <c r="AL9" s="16" t="n"/>
    </row>
    <row r="10" ht="20" customHeight="1">
      <c r="A10" s="23">
        <f>IF($B10="","",ROW()-2)</f>
        <v/>
      </c>
      <c r="B10" s="22" t="n"/>
      <c r="C10" s="22">
        <f>IF($B10="","","Charity &amp; Causes")</f>
        <v/>
      </c>
      <c r="D10" s="23" t="n"/>
      <c r="E10" s="22" t="n"/>
      <c r="F10" s="23" t="n"/>
      <c r="G10" s="23" t="n"/>
      <c r="H10" s="23" t="n"/>
      <c r="I10" s="22" t="n"/>
      <c r="J10" s="23" t="n"/>
      <c r="K10" s="22" t="n"/>
      <c r="L10" s="23" t="n"/>
      <c r="M10" s="22" t="n"/>
      <c r="N10" s="23" t="n"/>
      <c r="O10" s="22" t="n"/>
      <c r="P10" s="23" t="n"/>
      <c r="Q10" s="23" t="n"/>
      <c r="R10" s="24" t="n"/>
      <c r="S10" s="25">
        <f>IF(ISBLANK(R10),"",TODAY()-R10)</f>
        <v/>
      </c>
      <c r="T10" s="22" t="n"/>
      <c r="U10" s="24" t="n"/>
      <c r="V10" s="23" t="n"/>
      <c r="W10" s="24" t="n"/>
      <c r="X10" s="23" t="n"/>
      <c r="Y10" s="23" t="n"/>
      <c r="Z10" s="26" t="n"/>
      <c r="AA10" s="27">
        <f>IF(OR($Z10="",$Y10="",$Y10=0),"",$Z10/($Y10*24))</f>
        <v/>
      </c>
      <c r="AB10" s="26" t="n"/>
      <c r="AC10" s="22" t="n"/>
      <c r="AD10" s="22" t="n"/>
      <c r="AE10" s="22" t="n"/>
      <c r="AF10" s="22" t="n"/>
      <c r="AG10" s="22" t="n"/>
      <c r="AH10" s="23" t="n"/>
      <c r="AI10" s="23" t="n"/>
      <c r="AJ10" s="23" t="n"/>
      <c r="AK10" s="23" t="n"/>
      <c r="AL10" s="22" t="n"/>
    </row>
    <row r="11" ht="20" customHeight="1">
      <c r="A11" s="17">
        <f>IF($B11="","",ROW()-2)</f>
        <v/>
      </c>
      <c r="B11" s="16" t="n"/>
      <c r="C11" s="16">
        <f>IF($B11="","","Charity &amp; Causes")</f>
        <v/>
      </c>
      <c r="D11" s="17" t="n"/>
      <c r="E11" s="16" t="n"/>
      <c r="F11" s="17" t="n"/>
      <c r="G11" s="17" t="n"/>
      <c r="H11" s="17" t="n"/>
      <c r="I11" s="16" t="n"/>
      <c r="J11" s="17" t="n"/>
      <c r="K11" s="16" t="n"/>
      <c r="L11" s="17" t="n"/>
      <c r="M11" s="16" t="n"/>
      <c r="N11" s="17" t="n"/>
      <c r="O11" s="16" t="n"/>
      <c r="P11" s="17" t="n"/>
      <c r="Q11" s="17" t="n"/>
      <c r="R11" s="15" t="n"/>
      <c r="S11" s="19">
        <f>IF(ISBLANK(R11),"",TODAY()-R11)</f>
        <v/>
      </c>
      <c r="T11" s="16" t="n"/>
      <c r="U11" s="15" t="n"/>
      <c r="V11" s="17" t="n"/>
      <c r="W11" s="15" t="n"/>
      <c r="X11" s="17" t="n"/>
      <c r="Y11" s="17" t="n"/>
      <c r="Z11" s="20" t="n"/>
      <c r="AA11" s="21">
        <f>IF(OR($Z11="",$Y11="",$Y11=0),"",$Z11/($Y11*24))</f>
        <v/>
      </c>
      <c r="AB11" s="20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7" t="n"/>
      <c r="AL11" s="16" t="n"/>
    </row>
    <row r="12" ht="20" customHeight="1">
      <c r="A12" s="23">
        <f>IF($B12="","",ROW()-2)</f>
        <v/>
      </c>
      <c r="B12" s="22" t="n"/>
      <c r="C12" s="22">
        <f>IF($B12="","","Charity &amp; Causes")</f>
        <v/>
      </c>
      <c r="D12" s="23" t="n"/>
      <c r="E12" s="22" t="n"/>
      <c r="F12" s="23" t="n"/>
      <c r="G12" s="23" t="n"/>
      <c r="H12" s="23" t="n"/>
      <c r="I12" s="22" t="n"/>
      <c r="J12" s="23" t="n"/>
      <c r="K12" s="22" t="n"/>
      <c r="L12" s="23" t="n"/>
      <c r="M12" s="22" t="n"/>
      <c r="N12" s="23" t="n"/>
      <c r="O12" s="22" t="n"/>
      <c r="P12" s="23" t="n"/>
      <c r="Q12" s="23" t="n"/>
      <c r="R12" s="24" t="n"/>
      <c r="S12" s="25">
        <f>IF(ISBLANK(R12),"",TODAY()-R12)</f>
        <v/>
      </c>
      <c r="T12" s="22" t="n"/>
      <c r="U12" s="24" t="n"/>
      <c r="V12" s="23" t="n"/>
      <c r="W12" s="24" t="n"/>
      <c r="X12" s="23" t="n"/>
      <c r="Y12" s="23" t="n"/>
      <c r="Z12" s="26" t="n"/>
      <c r="AA12" s="27">
        <f>IF(OR($Z12="",$Y12="",$Y12=0),"",$Z12/($Y12*24))</f>
        <v/>
      </c>
      <c r="AB12" s="26" t="n"/>
      <c r="AC12" s="22" t="n"/>
      <c r="AD12" s="22" t="n"/>
      <c r="AE12" s="22" t="n"/>
      <c r="AF12" s="22" t="n"/>
      <c r="AG12" s="22" t="n"/>
      <c r="AH12" s="23" t="n"/>
      <c r="AI12" s="23" t="n"/>
      <c r="AJ12" s="23" t="n"/>
      <c r="AK12" s="23" t="n"/>
      <c r="AL12" s="22" t="n"/>
    </row>
    <row r="13" ht="20" customHeight="1">
      <c r="A13" s="17">
        <f>IF($B13="","",ROW()-2)</f>
        <v/>
      </c>
      <c r="B13" s="16" t="n"/>
      <c r="C13" s="16">
        <f>IF($B13="","","Charity &amp; Causes")</f>
        <v/>
      </c>
      <c r="D13" s="17" t="n"/>
      <c r="E13" s="16" t="n"/>
      <c r="F13" s="17" t="n"/>
      <c r="G13" s="17" t="n"/>
      <c r="H13" s="17" t="n"/>
      <c r="I13" s="16" t="n"/>
      <c r="J13" s="17" t="n"/>
      <c r="K13" s="16" t="n"/>
      <c r="L13" s="17" t="n"/>
      <c r="M13" s="16" t="n"/>
      <c r="N13" s="17" t="n"/>
      <c r="O13" s="16" t="n"/>
      <c r="P13" s="17" t="n"/>
      <c r="Q13" s="17" t="n"/>
      <c r="R13" s="15" t="n"/>
      <c r="S13" s="19">
        <f>IF(ISBLANK(R13),"",TODAY()-R13)</f>
        <v/>
      </c>
      <c r="T13" s="16" t="n"/>
      <c r="U13" s="15" t="n"/>
      <c r="V13" s="17" t="n"/>
      <c r="W13" s="15" t="n"/>
      <c r="X13" s="17" t="n"/>
      <c r="Y13" s="17" t="n"/>
      <c r="Z13" s="20" t="n"/>
      <c r="AA13" s="21">
        <f>IF(OR($Z13="",$Y13="",$Y13=0),"",$Z13/($Y13*24))</f>
        <v/>
      </c>
      <c r="AB13" s="20" t="n"/>
      <c r="AC13" s="16" t="n"/>
      <c r="AD13" s="16" t="n"/>
      <c r="AE13" s="16" t="n"/>
      <c r="AF13" s="16" t="n"/>
      <c r="AG13" s="16" t="n"/>
      <c r="AH13" s="17" t="n"/>
      <c r="AI13" s="17" t="n"/>
      <c r="AJ13" s="17" t="n"/>
      <c r="AK13" s="17" t="n"/>
      <c r="AL13" s="16" t="n"/>
    </row>
    <row r="14" ht="20" customHeight="1">
      <c r="A14" s="23">
        <f>IF($B14="","",ROW()-2)</f>
        <v/>
      </c>
      <c r="B14" s="22" t="n"/>
      <c r="C14" s="22">
        <f>IF($B14="","","Charity &amp; Causes")</f>
        <v/>
      </c>
      <c r="D14" s="23" t="n"/>
      <c r="E14" s="22" t="n"/>
      <c r="F14" s="23" t="n"/>
      <c r="G14" s="23" t="n"/>
      <c r="H14" s="23" t="n"/>
      <c r="I14" s="22" t="n"/>
      <c r="J14" s="23" t="n"/>
      <c r="K14" s="22" t="n"/>
      <c r="L14" s="23" t="n"/>
      <c r="M14" s="22" t="n"/>
      <c r="N14" s="23" t="n"/>
      <c r="O14" s="22" t="n"/>
      <c r="P14" s="23" t="n"/>
      <c r="Q14" s="23" t="n"/>
      <c r="R14" s="24" t="n"/>
      <c r="S14" s="25">
        <f>IF(ISBLANK(R14),"",TODAY()-R14)</f>
        <v/>
      </c>
      <c r="T14" s="22" t="n"/>
      <c r="U14" s="24" t="n"/>
      <c r="V14" s="23" t="n"/>
      <c r="W14" s="24" t="n"/>
      <c r="X14" s="23" t="n"/>
      <c r="Y14" s="23" t="n"/>
      <c r="Z14" s="26" t="n"/>
      <c r="AA14" s="27">
        <f>IF(OR($Z14="",$Y14="",$Y14=0),"",$Z14/($Y14*24))</f>
        <v/>
      </c>
      <c r="AB14" s="26" t="n"/>
      <c r="AC14" s="22" t="n"/>
      <c r="AD14" s="22" t="n"/>
      <c r="AE14" s="22" t="n"/>
      <c r="AF14" s="22" t="n"/>
      <c r="AG14" s="22" t="n"/>
      <c r="AH14" s="23" t="n"/>
      <c r="AI14" s="23" t="n"/>
      <c r="AJ14" s="23" t="n"/>
      <c r="AK14" s="23" t="n"/>
      <c r="AL14" s="22" t="n"/>
    </row>
    <row r="15" ht="20" customHeight="1">
      <c r="A15" s="17">
        <f>IF($B15="","",ROW()-2)</f>
        <v/>
      </c>
      <c r="B15" s="16" t="n"/>
      <c r="C15" s="16">
        <f>IF($B15="","","Charity &amp; Causes")</f>
        <v/>
      </c>
      <c r="D15" s="17" t="n"/>
      <c r="E15" s="16" t="n"/>
      <c r="F15" s="17" t="n"/>
      <c r="G15" s="17" t="n"/>
      <c r="H15" s="17" t="n"/>
      <c r="I15" s="16" t="n"/>
      <c r="J15" s="17" t="n"/>
      <c r="K15" s="16" t="n"/>
      <c r="L15" s="17" t="n"/>
      <c r="M15" s="16" t="n"/>
      <c r="N15" s="17" t="n"/>
      <c r="O15" s="16" t="n"/>
      <c r="P15" s="17" t="n"/>
      <c r="Q15" s="17" t="n"/>
      <c r="R15" s="15" t="n"/>
      <c r="S15" s="19">
        <f>IF(ISBLANK(R15),"",TODAY()-R15)</f>
        <v/>
      </c>
      <c r="T15" s="16" t="n"/>
      <c r="U15" s="15" t="n"/>
      <c r="V15" s="17" t="n"/>
      <c r="W15" s="15" t="n"/>
      <c r="X15" s="17" t="n"/>
      <c r="Y15" s="17" t="n"/>
      <c r="Z15" s="20" t="n"/>
      <c r="AA15" s="21">
        <f>IF(OR($Z15="",$Y15="",$Y15=0),"",$Z15/($Y15*24))</f>
        <v/>
      </c>
      <c r="AB15" s="20" t="n"/>
      <c r="AC15" s="16" t="n"/>
      <c r="AD15" s="16" t="n"/>
      <c r="AE15" s="16" t="n"/>
      <c r="AF15" s="16" t="n"/>
      <c r="AG15" s="16" t="n"/>
      <c r="AH15" s="17" t="n"/>
      <c r="AI15" s="17" t="n"/>
      <c r="AJ15" s="17" t="n"/>
      <c r="AK15" s="17" t="n"/>
      <c r="AL15" s="16" t="n"/>
    </row>
    <row r="16" ht="20" customHeight="1">
      <c r="A16" s="23">
        <f>IF($B16="","",ROW()-2)</f>
        <v/>
      </c>
      <c r="B16" s="22" t="n"/>
      <c r="C16" s="22">
        <f>IF($B16="","","Charity &amp; Causes")</f>
        <v/>
      </c>
      <c r="D16" s="23" t="n"/>
      <c r="E16" s="22" t="n"/>
      <c r="F16" s="23" t="n"/>
      <c r="G16" s="23" t="n"/>
      <c r="H16" s="23" t="n"/>
      <c r="I16" s="22" t="n"/>
      <c r="J16" s="23" t="n"/>
      <c r="K16" s="22" t="n"/>
      <c r="L16" s="23" t="n"/>
      <c r="M16" s="22" t="n"/>
      <c r="N16" s="23" t="n"/>
      <c r="O16" s="22" t="n"/>
      <c r="P16" s="23" t="n"/>
      <c r="Q16" s="23" t="n"/>
      <c r="R16" s="24" t="n"/>
      <c r="S16" s="25">
        <f>IF(ISBLANK(R16),"",TODAY()-R16)</f>
        <v/>
      </c>
      <c r="T16" s="22" t="n"/>
      <c r="U16" s="24" t="n"/>
      <c r="V16" s="23" t="n"/>
      <c r="W16" s="24" t="n"/>
      <c r="X16" s="23" t="n"/>
      <c r="Y16" s="23" t="n"/>
      <c r="Z16" s="26" t="n"/>
      <c r="AA16" s="27">
        <f>IF(OR($Z16="",$Y16="",$Y16=0),"",$Z16/($Y16*24))</f>
        <v/>
      </c>
      <c r="AB16" s="26" t="n"/>
      <c r="AC16" s="22" t="n"/>
      <c r="AD16" s="22" t="n"/>
      <c r="AE16" s="22" t="n"/>
      <c r="AF16" s="22" t="n"/>
      <c r="AG16" s="22" t="n"/>
      <c r="AH16" s="23" t="n"/>
      <c r="AI16" s="23" t="n"/>
      <c r="AJ16" s="23" t="n"/>
      <c r="AK16" s="23" t="n"/>
      <c r="AL16" s="22" t="n"/>
    </row>
    <row r="17" ht="20" customHeight="1">
      <c r="A17" s="17">
        <f>IF($B17="","",ROW()-2)</f>
        <v/>
      </c>
      <c r="B17" s="16" t="n"/>
      <c r="C17" s="16">
        <f>IF($B17="","","Charity &amp; Causes")</f>
        <v/>
      </c>
      <c r="D17" s="17" t="n"/>
      <c r="E17" s="16" t="n"/>
      <c r="F17" s="17" t="n"/>
      <c r="G17" s="17" t="n"/>
      <c r="H17" s="17" t="n"/>
      <c r="I17" s="16" t="n"/>
      <c r="J17" s="17" t="n"/>
      <c r="K17" s="16" t="n"/>
      <c r="L17" s="17" t="n"/>
      <c r="M17" s="16" t="n"/>
      <c r="N17" s="17" t="n"/>
      <c r="O17" s="16" t="n"/>
      <c r="P17" s="17" t="n"/>
      <c r="Q17" s="17" t="n"/>
      <c r="R17" s="15" t="n"/>
      <c r="S17" s="19">
        <f>IF(ISBLANK(R17),"",TODAY()-R17)</f>
        <v/>
      </c>
      <c r="T17" s="16" t="n"/>
      <c r="U17" s="15" t="n"/>
      <c r="V17" s="17" t="n"/>
      <c r="W17" s="15" t="n"/>
      <c r="X17" s="17" t="n"/>
      <c r="Y17" s="17" t="n"/>
      <c r="Z17" s="20" t="n"/>
      <c r="AA17" s="21">
        <f>IF(OR($Z17="",$Y17="",$Y17=0),"",$Z17/($Y17*24))</f>
        <v/>
      </c>
      <c r="AB17" s="20" t="n"/>
      <c r="AC17" s="16" t="n"/>
      <c r="AD17" s="16" t="n"/>
      <c r="AE17" s="16" t="n"/>
      <c r="AF17" s="16" t="n"/>
      <c r="AG17" s="16" t="n"/>
      <c r="AH17" s="17" t="n"/>
      <c r="AI17" s="17" t="n"/>
      <c r="AJ17" s="17" t="n"/>
      <c r="AK17" s="17" t="n"/>
      <c r="AL17" s="16" t="n"/>
    </row>
    <row r="18" ht="20" customHeight="1">
      <c r="A18" s="23">
        <f>IF($B18="","",ROW()-2)</f>
        <v/>
      </c>
      <c r="B18" s="22" t="n"/>
      <c r="C18" s="22">
        <f>IF($B18="","","Charity &amp; Causes")</f>
        <v/>
      </c>
      <c r="D18" s="23" t="n"/>
      <c r="E18" s="22" t="n"/>
      <c r="F18" s="23" t="n"/>
      <c r="G18" s="23" t="n"/>
      <c r="H18" s="23" t="n"/>
      <c r="I18" s="22" t="n"/>
      <c r="J18" s="23" t="n"/>
      <c r="K18" s="22" t="n"/>
      <c r="L18" s="23" t="n"/>
      <c r="M18" s="22" t="n"/>
      <c r="N18" s="23" t="n"/>
      <c r="O18" s="22" t="n"/>
      <c r="P18" s="23" t="n"/>
      <c r="Q18" s="23" t="n"/>
      <c r="R18" s="24" t="n"/>
      <c r="S18" s="25">
        <f>IF(ISBLANK(R18),"",TODAY()-R18)</f>
        <v/>
      </c>
      <c r="T18" s="22" t="n"/>
      <c r="U18" s="24" t="n"/>
      <c r="V18" s="23" t="n"/>
      <c r="W18" s="24" t="n"/>
      <c r="X18" s="23" t="n"/>
      <c r="Y18" s="23" t="n"/>
      <c r="Z18" s="26" t="n"/>
      <c r="AA18" s="27">
        <f>IF(OR($Z18="",$Y18="",$Y18=0),"",$Z18/($Y18*24))</f>
        <v/>
      </c>
      <c r="AB18" s="26" t="n"/>
      <c r="AC18" s="22" t="n"/>
      <c r="AD18" s="22" t="n"/>
      <c r="AE18" s="22" t="n"/>
      <c r="AF18" s="22" t="n"/>
      <c r="AG18" s="22" t="n"/>
      <c r="AH18" s="23" t="n"/>
      <c r="AI18" s="23" t="n"/>
      <c r="AJ18" s="23" t="n"/>
      <c r="AK18" s="23" t="n"/>
      <c r="AL18" s="22" t="n"/>
    </row>
    <row r="19" ht="20" customHeight="1">
      <c r="A19" s="17">
        <f>IF($B19="","",ROW()-2)</f>
        <v/>
      </c>
      <c r="B19" s="16" t="n"/>
      <c r="C19" s="16">
        <f>IF($B19="","","Charity &amp; Causes")</f>
        <v/>
      </c>
      <c r="D19" s="17" t="n"/>
      <c r="E19" s="16" t="n"/>
      <c r="F19" s="17" t="n"/>
      <c r="G19" s="17" t="n"/>
      <c r="H19" s="17" t="n"/>
      <c r="I19" s="16" t="n"/>
      <c r="J19" s="17" t="n"/>
      <c r="K19" s="16" t="n"/>
      <c r="L19" s="17" t="n"/>
      <c r="M19" s="16" t="n"/>
      <c r="N19" s="17" t="n"/>
      <c r="O19" s="16" t="n"/>
      <c r="P19" s="17" t="n"/>
      <c r="Q19" s="17" t="n"/>
      <c r="R19" s="15" t="n"/>
      <c r="S19" s="19">
        <f>IF(ISBLANK(R19),"",TODAY()-R19)</f>
        <v/>
      </c>
      <c r="T19" s="16" t="n"/>
      <c r="U19" s="15" t="n"/>
      <c r="V19" s="17" t="n"/>
      <c r="W19" s="15" t="n"/>
      <c r="X19" s="17" t="n"/>
      <c r="Y19" s="17" t="n"/>
      <c r="Z19" s="20" t="n"/>
      <c r="AA19" s="21">
        <f>IF(OR($Z19="",$Y19="",$Y19=0),"",$Z19/($Y19*24))</f>
        <v/>
      </c>
      <c r="AB19" s="20" t="n"/>
      <c r="AC19" s="16" t="n"/>
      <c r="AD19" s="16" t="n"/>
      <c r="AE19" s="16" t="n"/>
      <c r="AF19" s="16" t="n"/>
      <c r="AG19" s="16" t="n"/>
      <c r="AH19" s="17" t="n"/>
      <c r="AI19" s="17" t="n"/>
      <c r="AJ19" s="17" t="n"/>
      <c r="AK19" s="17" t="n"/>
      <c r="AL19" s="16" t="n"/>
    </row>
    <row r="20" ht="20" customHeight="1">
      <c r="A20" s="23">
        <f>IF($B20="","",ROW()-2)</f>
        <v/>
      </c>
      <c r="B20" s="22" t="n"/>
      <c r="C20" s="22">
        <f>IF($B20="","","Charity &amp; Causes")</f>
        <v/>
      </c>
      <c r="D20" s="23" t="n"/>
      <c r="E20" s="22" t="n"/>
      <c r="F20" s="23" t="n"/>
      <c r="G20" s="23" t="n"/>
      <c r="H20" s="23" t="n"/>
      <c r="I20" s="22" t="n"/>
      <c r="J20" s="23" t="n"/>
      <c r="K20" s="22" t="n"/>
      <c r="L20" s="23" t="n"/>
      <c r="M20" s="22" t="n"/>
      <c r="N20" s="23" t="n"/>
      <c r="O20" s="22" t="n"/>
      <c r="P20" s="23" t="n"/>
      <c r="Q20" s="23" t="n"/>
      <c r="R20" s="24" t="n"/>
      <c r="S20" s="25">
        <f>IF(ISBLANK(R20),"",TODAY()-R20)</f>
        <v/>
      </c>
      <c r="T20" s="22" t="n"/>
      <c r="U20" s="24" t="n"/>
      <c r="V20" s="23" t="n"/>
      <c r="W20" s="24" t="n"/>
      <c r="X20" s="23" t="n"/>
      <c r="Y20" s="23" t="n"/>
      <c r="Z20" s="26" t="n"/>
      <c r="AA20" s="27">
        <f>IF(OR($Z20="",$Y20="",$Y20=0),"",$Z20/($Y20*24))</f>
        <v/>
      </c>
      <c r="AB20" s="26" t="n"/>
      <c r="AC20" s="22" t="n"/>
      <c r="AD20" s="22" t="n"/>
      <c r="AE20" s="22" t="n"/>
      <c r="AF20" s="22" t="n"/>
      <c r="AG20" s="22" t="n"/>
      <c r="AH20" s="23" t="n"/>
      <c r="AI20" s="23" t="n"/>
      <c r="AJ20" s="23" t="n"/>
      <c r="AK20" s="23" t="n"/>
      <c r="AL20" s="22" t="n"/>
    </row>
    <row r="21" ht="20" customHeight="1">
      <c r="A21" s="17">
        <f>IF($B21="","",ROW()-2)</f>
        <v/>
      </c>
      <c r="B21" s="16" t="n"/>
      <c r="C21" s="16">
        <f>IF($B21="","","Charity &amp; Causes")</f>
        <v/>
      </c>
      <c r="D21" s="17" t="n"/>
      <c r="E21" s="16" t="n"/>
      <c r="F21" s="17" t="n"/>
      <c r="G21" s="17" t="n"/>
      <c r="H21" s="17" t="n"/>
      <c r="I21" s="16" t="n"/>
      <c r="J21" s="17" t="n"/>
      <c r="K21" s="16" t="n"/>
      <c r="L21" s="17" t="n"/>
      <c r="M21" s="16" t="n"/>
      <c r="N21" s="17" t="n"/>
      <c r="O21" s="16" t="n"/>
      <c r="P21" s="17" t="n"/>
      <c r="Q21" s="17" t="n"/>
      <c r="R21" s="15" t="n"/>
      <c r="S21" s="19">
        <f>IF(ISBLANK(R21),"",TODAY()-R21)</f>
        <v/>
      </c>
      <c r="T21" s="16" t="n"/>
      <c r="U21" s="15" t="n"/>
      <c r="V21" s="17" t="n"/>
      <c r="W21" s="15" t="n"/>
      <c r="X21" s="17" t="n"/>
      <c r="Y21" s="17" t="n"/>
      <c r="Z21" s="20" t="n"/>
      <c r="AA21" s="21">
        <f>IF(OR($Z21="",$Y21="",$Y21=0),"",$Z21/($Y21*24))</f>
        <v/>
      </c>
      <c r="AB21" s="20" t="n"/>
      <c r="AC21" s="16" t="n"/>
      <c r="AD21" s="16" t="n"/>
      <c r="AE21" s="16" t="n"/>
      <c r="AF21" s="16" t="n"/>
      <c r="AG21" s="16" t="n"/>
      <c r="AH21" s="17" t="n"/>
      <c r="AI21" s="17" t="n"/>
      <c r="AJ21" s="17" t="n"/>
      <c r="AK21" s="17" t="n"/>
      <c r="AL21" s="16" t="n"/>
    </row>
    <row r="22" ht="20" customHeight="1">
      <c r="A22" s="23">
        <f>IF($B22="","",ROW()-2)</f>
        <v/>
      </c>
      <c r="B22" s="22" t="n"/>
      <c r="C22" s="22">
        <f>IF($B22="","","Charity &amp; Causes")</f>
        <v/>
      </c>
      <c r="D22" s="23" t="n"/>
      <c r="E22" s="22" t="n"/>
      <c r="F22" s="23" t="n"/>
      <c r="G22" s="23" t="n"/>
      <c r="H22" s="23" t="n"/>
      <c r="I22" s="22" t="n"/>
      <c r="J22" s="23" t="n"/>
      <c r="K22" s="22" t="n"/>
      <c r="L22" s="23" t="n"/>
      <c r="M22" s="22" t="n"/>
      <c r="N22" s="23" t="n"/>
      <c r="O22" s="22" t="n"/>
      <c r="P22" s="23" t="n"/>
      <c r="Q22" s="23" t="n"/>
      <c r="R22" s="24" t="n"/>
      <c r="S22" s="25">
        <f>IF(ISBLANK(R22),"",TODAY()-R22)</f>
        <v/>
      </c>
      <c r="T22" s="22" t="n"/>
      <c r="U22" s="24" t="n"/>
      <c r="V22" s="23" t="n"/>
      <c r="W22" s="24" t="n"/>
      <c r="X22" s="23" t="n"/>
      <c r="Y22" s="23" t="n"/>
      <c r="Z22" s="26" t="n"/>
      <c r="AA22" s="27">
        <f>IF(OR($Z22="",$Y22="",$Y22=0),"",$Z22/($Y22*24))</f>
        <v/>
      </c>
      <c r="AB22" s="26" t="n"/>
      <c r="AC22" s="22" t="n"/>
      <c r="AD22" s="22" t="n"/>
      <c r="AE22" s="22" t="n"/>
      <c r="AF22" s="22" t="n"/>
      <c r="AG22" s="22" t="n"/>
      <c r="AH22" s="23" t="n"/>
      <c r="AI22" s="23" t="n"/>
      <c r="AJ22" s="23" t="n"/>
      <c r="AK22" s="23" t="n"/>
      <c r="AL22" s="22" t="n"/>
    </row>
    <row r="23" ht="20" customHeight="1">
      <c r="A23" s="17">
        <f>IF($B23="","",ROW()-2)</f>
        <v/>
      </c>
      <c r="B23" s="16" t="n"/>
      <c r="C23" s="16">
        <f>IF($B23="","","Charity &amp; Causes")</f>
        <v/>
      </c>
      <c r="D23" s="17" t="n"/>
      <c r="E23" s="16" t="n"/>
      <c r="F23" s="17" t="n"/>
      <c r="G23" s="17" t="n"/>
      <c r="H23" s="17" t="n"/>
      <c r="I23" s="16" t="n"/>
      <c r="J23" s="17" t="n"/>
      <c r="K23" s="16" t="n"/>
      <c r="L23" s="17" t="n"/>
      <c r="M23" s="16" t="n"/>
      <c r="N23" s="17" t="n"/>
      <c r="O23" s="16" t="n"/>
      <c r="P23" s="17" t="n"/>
      <c r="Q23" s="17" t="n"/>
      <c r="R23" s="15" t="n"/>
      <c r="S23" s="19">
        <f>IF(ISBLANK(R23),"",TODAY()-R23)</f>
        <v/>
      </c>
      <c r="T23" s="16" t="n"/>
      <c r="U23" s="15" t="n"/>
      <c r="V23" s="17" t="n"/>
      <c r="W23" s="15" t="n"/>
      <c r="X23" s="17" t="n"/>
      <c r="Y23" s="17" t="n"/>
      <c r="Z23" s="20" t="n"/>
      <c r="AA23" s="21">
        <f>IF(OR($Z23="",$Y23="",$Y23=0),"",$Z23/($Y23*24))</f>
        <v/>
      </c>
      <c r="AB23" s="20" t="n"/>
      <c r="AC23" s="16" t="n"/>
      <c r="AD23" s="16" t="n"/>
      <c r="AE23" s="16" t="n"/>
      <c r="AF23" s="16" t="n"/>
      <c r="AG23" s="16" t="n"/>
      <c r="AH23" s="17" t="n"/>
      <c r="AI23" s="17" t="n"/>
      <c r="AJ23" s="17" t="n"/>
      <c r="AK23" s="17" t="n"/>
      <c r="AL23" s="16" t="n"/>
    </row>
    <row r="24" ht="20" customHeight="1">
      <c r="A24" s="23">
        <f>IF($B24="","",ROW()-2)</f>
        <v/>
      </c>
      <c r="B24" s="22" t="n"/>
      <c r="C24" s="22">
        <f>IF($B24="","","Charity &amp; Causes")</f>
        <v/>
      </c>
      <c r="D24" s="23" t="n"/>
      <c r="E24" s="22" t="n"/>
      <c r="F24" s="23" t="n"/>
      <c r="G24" s="23" t="n"/>
      <c r="H24" s="23" t="n"/>
      <c r="I24" s="22" t="n"/>
      <c r="J24" s="23" t="n"/>
      <c r="K24" s="22" t="n"/>
      <c r="L24" s="23" t="n"/>
      <c r="M24" s="22" t="n"/>
      <c r="N24" s="23" t="n"/>
      <c r="O24" s="22" t="n"/>
      <c r="P24" s="23" t="n"/>
      <c r="Q24" s="23" t="n"/>
      <c r="R24" s="24" t="n"/>
      <c r="S24" s="25">
        <f>IF(ISBLANK(R24),"",TODAY()-R24)</f>
        <v/>
      </c>
      <c r="T24" s="22" t="n"/>
      <c r="U24" s="24" t="n"/>
      <c r="V24" s="23" t="n"/>
      <c r="W24" s="24" t="n"/>
      <c r="X24" s="23" t="n"/>
      <c r="Y24" s="23" t="n"/>
      <c r="Z24" s="26" t="n"/>
      <c r="AA24" s="27">
        <f>IF(OR($Z24="",$Y24="",$Y24=0),"",$Z24/($Y24*24))</f>
        <v/>
      </c>
      <c r="AB24" s="26" t="n"/>
      <c r="AC24" s="22" t="n"/>
      <c r="AD24" s="22" t="n"/>
      <c r="AE24" s="22" t="n"/>
      <c r="AF24" s="22" t="n"/>
      <c r="AG24" s="22" t="n"/>
      <c r="AH24" s="23" t="n"/>
      <c r="AI24" s="23" t="n"/>
      <c r="AJ24" s="23" t="n"/>
      <c r="AK24" s="23" t="n"/>
      <c r="AL24" s="22" t="n"/>
    </row>
    <row r="25" ht="20" customHeight="1">
      <c r="A25" s="17">
        <f>IF($B25="","",ROW()-2)</f>
        <v/>
      </c>
      <c r="B25" s="16" t="n"/>
      <c r="C25" s="16">
        <f>IF($B25="","","Charity &amp; Causes")</f>
        <v/>
      </c>
      <c r="D25" s="17" t="n"/>
      <c r="E25" s="16" t="n"/>
      <c r="F25" s="17" t="n"/>
      <c r="G25" s="17" t="n"/>
      <c r="H25" s="17" t="n"/>
      <c r="I25" s="16" t="n"/>
      <c r="J25" s="17" t="n"/>
      <c r="K25" s="16" t="n"/>
      <c r="L25" s="17" t="n"/>
      <c r="M25" s="16" t="n"/>
      <c r="N25" s="17" t="n"/>
      <c r="O25" s="16" t="n"/>
      <c r="P25" s="17" t="n"/>
      <c r="Q25" s="17" t="n"/>
      <c r="R25" s="15" t="n"/>
      <c r="S25" s="19">
        <f>IF(ISBLANK(R25),"",TODAY()-R25)</f>
        <v/>
      </c>
      <c r="T25" s="16" t="n"/>
      <c r="U25" s="15" t="n"/>
      <c r="V25" s="17" t="n"/>
      <c r="W25" s="15" t="n"/>
      <c r="X25" s="17" t="n"/>
      <c r="Y25" s="17" t="n"/>
      <c r="Z25" s="20" t="n"/>
      <c r="AA25" s="21">
        <f>IF(OR($Z25="",$Y25="",$Y25=0),"",$Z25/($Y25*24))</f>
        <v/>
      </c>
      <c r="AB25" s="20" t="n"/>
      <c r="AC25" s="16" t="n"/>
      <c r="AD25" s="16" t="n"/>
      <c r="AE25" s="16" t="n"/>
      <c r="AF25" s="16" t="n"/>
      <c r="AG25" s="16" t="n"/>
      <c r="AH25" s="17" t="n"/>
      <c r="AI25" s="17" t="n"/>
      <c r="AJ25" s="17" t="n"/>
      <c r="AK25" s="17" t="n"/>
      <c r="AL25" s="16" t="n"/>
    </row>
    <row r="26" ht="20" customHeight="1">
      <c r="A26" s="23">
        <f>IF($B26="","",ROW()-2)</f>
        <v/>
      </c>
      <c r="B26" s="22" t="n"/>
      <c r="C26" s="22">
        <f>IF($B26="","","Charity &amp; Causes")</f>
        <v/>
      </c>
      <c r="D26" s="23" t="n"/>
      <c r="E26" s="22" t="n"/>
      <c r="F26" s="23" t="n"/>
      <c r="G26" s="23" t="n"/>
      <c r="H26" s="23" t="n"/>
      <c r="I26" s="22" t="n"/>
      <c r="J26" s="23" t="n"/>
      <c r="K26" s="22" t="n"/>
      <c r="L26" s="23" t="n"/>
      <c r="M26" s="22" t="n"/>
      <c r="N26" s="23" t="n"/>
      <c r="O26" s="22" t="n"/>
      <c r="P26" s="23" t="n"/>
      <c r="Q26" s="23" t="n"/>
      <c r="R26" s="24" t="n"/>
      <c r="S26" s="25">
        <f>IF(ISBLANK(R26),"",TODAY()-R26)</f>
        <v/>
      </c>
      <c r="T26" s="22" t="n"/>
      <c r="U26" s="24" t="n"/>
      <c r="V26" s="23" t="n"/>
      <c r="W26" s="24" t="n"/>
      <c r="X26" s="23" t="n"/>
      <c r="Y26" s="23" t="n"/>
      <c r="Z26" s="26" t="n"/>
      <c r="AA26" s="27">
        <f>IF(OR($Z26="",$Y26="",$Y26=0),"",$Z26/($Y26*24))</f>
        <v/>
      </c>
      <c r="AB26" s="26" t="n"/>
      <c r="AC26" s="22" t="n"/>
      <c r="AD26" s="22" t="n"/>
      <c r="AE26" s="22" t="n"/>
      <c r="AF26" s="22" t="n"/>
      <c r="AG26" s="22" t="n"/>
      <c r="AH26" s="23" t="n"/>
      <c r="AI26" s="23" t="n"/>
      <c r="AJ26" s="23" t="n"/>
      <c r="AK26" s="23" t="n"/>
      <c r="AL26" s="22" t="n"/>
    </row>
    <row r="27" ht="20" customHeight="1">
      <c r="A27" s="17">
        <f>IF($B27="","",ROW()-2)</f>
        <v/>
      </c>
      <c r="B27" s="16" t="n"/>
      <c r="C27" s="16">
        <f>IF($B27="","","Charity &amp; Causes")</f>
        <v/>
      </c>
      <c r="D27" s="17" t="n"/>
      <c r="E27" s="16" t="n"/>
      <c r="F27" s="17" t="n"/>
      <c r="G27" s="17" t="n"/>
      <c r="H27" s="17" t="n"/>
      <c r="I27" s="16" t="n"/>
      <c r="J27" s="17" t="n"/>
      <c r="K27" s="16" t="n"/>
      <c r="L27" s="17" t="n"/>
      <c r="M27" s="16" t="n"/>
      <c r="N27" s="17" t="n"/>
      <c r="O27" s="16" t="n"/>
      <c r="P27" s="17" t="n"/>
      <c r="Q27" s="17" t="n"/>
      <c r="R27" s="15" t="n"/>
      <c r="S27" s="19">
        <f>IF(ISBLANK(R27),"",TODAY()-R27)</f>
        <v/>
      </c>
      <c r="T27" s="16" t="n"/>
      <c r="U27" s="15" t="n"/>
      <c r="V27" s="17" t="n"/>
      <c r="W27" s="15" t="n"/>
      <c r="X27" s="17" t="n"/>
      <c r="Y27" s="17" t="n"/>
      <c r="Z27" s="20" t="n"/>
      <c r="AA27" s="21">
        <f>IF(OR($Z27="",$Y27="",$Y27=0),"",$Z27/($Y27*24))</f>
        <v/>
      </c>
      <c r="AB27" s="20" t="n"/>
      <c r="AC27" s="16" t="n"/>
      <c r="AD27" s="16" t="n"/>
      <c r="AE27" s="16" t="n"/>
      <c r="AF27" s="16" t="n"/>
      <c r="AG27" s="16" t="n"/>
      <c r="AH27" s="17" t="n"/>
      <c r="AI27" s="17" t="n"/>
      <c r="AJ27" s="17" t="n"/>
      <c r="AK27" s="17" t="n"/>
      <c r="AL27" s="16" t="n"/>
    </row>
    <row r="28" ht="20" customHeight="1">
      <c r="A28" s="23">
        <f>IF($B28="","",ROW()-2)</f>
        <v/>
      </c>
      <c r="B28" s="22" t="n"/>
      <c r="C28" s="22">
        <f>IF($B28="","","Charity &amp; Causes")</f>
        <v/>
      </c>
      <c r="D28" s="23" t="n"/>
      <c r="E28" s="22" t="n"/>
      <c r="F28" s="23" t="n"/>
      <c r="G28" s="23" t="n"/>
      <c r="H28" s="23" t="n"/>
      <c r="I28" s="22" t="n"/>
      <c r="J28" s="23" t="n"/>
      <c r="K28" s="22" t="n"/>
      <c r="L28" s="23" t="n"/>
      <c r="M28" s="22" t="n"/>
      <c r="N28" s="23" t="n"/>
      <c r="O28" s="22" t="n"/>
      <c r="P28" s="23" t="n"/>
      <c r="Q28" s="23" t="n"/>
      <c r="R28" s="24" t="n"/>
      <c r="S28" s="25">
        <f>IF(ISBLANK(R28),"",TODAY()-R28)</f>
        <v/>
      </c>
      <c r="T28" s="22" t="n"/>
      <c r="U28" s="24" t="n"/>
      <c r="V28" s="23" t="n"/>
      <c r="W28" s="24" t="n"/>
      <c r="X28" s="23" t="n"/>
      <c r="Y28" s="23" t="n"/>
      <c r="Z28" s="26" t="n"/>
      <c r="AA28" s="27">
        <f>IF(OR($Z28="",$Y28="",$Y28=0),"",$Z28/($Y28*24))</f>
        <v/>
      </c>
      <c r="AB28" s="26" t="n"/>
      <c r="AC28" s="22" t="n"/>
      <c r="AD28" s="22" t="n"/>
      <c r="AE28" s="22" t="n"/>
      <c r="AF28" s="22" t="n"/>
      <c r="AG28" s="22" t="n"/>
      <c r="AH28" s="23" t="n"/>
      <c r="AI28" s="23" t="n"/>
      <c r="AJ28" s="23" t="n"/>
      <c r="AK28" s="23" t="n"/>
      <c r="AL28" s="22" t="n"/>
    </row>
    <row r="29" ht="20" customHeight="1">
      <c r="A29" s="17">
        <f>IF($B29="","",ROW()-2)</f>
        <v/>
      </c>
      <c r="B29" s="16" t="n"/>
      <c r="C29" s="16">
        <f>IF($B29="","","Charity &amp; Causes")</f>
        <v/>
      </c>
      <c r="D29" s="17" t="n"/>
      <c r="E29" s="16" t="n"/>
      <c r="F29" s="17" t="n"/>
      <c r="G29" s="17" t="n"/>
      <c r="H29" s="17" t="n"/>
      <c r="I29" s="16" t="n"/>
      <c r="J29" s="17" t="n"/>
      <c r="K29" s="16" t="n"/>
      <c r="L29" s="17" t="n"/>
      <c r="M29" s="16" t="n"/>
      <c r="N29" s="17" t="n"/>
      <c r="O29" s="16" t="n"/>
      <c r="P29" s="17" t="n"/>
      <c r="Q29" s="17" t="n"/>
      <c r="R29" s="15" t="n"/>
      <c r="S29" s="19">
        <f>IF(ISBLANK(R29),"",TODAY()-R29)</f>
        <v/>
      </c>
      <c r="T29" s="16" t="n"/>
      <c r="U29" s="15" t="n"/>
      <c r="V29" s="17" t="n"/>
      <c r="W29" s="15" t="n"/>
      <c r="X29" s="17" t="n"/>
      <c r="Y29" s="17" t="n"/>
      <c r="Z29" s="20" t="n"/>
      <c r="AA29" s="21">
        <f>IF(OR($Z29="",$Y29="",$Y29=0),"",$Z29/($Y29*24))</f>
        <v/>
      </c>
      <c r="AB29" s="20" t="n"/>
      <c r="AC29" s="16" t="n"/>
      <c r="AD29" s="16" t="n"/>
      <c r="AE29" s="16" t="n"/>
      <c r="AF29" s="16" t="n"/>
      <c r="AG29" s="16" t="n"/>
      <c r="AH29" s="17" t="n"/>
      <c r="AI29" s="17" t="n"/>
      <c r="AJ29" s="17" t="n"/>
      <c r="AK29" s="17" t="n"/>
      <c r="AL29" s="16" t="n"/>
    </row>
    <row r="30" ht="20" customHeight="1">
      <c r="A30" s="23">
        <f>IF($B30="","",ROW()-2)</f>
        <v/>
      </c>
      <c r="B30" s="22" t="n"/>
      <c r="C30" s="22">
        <f>IF($B30="","","Charity &amp; Causes")</f>
        <v/>
      </c>
      <c r="D30" s="23" t="n"/>
      <c r="E30" s="22" t="n"/>
      <c r="F30" s="23" t="n"/>
      <c r="G30" s="23" t="n"/>
      <c r="H30" s="23" t="n"/>
      <c r="I30" s="22" t="n"/>
      <c r="J30" s="23" t="n"/>
      <c r="K30" s="22" t="n"/>
      <c r="L30" s="23" t="n"/>
      <c r="M30" s="22" t="n"/>
      <c r="N30" s="23" t="n"/>
      <c r="O30" s="22" t="n"/>
      <c r="P30" s="23" t="n"/>
      <c r="Q30" s="23" t="n"/>
      <c r="R30" s="24" t="n"/>
      <c r="S30" s="25">
        <f>IF(ISBLANK(R30),"",TODAY()-R30)</f>
        <v/>
      </c>
      <c r="T30" s="22" t="n"/>
      <c r="U30" s="24" t="n"/>
      <c r="V30" s="23" t="n"/>
      <c r="W30" s="24" t="n"/>
      <c r="X30" s="23" t="n"/>
      <c r="Y30" s="23" t="n"/>
      <c r="Z30" s="26" t="n"/>
      <c r="AA30" s="27">
        <f>IF(OR($Z30="",$Y30="",$Y30=0),"",$Z30/($Y30*24))</f>
        <v/>
      </c>
      <c r="AB30" s="26" t="n"/>
      <c r="AC30" s="22" t="n"/>
      <c r="AD30" s="22" t="n"/>
      <c r="AE30" s="22" t="n"/>
      <c r="AF30" s="22" t="n"/>
      <c r="AG30" s="22" t="n"/>
      <c r="AH30" s="23" t="n"/>
      <c r="AI30" s="23" t="n"/>
      <c r="AJ30" s="23" t="n"/>
      <c r="AK30" s="23" t="n"/>
      <c r="AL30" s="22" t="n"/>
    </row>
    <row r="31" ht="20" customHeight="1">
      <c r="A31" s="17">
        <f>IF($B31="","",ROW()-2)</f>
        <v/>
      </c>
      <c r="B31" s="16" t="n"/>
      <c r="C31" s="16">
        <f>IF($B31="","","Charity &amp; Causes")</f>
        <v/>
      </c>
      <c r="D31" s="17" t="n"/>
      <c r="E31" s="16" t="n"/>
      <c r="F31" s="17" t="n"/>
      <c r="G31" s="17" t="n"/>
      <c r="H31" s="17" t="n"/>
      <c r="I31" s="16" t="n"/>
      <c r="J31" s="17" t="n"/>
      <c r="K31" s="16" t="n"/>
      <c r="L31" s="17" t="n"/>
      <c r="M31" s="16" t="n"/>
      <c r="N31" s="17" t="n"/>
      <c r="O31" s="16" t="n"/>
      <c r="P31" s="17" t="n"/>
      <c r="Q31" s="17" t="n"/>
      <c r="R31" s="15" t="n"/>
      <c r="S31" s="19">
        <f>IF(ISBLANK(R31),"",TODAY()-R31)</f>
        <v/>
      </c>
      <c r="T31" s="16" t="n"/>
      <c r="U31" s="15" t="n"/>
      <c r="V31" s="17" t="n"/>
      <c r="W31" s="15" t="n"/>
      <c r="X31" s="17" t="n"/>
      <c r="Y31" s="17" t="n"/>
      <c r="Z31" s="20" t="n"/>
      <c r="AA31" s="21">
        <f>IF(OR($Z31="",$Y31="",$Y31=0),"",$Z31/($Y31*24))</f>
        <v/>
      </c>
      <c r="AB31" s="20" t="n"/>
      <c r="AC31" s="16" t="n"/>
      <c r="AD31" s="16" t="n"/>
      <c r="AE31" s="16" t="n"/>
      <c r="AF31" s="16" t="n"/>
      <c r="AG31" s="16" t="n"/>
      <c r="AH31" s="17" t="n"/>
      <c r="AI31" s="17" t="n"/>
      <c r="AJ31" s="17" t="n"/>
      <c r="AK31" s="17" t="n"/>
      <c r="AL31" s="16" t="n"/>
    </row>
    <row r="32" ht="20" customHeight="1">
      <c r="A32" s="23">
        <f>IF($B32="","",ROW()-2)</f>
        <v/>
      </c>
      <c r="B32" s="22" t="n"/>
      <c r="C32" s="22">
        <f>IF($B32="","","Charity &amp; Causes")</f>
        <v/>
      </c>
      <c r="D32" s="23" t="n"/>
      <c r="E32" s="22" t="n"/>
      <c r="F32" s="23" t="n"/>
      <c r="G32" s="23" t="n"/>
      <c r="H32" s="23" t="n"/>
      <c r="I32" s="22" t="n"/>
      <c r="J32" s="23" t="n"/>
      <c r="K32" s="22" t="n"/>
      <c r="L32" s="23" t="n"/>
      <c r="M32" s="22" t="n"/>
      <c r="N32" s="23" t="n"/>
      <c r="O32" s="22" t="n"/>
      <c r="P32" s="23" t="n"/>
      <c r="Q32" s="23" t="n"/>
      <c r="R32" s="24" t="n"/>
      <c r="S32" s="25">
        <f>IF(ISBLANK(R32),"",TODAY()-R32)</f>
        <v/>
      </c>
      <c r="T32" s="22" t="n"/>
      <c r="U32" s="24" t="n"/>
      <c r="V32" s="23" t="n"/>
      <c r="W32" s="24" t="n"/>
      <c r="X32" s="23" t="n"/>
      <c r="Y32" s="23" t="n"/>
      <c r="Z32" s="26" t="n"/>
      <c r="AA32" s="27">
        <f>IF(OR($Z32="",$Y32="",$Y32=0),"",$Z32/($Y32*24))</f>
        <v/>
      </c>
      <c r="AB32" s="26" t="n"/>
      <c r="AC32" s="22" t="n"/>
      <c r="AD32" s="22" t="n"/>
      <c r="AE32" s="22" t="n"/>
      <c r="AF32" s="22" t="n"/>
      <c r="AG32" s="22" t="n"/>
      <c r="AH32" s="23" t="n"/>
      <c r="AI32" s="23" t="n"/>
      <c r="AJ32" s="23" t="n"/>
      <c r="AK32" s="23" t="n"/>
      <c r="AL32" s="22" t="n"/>
    </row>
  </sheetData>
  <autoFilter ref="A2:AL32"/>
  <mergeCells count="1">
    <mergeCell ref="A1:AL1"/>
  </mergeCells>
  <conditionalFormatting sqref="G3:G32">
    <cfRule type="cellIs" priority="1" operator="equal" dxfId="0">
      <formula>"Activated"</formula>
    </cfRule>
    <cfRule type="cellIs" priority="2" operator="equal" dxfId="0">
      <formula>"Repeat Partner"</formula>
    </cfRule>
    <cfRule type="cellIs" priority="3" operator="equal" dxfId="1">
      <formula>"Agreed"</formula>
    </cfRule>
    <cfRule type="cellIs" priority="4" operator="equal" dxfId="1">
      <formula>"Proposal Sent"</formula>
    </cfRule>
    <cfRule type="cellIs" priority="5" operator="equal" dxfId="1">
      <formula>"In Conversation"</formula>
    </cfRule>
    <cfRule type="cellIs" priority="6" operator="equal" dxfId="2">
      <formula>"Outreach Sent"</formula>
    </cfRule>
    <cfRule type="cellIs" priority="7" operator="equal" dxfId="3">
      <formula>"Open"</formula>
    </cfRule>
    <cfRule type="cellIs" priority="8" operator="equal" dxfId="4">
      <formula>"Lost"</formula>
    </cfRule>
    <cfRule type="cellIs" priority="9" operator="equal" dxfId="5">
      <formula>"On Hold"</formula>
    </cfRule>
  </conditionalFormatting>
  <conditionalFormatting sqref="F3:F32">
    <cfRule type="cellIs" priority="10" operator="equal" dxfId="6">
      <formula>"P1"</formula>
    </cfRule>
    <cfRule type="cellIs" priority="11" operator="equal" dxfId="7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1">
      <formula>"Warm"</formula>
    </cfRule>
  </conditionalFormatting>
  <conditionalFormatting sqref="P3:P32">
    <cfRule type="cellIs" priority="14" operator="equal" dxfId="0">
      <formula>"Verified Web"</formula>
    </cfRule>
    <cfRule type="cellIs" priority="15" operator="equal" dxfId="0">
      <formula>"Verified Phone"</formula>
    </cfRule>
    <cfRule type="cellIs" priority="16" operator="equal" dxfId="0">
      <formula>"Verified In Person"</formula>
    </cfRule>
    <cfRule type="cellIs" priority="17" operator="equal" dxfId="1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4">
      <formula>14</formula>
    </cfRule>
    <cfRule type="expression" priority="20" dxfId="1">
      <formula>AND($F3="P1",$S3&gt;7)</formula>
    </cfRule>
  </conditionalFormatting>
  <conditionalFormatting sqref="U3:U32">
    <cfRule type="expression" priority="21" dxfId="4">
      <formula>AND($U3&lt;&gt;"",$U3&lt;TODAY())</formula>
    </cfRule>
  </conditionalFormatting>
  <conditionalFormatting sqref="AI3:AK32">
    <cfRule type="cellIs" priority="22" operator="equal" dxfId="0">
      <formula>"Stocked"</formula>
    </cfRule>
    <cfRule type="cellIs" priority="23" operator="equal" dxfId="7">
      <formula>"Sampled"</formula>
    </cfRule>
    <cfRule type="cellIs" priority="24" operator="equal" dxfId="2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N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4" customWidth="1" min="4" max="4"/>
    <col width="18" customWidth="1" min="5" max="5"/>
    <col width="16" customWidth="1" min="6" max="6"/>
    <col width="30" customWidth="1" min="7" max="7"/>
    <col width="14" customWidth="1" min="8" max="8"/>
    <col width="10" customWidth="1" min="9" max="9"/>
    <col width="20" customWidth="1" min="10" max="10"/>
    <col width="14" customWidth="1" min="11" max="11"/>
    <col width="32" customWidth="1" min="12" max="12"/>
    <col width="28" customWidth="1" min="13" max="13"/>
    <col width="40" customWidth="1" min="14" max="14"/>
  </cols>
  <sheetData>
    <row r="1" ht="34" customHeight="1">
      <c r="A1" s="1" t="inlineStr">
        <is>
          <t>Suggested Events</t>
        </is>
      </c>
    </row>
    <row r="2" ht="50" customHeight="1">
      <c r="A2" s="8" t="inlineStr">
        <is>
          <t>#</t>
        </is>
      </c>
      <c r="B2" s="8" t="inlineStr">
        <is>
          <t>Event</t>
        </is>
      </c>
      <c r="C2" s="8" t="inlineStr">
        <is>
          <t>City</t>
        </is>
      </c>
      <c r="D2" s="8" t="inlineStr">
        <is>
          <t>Venue or Neighbourhood</t>
        </is>
      </c>
      <c r="E2" s="8" t="inlineStr">
        <is>
          <t>Expected Window</t>
        </is>
      </c>
      <c r="F2" s="8" t="inlineStr">
        <is>
          <t>Audience Size</t>
        </is>
      </c>
      <c r="G2" s="8" t="inlineStr">
        <is>
          <t>Audience Source</t>
        </is>
      </c>
      <c r="H2" s="8" t="inlineStr">
        <is>
          <t>Source</t>
        </is>
      </c>
      <c r="I2" s="8" t="inlineStr">
        <is>
          <t>Priority</t>
        </is>
      </c>
      <c r="J2" s="8" t="inlineStr">
        <is>
          <t>Event Status</t>
        </is>
      </c>
      <c r="K2" s="8" t="inlineStr">
        <is>
          <t>Owner</t>
        </is>
      </c>
      <c r="L2" s="8" t="inlineStr">
        <is>
          <t>Why It Fits</t>
        </is>
      </c>
      <c r="M2" s="8" t="inlineStr">
        <is>
          <t>Next Step</t>
        </is>
      </c>
      <c r="N2" s="8" t="inlineStr">
        <is>
          <t>Notes</t>
        </is>
      </c>
    </row>
    <row r="3" ht="20" customHeight="1">
      <c r="A3" s="17">
        <f>IF($B3="","",ROW()-2)</f>
        <v/>
      </c>
      <c r="B3" s="16" t="n"/>
      <c r="C3" s="17" t="n"/>
      <c r="D3" s="16" t="n"/>
      <c r="E3" s="17" t="n"/>
      <c r="F3" s="17" t="n"/>
      <c r="G3" s="16" t="n"/>
      <c r="H3" s="17" t="n"/>
      <c r="I3" s="17" t="n"/>
      <c r="J3" s="17" t="n"/>
      <c r="K3" s="17" t="n"/>
      <c r="L3" s="16" t="n"/>
      <c r="M3" s="16" t="n"/>
      <c r="N3" s="16" t="n"/>
    </row>
    <row r="4" ht="20" customHeight="1">
      <c r="A4" s="23">
        <f>IF($B4="","",ROW()-2)</f>
        <v/>
      </c>
      <c r="B4" s="22" t="n"/>
      <c r="C4" s="23" t="n"/>
      <c r="D4" s="22" t="n"/>
      <c r="E4" s="23" t="n"/>
      <c r="F4" s="23" t="n"/>
      <c r="G4" s="22" t="n"/>
      <c r="H4" s="23" t="n"/>
      <c r="I4" s="23" t="n"/>
      <c r="J4" s="23" t="n"/>
      <c r="K4" s="23" t="n"/>
      <c r="L4" s="22" t="n"/>
      <c r="M4" s="22" t="n"/>
      <c r="N4" s="22" t="n"/>
    </row>
    <row r="5" ht="20" customHeight="1">
      <c r="A5" s="17">
        <f>IF($B5="","",ROW()-2)</f>
        <v/>
      </c>
      <c r="B5" s="16" t="n"/>
      <c r="C5" s="17" t="n"/>
      <c r="D5" s="16" t="n"/>
      <c r="E5" s="17" t="n"/>
      <c r="F5" s="17" t="n"/>
      <c r="G5" s="16" t="n"/>
      <c r="H5" s="17" t="n"/>
      <c r="I5" s="17" t="n"/>
      <c r="J5" s="17" t="n"/>
      <c r="K5" s="17" t="n"/>
      <c r="L5" s="16" t="n"/>
      <c r="M5" s="16" t="n"/>
      <c r="N5" s="16" t="n"/>
    </row>
    <row r="6" ht="20" customHeight="1">
      <c r="A6" s="23">
        <f>IF($B6="","",ROW()-2)</f>
        <v/>
      </c>
      <c r="B6" s="22" t="n"/>
      <c r="C6" s="23" t="n"/>
      <c r="D6" s="22" t="n"/>
      <c r="E6" s="23" t="n"/>
      <c r="F6" s="23" t="n"/>
      <c r="G6" s="22" t="n"/>
      <c r="H6" s="23" t="n"/>
      <c r="I6" s="23" t="n"/>
      <c r="J6" s="23" t="n"/>
      <c r="K6" s="23" t="n"/>
      <c r="L6" s="22" t="n"/>
      <c r="M6" s="22" t="n"/>
      <c r="N6" s="22" t="n"/>
    </row>
    <row r="7" ht="20" customHeight="1">
      <c r="A7" s="17">
        <f>IF($B7="","",ROW()-2)</f>
        <v/>
      </c>
      <c r="B7" s="16" t="n"/>
      <c r="C7" s="17" t="n"/>
      <c r="D7" s="16" t="n"/>
      <c r="E7" s="17" t="n"/>
      <c r="F7" s="17" t="n"/>
      <c r="G7" s="16" t="n"/>
      <c r="H7" s="17" t="n"/>
      <c r="I7" s="17" t="n"/>
      <c r="J7" s="17" t="n"/>
      <c r="K7" s="17" t="n"/>
      <c r="L7" s="16" t="n"/>
      <c r="M7" s="16" t="n"/>
      <c r="N7" s="16" t="n"/>
    </row>
    <row r="8" ht="20" customHeight="1">
      <c r="A8" s="23">
        <f>IF($B8="","",ROW()-2)</f>
        <v/>
      </c>
      <c r="B8" s="22" t="n"/>
      <c r="C8" s="23" t="n"/>
      <c r="D8" s="22" t="n"/>
      <c r="E8" s="23" t="n"/>
      <c r="F8" s="23" t="n"/>
      <c r="G8" s="22" t="n"/>
      <c r="H8" s="23" t="n"/>
      <c r="I8" s="23" t="n"/>
      <c r="J8" s="23" t="n"/>
      <c r="K8" s="23" t="n"/>
      <c r="L8" s="22" t="n"/>
      <c r="M8" s="22" t="n"/>
      <c r="N8" s="22" t="n"/>
    </row>
    <row r="9" ht="20" customHeight="1">
      <c r="A9" s="17">
        <f>IF($B9="","",ROW()-2)</f>
        <v/>
      </c>
      <c r="B9" s="16" t="n"/>
      <c r="C9" s="17" t="n"/>
      <c r="D9" s="16" t="n"/>
      <c r="E9" s="17" t="n"/>
      <c r="F9" s="17" t="n"/>
      <c r="G9" s="16" t="n"/>
      <c r="H9" s="17" t="n"/>
      <c r="I9" s="17" t="n"/>
      <c r="J9" s="17" t="n"/>
      <c r="K9" s="17" t="n"/>
      <c r="L9" s="16" t="n"/>
      <c r="M9" s="16" t="n"/>
      <c r="N9" s="16" t="n"/>
    </row>
    <row r="10" ht="20" customHeight="1">
      <c r="A10" s="23">
        <f>IF($B10="","",ROW()-2)</f>
        <v/>
      </c>
      <c r="B10" s="22" t="n"/>
      <c r="C10" s="23" t="n"/>
      <c r="D10" s="22" t="n"/>
      <c r="E10" s="23" t="n"/>
      <c r="F10" s="23" t="n"/>
      <c r="G10" s="22" t="n"/>
      <c r="H10" s="23" t="n"/>
      <c r="I10" s="23" t="n"/>
      <c r="J10" s="23" t="n"/>
      <c r="K10" s="23" t="n"/>
      <c r="L10" s="22" t="n"/>
      <c r="M10" s="22" t="n"/>
      <c r="N10" s="22" t="n"/>
    </row>
    <row r="11" ht="20" customHeight="1">
      <c r="A11" s="17">
        <f>IF($B11="","",ROW()-2)</f>
        <v/>
      </c>
      <c r="B11" s="16" t="n"/>
      <c r="C11" s="17" t="n"/>
      <c r="D11" s="16" t="n"/>
      <c r="E11" s="17" t="n"/>
      <c r="F11" s="17" t="n"/>
      <c r="G11" s="16" t="n"/>
      <c r="H11" s="17" t="n"/>
      <c r="I11" s="17" t="n"/>
      <c r="J11" s="17" t="n"/>
      <c r="K11" s="17" t="n"/>
      <c r="L11" s="16" t="n"/>
      <c r="M11" s="16" t="n"/>
      <c r="N11" s="16" t="n"/>
    </row>
    <row r="12" ht="20" customHeight="1">
      <c r="A12" s="23">
        <f>IF($B12="","",ROW()-2)</f>
        <v/>
      </c>
      <c r="B12" s="22" t="n"/>
      <c r="C12" s="23" t="n"/>
      <c r="D12" s="22" t="n"/>
      <c r="E12" s="23" t="n"/>
      <c r="F12" s="23" t="n"/>
      <c r="G12" s="22" t="n"/>
      <c r="H12" s="23" t="n"/>
      <c r="I12" s="23" t="n"/>
      <c r="J12" s="23" t="n"/>
      <c r="K12" s="23" t="n"/>
      <c r="L12" s="22" t="n"/>
      <c r="M12" s="22" t="n"/>
      <c r="N12" s="22" t="n"/>
    </row>
    <row r="13" ht="20" customHeight="1">
      <c r="A13" s="17">
        <f>IF($B13="","",ROW()-2)</f>
        <v/>
      </c>
      <c r="B13" s="16" t="n"/>
      <c r="C13" s="17" t="n"/>
      <c r="D13" s="16" t="n"/>
      <c r="E13" s="17" t="n"/>
      <c r="F13" s="17" t="n"/>
      <c r="G13" s="16" t="n"/>
      <c r="H13" s="17" t="n"/>
      <c r="I13" s="17" t="n"/>
      <c r="J13" s="17" t="n"/>
      <c r="K13" s="17" t="n"/>
      <c r="L13" s="16" t="n"/>
      <c r="M13" s="16" t="n"/>
      <c r="N13" s="16" t="n"/>
    </row>
    <row r="14" ht="20" customHeight="1">
      <c r="A14" s="23">
        <f>IF($B14="","",ROW()-2)</f>
        <v/>
      </c>
      <c r="B14" s="22" t="n"/>
      <c r="C14" s="23" t="n"/>
      <c r="D14" s="22" t="n"/>
      <c r="E14" s="23" t="n"/>
      <c r="F14" s="23" t="n"/>
      <c r="G14" s="22" t="n"/>
      <c r="H14" s="23" t="n"/>
      <c r="I14" s="23" t="n"/>
      <c r="J14" s="23" t="n"/>
      <c r="K14" s="23" t="n"/>
      <c r="L14" s="22" t="n"/>
      <c r="M14" s="22" t="n"/>
      <c r="N14" s="22" t="n"/>
    </row>
    <row r="15" ht="20" customHeight="1">
      <c r="A15" s="17">
        <f>IF($B15="","",ROW()-2)</f>
        <v/>
      </c>
      <c r="B15" s="16" t="n"/>
      <c r="C15" s="17" t="n"/>
      <c r="D15" s="16" t="n"/>
      <c r="E15" s="17" t="n"/>
      <c r="F15" s="17" t="n"/>
      <c r="G15" s="16" t="n"/>
      <c r="H15" s="17" t="n"/>
      <c r="I15" s="17" t="n"/>
      <c r="J15" s="17" t="n"/>
      <c r="K15" s="17" t="n"/>
      <c r="L15" s="16" t="n"/>
      <c r="M15" s="16" t="n"/>
      <c r="N15" s="16" t="n"/>
    </row>
    <row r="16" ht="20" customHeight="1">
      <c r="A16" s="23">
        <f>IF($B16="","",ROW()-2)</f>
        <v/>
      </c>
      <c r="B16" s="22" t="n"/>
      <c r="C16" s="23" t="n"/>
      <c r="D16" s="22" t="n"/>
      <c r="E16" s="23" t="n"/>
      <c r="F16" s="23" t="n"/>
      <c r="G16" s="22" t="n"/>
      <c r="H16" s="23" t="n"/>
      <c r="I16" s="23" t="n"/>
      <c r="J16" s="23" t="n"/>
      <c r="K16" s="23" t="n"/>
      <c r="L16" s="22" t="n"/>
      <c r="M16" s="22" t="n"/>
      <c r="N16" s="22" t="n"/>
    </row>
    <row r="17" ht="20" customHeight="1">
      <c r="A17" s="17">
        <f>IF($B17="","",ROW()-2)</f>
        <v/>
      </c>
      <c r="B17" s="16" t="n"/>
      <c r="C17" s="17" t="n"/>
      <c r="D17" s="16" t="n"/>
      <c r="E17" s="17" t="n"/>
      <c r="F17" s="17" t="n"/>
      <c r="G17" s="16" t="n"/>
      <c r="H17" s="17" t="n"/>
      <c r="I17" s="17" t="n"/>
      <c r="J17" s="17" t="n"/>
      <c r="K17" s="17" t="n"/>
      <c r="L17" s="16" t="n"/>
      <c r="M17" s="16" t="n"/>
      <c r="N17" s="16" t="n"/>
    </row>
    <row r="18" ht="20" customHeight="1">
      <c r="A18" s="23">
        <f>IF($B18="","",ROW()-2)</f>
        <v/>
      </c>
      <c r="B18" s="22" t="n"/>
      <c r="C18" s="23" t="n"/>
      <c r="D18" s="22" t="n"/>
      <c r="E18" s="23" t="n"/>
      <c r="F18" s="23" t="n"/>
      <c r="G18" s="22" t="n"/>
      <c r="H18" s="23" t="n"/>
      <c r="I18" s="23" t="n"/>
      <c r="J18" s="23" t="n"/>
      <c r="K18" s="23" t="n"/>
      <c r="L18" s="22" t="n"/>
      <c r="M18" s="22" t="n"/>
      <c r="N18" s="22" t="n"/>
    </row>
    <row r="19" ht="20" customHeight="1">
      <c r="A19" s="17">
        <f>IF($B19="","",ROW()-2)</f>
        <v/>
      </c>
      <c r="B19" s="16" t="n"/>
      <c r="C19" s="17" t="n"/>
      <c r="D19" s="16" t="n"/>
      <c r="E19" s="17" t="n"/>
      <c r="F19" s="17" t="n"/>
      <c r="G19" s="16" t="n"/>
      <c r="H19" s="17" t="n"/>
      <c r="I19" s="17" t="n"/>
      <c r="J19" s="17" t="n"/>
      <c r="K19" s="17" t="n"/>
      <c r="L19" s="16" t="n"/>
      <c r="M19" s="16" t="n"/>
      <c r="N19" s="16" t="n"/>
    </row>
    <row r="20" ht="20" customHeight="1">
      <c r="A20" s="23">
        <f>IF($B20="","",ROW()-2)</f>
        <v/>
      </c>
      <c r="B20" s="22" t="n"/>
      <c r="C20" s="23" t="n"/>
      <c r="D20" s="22" t="n"/>
      <c r="E20" s="23" t="n"/>
      <c r="F20" s="23" t="n"/>
      <c r="G20" s="22" t="n"/>
      <c r="H20" s="23" t="n"/>
      <c r="I20" s="23" t="n"/>
      <c r="J20" s="23" t="n"/>
      <c r="K20" s="23" t="n"/>
      <c r="L20" s="22" t="n"/>
      <c r="M20" s="22" t="n"/>
      <c r="N20" s="22" t="n"/>
    </row>
    <row r="21" ht="20" customHeight="1">
      <c r="A21" s="17">
        <f>IF($B21="","",ROW()-2)</f>
        <v/>
      </c>
      <c r="B21" s="16" t="n"/>
      <c r="C21" s="17" t="n"/>
      <c r="D21" s="16" t="n"/>
      <c r="E21" s="17" t="n"/>
      <c r="F21" s="17" t="n"/>
      <c r="G21" s="16" t="n"/>
      <c r="H21" s="17" t="n"/>
      <c r="I21" s="17" t="n"/>
      <c r="J21" s="17" t="n"/>
      <c r="K21" s="17" t="n"/>
      <c r="L21" s="16" t="n"/>
      <c r="M21" s="16" t="n"/>
      <c r="N21" s="16" t="n"/>
    </row>
    <row r="22" ht="20" customHeight="1">
      <c r="A22" s="23">
        <f>IF($B22="","",ROW()-2)</f>
        <v/>
      </c>
      <c r="B22" s="22" t="n"/>
      <c r="C22" s="23" t="n"/>
      <c r="D22" s="22" t="n"/>
      <c r="E22" s="23" t="n"/>
      <c r="F22" s="23" t="n"/>
      <c r="G22" s="22" t="n"/>
      <c r="H22" s="23" t="n"/>
      <c r="I22" s="23" t="n"/>
      <c r="J22" s="23" t="n"/>
      <c r="K22" s="23" t="n"/>
      <c r="L22" s="22" t="n"/>
      <c r="M22" s="22" t="n"/>
      <c r="N22" s="22" t="n"/>
    </row>
    <row r="23" ht="20" customHeight="1">
      <c r="A23" s="17">
        <f>IF($B23="","",ROW()-2)</f>
        <v/>
      </c>
      <c r="B23" s="16" t="n"/>
      <c r="C23" s="17" t="n"/>
      <c r="D23" s="16" t="n"/>
      <c r="E23" s="17" t="n"/>
      <c r="F23" s="17" t="n"/>
      <c r="G23" s="16" t="n"/>
      <c r="H23" s="17" t="n"/>
      <c r="I23" s="17" t="n"/>
      <c r="J23" s="17" t="n"/>
      <c r="K23" s="17" t="n"/>
      <c r="L23" s="16" t="n"/>
      <c r="M23" s="16" t="n"/>
      <c r="N23" s="16" t="n"/>
    </row>
    <row r="24" ht="20" customHeight="1">
      <c r="A24" s="23">
        <f>IF($B24="","",ROW()-2)</f>
        <v/>
      </c>
      <c r="B24" s="22" t="n"/>
      <c r="C24" s="23" t="n"/>
      <c r="D24" s="22" t="n"/>
      <c r="E24" s="23" t="n"/>
      <c r="F24" s="23" t="n"/>
      <c r="G24" s="22" t="n"/>
      <c r="H24" s="23" t="n"/>
      <c r="I24" s="23" t="n"/>
      <c r="J24" s="23" t="n"/>
      <c r="K24" s="23" t="n"/>
      <c r="L24" s="22" t="n"/>
      <c r="M24" s="22" t="n"/>
      <c r="N24" s="22" t="n"/>
    </row>
    <row r="25" ht="20" customHeight="1">
      <c r="A25" s="17">
        <f>IF($B25="","",ROW()-2)</f>
        <v/>
      </c>
      <c r="B25" s="16" t="n"/>
      <c r="C25" s="17" t="n"/>
      <c r="D25" s="16" t="n"/>
      <c r="E25" s="17" t="n"/>
      <c r="F25" s="17" t="n"/>
      <c r="G25" s="16" t="n"/>
      <c r="H25" s="17" t="n"/>
      <c r="I25" s="17" t="n"/>
      <c r="J25" s="17" t="n"/>
      <c r="K25" s="17" t="n"/>
      <c r="L25" s="16" t="n"/>
      <c r="M25" s="16" t="n"/>
      <c r="N25" s="16" t="n"/>
    </row>
    <row r="26" ht="20" customHeight="1">
      <c r="A26" s="23">
        <f>IF($B26="","",ROW()-2)</f>
        <v/>
      </c>
      <c r="B26" s="22" t="n"/>
      <c r="C26" s="23" t="n"/>
      <c r="D26" s="22" t="n"/>
      <c r="E26" s="23" t="n"/>
      <c r="F26" s="23" t="n"/>
      <c r="G26" s="22" t="n"/>
      <c r="H26" s="23" t="n"/>
      <c r="I26" s="23" t="n"/>
      <c r="J26" s="23" t="n"/>
      <c r="K26" s="23" t="n"/>
      <c r="L26" s="22" t="n"/>
      <c r="M26" s="22" t="n"/>
      <c r="N26" s="22" t="n"/>
    </row>
    <row r="27" ht="20" customHeight="1">
      <c r="A27" s="17">
        <f>IF($B27="","",ROW()-2)</f>
        <v/>
      </c>
      <c r="B27" s="16" t="n"/>
      <c r="C27" s="17" t="n"/>
      <c r="D27" s="16" t="n"/>
      <c r="E27" s="17" t="n"/>
      <c r="F27" s="17" t="n"/>
      <c r="G27" s="16" t="n"/>
      <c r="H27" s="17" t="n"/>
      <c r="I27" s="17" t="n"/>
      <c r="J27" s="17" t="n"/>
      <c r="K27" s="17" t="n"/>
      <c r="L27" s="16" t="n"/>
      <c r="M27" s="16" t="n"/>
      <c r="N27" s="16" t="n"/>
    </row>
    <row r="28" ht="20" customHeight="1">
      <c r="A28" s="23">
        <f>IF($B28="","",ROW()-2)</f>
        <v/>
      </c>
      <c r="B28" s="22" t="n"/>
      <c r="C28" s="23" t="n"/>
      <c r="D28" s="22" t="n"/>
      <c r="E28" s="23" t="n"/>
      <c r="F28" s="23" t="n"/>
      <c r="G28" s="22" t="n"/>
      <c r="H28" s="23" t="n"/>
      <c r="I28" s="23" t="n"/>
      <c r="J28" s="23" t="n"/>
      <c r="K28" s="23" t="n"/>
      <c r="L28" s="22" t="n"/>
      <c r="M28" s="22" t="n"/>
      <c r="N28" s="22" t="n"/>
    </row>
    <row r="29" ht="20" customHeight="1">
      <c r="A29" s="17">
        <f>IF($B29="","",ROW()-2)</f>
        <v/>
      </c>
      <c r="B29" s="16" t="n"/>
      <c r="C29" s="17" t="n"/>
      <c r="D29" s="16" t="n"/>
      <c r="E29" s="17" t="n"/>
      <c r="F29" s="17" t="n"/>
      <c r="G29" s="16" t="n"/>
      <c r="H29" s="17" t="n"/>
      <c r="I29" s="17" t="n"/>
      <c r="J29" s="17" t="n"/>
      <c r="K29" s="17" t="n"/>
      <c r="L29" s="16" t="n"/>
      <c r="M29" s="16" t="n"/>
      <c r="N29" s="16" t="n"/>
    </row>
    <row r="30" ht="20" customHeight="1">
      <c r="A30" s="23">
        <f>IF($B30="","",ROW()-2)</f>
        <v/>
      </c>
      <c r="B30" s="22" t="n"/>
      <c r="C30" s="23" t="n"/>
      <c r="D30" s="22" t="n"/>
      <c r="E30" s="23" t="n"/>
      <c r="F30" s="23" t="n"/>
      <c r="G30" s="22" t="n"/>
      <c r="H30" s="23" t="n"/>
      <c r="I30" s="23" t="n"/>
      <c r="J30" s="23" t="n"/>
      <c r="K30" s="23" t="n"/>
      <c r="L30" s="22" t="n"/>
      <c r="M30" s="22" t="n"/>
      <c r="N30" s="22" t="n"/>
    </row>
    <row r="31" ht="20" customHeight="1">
      <c r="A31" s="17">
        <f>IF($B31="","",ROW()-2)</f>
        <v/>
      </c>
      <c r="B31" s="16" t="n"/>
      <c r="C31" s="17" t="n"/>
      <c r="D31" s="16" t="n"/>
      <c r="E31" s="17" t="n"/>
      <c r="F31" s="17" t="n"/>
      <c r="G31" s="16" t="n"/>
      <c r="H31" s="17" t="n"/>
      <c r="I31" s="17" t="n"/>
      <c r="J31" s="17" t="n"/>
      <c r="K31" s="17" t="n"/>
      <c r="L31" s="16" t="n"/>
      <c r="M31" s="16" t="n"/>
      <c r="N31" s="16" t="n"/>
    </row>
    <row r="32" ht="20" customHeight="1">
      <c r="A32" s="23">
        <f>IF($B32="","",ROW()-2)</f>
        <v/>
      </c>
      <c r="B32" s="22" t="n"/>
      <c r="C32" s="23" t="n"/>
      <c r="D32" s="22" t="n"/>
      <c r="E32" s="23" t="n"/>
      <c r="F32" s="23" t="n"/>
      <c r="G32" s="22" t="n"/>
      <c r="H32" s="23" t="n"/>
      <c r="I32" s="23" t="n"/>
      <c r="J32" s="23" t="n"/>
      <c r="K32" s="23" t="n"/>
      <c r="L32" s="22" t="n"/>
      <c r="M32" s="22" t="n"/>
      <c r="N32" s="22" t="n"/>
    </row>
    <row r="34">
      <c r="A34" s="2" t="inlineStr">
        <is>
          <t>Idea parking lot for events farther down the line. It starts empty on purpose. When an idea is approved, add it as a partner row on the Events &amp; Festivals tab and book the activation there. Nothing on this tab feeds the Master List or the Calendar.</t>
        </is>
      </c>
    </row>
  </sheetData>
  <autoFilter ref="A2:N32"/>
  <mergeCells count="1">
    <mergeCell ref="A1:N1"/>
  </mergeCells>
  <conditionalFormatting sqref="J3:J32">
    <cfRule type="cellIs" priority="1" operator="equal" dxfId="3">
      <formula>"Idea"</formula>
    </cfRule>
    <cfRule type="cellIs" priority="2" operator="equal" dxfId="2">
      <formula>"Scoping"</formula>
    </cfRule>
    <cfRule type="cellIs" priority="3" operator="equal" dxfId="1">
      <formula>"Approved"</formula>
    </cfRule>
    <cfRule type="cellIs" priority="4" operator="equal" dxfId="0">
      <formula>"Moved To Events Tab"</formula>
    </cfRule>
    <cfRule type="cellIs" priority="5" operator="equal" dxfId="4">
      <formula>"Passed"</formula>
    </cfRule>
  </conditionalFormatting>
  <conditionalFormatting sqref="I3:I32">
    <cfRule type="cellIs" priority="6" operator="equal" dxfId="6">
      <formula>"P1"</formula>
    </cfRule>
    <cfRule type="cellIs" priority="7" operator="equal" dxfId="7">
      <formula>"P2"</formula>
    </cfRule>
    <cfRule type="cellIs" priority="8" operator="equal" dxfId="8">
      <formula>"P3"</formula>
    </cfRule>
  </conditionalFormatting>
  <conditionalFormatting sqref="H3:H32">
    <cfRule type="cellIs" priority="9" operator="equal" dxfId="0">
      <formula>"Verified Web"</formula>
    </cfRule>
    <cfRule type="cellIs" priority="10" operator="equal" dxfId="0">
      <formula>"Verified Phone"</formula>
    </cfRule>
    <cfRule type="cellIs" priority="11" operator="equal" dxfId="0">
      <formula>"Verified In Person"</formula>
    </cfRule>
    <cfRule type="cellIs" priority="12" operator="equal" dxfId="1">
      <formula>"Pending"</formula>
    </cfRule>
    <cfRule type="cellIs" priority="13" operator="equal" dxfId="8">
      <formula>"Unverified"</formula>
    </cfRule>
  </conditionalFormatting>
  <dataValidations count="5">
    <dataValidation sqref="C3:C32" showDropDown="0" showInputMessage="0" showErrorMessage="0" allowBlank="1" type="list">
      <formula1>LU_City</formula1>
    </dataValidation>
    <dataValidation sqref="H3:H32" showDropDown="0" showInputMessage="0" showErrorMessage="0" allowBlank="1" type="list">
      <formula1>LU_Source</formula1>
    </dataValidation>
    <dataValidation sqref="I3:I32" showDropDown="0" showInputMessage="0" showErrorMessage="0" allowBlank="1" type="list">
      <formula1>LU_Priority</formula1>
    </dataValidation>
    <dataValidation sqref="J3:J32" showDropDown="0" showInputMessage="0" showErrorMessage="0" allowBlank="1" type="list">
      <formula1>LU_EventStatus</formula1>
    </dataValidation>
    <dataValidation sqref="K3:K32" showDropDown="0" showInputMessage="0" showErrorMessage="0" allowBlank="1" type="list">
      <formula1>LU_Owner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O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4" customHeight="1">
      <c r="A1" s="1" t="inlineStr">
        <is>
          <t>Lookups : edit any column here to update the dropdowns across the file.</t>
        </is>
      </c>
    </row>
    <row r="2" ht="30" customHeight="1">
      <c r="A2" s="8" t="inlineStr">
        <is>
          <t>Owner</t>
        </is>
      </c>
      <c r="B2" s="8" t="inlineStr">
        <is>
          <t>Partnership Type</t>
        </is>
      </c>
      <c r="C2" s="8" t="inlineStr">
        <is>
          <t>Priority</t>
        </is>
      </c>
      <c r="D2" s="8" t="inlineStr">
        <is>
          <t>Status</t>
        </is>
      </c>
      <c r="E2" s="8" t="inlineStr">
        <is>
          <t>Warm</t>
        </is>
      </c>
      <c r="F2" s="8" t="inlineStr">
        <is>
          <t>Source</t>
        </is>
      </c>
      <c r="G2" s="8" t="inlineStr">
        <is>
          <t>Activation Type</t>
        </is>
      </c>
      <c r="H2" s="8" t="inlineStr">
        <is>
          <t>What They Want</t>
        </is>
      </c>
      <c r="I2" s="8" t="inlineStr">
        <is>
          <t>Risks</t>
        </is>
      </c>
      <c r="J2" s="8" t="inlineStr">
        <is>
          <t>In BC Tracker</t>
        </is>
      </c>
      <c r="K2" s="8" t="inlineStr">
        <is>
          <t>SKU Status</t>
        </is>
      </c>
      <c r="L2" s="8" t="inlineStr">
        <is>
          <t>Role</t>
        </is>
      </c>
      <c r="M2" s="8" t="inlineStr">
        <is>
          <t>City</t>
        </is>
      </c>
      <c r="N2" s="8" t="inlineStr">
        <is>
          <t>Neighbourhood</t>
        </is>
      </c>
      <c r="O2" s="8" t="inlineStr">
        <is>
          <t>Event Status</t>
        </is>
      </c>
    </row>
    <row r="3">
      <c r="A3" s="9" t="inlineStr">
        <is>
          <t>Maddie</t>
        </is>
      </c>
      <c r="B3" s="9" t="inlineStr">
        <is>
          <t>Run Clubs</t>
        </is>
      </c>
      <c r="C3" s="9" t="inlineStr">
        <is>
          <t>P1</t>
        </is>
      </c>
      <c r="D3" s="9" t="inlineStr">
        <is>
          <t>Open</t>
        </is>
      </c>
      <c r="E3" s="9" t="inlineStr">
        <is>
          <t>Warm</t>
        </is>
      </c>
      <c r="F3" s="9" t="inlineStr">
        <is>
          <t>Verified Web</t>
        </is>
      </c>
      <c r="G3" s="9" t="inlineStr">
        <is>
          <t>Sampling</t>
        </is>
      </c>
      <c r="H3" s="9" t="inlineStr">
        <is>
          <t>Free Product</t>
        </is>
      </c>
      <c r="I3" s="9" t="inlineStr">
        <is>
          <t>Competitor Locked In</t>
        </is>
      </c>
      <c r="J3" s="9" t="inlineStr">
        <is>
          <t>Yes</t>
        </is>
      </c>
      <c r="K3" s="9" t="inlineStr">
        <is>
          <t>Requested</t>
        </is>
      </c>
      <c r="L3" s="9" t="inlineStr">
        <is>
          <t>Owner or Founder</t>
        </is>
      </c>
      <c r="M3" s="9" t="inlineStr">
        <is>
          <t>Vancouver</t>
        </is>
      </c>
      <c r="N3" s="9" t="inlineStr">
        <is>
          <t>Cambie Village</t>
        </is>
      </c>
      <c r="O3" s="9" t="inlineStr">
        <is>
          <t>Idea</t>
        </is>
      </c>
    </row>
    <row r="4">
      <c r="B4" s="9" t="inlineStr">
        <is>
          <t>Gyms &amp; Studios</t>
        </is>
      </c>
      <c r="C4" s="9" t="inlineStr">
        <is>
          <t>P2</t>
        </is>
      </c>
      <c r="D4" s="9" t="inlineStr">
        <is>
          <t>Outreach Sent</t>
        </is>
      </c>
      <c r="E4" s="9" t="inlineStr">
        <is>
          <t>Cold</t>
        </is>
      </c>
      <c r="F4" s="9" t="inlineStr">
        <is>
          <t>Verified Phone</t>
        </is>
      </c>
      <c r="G4" s="9" t="inlineStr">
        <is>
          <t>Event Booth</t>
        </is>
      </c>
      <c r="H4" s="9" t="inlineStr">
        <is>
          <t>Sampling Budget</t>
        </is>
      </c>
      <c r="I4" s="9" t="inlineStr">
        <is>
          <t>Audience Mismatch</t>
        </is>
      </c>
      <c r="J4" s="9" t="inlineStr">
        <is>
          <t>No</t>
        </is>
      </c>
      <c r="K4" s="9" t="inlineStr">
        <is>
          <t>Sampled</t>
        </is>
      </c>
      <c r="L4" s="9" t="inlineStr">
        <is>
          <t>Director</t>
        </is>
      </c>
      <c r="M4" s="9" t="inlineStr">
        <is>
          <t>Burnaby</t>
        </is>
      </c>
      <c r="N4" s="9" t="inlineStr">
        <is>
          <t>Coal Harbour</t>
        </is>
      </c>
      <c r="O4" s="9" t="inlineStr">
        <is>
          <t>Scoping</t>
        </is>
      </c>
    </row>
    <row r="5">
      <c r="B5" s="9" t="inlineStr">
        <is>
          <t>Events &amp; Festivals</t>
        </is>
      </c>
      <c r="C5" s="9" t="inlineStr">
        <is>
          <t>P3</t>
        </is>
      </c>
      <c r="D5" s="9" t="inlineStr">
        <is>
          <t>In Conversation</t>
        </is>
      </c>
      <c r="E5" s="9" t="inlineStr">
        <is>
          <t>Past Contact</t>
        </is>
      </c>
      <c r="F5" s="9" t="inlineStr">
        <is>
          <t>Verified In Person</t>
        </is>
      </c>
      <c r="G5" s="9" t="inlineStr">
        <is>
          <t>Sponsorship</t>
        </is>
      </c>
      <c r="H5" s="9" t="inlineStr">
        <is>
          <t>Sponsorship Fee</t>
        </is>
      </c>
      <c r="I5" s="9" t="inlineStr">
        <is>
          <t>High Fee</t>
        </is>
      </c>
      <c r="K5" s="9" t="inlineStr">
        <is>
          <t>Stocked</t>
        </is>
      </c>
      <c r="L5" s="9" t="inlineStr">
        <is>
          <t>Manager</t>
        </is>
      </c>
      <c r="M5" s="9" t="inlineStr">
        <is>
          <t>North Vancouver</t>
        </is>
      </c>
      <c r="N5" s="9" t="inlineStr">
        <is>
          <t>Commercial Drive</t>
        </is>
      </c>
      <c r="O5" s="9" t="inlineStr">
        <is>
          <t>Approved</t>
        </is>
      </c>
    </row>
    <row r="6">
      <c r="B6" s="9" t="inlineStr">
        <is>
          <t>Sports Teams &amp; Leagues</t>
        </is>
      </c>
      <c r="D6" s="9" t="inlineStr">
        <is>
          <t>Proposal Sent</t>
        </is>
      </c>
      <c r="E6" s="9" t="inlineStr">
        <is>
          <t>Unknown</t>
        </is>
      </c>
      <c r="F6" s="9" t="inlineStr">
        <is>
          <t>Pending</t>
        </is>
      </c>
      <c r="G6" s="9" t="inlineStr">
        <is>
          <t>Ambassador</t>
        </is>
      </c>
      <c r="H6" s="9" t="inlineStr">
        <is>
          <t>Social Posts From Us</t>
        </is>
      </c>
      <c r="I6" s="9" t="inlineStr">
        <is>
          <t>Slow To Respond</t>
        </is>
      </c>
      <c r="L6" s="9" t="inlineStr">
        <is>
          <t>General Manager</t>
        </is>
      </c>
      <c r="M6" s="9" t="inlineStr">
        <is>
          <t>West Vancouver</t>
        </is>
      </c>
      <c r="N6" s="9" t="inlineStr">
        <is>
          <t>Downtown</t>
        </is>
      </c>
      <c r="O6" s="9" t="inlineStr">
        <is>
          <t>Moved To Events Tab</t>
        </is>
      </c>
    </row>
    <row r="7">
      <c r="B7" s="9" t="inlineStr">
        <is>
          <t>Campus &amp; Student Groups</t>
        </is>
      </c>
      <c r="D7" s="9" t="inlineStr">
        <is>
          <t>Agreed</t>
        </is>
      </c>
      <c r="F7" s="9" t="inlineStr">
        <is>
          <t>Unverified</t>
        </is>
      </c>
      <c r="G7" s="9" t="inlineStr">
        <is>
          <t>Contra Product</t>
        </is>
      </c>
      <c r="H7" s="9" t="inlineStr">
        <is>
          <t>Co Branded Giveaway</t>
        </is>
      </c>
      <c r="I7" s="9" t="inlineStr">
        <is>
          <t>One Off Only</t>
        </is>
      </c>
      <c r="L7" s="9" t="inlineStr">
        <is>
          <t>Marketing Lead</t>
        </is>
      </c>
      <c r="M7" s="9" t="inlineStr">
        <is>
          <t>Richmond</t>
        </is>
      </c>
      <c r="N7" s="9" t="inlineStr">
        <is>
          <t>Dunbar</t>
        </is>
      </c>
      <c r="O7" s="9" t="inlineStr">
        <is>
          <t>Passed</t>
        </is>
      </c>
    </row>
    <row r="8">
      <c r="B8" s="9" t="inlineStr">
        <is>
          <t>Wellness &amp; Recovery</t>
        </is>
      </c>
      <c r="D8" s="9" t="inlineStr">
        <is>
          <t>Activated</t>
        </is>
      </c>
      <c r="G8" s="9" t="inlineStr">
        <is>
          <t>Co Branded Content</t>
        </is>
      </c>
      <c r="H8" s="9" t="inlineStr">
        <is>
          <t>Discount Code</t>
        </is>
      </c>
      <c r="I8" s="9" t="inlineStr">
        <is>
          <t>Logistics</t>
        </is>
      </c>
      <c r="L8" s="9" t="inlineStr">
        <is>
          <t>Community Manager</t>
        </is>
      </c>
      <c r="M8" s="9" t="inlineStr">
        <is>
          <t>Surrey</t>
        </is>
      </c>
      <c r="N8" s="9" t="inlineStr">
        <is>
          <t>East Vancouver</t>
        </is>
      </c>
    </row>
    <row r="9">
      <c r="B9" s="9" t="inlineStr">
        <is>
          <t>Ambassadors &amp; Creators</t>
        </is>
      </c>
      <c r="D9" s="9" t="inlineStr">
        <is>
          <t>Repeat Partner</t>
        </is>
      </c>
      <c r="G9" s="9" t="inlineStr">
        <is>
          <t>Hydration Station</t>
        </is>
      </c>
      <c r="H9" s="9" t="inlineStr">
        <is>
          <t>Long Term Deal</t>
        </is>
      </c>
      <c r="L9" s="9" t="inlineStr">
        <is>
          <t>Events Lead</t>
        </is>
      </c>
      <c r="M9" s="9" t="inlineStr">
        <is>
          <t>Langley</t>
        </is>
      </c>
      <c r="N9" s="9" t="inlineStr">
        <is>
          <t>Fairview</t>
        </is>
      </c>
    </row>
    <row r="10">
      <c r="B10" s="9" t="inlineStr">
        <is>
          <t>Charity &amp; Causes</t>
        </is>
      </c>
      <c r="D10" s="9" t="inlineStr">
        <is>
          <t>Lost</t>
        </is>
      </c>
      <c r="L10" s="9" t="inlineStr">
        <is>
          <t>Coach</t>
        </is>
      </c>
      <c r="M10" s="9" t="inlineStr">
        <is>
          <t>Coquitlam</t>
        </is>
      </c>
      <c r="N10" s="9" t="inlineStr">
        <is>
          <t>False Creek</t>
        </is>
      </c>
    </row>
    <row r="11">
      <c r="D11" s="9" t="inlineStr">
        <is>
          <t>On Hold</t>
        </is>
      </c>
      <c r="L11" s="9" t="inlineStr">
        <is>
          <t>Run Lead</t>
        </is>
      </c>
      <c r="M11" s="9" t="inlineStr">
        <is>
          <t>New Westminster</t>
        </is>
      </c>
      <c r="N11" s="9" t="inlineStr">
        <is>
          <t>Gastown</t>
        </is>
      </c>
    </row>
    <row r="12">
      <c r="L12" s="9" t="inlineStr">
        <is>
          <t>Studio Owner</t>
        </is>
      </c>
      <c r="M12" s="9" t="inlineStr">
        <is>
          <t>Victoria</t>
        </is>
      </c>
      <c r="N12" s="9" t="inlineStr">
        <is>
          <t>Granville Island</t>
        </is>
      </c>
    </row>
    <row r="13">
      <c r="L13" s="9" t="inlineStr">
        <is>
          <t>Coordinator</t>
        </is>
      </c>
      <c r="M13" s="9" t="inlineStr">
        <is>
          <t>Kelowna</t>
        </is>
      </c>
      <c r="N13" s="9" t="inlineStr">
        <is>
          <t>Harris Green</t>
        </is>
      </c>
    </row>
    <row r="14">
      <c r="L14" s="9" t="inlineStr">
        <is>
          <t>President</t>
        </is>
      </c>
      <c r="M14" s="9" t="inlineStr">
        <is>
          <t>Nanaimo</t>
        </is>
      </c>
      <c r="N14" s="9" t="inlineStr">
        <is>
          <t>Inner Harbour</t>
        </is>
      </c>
    </row>
    <row r="15">
      <c r="L15" s="9" t="inlineStr">
        <is>
          <t>Board Member</t>
        </is>
      </c>
      <c r="M15" s="9" t="inlineStr">
        <is>
          <t>Online</t>
        </is>
      </c>
      <c r="N15" s="9" t="inlineStr">
        <is>
          <t>Jericho Beach</t>
        </is>
      </c>
    </row>
    <row r="16">
      <c r="L16" s="9" t="inlineStr">
        <is>
          <t>Sponsorship Lead</t>
        </is>
      </c>
      <c r="N16" s="9" t="inlineStr">
        <is>
          <t>Kitsilano</t>
        </is>
      </c>
    </row>
    <row r="17">
      <c r="L17" s="9" t="inlineStr">
        <is>
          <t>Athletic Director</t>
        </is>
      </c>
      <c r="N17" s="9" t="inlineStr">
        <is>
          <t>Lansdowne</t>
        </is>
      </c>
    </row>
    <row r="18">
      <c r="L18" s="9" t="inlineStr">
        <is>
          <t>Creator</t>
        </is>
      </c>
      <c r="N18" s="9" t="inlineStr">
        <is>
          <t>Lower Lonsdale</t>
        </is>
      </c>
    </row>
    <row r="19">
      <c r="N19" s="9" t="inlineStr">
        <is>
          <t>Lynn Valley</t>
        </is>
      </c>
    </row>
    <row r="20">
      <c r="N20" s="9" t="inlineStr">
        <is>
          <t>Main Street</t>
        </is>
      </c>
    </row>
    <row r="21">
      <c r="N21" s="9" t="inlineStr">
        <is>
          <t>Mount Pleasant</t>
        </is>
      </c>
    </row>
    <row r="22">
      <c r="N22" s="9" t="inlineStr">
        <is>
          <t>Multiple</t>
        </is>
      </c>
    </row>
    <row r="23">
      <c r="N23" s="9" t="inlineStr">
        <is>
          <t>North Burnaby</t>
        </is>
      </c>
    </row>
    <row r="24">
      <c r="N24" s="9" t="inlineStr">
        <is>
          <t>Oak Bay</t>
        </is>
      </c>
    </row>
    <row r="25">
      <c r="N25" s="9" t="inlineStr">
        <is>
          <t>Olympic Village</t>
        </is>
      </c>
    </row>
    <row r="26">
      <c r="N26" s="9" t="inlineStr">
        <is>
          <t>Parkinson Rec Centre</t>
        </is>
      </c>
    </row>
    <row r="27">
      <c r="N27" s="9" t="inlineStr">
        <is>
          <t>Queen Elizabeth Park</t>
        </is>
      </c>
    </row>
    <row r="28">
      <c r="N28" s="9" t="inlineStr">
        <is>
          <t>South Granville</t>
        </is>
      </c>
    </row>
    <row r="29">
      <c r="N29" s="9" t="inlineStr">
        <is>
          <t>Strathcona</t>
        </is>
      </c>
    </row>
    <row r="30">
      <c r="N30" s="9" t="inlineStr">
        <is>
          <t>Swangard Stadium</t>
        </is>
      </c>
    </row>
    <row r="31">
      <c r="N31" s="9" t="inlineStr">
        <is>
          <t>UBC</t>
        </is>
      </c>
    </row>
    <row r="32">
      <c r="N32" s="9" t="inlineStr">
        <is>
          <t>UBC Okanagan</t>
        </is>
      </c>
    </row>
    <row r="33">
      <c r="N33" s="9" t="inlineStr">
        <is>
          <t>UVic</t>
        </is>
      </c>
    </row>
    <row r="34">
      <c r="N34" s="9" t="inlineStr">
        <is>
          <t>Bridgeport</t>
        </is>
      </c>
    </row>
    <row r="35">
      <c r="N35" s="9" t="inlineStr">
        <is>
          <t>Burnaby Mountain</t>
        </is>
      </c>
    </row>
    <row r="36">
      <c r="N36" s="9" t="inlineStr">
        <is>
          <t>Waterfront Park</t>
        </is>
      </c>
    </row>
    <row r="37">
      <c r="N37" s="9" t="inlineStr">
        <is>
          <t>West End</t>
        </is>
      </c>
    </row>
    <row r="38">
      <c r="N38" s="9" t="inlineStr">
        <is>
          <t>Wilden</t>
        </is>
      </c>
    </row>
    <row r="39">
      <c r="N39" s="9" t="inlineStr">
        <is>
          <t>Willows Beach</t>
        </is>
      </c>
    </row>
    <row r="40">
      <c r="N40" s="9" t="inlineStr">
        <is>
          <t>Yaletown</t>
        </is>
      </c>
    </row>
  </sheetData>
  <mergeCells count="1">
    <mergeCell ref="A1:O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34" customHeight="1">
      <c r="A1" s="1" t="inlineStr">
        <is>
          <t>Sales Team</t>
        </is>
      </c>
    </row>
    <row r="2" ht="50" customHeight="1">
      <c r="A2" s="8" t="inlineStr">
        <is>
          <t>Rep</t>
        </is>
      </c>
      <c r="B2" s="8" t="inlineStr">
        <is>
          <t>Email</t>
        </is>
      </c>
      <c r="C2" s="8" t="inlineStr">
        <is>
          <t>Cell</t>
        </is>
      </c>
      <c r="D2" s="8" t="inlineStr">
        <is>
          <t>Region</t>
        </is>
      </c>
      <c r="E2" s="8" t="inlineStr">
        <is>
          <t>Role on This File</t>
        </is>
      </c>
      <c r="F2" s="8" t="inlineStr">
        <is>
          <t>On Owner Dropdown?</t>
        </is>
      </c>
    </row>
    <row r="3">
      <c r="A3" s="16" t="inlineStr">
        <is>
          <t>Maddie</t>
        </is>
      </c>
      <c r="B3" s="16" t="inlineStr">
        <is>
          <t>TBD verify</t>
        </is>
      </c>
      <c r="C3" s="17" t="inlineStr">
        <is>
          <t>TBD verify</t>
        </is>
      </c>
      <c r="D3" s="17" t="inlineStr">
        <is>
          <t>BC</t>
        </is>
      </c>
      <c r="E3" s="16" t="inlineStr">
        <is>
          <t>Community partnerships owner per Louis</t>
        </is>
      </c>
      <c r="F3" s="17" t="inlineStr">
        <is>
          <t>Yes</t>
        </is>
      </c>
    </row>
    <row r="5">
      <c r="A5" s="2" t="inlineStr">
        <is>
          <t>Maddie runs this file. To add a rep later, add a row here and add the name to the Owner column on the Lookups tab so it appears on the Primary Owner menu.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D7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  <col width="4" customWidth="1" min="3" max="3"/>
    <col width="4" customWidth="1" min="4" max="4"/>
  </cols>
  <sheetData>
    <row r="1" ht="34" customHeight="1">
      <c r="A1" s="1" t="inlineStr">
        <is>
          <t>Guide  ·  How to Use This Workbook</t>
        </is>
      </c>
    </row>
    <row r="2">
      <c r="A2" s="14" t="inlineStr">
        <is>
          <t>A quick reference for the team. You only ever type into the type tabs or pick from a drop down menu.</t>
        </is>
      </c>
    </row>
    <row r="4" ht="24" customHeight="1">
      <c r="A4" s="35" t="inlineStr">
        <is>
          <t>The boundary rule, BC Tracker or this file</t>
        </is>
      </c>
    </row>
    <row r="5" ht="16" customHeight="1">
      <c r="A5" s="36" t="inlineStr">
        <is>
          <t>If it sells cans on a shelf it lives in the BC Tracker. If it samples, sponsors, or creates content it lives here.</t>
        </is>
      </c>
    </row>
    <row r="6" ht="16" customHeight="1">
      <c r="A6" s="36" t="inlineStr">
        <is>
          <t>A partner can live in both files. Use the In BC Tracker column to flag any partner that also sits in the BC Tracker.</t>
        </is>
      </c>
    </row>
    <row r="7" ht="16" customHeight="1">
      <c r="A7" s="36" t="inlineStr">
        <is>
          <t>This file is the sister to the BC Tracker. That file tracks retail doors. This file tracks community partnerships and activations.</t>
        </is>
      </c>
    </row>
    <row r="9" ht="24" customHeight="1">
      <c r="A9" s="35" t="inlineStr">
        <is>
          <t>Nothing is proposed in advance</t>
        </is>
      </c>
    </row>
    <row r="10" ht="16" customHeight="1">
      <c r="A10" s="36" t="inlineStr">
        <is>
          <t>Every partner row carries research facts only: who they are, where they are, audience and source.</t>
        </is>
      </c>
    </row>
    <row r="11" ht="16" customHeight="1">
      <c r="A11" s="36" t="inlineStr">
        <is>
          <t>Activation Type, Activation Date, cases and budget all start blank. They only fill when the team books something real.</t>
        </is>
      </c>
    </row>
    <row r="12" ht="16" customHeight="1">
      <c r="A12" s="36" t="inlineStr">
        <is>
          <t>The Activation Calendar starts empty for the same reason. Enter an Activation Date on a type tab and the row appears there on its own, soonest first.</t>
        </is>
      </c>
    </row>
    <row r="14" ht="24" customHeight="1">
      <c r="A14" s="35" t="inlineStr">
        <is>
          <t>How to use it, 3 steps</t>
        </is>
      </c>
    </row>
    <row r="15" ht="16" customHeight="1">
      <c r="A15" s="36" t="inlineStr">
        <is>
          <t>1.  Open your type tab at the bottom (the green tabs). Each tab is one partnership type.</t>
        </is>
      </c>
    </row>
    <row r="16" ht="16" customHeight="1">
      <c r="A16" s="36" t="inlineStr">
        <is>
          <t>2.  Work the row. Update Status, Last Contacted, Next Action and Next Action Date as you go.</t>
        </is>
      </c>
    </row>
    <row r="17" ht="16" customHeight="1">
      <c r="A17" s="36" t="inlineStr">
        <is>
          <t>3.  When a partner agrees to something real, pick the Activation Type and enter the Activation Date. The Calendar and Dashboard update on their own.</t>
        </is>
      </c>
    </row>
    <row r="19" ht="24" customHeight="1">
      <c r="A19" s="35" t="inlineStr">
        <is>
          <t>What the colours mean, mapped to the BC Tracker</t>
        </is>
      </c>
    </row>
    <row r="20" ht="16" customHeight="1">
      <c r="A20" s="36" t="inlineStr">
        <is>
          <t>Green is Activated and Repeat Partner. Same green the BC Tracker uses for Listed and Won.</t>
        </is>
      </c>
    </row>
    <row r="21" ht="16" customHeight="1">
      <c r="A21" s="36" t="inlineStr">
        <is>
          <t>Amber is In Conversation, Proposal Sent and Agreed. Same amber the BC Tracker uses for Pitched and In Negotiation.</t>
        </is>
      </c>
    </row>
    <row r="22" ht="16" customHeight="1">
      <c r="A22" s="36" t="inlineStr">
        <is>
          <t>Pale blue is Outreach Sent. Grey is Open and On Hold. Rose is Lost.</t>
        </is>
      </c>
    </row>
    <row r="23" ht="16" customHeight="1">
      <c r="A23" s="36" t="inlineStr">
        <is>
          <t>Priority shades match the BC Tracker. P1 is warm orange, P2 is blue, P3 is grey.</t>
        </is>
      </c>
    </row>
    <row r="24" ht="16" customHeight="1">
      <c r="A24" s="36" t="inlineStr">
        <is>
          <t>A Next Action Date in the past turns rose. Days Since Activity turns amber over 7 days on P1 rows and rose over 14 days on any row.</t>
        </is>
      </c>
    </row>
    <row r="26" ht="24" customHeight="1">
      <c r="A26" s="35" t="inlineStr">
        <is>
          <t>The Source tag on every row</t>
        </is>
      </c>
    </row>
    <row r="27" ht="16" customHeight="1">
      <c r="A27" s="37" t="inlineStr">
        <is>
          <t>Verified Web</t>
        </is>
      </c>
      <c r="B27" s="36" t="inlineStr">
        <is>
          <t>Confirmed on an official site or public Instagram in 2026.</t>
        </is>
      </c>
    </row>
    <row r="28" ht="16" customHeight="1">
      <c r="A28" s="37" t="inlineStr">
        <is>
          <t>Pending</t>
        </is>
      </c>
      <c r="B28" s="36" t="inlineStr">
        <is>
          <t>The partner is real but a detail such as a follower count rests on a single source. Reverify before outreach.</t>
        </is>
      </c>
    </row>
    <row r="29" ht="16" customHeight="1">
      <c r="A29" s="37" t="inlineStr">
        <is>
          <t>Unverified</t>
        </is>
      </c>
      <c r="B29" s="36" t="inlineStr">
        <is>
          <t>Heard of secondhand and not yet confirmed. Treat as a lead only.</t>
        </is>
      </c>
    </row>
    <row r="30" ht="16" customHeight="1">
      <c r="A30" s="36" t="inlineStr">
        <is>
          <t>Audience numbers came from public sources. Anything that could not be verified is left blank or TBD and sits on the gap list.</t>
        </is>
      </c>
    </row>
    <row r="32" ht="24" customHeight="1">
      <c r="A32" s="35" t="inlineStr">
        <is>
          <t>The three SKUs we track</t>
        </is>
      </c>
    </row>
    <row r="33" ht="16" customHeight="1">
      <c r="A33" s="36" t="inlineStr">
        <is>
          <t>Raspberry is SKU 4338.  Lemon Lime is SKU 4336.  Pineapple Passion Fruit is SKU 4340.  355ml cans.</t>
        </is>
      </c>
    </row>
    <row r="34" ht="16" customHeight="1">
      <c r="A34" s="36" t="inlineStr">
        <is>
          <t>Each SKU column takes blank, Requested, Sampled, or Stocked.</t>
        </is>
      </c>
    </row>
    <row r="36" ht="24" customHeight="1">
      <c r="A36" s="35" t="inlineStr">
        <is>
          <t>Which tabs do what</t>
        </is>
      </c>
    </row>
    <row r="37" ht="16" customHeight="1">
      <c r="A37" s="37" t="inlineStr">
        <is>
          <t>Dashboard</t>
        </is>
      </c>
      <c r="B37" s="36" t="inlineStr">
        <is>
          <t>Live executive overview. Totals, pipeline, list health, activations, budget, SKU status. Read only.</t>
        </is>
      </c>
    </row>
    <row r="38" ht="16" customHeight="1">
      <c r="A38" s="37" t="inlineStr">
        <is>
          <t>Activation Calendar</t>
        </is>
      </c>
      <c r="B38" s="36" t="inlineStr">
        <is>
          <t>Every booked activation in date order, soonest first. Starts empty, fills itself. Read only.</t>
        </is>
      </c>
    </row>
    <row r="39" ht="16" customHeight="1">
      <c r="A39" s="37" t="inlineStr">
        <is>
          <t>Master List</t>
        </is>
      </c>
      <c r="B39" s="36" t="inlineStr">
        <is>
          <t>Every partner from every type tab in one place. Read only, updates on its own.</t>
        </is>
      </c>
    </row>
    <row r="40" ht="16" customHeight="1">
      <c r="A40" s="37" t="inlineStr">
        <is>
          <t>Type Summary</t>
        </is>
      </c>
      <c r="B40" s="36" t="inlineStr">
        <is>
          <t>Targets versus actuals per type with % to target. Targets are a draft for Louis to confirm. Read only.</t>
        </is>
      </c>
    </row>
    <row r="41" ht="16" customHeight="1">
      <c r="A41" s="37" t="inlineStr">
        <is>
          <t>Budget</t>
        </is>
      </c>
      <c r="B41" s="36" t="inlineStr">
        <is>
          <t>Budget per type. You can fill Total Budget and Committed. Spent rolls up from the type tabs.</t>
        </is>
      </c>
    </row>
    <row r="42" ht="16" customHeight="1">
      <c r="A42" s="37" t="inlineStr">
        <is>
          <t>Type tabs</t>
        </is>
      </c>
      <c r="B42" s="36" t="inlineStr">
        <is>
          <t>Where the team works. One tab per partnership type. Fully editable.</t>
        </is>
      </c>
    </row>
    <row r="43" ht="16" customHeight="1">
      <c r="A43" s="37" t="inlineStr">
        <is>
          <t>Suggested Events</t>
        </is>
      </c>
      <c r="B43" s="36" t="inlineStr">
        <is>
          <t>Idea parking lot for future events. Starts empty. Approved ideas move onto the Events &amp; Festivals tab.</t>
        </is>
      </c>
    </row>
    <row r="44" ht="16" customHeight="1">
      <c r="A44" s="37" t="inlineStr">
        <is>
          <t>Lookups</t>
        </is>
      </c>
      <c r="B44" s="36" t="inlineStr">
        <is>
          <t>The lists behind every drop down. Add a value here and it appears in the menus.</t>
        </is>
      </c>
    </row>
    <row r="45" ht="16" customHeight="1">
      <c r="A45" s="37" t="inlineStr">
        <is>
          <t>Sales Team</t>
        </is>
      </c>
      <c r="B45" s="36" t="inlineStr">
        <is>
          <t>Maddie owns this file. Add reps here and on the Lookups Owner column to grow the menu.</t>
        </is>
      </c>
    </row>
    <row r="47" ht="24" customHeight="1">
      <c r="A47" s="35" t="inlineStr">
        <is>
          <t>What each column means</t>
        </is>
      </c>
    </row>
    <row r="48" ht="16" customHeight="1">
      <c r="A48" s="37" t="inlineStr">
        <is>
          <t>Partner Name</t>
        </is>
      </c>
      <c r="B48" s="36" t="inlineStr">
        <is>
          <t>The run club, studio, event, team, group, space, creator or cause being pursued.</t>
        </is>
      </c>
    </row>
    <row r="49" ht="16" customHeight="1">
      <c r="A49" s="37" t="inlineStr">
        <is>
          <t>Partnership Type</t>
        </is>
      </c>
      <c r="B49" s="36" t="inlineStr">
        <is>
          <t>Which of the eight types this partner belongs to. Fills itself when a name is entered.</t>
        </is>
      </c>
    </row>
    <row r="50" ht="16" customHeight="1">
      <c r="A50" s="37" t="inlineStr">
        <is>
          <t>City and Neighbourhood</t>
        </is>
      </c>
      <c r="B50" s="36" t="inlineStr">
        <is>
          <t>Where the partner is based. Metro Vancouver first, then Victoria and Kelowna.</t>
        </is>
      </c>
    </row>
    <row r="51" ht="16" customHeight="1">
      <c r="A51" s="37" t="inlineStr">
        <is>
          <t>Priority</t>
        </is>
      </c>
      <c r="B51" s="36" t="inlineStr">
        <is>
          <t>P1 chase first, P2, or P3.</t>
        </is>
      </c>
    </row>
    <row r="52" ht="16" customHeight="1">
      <c r="A52" s="37" t="inlineStr">
        <is>
          <t>Status</t>
        </is>
      </c>
      <c r="B52" s="36" t="inlineStr">
        <is>
          <t>Where the partnership sits, from Open through Activated and Repeat Partner.</t>
        </is>
      </c>
    </row>
    <row r="53" ht="16" customHeight="1">
      <c r="A53" s="37" t="inlineStr">
        <is>
          <t>Primary Owner</t>
        </is>
      </c>
      <c r="B53" s="36" t="inlineStr">
        <is>
          <t>The rep responsible. Maddie to start, drawn from the Sales Team tab.</t>
        </is>
      </c>
    </row>
    <row r="54" ht="16" customHeight="1">
      <c r="A54" s="37" t="inlineStr">
        <is>
          <t>Audience Size and Source</t>
        </is>
      </c>
      <c r="B54" s="36" t="inlineStr">
        <is>
          <t>Approximate reach and exactly where that number came from.</t>
        </is>
      </c>
    </row>
    <row r="55" ht="16" customHeight="1">
      <c r="A55" s="37" t="inlineStr">
        <is>
          <t>Source</t>
        </is>
      </c>
      <c r="B55" s="36" t="inlineStr">
        <is>
          <t>Verified Web, Pending or Unverified. How sure we are the row is real.</t>
        </is>
      </c>
    </row>
    <row r="56" ht="16" customHeight="1">
      <c r="A56" s="37" t="inlineStr">
        <is>
          <t>Warm</t>
        </is>
      </c>
      <c r="B56" s="36" t="inlineStr">
        <is>
          <t>Warm, Cold, Past Contact or Unknown relationship.</t>
        </is>
      </c>
    </row>
    <row r="57" ht="16" customHeight="1">
      <c r="A57" s="37" t="inlineStr">
        <is>
          <t>Last Contacted and Days Since Activity</t>
        </is>
      </c>
      <c r="B57" s="36" t="inlineStr">
        <is>
          <t>The most recent contact date and how many days have passed.</t>
        </is>
      </c>
    </row>
    <row r="58" ht="16" customHeight="1">
      <c r="A58" s="37" t="inlineStr">
        <is>
          <t>Next Action and Date</t>
        </is>
      </c>
      <c r="B58" s="36" t="inlineStr">
        <is>
          <t>The next step and when it is due.</t>
        </is>
      </c>
    </row>
    <row r="59" ht="16" customHeight="1">
      <c r="A59" s="37" t="inlineStr">
        <is>
          <t>Activation Type</t>
        </is>
      </c>
      <c r="B59" s="36" t="inlineStr">
        <is>
          <t>Sampling, Event Booth, Sponsorship, Ambassador, Contra Product, Co Branded Content or Hydration Station. Pick when you book.</t>
        </is>
      </c>
    </row>
    <row r="60" ht="16" customHeight="1">
      <c r="A60" s="37" t="inlineStr">
        <is>
          <t>Activation Date</t>
        </is>
      </c>
      <c r="B60" s="36" t="inlineStr">
        <is>
          <t>The date of the activation. Anything with a date shows on the Activation Calendar.</t>
        </is>
      </c>
    </row>
    <row r="61" ht="16" customHeight="1">
      <c r="A61" s="37" t="inlineStr">
        <is>
          <t>Cases Committed and Delivered</t>
        </is>
      </c>
      <c r="B61" s="36" t="inlineStr">
        <is>
          <t>Cases promised and cases delivered. 24 cans per case.</t>
        </is>
      </c>
    </row>
    <row r="62" ht="16" customHeight="1">
      <c r="A62" s="37" t="inlineStr">
        <is>
          <t>Cost and Cost Per Can</t>
        </is>
      </c>
      <c r="B62" s="36" t="inlineStr">
        <is>
          <t>Dollars spent and the cost for each can sampled. Cost Per Can fills once both Cost and Cases Delivered exist.</t>
        </is>
      </c>
    </row>
    <row r="63" ht="16" customHeight="1">
      <c r="A63" s="37" t="inlineStr">
        <is>
          <t>Contra Value</t>
        </is>
      </c>
      <c r="B63" s="36" t="inlineStr">
        <is>
          <t>The dollar value of anything received in trade rather than cash.</t>
        </is>
      </c>
    </row>
    <row r="64" ht="16" customHeight="1">
      <c r="A64" s="37" t="inlineStr">
        <is>
          <t>What They Want and Deliverables</t>
        </is>
      </c>
      <c r="B64" s="36" t="inlineStr">
        <is>
          <t>What the partner is asking for and what each side promised or received.</t>
        </is>
      </c>
    </row>
    <row r="65" ht="16" customHeight="1">
      <c r="A65" s="37" t="inlineStr">
        <is>
          <t>Nearby Retail Doors</t>
        </is>
      </c>
      <c r="B65" s="36" t="inlineStr">
        <is>
          <t>Retail doors near the partner that sit in the BC Tracker. Links the two files.</t>
        </is>
      </c>
    </row>
    <row r="66" ht="16" customHeight="1">
      <c r="A66" s="37" t="inlineStr">
        <is>
          <t>In BC Tracker</t>
        </is>
      </c>
      <c r="B66" s="36" t="inlineStr">
        <is>
          <t>Yes if this partner also sits in the BC Tracker.</t>
        </is>
      </c>
    </row>
    <row r="67" ht="16" customHeight="1">
      <c r="A67" s="37" t="inlineStr">
        <is>
          <t>Raspberry, Lemon Lime, Pineapple</t>
        </is>
      </c>
      <c r="B67" s="36" t="inlineStr">
        <is>
          <t>The sampling status of each flavour at that partner.</t>
        </is>
      </c>
    </row>
    <row r="69" ht="24" customHeight="1">
      <c r="A69" s="35" t="inlineStr">
        <is>
          <t>Version</t>
        </is>
      </c>
    </row>
    <row r="70" ht="16" customHeight="1">
      <c r="A70" s="37" t="inlineStr">
        <is>
          <t>2026 06  v1</t>
        </is>
      </c>
      <c r="B70" s="36" t="inlineStr">
        <is>
          <t>First build. 60 researched partners, live Dashboard, Activation Calendar, read only Master List, eight type tabs.</t>
        </is>
      </c>
    </row>
    <row r="71" ht="16" customHeight="1">
      <c r="A71" s="37" t="inlineStr">
        <is>
          <t>2026 06  v2</t>
        </is>
      </c>
      <c r="B71" s="36" t="inlineStr">
        <is>
          <t>Cleared every proposed activation so the team books real ones. Maddie set as the single owner. Added the empty Suggested Events tab, List Health on the Dashboard and % to Target on the Type Summary.</t>
        </is>
      </c>
    </row>
    <row r="72" ht="16" customHeight="1">
      <c r="A72" s="37" t="inlineStr">
        <is>
          <t>2026 06  v3</t>
        </is>
      </c>
      <c r="B72" s="36" t="inlineStr">
        <is>
          <t>Polish pass. Live Dashboard charts, clickable Instagram and website links, a region rollup, soft row banding for readability, a date stamp and clean print layout on every tab.</t>
        </is>
      </c>
    </row>
  </sheetData>
  <mergeCells count="10">
    <mergeCell ref="A1:D1"/>
    <mergeCell ref="A9:D9"/>
    <mergeCell ref="A69:D69"/>
    <mergeCell ref="A4:D4"/>
    <mergeCell ref="A26:D26"/>
    <mergeCell ref="A19:D19"/>
    <mergeCell ref="A47:D47"/>
    <mergeCell ref="A32:D32"/>
    <mergeCell ref="A36:D3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2026-06-12T02:28:57Z</dcterms:created>
  <dcterms:modified xsi:type="dcterms:W3CDTF">2026-06-12T02:28:58Z</dcterms:modified>
</cp:coreProperties>
</file>