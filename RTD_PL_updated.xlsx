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500" firstSheet="0" activeTab="0" autoFilterDateGrouping="1"/>
  </bookViews>
  <sheets>
    <sheet name="Cover" sheetId="1" state="visible" r:id="rId1"/>
    <sheet name="Inputs" sheetId="2" state="visible" r:id="rId2"/>
    <sheet name="Direct COGS" sheetId="3" state="visible" r:id="rId3"/>
    <sheet name="Indirect COGS" sheetId="4" state="visible" r:id="rId4"/>
    <sheet name="Freight Model" sheetId="5" state="visible" r:id="rId5"/>
    <sheet name="P&amp;L by Scenario" sheetId="6" state="visible" r:id="rId6"/>
  </sheets>
  <externalReferences>
    <externalReference r:id="rId7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0.0000"/>
    <numFmt numFmtId="165" formatCode="\$#,##0.00"/>
    <numFmt numFmtId="166" formatCode="0.0%"/>
    <numFmt numFmtId="167" formatCode="\$#,##0.0000"/>
    <numFmt numFmtId="168" formatCode="\$#,##0"/>
    <numFmt numFmtId="169" formatCode="0.0"/>
    <numFmt numFmtId="170" formatCode="\$#,##0.00;&quot;($&quot;#,##0.00\);\-"/>
    <numFmt numFmtId="171" formatCode="\$#,##0;&quot;($&quot;#,##0\);\-"/>
  </numFmts>
  <fonts count="12">
    <font>
      <name val="Calibri"/>
      <charset val="1"/>
      <family val="2"/>
      <color theme="1"/>
      <sz val="11"/>
    </font>
    <font>
      <name val="Aptos Narrow"/>
      <b val="1"/>
      <color rgb="FFFFFFFF"/>
      <sz val="18"/>
    </font>
    <font>
      <name val="Aptos Narrow"/>
      <i val="1"/>
      <color rgb="FF44546A"/>
      <sz val="10"/>
    </font>
    <font>
      <name val="Aptos Narrow"/>
      <b val="1"/>
      <color rgb="FF000000"/>
      <sz val="10"/>
    </font>
    <font>
      <name val="Aptos Narrow"/>
      <b val="1"/>
      <color rgb="FFC00000"/>
      <sz val="12"/>
    </font>
    <font>
      <name val="Aptos Narrow"/>
      <i val="1"/>
      <color rgb="FF7F7F7F"/>
      <sz val="9"/>
    </font>
    <font>
      <name val="Aptos Narrow"/>
      <b val="1"/>
      <color rgb="FFFFFFFF"/>
      <sz val="11"/>
    </font>
    <font>
      <name val="Aptos Narrow"/>
      <color rgb="FF375623"/>
      <sz val="10"/>
    </font>
    <font>
      <name val="Aptos Narrow"/>
      <color rgb="FF000000"/>
      <sz val="10"/>
    </font>
    <font>
      <name val="Aptos Narrow"/>
      <color rgb="FF0070C0"/>
      <sz val="10"/>
    </font>
    <font>
      <name val="Aptos Narrow"/>
      <b val="1"/>
      <color rgb="FF1F3864"/>
      <sz val="10"/>
    </font>
    <font>
      <name val="Aptos Narrow"/>
      <i val="1"/>
      <color rgb="FF595959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FCE4D6"/>
        <bgColor rgb="FFFFF2CC"/>
      </patternFill>
    </fill>
    <fill>
      <patternFill patternType="solid">
        <fgColor rgb="FFF8F9FA"/>
        <bgColor rgb="FFFFFFFF"/>
      </patternFill>
    </fill>
    <fill>
      <patternFill patternType="solid">
        <fgColor rgb="FF2E75B6"/>
        <bgColor rgb="FF0070C0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AEAEA"/>
      </patternFill>
    </fill>
    <fill>
      <patternFill patternType="solid">
        <fgColor rgb="FFEAEAEA"/>
        <bgColor rgb="FFE7E6E6"/>
      </patternFill>
    </fill>
    <fill>
      <patternFill patternType="solid">
        <fgColor rgb="FFE7E6E6"/>
        <bgColor rgb="FFEAEAEA"/>
      </patternFill>
    </fill>
    <fill>
      <patternFill patternType="solid">
        <fgColor rgb="FFD9E1F2"/>
        <bgColor rgb="FFDEEB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3" fontId="11" fillId="8" borderId="0" applyAlignment="1" pivotButton="0" quotePrefix="0" xfId="0">
      <alignment horizontal="center" vertical="center" wrapText="1"/>
    </xf>
    <xf numFmtId="1" fontId="9" fillId="6" borderId="0" applyAlignment="1" pivotButton="0" quotePrefix="0" xfId="0">
      <alignment horizontal="center" vertical="center" wrapText="1"/>
    </xf>
    <xf numFmtId="1" fontId="11" fillId="8" borderId="0" applyAlignment="1" pivotButton="0" quotePrefix="0" xfId="0">
      <alignment horizontal="center" vertical="center" wrapText="1"/>
    </xf>
    <xf numFmtId="166" fontId="9" fillId="6" borderId="0" applyAlignment="1" pivotButton="0" quotePrefix="0" xfId="0">
      <alignment horizontal="center" vertical="center" wrapText="1"/>
    </xf>
    <xf numFmtId="166" fontId="11" fillId="8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6" fontId="5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9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167" fontId="9" fillId="6" borderId="0" applyAlignment="1" pivotButton="0" quotePrefix="0" xfId="0">
      <alignment horizontal="center" vertical="center" wrapText="1"/>
    </xf>
    <xf numFmtId="168" fontId="9" fillId="6" borderId="0" applyAlignment="1" pivotButton="0" quotePrefix="0" xfId="0">
      <alignment horizontal="center" vertical="center" wrapText="1"/>
    </xf>
    <xf numFmtId="2" fontId="9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 indent="1"/>
    </xf>
    <xf numFmtId="3" fontId="5" fillId="4" borderId="0" applyAlignment="1" pivotButton="0" quotePrefix="0" xfId="0">
      <alignment horizontal="center" vertical="center" wrapText="1"/>
    </xf>
    <xf numFmtId="168" fontId="5" fillId="4" borderId="0" applyAlignment="1" pivotButton="0" quotePrefix="0" xfId="0">
      <alignment horizontal="center" vertical="center" wrapText="1"/>
    </xf>
    <xf numFmtId="167" fontId="5" fillId="4" borderId="0" applyAlignment="1" pivotButton="0" quotePrefix="0" xfId="0">
      <alignment horizontal="center" vertical="center" wrapText="1"/>
    </xf>
    <xf numFmtId="169" fontId="9" fillId="6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 wrapText="1"/>
    </xf>
    <xf numFmtId="167" fontId="3" fillId="10" borderId="0" applyAlignment="1" pivotButton="0" quotePrefix="0" xfId="0">
      <alignment horizontal="center" vertical="center" wrapText="1"/>
    </xf>
    <xf numFmtId="165" fontId="3" fillId="1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171" fontId="8" fillId="0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165" fontId="3" fillId="9" borderId="0" applyAlignment="1" pivotButton="0" quotePrefix="0" xfId="0">
      <alignment horizontal="center" vertical="center" wrapText="1"/>
    </xf>
    <xf numFmtId="168" fontId="3" fillId="9" borderId="0" applyAlignment="1" pivotButton="0" quotePrefix="0" xfId="0">
      <alignment horizontal="center" vertical="center" wrapText="1"/>
    </xf>
    <xf numFmtId="168" fontId="3" fillId="10" borderId="0" applyAlignment="1" pivotButton="0" quotePrefix="0" xfId="0">
      <alignment horizontal="center" vertical="center" wrapText="1"/>
    </xf>
    <xf numFmtId="166" fontId="3" fillId="1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B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C6EFCE"/>
      <rgbColor rgb="FFF8F9FA"/>
      <rgbColor rgb="FFE7E6E6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44546A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benchmark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enchmark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27"/>
  <sheetViews>
    <sheetView tabSelected="1" zoomScaleNormal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K6" sqref="K6"/>
    </sheetView>
  </sheetViews>
  <sheetFormatPr baseColWidth="10" defaultColWidth="8.6640625" defaultRowHeight="15"/>
  <cols>
    <col width="32" customWidth="1" min="1" max="1"/>
    <col width="22" customWidth="1" min="2" max="2"/>
    <col width="14" customWidth="1" min="3" max="9"/>
  </cols>
  <sheetData>
    <row r="1" ht="30" customHeight="1">
      <c r="A1" s="4" t="inlineStr">
        <is>
          <t>RTD Co Man P&amp;L</t>
        </is>
      </c>
    </row>
    <row r="2" ht="24" customHeight="1">
      <c r="A2" s="3" t="n"/>
    </row>
    <row r="4" ht="17" customHeight="1">
      <c r="A4" s="5" t="inlineStr">
        <is>
          <t>Display unit</t>
        </is>
      </c>
      <c r="B4" s="6" t="inlineStr">
        <is>
          <t>Per case (24)</t>
        </is>
      </c>
    </row>
    <row r="5">
      <c r="A5" s="7" t="inlineStr">
        <is>
          <t>Conversion (computed)</t>
        </is>
      </c>
    </row>
    <row r="6">
      <c r="D6" s="8">
        <f>IF($B$4="Per can",IFERROR(1/Inputs!D16,0),IF($B$4="Per 4pk",IFERROR(4/Inputs!D16,0),IF($B$4="Per 6pk",IFERROR(6/Inputs!D16,0),IF($B$4="Per 8pk",IFERROR(8/Inputs!D16,0),IF($B$4="Per 12pk",IFERROR(12/Inputs!D16,0),IF($B$4="Per 15pk",IFERROR(15/Inputs!D16,0),IF($B$4="Per 18pk",IFERROR(18/Inputs!D16,0),IF($B$4="Per case (24)",IFERROR(24/Inputs!D16,0),IF($B$4="Per pallet",Inputs!D18,1)))))))))</f>
        <v/>
      </c>
      <c r="E6" s="8">
        <f>IF($B$4="Per can",IFERROR(1/Inputs!E16,0),IF($B$4="Per 4pk",IFERROR(4/Inputs!E16,0),IF($B$4="Per 6pk",IFERROR(6/Inputs!E16,0),IF($B$4="Per 8pk",IFERROR(8/Inputs!E16,0),IF($B$4="Per 12pk",IFERROR(12/Inputs!E16,0),IF($B$4="Per 15pk",IFERROR(15/Inputs!E16,0),IF($B$4="Per 18pk",IFERROR(18/Inputs!E16,0),IF($B$4="Per case (24)",IFERROR(24/Inputs!E16,0),IF($B$4="Per pallet",Inputs!E18,1)))))))))</f>
        <v/>
      </c>
      <c r="F6" s="8">
        <f>IF($B$4="Per can",IFERROR(1/Inputs!F16,0),IF($B$4="Per 4pk",IFERROR(4/Inputs!F16,0),IF($B$4="Per 6pk",IFERROR(6/Inputs!F16,0),IF($B$4="Per 8pk",IFERROR(8/Inputs!F16,0),IF($B$4="Per 12pk",IFERROR(12/Inputs!F16,0),IF($B$4="Per 15pk",IFERROR(15/Inputs!F16,0),IF($B$4="Per 18pk",IFERROR(18/Inputs!F16,0),IF($B$4="Per case (24)",IFERROR(24/Inputs!F16,0),IF($B$4="Per pallet",Inputs!F18,1)))))))))</f>
        <v/>
      </c>
      <c r="G6" s="8">
        <f>IF($B$4="Per can",IFERROR(1/Inputs!G16,0),IF($B$4="Per 4pk",IFERROR(4/Inputs!G16,0),IF($B$4="Per 6pk",IFERROR(6/Inputs!G16,0),IF($B$4="Per 8pk",IFERROR(8/Inputs!G16,0),IF($B$4="Per 12pk",IFERROR(12/Inputs!G16,0),IF($B$4="Per 15pk",IFERROR(15/Inputs!G16,0),IF($B$4="Per 18pk",IFERROR(18/Inputs!G16,0),IF($B$4="Per case (24)",IFERROR(24/Inputs!G16,0),IF($B$4="Per pallet",Inputs!G18,1)))))))))</f>
        <v/>
      </c>
      <c r="H6" s="8">
        <f>IF($B$4="Per can",IFERROR(1/Inputs!H16,0),IF($B$4="Per 4pk",IFERROR(4/Inputs!H16,0),IF($B$4="Per 6pk",IFERROR(6/Inputs!H16,0),IF($B$4="Per 8pk",IFERROR(8/Inputs!H16,0),IF($B$4="Per 12pk",IFERROR(12/Inputs!H16,0),IF($B$4="Per 15pk",IFERROR(15/Inputs!H16,0),IF($B$4="Per 18pk",IFERROR(18/Inputs!H16,0),IF($B$4="Per case (24)",IFERROR(24/Inputs!H16,0),IF($B$4="Per pallet",Inputs!H18,1)))))))))</f>
        <v/>
      </c>
      <c r="I6" s="8">
        <f>IF($B$4="Per can",IFERROR(1/Inputs!I16,0),IF($B$4="Per 4pk",IFERROR(4/Inputs!I16,0),IF($B$4="Per 6pk",IFERROR(6/Inputs!I16,0),IF($B$4="Per 8pk",IFERROR(8/Inputs!I16,0),IF($B$4="Per 12pk",IFERROR(12/Inputs!I16,0),IF($B$4="Per 15pk",IFERROR(15/Inputs!I16,0),IF($B$4="Per 18pk",IFERROR(18/Inputs!I16,0),IF($B$4="Per case (24)",IFERROR(24/Inputs!I16,0),IF($B$4="Per pallet",Inputs!I18,1)))))))))</f>
        <v/>
      </c>
    </row>
    <row r="7">
      <c r="A7" s="7" t="n"/>
      <c r="B7" s="9" t="n"/>
      <c r="C7" s="7" t="n"/>
      <c r="D7" s="9" t="n"/>
      <c r="E7" s="7" t="n"/>
      <c r="F7" s="9" t="n"/>
    </row>
    <row r="10" ht="21.75" customHeight="1">
      <c r="A10" s="10" t="inlineStr">
        <is>
          <t>Metric</t>
        </is>
      </c>
      <c r="D10" s="11">
        <f>Inputs!D4</f>
        <v/>
      </c>
      <c r="E10" s="11">
        <f>Inputs!E4</f>
        <v/>
      </c>
      <c r="F10" s="11">
        <f>Inputs!F4</f>
        <v/>
      </c>
      <c r="G10" s="11">
        <f>Inputs!G4</f>
        <v/>
      </c>
      <c r="H10" s="11">
        <f>Inputs!H4</f>
        <v/>
      </c>
      <c r="I10" s="11">
        <f>Inputs!I4</f>
        <v/>
      </c>
    </row>
    <row r="11">
      <c r="A11" s="7" t="inlineStr">
        <is>
          <t>Co manufacturer name</t>
        </is>
      </c>
      <c r="D11" s="12">
        <f>Inputs!D5</f>
        <v/>
      </c>
      <c r="E11" s="12">
        <f>Inputs!E5</f>
        <v/>
      </c>
      <c r="F11" s="12">
        <f>Inputs!F5</f>
        <v/>
      </c>
      <c r="G11" s="12">
        <f>Inputs!G5</f>
        <v/>
      </c>
      <c r="H11" s="12">
        <f>Inputs!H5</f>
        <v/>
      </c>
      <c r="I11" s="12">
        <f>Inputs!I5</f>
        <v/>
      </c>
    </row>
    <row r="12">
      <c r="A12" s="5" t="inlineStr">
        <is>
          <t>Province</t>
        </is>
      </c>
      <c r="D12" s="13">
        <f>Inputs!D6</f>
        <v/>
      </c>
      <c r="E12" s="13">
        <f>Inputs!E6</f>
        <v/>
      </c>
      <c r="F12" s="13">
        <f>Inputs!F6</f>
        <v/>
      </c>
      <c r="G12" s="13">
        <f>Inputs!G6</f>
        <v/>
      </c>
      <c r="H12" s="13">
        <f>Inputs!H6</f>
        <v/>
      </c>
      <c r="I12" s="13">
        <f>Inputs!I6</f>
        <v/>
      </c>
    </row>
    <row r="13">
      <c r="A13" s="5" t="inlineStr">
        <is>
          <t>Type</t>
        </is>
      </c>
      <c r="D13" s="13">
        <f>Inputs!D7</f>
        <v/>
      </c>
      <c r="E13" s="13">
        <f>Inputs!E7</f>
        <v/>
      </c>
      <c r="F13" s="13">
        <f>Inputs!F7</f>
        <v/>
      </c>
      <c r="G13" s="13">
        <f>Inputs!G7</f>
        <v/>
      </c>
      <c r="H13" s="13">
        <f>Inputs!H7</f>
        <v/>
      </c>
      <c r="I13" s="13">
        <f>Inputs!I7</f>
        <v/>
      </c>
    </row>
    <row r="14">
      <c r="A14" s="5">
        <f>CONCATENATE("Physical units (",B4,")")</f>
        <v/>
      </c>
      <c r="D14" s="14">
        <f>'P&amp;L by Scenario'!D6</f>
        <v/>
      </c>
      <c r="E14" s="14">
        <f>'P&amp;L by Scenario'!E6</f>
        <v/>
      </c>
      <c r="F14" s="14">
        <f>'P&amp;L by Scenario'!F6</f>
        <v/>
      </c>
      <c r="G14" s="14">
        <f>'P&amp;L by Scenario'!G6</f>
        <v/>
      </c>
      <c r="H14" s="14">
        <f>'P&amp;L by Scenario'!H6</f>
        <v/>
      </c>
      <c r="I14" s="14">
        <f>'P&amp;L by Scenario'!I6</f>
        <v/>
      </c>
    </row>
    <row r="15">
      <c r="A15" s="15" t="inlineStr">
        <is>
          <t>Gross Revenue (CP)</t>
        </is>
      </c>
      <c r="D15" s="16">
        <f>'P&amp;L by Scenario'!D7</f>
        <v/>
      </c>
      <c r="E15" s="16">
        <f>'P&amp;L by Scenario'!E7</f>
        <v/>
      </c>
      <c r="F15" s="16">
        <f>'P&amp;L by Scenario'!F7</f>
        <v/>
      </c>
      <c r="G15" s="16">
        <f>'P&amp;L by Scenario'!G7</f>
        <v/>
      </c>
      <c r="H15" s="16">
        <f>'P&amp;L by Scenario'!H7</f>
        <v/>
      </c>
      <c r="I15" s="16">
        <f>'P&amp;L by Scenario'!I7</f>
        <v/>
      </c>
    </row>
    <row r="16">
      <c r="A16" s="15" t="inlineStr">
        <is>
          <t>Net Sales</t>
        </is>
      </c>
      <c r="D16" s="16">
        <f>'P&amp;L by Scenario'!D9</f>
        <v/>
      </c>
      <c r="E16" s="16">
        <f>'P&amp;L by Scenario'!E9</f>
        <v/>
      </c>
      <c r="F16" s="16">
        <f>'P&amp;L by Scenario'!F9</f>
        <v/>
      </c>
      <c r="G16" s="16">
        <f>'P&amp;L by Scenario'!G9</f>
        <v/>
      </c>
      <c r="H16" s="16">
        <f>'P&amp;L by Scenario'!H9</f>
        <v/>
      </c>
      <c r="I16" s="16">
        <f>'P&amp;L by Scenario'!I9</f>
        <v/>
      </c>
    </row>
    <row r="17">
      <c r="A17" s="15" t="inlineStr">
        <is>
          <t>Direct COGS</t>
        </is>
      </c>
      <c r="D17" s="16">
        <f>'P&amp;L by Scenario'!D12</f>
        <v/>
      </c>
      <c r="E17" s="16">
        <f>'P&amp;L by Scenario'!E12</f>
        <v/>
      </c>
      <c r="F17" s="16">
        <f>'P&amp;L by Scenario'!F12</f>
        <v/>
      </c>
      <c r="G17" s="16">
        <f>'P&amp;L by Scenario'!G12</f>
        <v/>
      </c>
      <c r="H17" s="16">
        <f>'P&amp;L by Scenario'!H12</f>
        <v/>
      </c>
      <c r="I17" s="16">
        <f>'P&amp;L by Scenario'!I12</f>
        <v/>
      </c>
    </row>
    <row r="18">
      <c r="A18" s="15" t="inlineStr">
        <is>
          <t>Indirect COGS</t>
        </is>
      </c>
      <c r="D18" s="16">
        <f>'P&amp;L by Scenario'!D13</f>
        <v/>
      </c>
      <c r="E18" s="16">
        <f>'P&amp;L by Scenario'!E13</f>
        <v/>
      </c>
      <c r="F18" s="16">
        <f>'P&amp;L by Scenario'!F13</f>
        <v/>
      </c>
      <c r="G18" s="16">
        <f>'P&amp;L by Scenario'!G13</f>
        <v/>
      </c>
      <c r="H18" s="16">
        <f>'P&amp;L by Scenario'!H13</f>
        <v/>
      </c>
      <c r="I18" s="16">
        <f>'P&amp;L by Scenario'!I13</f>
        <v/>
      </c>
    </row>
    <row r="19">
      <c r="A19" s="15" t="inlineStr">
        <is>
          <t>Cost of Sales</t>
        </is>
      </c>
      <c r="D19" s="16">
        <f>'P&amp;L by Scenario'!D14</f>
        <v/>
      </c>
      <c r="E19" s="16">
        <f>'P&amp;L by Scenario'!E14</f>
        <v/>
      </c>
      <c r="F19" s="16">
        <f>'P&amp;L by Scenario'!F14</f>
        <v/>
      </c>
      <c r="G19" s="16">
        <f>'P&amp;L by Scenario'!G14</f>
        <v/>
      </c>
      <c r="H19" s="16">
        <f>'P&amp;L by Scenario'!H14</f>
        <v/>
      </c>
      <c r="I19" s="16">
        <f>'P&amp;L by Scenario'!I14</f>
        <v/>
      </c>
    </row>
    <row r="20">
      <c r="A20" s="15" t="inlineStr">
        <is>
          <t>Gross Profit</t>
        </is>
      </c>
      <c r="D20" s="16">
        <f>'P&amp;L by Scenario'!D15</f>
        <v/>
      </c>
      <c r="E20" s="16">
        <f>'P&amp;L by Scenario'!E15</f>
        <v/>
      </c>
      <c r="F20" s="16">
        <f>'P&amp;L by Scenario'!F15</f>
        <v/>
      </c>
      <c r="G20" s="16">
        <f>'P&amp;L by Scenario'!G15</f>
        <v/>
      </c>
      <c r="H20" s="16">
        <f>'P&amp;L by Scenario'!H15</f>
        <v/>
      </c>
      <c r="I20" s="16">
        <f>'P&amp;L by Scenario'!I15</f>
        <v/>
      </c>
    </row>
    <row r="21">
      <c r="A21" s="15" t="inlineStr">
        <is>
          <t>GP %</t>
        </is>
      </c>
      <c r="D21" s="17">
        <f>'P&amp;L by Scenario'!D16</f>
        <v/>
      </c>
      <c r="E21" s="17">
        <f>'P&amp;L by Scenario'!E16</f>
        <v/>
      </c>
      <c r="F21" s="17">
        <f>'P&amp;L by Scenario'!F16</f>
        <v/>
      </c>
      <c r="G21" s="17">
        <f>'P&amp;L by Scenario'!G16</f>
        <v/>
      </c>
      <c r="H21" s="17">
        <f>'P&amp;L by Scenario'!H16</f>
        <v/>
      </c>
      <c r="I21" s="17">
        <f>'P&amp;L by Scenario'!I16</f>
        <v/>
      </c>
    </row>
    <row r="22">
      <c r="A22" s="15" t="inlineStr">
        <is>
          <t>A&amp;P (total)</t>
        </is>
      </c>
      <c r="D22" s="16">
        <f>'P&amp;L by Scenario'!D24</f>
        <v/>
      </c>
      <c r="E22" s="16">
        <f>'P&amp;L by Scenario'!E24</f>
        <v/>
      </c>
      <c r="F22" s="16">
        <f>'P&amp;L by Scenario'!F24</f>
        <v/>
      </c>
      <c r="G22" s="16">
        <f>'P&amp;L by Scenario'!G24</f>
        <v/>
      </c>
      <c r="H22" s="16">
        <f>'P&amp;L by Scenario'!H24</f>
        <v/>
      </c>
      <c r="I22" s="16">
        <f>'P&amp;L by Scenario'!I24</f>
        <v/>
      </c>
    </row>
    <row r="23">
      <c r="A23" s="15" t="inlineStr">
        <is>
          <t>Contrib After A&amp;P</t>
        </is>
      </c>
      <c r="D23" s="16">
        <f>'P&amp;L by Scenario'!D26</f>
        <v/>
      </c>
      <c r="E23" s="16">
        <f>'P&amp;L by Scenario'!E26</f>
        <v/>
      </c>
      <c r="F23" s="16">
        <f>'P&amp;L by Scenario'!F26</f>
        <v/>
      </c>
      <c r="G23" s="16">
        <f>'P&amp;L by Scenario'!G26</f>
        <v/>
      </c>
      <c r="H23" s="16">
        <f>'P&amp;L by Scenario'!H26</f>
        <v/>
      </c>
      <c r="I23" s="16">
        <f>'P&amp;L by Scenario'!I26</f>
        <v/>
      </c>
    </row>
    <row r="24">
      <c r="A24" s="15" t="inlineStr">
        <is>
          <t>CAAP %</t>
        </is>
      </c>
      <c r="D24" s="17">
        <f>'P&amp;L by Scenario'!D27</f>
        <v/>
      </c>
      <c r="E24" s="17">
        <f>'P&amp;L by Scenario'!E27</f>
        <v/>
      </c>
      <c r="F24" s="17">
        <f>'P&amp;L by Scenario'!F27</f>
        <v/>
      </c>
      <c r="G24" s="17">
        <f>'P&amp;L by Scenario'!G27</f>
        <v/>
      </c>
      <c r="H24" s="17">
        <f>'P&amp;L by Scenario'!H27</f>
        <v/>
      </c>
      <c r="I24" s="17">
        <f>'P&amp;L by Scenario'!I27</f>
        <v/>
      </c>
    </row>
    <row r="25">
      <c r="A25" s="15" t="inlineStr">
        <is>
          <t>Tax</t>
        </is>
      </c>
      <c r="D25" s="16">
        <f>'P&amp;L by Scenario'!D30</f>
        <v/>
      </c>
      <c r="E25" s="16">
        <f>'P&amp;L by Scenario'!E30</f>
        <v/>
      </c>
      <c r="F25" s="16">
        <f>'P&amp;L by Scenario'!F30</f>
        <v/>
      </c>
      <c r="G25" s="16">
        <f>'P&amp;L by Scenario'!G30</f>
        <v/>
      </c>
      <c r="H25" s="16">
        <f>'P&amp;L by Scenario'!H30</f>
        <v/>
      </c>
      <c r="I25" s="16">
        <f>'P&amp;L by Scenario'!I30</f>
        <v/>
      </c>
    </row>
    <row r="26">
      <c r="A26" s="15" t="inlineStr">
        <is>
          <t>Profit After Tax</t>
        </is>
      </c>
      <c r="D26" s="16">
        <f>'P&amp;L by Scenario'!D31</f>
        <v/>
      </c>
      <c r="E26" s="16">
        <f>'P&amp;L by Scenario'!E31</f>
        <v/>
      </c>
      <c r="F26" s="16">
        <f>'P&amp;L by Scenario'!F31</f>
        <v/>
      </c>
      <c r="G26" s="16">
        <f>'P&amp;L by Scenario'!G31</f>
        <v/>
      </c>
      <c r="H26" s="16">
        <f>'P&amp;L by Scenario'!H31</f>
        <v/>
      </c>
      <c r="I26" s="16">
        <f>'P&amp;L by Scenario'!I31</f>
        <v/>
      </c>
    </row>
    <row r="27">
      <c r="A27" s="15" t="inlineStr">
        <is>
          <t>Net Margin %</t>
        </is>
      </c>
      <c r="D27" s="17">
        <f>'P&amp;L by Scenario'!D32</f>
        <v/>
      </c>
      <c r="E27" s="17">
        <f>'P&amp;L by Scenario'!E32</f>
        <v/>
      </c>
      <c r="F27" s="17">
        <f>'P&amp;L by Scenario'!F32</f>
        <v/>
      </c>
      <c r="G27" s="17">
        <f>'P&amp;L by Scenario'!G32</f>
        <v/>
      </c>
      <c r="H27" s="17">
        <f>'P&amp;L by Scenario'!H32</f>
        <v/>
      </c>
      <c r="I27" s="17">
        <f>'P&amp;L by Scenario'!I32</f>
        <v/>
      </c>
    </row>
  </sheetData>
  <mergeCells count="2">
    <mergeCell ref="A1:I1"/>
    <mergeCell ref="A2:I2"/>
  </mergeCells>
  <conditionalFormatting sqref="D27:I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sqref="B4" showDropDown="0" showInputMessage="0" showErrorMessage="0" allowBlank="0" type="list">
      <formula1>"Per can,Per 4pk,Per 6pk,Per 8pk,Per 12pk,Per 15pk,Per 18pk,Per case (24),Per pallet"</formula1>
      <formula2>0</formula2>
    </dataValidation>
    <dataValidation sqref="D12:I12" showDropDown="0" showInputMessage="0" showErrorMessage="0" allowBlank="0" type="list">
      <formula1>"ON,AB,BC,QC,Other"</formula1>
      <formula2>0</formula2>
    </dataValidation>
    <dataValidation sqref="D13:I13" showDropDown="0" showInputMessage="0" showErrorMessage="0" allowBlank="0" type="list">
      <formula1>"Turnkey,Tolling"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I12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9" sqref="A19:I20"/>
    </sheetView>
  </sheetViews>
  <sheetFormatPr baseColWidth="10" defaultColWidth="8.6640625" defaultRowHeight="15"/>
  <cols>
    <col width="50" customWidth="1" min="1" max="1"/>
    <col width="16" customWidth="1" min="2" max="2"/>
    <col width="13" customWidth="1" min="4" max="9"/>
  </cols>
  <sheetData>
    <row r="1" ht="30" customHeight="1">
      <c r="A1" s="4" t="inlineStr">
        <is>
          <t>Inputs</t>
        </is>
      </c>
    </row>
    <row r="2" ht="24" customHeight="1">
      <c r="A2" s="3" t="n"/>
    </row>
    <row r="4" ht="21.75" customHeight="1">
      <c r="A4" s="10" t="inlineStr">
        <is>
          <t>Variable</t>
        </is>
      </c>
      <c r="B4" s="11" t="inlineStr">
        <is>
          <t>Unit</t>
        </is>
      </c>
      <c r="D4" s="11">
        <f>CONCATENATE(D6," ",D7)</f>
        <v/>
      </c>
      <c r="E4" s="11">
        <f>CONCATENATE(E6," ",E7)</f>
        <v/>
      </c>
      <c r="F4" s="11">
        <f>CONCATENATE(F6," ",F7)</f>
        <v/>
      </c>
      <c r="G4" s="11">
        <f>CONCATENATE(G6," ",G7)</f>
        <v/>
      </c>
      <c r="H4" s="11">
        <f>CONCATENATE(H6," ",H7)</f>
        <v/>
      </c>
      <c r="I4" s="11">
        <f>CONCATENATE(I6," ",I7)</f>
        <v/>
      </c>
    </row>
    <row r="5">
      <c r="A5" s="5" t="inlineStr">
        <is>
          <t>Co manufacturer name (type here)</t>
        </is>
      </c>
      <c r="B5" s="18" t="inlineStr">
        <is>
          <t>name</t>
        </is>
      </c>
      <c r="D5" s="19" t="n"/>
      <c r="E5" s="19" t="n"/>
      <c r="F5" s="19" t="n"/>
      <c r="G5" s="19" t="n"/>
      <c r="H5" s="19" t="n"/>
      <c r="I5" s="19" t="n"/>
    </row>
    <row r="6">
      <c r="A6" s="5" t="inlineStr">
        <is>
          <t>Province (dropdown)</t>
        </is>
      </c>
      <c r="B6" s="18" t="inlineStr">
        <is>
          <t>pick</t>
        </is>
      </c>
      <c r="D6" s="19" t="inlineStr">
        <is>
          <t>ON</t>
        </is>
      </c>
      <c r="E6" s="19" t="inlineStr">
        <is>
          <t>ON</t>
        </is>
      </c>
      <c r="F6" s="19" t="inlineStr">
        <is>
          <t>AB</t>
        </is>
      </c>
      <c r="G6" s="19" t="inlineStr">
        <is>
          <t>AB</t>
        </is>
      </c>
      <c r="H6" s="19" t="inlineStr">
        <is>
          <t>BC</t>
        </is>
      </c>
      <c r="I6" s="19" t="inlineStr">
        <is>
          <t>BC</t>
        </is>
      </c>
    </row>
    <row r="7">
      <c r="A7" s="5" t="inlineStr">
        <is>
          <t>Mode (dropdown)</t>
        </is>
      </c>
      <c r="B7" s="18" t="inlineStr">
        <is>
          <t>pick</t>
        </is>
      </c>
      <c r="D7" s="19" t="inlineStr">
        <is>
          <t>Turnkey</t>
        </is>
      </c>
      <c r="E7" s="19" t="inlineStr">
        <is>
          <t>Tolling</t>
        </is>
      </c>
      <c r="F7" s="19" t="inlineStr">
        <is>
          <t>Turnkey</t>
        </is>
      </c>
      <c r="G7" s="19" t="inlineStr">
        <is>
          <t>Tolling</t>
        </is>
      </c>
      <c r="H7" s="19" t="inlineStr">
        <is>
          <t>Turnkey</t>
        </is>
      </c>
      <c r="I7" s="19" t="inlineStr">
        <is>
          <t>Tolling</t>
        </is>
      </c>
    </row>
    <row r="9" ht="15" customHeight="1">
      <c r="A9" s="2" t="inlineStr">
        <is>
          <t>Global inputs. Edit column D. All scenarios use the same value.</t>
        </is>
      </c>
    </row>
    <row r="10">
      <c r="A10" s="15" t="inlineStr">
        <is>
          <t>Physical Cases Year 1</t>
        </is>
      </c>
      <c r="B10" s="18" t="inlineStr">
        <is>
          <t>cases</t>
        </is>
      </c>
      <c r="D10" s="20" t="n">
        <v>5000</v>
      </c>
      <c r="E10" s="21">
        <f>$D$10</f>
        <v/>
      </c>
      <c r="F10" s="21">
        <f>$D$10</f>
        <v/>
      </c>
      <c r="G10" s="21">
        <f>$D$10</f>
        <v/>
      </c>
      <c r="H10" s="21">
        <f>$D$10</f>
        <v/>
      </c>
      <c r="I10" s="21">
        <f>$D$10</f>
        <v/>
      </c>
    </row>
    <row r="11">
      <c r="A11" s="15" t="inlineStr">
        <is>
          <t>mL per can</t>
        </is>
      </c>
      <c r="B11" s="18" t="inlineStr">
        <is>
          <t>mL</t>
        </is>
      </c>
      <c r="D11" s="22" t="n">
        <v>355</v>
      </c>
      <c r="E11" s="23">
        <f>$D$11</f>
        <v/>
      </c>
      <c r="F11" s="23">
        <f>$D$11</f>
        <v/>
      </c>
      <c r="G11" s="23">
        <f>$D$11</f>
        <v/>
      </c>
      <c r="H11" s="23">
        <f>$D$11</f>
        <v/>
      </c>
      <c r="I11" s="23">
        <f>$D$11</f>
        <v/>
      </c>
    </row>
    <row r="12">
      <c r="A12" s="15" t="inlineStr">
        <is>
          <t>Pallets per truck</t>
        </is>
      </c>
      <c r="B12" s="18" t="inlineStr">
        <is>
          <t>pallets/truck</t>
        </is>
      </c>
      <c r="D12" s="20" t="n">
        <v>24</v>
      </c>
      <c r="E12" s="21">
        <f>$D$12</f>
        <v/>
      </c>
      <c r="F12" s="21">
        <f>$D$12</f>
        <v/>
      </c>
      <c r="G12" s="21">
        <f>$D$12</f>
        <v/>
      </c>
      <c r="H12" s="21">
        <f>$D$12</f>
        <v/>
      </c>
      <c r="I12" s="21">
        <f>$D$12</f>
        <v/>
      </c>
    </row>
    <row r="14" ht="15" customHeight="1">
      <c r="A14" s="2" t="inlineStr">
        <is>
          <t>Pack format per scenario. Unit = pack size (varies). Case = 24 can tray case (standard).</t>
        </is>
      </c>
    </row>
    <row r="15">
      <c r="A15" s="15" t="inlineStr">
        <is>
          <t>Cans per unit</t>
        </is>
      </c>
      <c r="B15" s="18" t="inlineStr">
        <is>
          <t>cans</t>
        </is>
      </c>
      <c r="D15" s="22" t="n">
        <v>4</v>
      </c>
      <c r="E15" s="22" t="n">
        <v>6</v>
      </c>
      <c r="F15" s="22" t="n">
        <v>12</v>
      </c>
      <c r="G15" s="22" t="n">
        <v>18</v>
      </c>
      <c r="H15" s="22" t="n">
        <v>24</v>
      </c>
      <c r="I15" s="22" t="n">
        <v>4</v>
      </c>
    </row>
    <row r="16">
      <c r="A16" s="15" t="inlineStr">
        <is>
          <t>Cans per case</t>
        </is>
      </c>
      <c r="B16" s="18" t="inlineStr">
        <is>
          <t>cans</t>
        </is>
      </c>
      <c r="D16" s="22" t="n">
        <v>24</v>
      </c>
      <c r="E16" s="22" t="n">
        <v>24</v>
      </c>
      <c r="F16" s="22" t="n">
        <v>24</v>
      </c>
      <c r="G16" s="22" t="n">
        <v>24</v>
      </c>
      <c r="H16" s="22" t="n">
        <v>24</v>
      </c>
      <c r="I16" s="22" t="n">
        <v>24</v>
      </c>
    </row>
    <row r="17">
      <c r="A17" s="15" t="inlineStr">
        <is>
          <t>Cans per tray</t>
        </is>
      </c>
      <c r="B17" s="18" t="inlineStr">
        <is>
          <t>cans</t>
        </is>
      </c>
      <c r="D17" s="22" t="n">
        <v>24</v>
      </c>
      <c r="E17" s="22" t="n">
        <v>24</v>
      </c>
      <c r="F17" s="22" t="n">
        <v>24</v>
      </c>
      <c r="G17" s="22" t="n">
        <v>24</v>
      </c>
      <c r="H17" s="22" t="n">
        <v>24</v>
      </c>
      <c r="I17" s="22" t="n">
        <v>24</v>
      </c>
    </row>
    <row r="18">
      <c r="A18" s="15" t="inlineStr">
        <is>
          <t>Cases per pallet</t>
        </is>
      </c>
      <c r="B18" s="18" t="inlineStr">
        <is>
          <t>cases/pallet</t>
        </is>
      </c>
      <c r="D18" s="20" t="n">
        <v>100</v>
      </c>
      <c r="E18" s="20" t="n">
        <v>100</v>
      </c>
      <c r="F18" s="20" t="n">
        <v>100</v>
      </c>
      <c r="G18" s="20" t="n">
        <v>100</v>
      </c>
      <c r="H18" s="20" t="n">
        <v>100</v>
      </c>
      <c r="I18" s="20" t="n">
        <v>100</v>
      </c>
    </row>
    <row r="20" ht="15" customHeight="1">
      <c r="A20" s="2" t="inlineStr">
        <is>
          <t>Trade rates per channel (global)</t>
        </is>
      </c>
    </row>
    <row r="21">
      <c r="A21" s="15" t="inlineStr">
        <is>
          <t>Costco trade rate</t>
        </is>
      </c>
      <c r="B21" s="18" t="inlineStr">
        <is>
          <t>% of Gross Rev</t>
        </is>
      </c>
      <c r="D21" s="24" t="n">
        <v>0.235</v>
      </c>
      <c r="E21" s="25">
        <f>$D$21</f>
        <v/>
      </c>
      <c r="F21" s="25">
        <f>$D$21</f>
        <v/>
      </c>
      <c r="G21" s="25">
        <f>$D$21</f>
        <v/>
      </c>
      <c r="H21" s="25">
        <f>$D$21</f>
        <v/>
      </c>
      <c r="I21" s="25">
        <f>$D$21</f>
        <v/>
      </c>
    </row>
    <row r="22">
      <c r="A22" s="15" t="inlineStr">
        <is>
          <t>Specialty trade rate</t>
        </is>
      </c>
      <c r="B22" s="18" t="inlineStr">
        <is>
          <t>% of Gross Rev</t>
        </is>
      </c>
      <c r="D22" s="24" t="n">
        <v>0.05</v>
      </c>
      <c r="E22" s="25">
        <f>$D$22</f>
        <v/>
      </c>
      <c r="F22" s="25">
        <f>$D$22</f>
        <v/>
      </c>
      <c r="G22" s="25">
        <f>$D$22</f>
        <v/>
      </c>
      <c r="H22" s="25">
        <f>$D$22</f>
        <v/>
      </c>
      <c r="I22" s="25">
        <f>$D$22</f>
        <v/>
      </c>
    </row>
    <row r="23">
      <c r="A23" s="15" t="inlineStr">
        <is>
          <t>FDM trade rate</t>
        </is>
      </c>
      <c r="B23" s="18" t="inlineStr">
        <is>
          <t>% of Gross Rev</t>
        </is>
      </c>
      <c r="D23" s="24" t="n">
        <v>0.13</v>
      </c>
      <c r="E23" s="25">
        <f>$D$23</f>
        <v/>
      </c>
      <c r="F23" s="25">
        <f>$D$23</f>
        <v/>
      </c>
      <c r="G23" s="25">
        <f>$D$23</f>
        <v/>
      </c>
      <c r="H23" s="25">
        <f>$D$23</f>
        <v/>
      </c>
      <c r="I23" s="25">
        <f>$D$23</f>
        <v/>
      </c>
    </row>
    <row r="24">
      <c r="A24" s="15" t="inlineStr">
        <is>
          <t>DTC / Other trade rate</t>
        </is>
      </c>
      <c r="B24" s="18" t="inlineStr">
        <is>
          <t>% of Gross Rev</t>
        </is>
      </c>
      <c r="D24" s="24" t="n">
        <v>0.1</v>
      </c>
      <c r="E24" s="25">
        <f>$D$24</f>
        <v/>
      </c>
      <c r="F24" s="25">
        <f>$D$24</f>
        <v/>
      </c>
      <c r="G24" s="25">
        <f>$D$24</f>
        <v/>
      </c>
      <c r="H24" s="25">
        <f>$D$24</f>
        <v/>
      </c>
      <c r="I24" s="25">
        <f>$D$24</f>
        <v/>
      </c>
    </row>
    <row r="26" ht="15" customHeight="1">
      <c r="A26" s="2" t="inlineStr">
        <is>
          <t>Tax</t>
        </is>
      </c>
    </row>
    <row r="27">
      <c r="A27" s="15" t="inlineStr">
        <is>
          <t>Corporate tax rate (Canada combined federal + BC)</t>
        </is>
      </c>
      <c r="B27" s="18" t="inlineStr">
        <is>
          <t>%</t>
        </is>
      </c>
      <c r="D27" s="24" t="n">
        <v>0.27</v>
      </c>
      <c r="E27" s="25">
        <f>$D$27</f>
        <v/>
      </c>
      <c r="F27" s="25">
        <f>$D$27</f>
        <v/>
      </c>
      <c r="G27" s="25">
        <f>$D$27</f>
        <v/>
      </c>
      <c r="H27" s="25">
        <f>$D$27</f>
        <v/>
      </c>
      <c r="I27" s="25">
        <f>$D$27</f>
        <v/>
      </c>
    </row>
    <row r="29" ht="15" customHeight="1">
      <c r="A29" s="2" t="inlineStr">
        <is>
          <t>Scenario specific.</t>
        </is>
      </c>
    </row>
    <row r="30">
      <c r="A30" s="15" t="inlineStr">
        <is>
          <t>MOQ per production run</t>
        </is>
      </c>
      <c r="B30" s="18" t="inlineStr">
        <is>
          <t>cases</t>
        </is>
      </c>
      <c r="D30" s="20" t="n">
        <v>5000</v>
      </c>
      <c r="E30" s="20" t="n">
        <v>5000</v>
      </c>
      <c r="F30" s="20" t="n">
        <v>5000</v>
      </c>
      <c r="G30" s="20" t="n">
        <v>5000</v>
      </c>
      <c r="H30" s="20" t="n">
        <v>5000</v>
      </c>
      <c r="I30" s="20" t="n">
        <v>5000</v>
      </c>
    </row>
    <row r="31">
      <c r="A31" s="15" t="inlineStr">
        <is>
          <t>Lead time</t>
        </is>
      </c>
      <c r="B31" s="18" t="inlineStr">
        <is>
          <t>days</t>
        </is>
      </c>
      <c r="D31" s="22" t="n">
        <v>60</v>
      </c>
      <c r="E31" s="22" t="n">
        <v>60</v>
      </c>
      <c r="F31" s="22" t="n">
        <v>60</v>
      </c>
      <c r="G31" s="22" t="n">
        <v>60</v>
      </c>
      <c r="H31" s="22" t="n">
        <v>60</v>
      </c>
      <c r="I31" s="22" t="n">
        <v>60</v>
      </c>
    </row>
    <row r="32">
      <c r="A32" s="15" t="inlineStr">
        <is>
          <t>Scrap rate</t>
        </is>
      </c>
      <c r="B32" s="18" t="inlineStr">
        <is>
          <t>%</t>
        </is>
      </c>
      <c r="D32" s="24" t="n">
        <v>0.02</v>
      </c>
      <c r="E32" s="24" t="n">
        <v>0.02</v>
      </c>
      <c r="F32" s="24" t="n">
        <v>0.02</v>
      </c>
      <c r="G32" s="24" t="n">
        <v>0.02</v>
      </c>
      <c r="H32" s="24" t="n">
        <v>0.02</v>
      </c>
      <c r="I32" s="24" t="n">
        <v>0.02</v>
      </c>
    </row>
    <row r="34" ht="15" customHeight="1">
      <c r="A34" s="2" t="inlineStr">
        <is>
          <t>Pricing per case</t>
        </is>
      </c>
    </row>
    <row r="35">
      <c r="A35" s="15" t="inlineStr">
        <is>
          <t>Customer Price (CP) per case</t>
        </is>
      </c>
      <c r="B35" s="18" t="inlineStr">
        <is>
          <t>$/case</t>
        </is>
      </c>
      <c r="D35" s="26" t="n">
        <v>7.16</v>
      </c>
      <c r="E35" s="26" t="n">
        <v>10.76</v>
      </c>
      <c r="F35" s="26" t="n">
        <v>17.93</v>
      </c>
      <c r="G35" s="26" t="n">
        <v>26.89</v>
      </c>
      <c r="H35" s="26" t="n">
        <v>35.86</v>
      </c>
      <c r="I35" s="26" t="n">
        <v>7.16</v>
      </c>
    </row>
    <row r="36">
      <c r="A36" s="15" t="inlineStr">
        <is>
          <t>Suggested Retail Price (SRP) per case</t>
        </is>
      </c>
      <c r="B36" s="18" t="inlineStr">
        <is>
          <t>$/case</t>
        </is>
      </c>
      <c r="D36" s="26" t="n">
        <v>11.96</v>
      </c>
      <c r="E36" s="26" t="n">
        <v>17.94</v>
      </c>
      <c r="F36" s="26" t="n">
        <v>29.88</v>
      </c>
      <c r="G36" s="26" t="n">
        <v>44.82</v>
      </c>
      <c r="H36" s="26" t="n">
        <v>59.76</v>
      </c>
      <c r="I36" s="26" t="n">
        <v>11.96</v>
      </c>
    </row>
    <row r="38" ht="15" customHeight="1">
      <c r="A38" s="2" t="inlineStr">
        <is>
          <t>Channel mix per scenario. Must sum to 100 pct.</t>
        </is>
      </c>
    </row>
    <row r="39">
      <c r="A39" s="15" t="inlineStr">
        <is>
          <t>Costco share of cases</t>
        </is>
      </c>
      <c r="B39" s="18" t="inlineStr">
        <is>
          <t>%</t>
        </is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</row>
    <row r="40">
      <c r="A40" s="15" t="inlineStr">
        <is>
          <t>Specialty share of cases</t>
        </is>
      </c>
      <c r="B40" s="18" t="inlineStr">
        <is>
          <t>%</t>
        </is>
      </c>
      <c r="D40" s="24" t="n">
        <v>0.3</v>
      </c>
      <c r="E40" s="24" t="n">
        <v>0.3</v>
      </c>
      <c r="F40" s="24" t="n">
        <v>0.3</v>
      </c>
      <c r="G40" s="24" t="n">
        <v>0.3</v>
      </c>
      <c r="H40" s="24" t="n">
        <v>0.3</v>
      </c>
      <c r="I40" s="24" t="n">
        <v>0.3</v>
      </c>
    </row>
    <row r="41">
      <c r="A41" s="15" t="inlineStr">
        <is>
          <t>FDM share of cases</t>
        </is>
      </c>
      <c r="B41" s="18" t="inlineStr">
        <is>
          <t>%</t>
        </is>
      </c>
      <c r="D41" s="24" t="n">
        <v>0.6</v>
      </c>
      <c r="E41" s="24" t="n">
        <v>0.6</v>
      </c>
      <c r="F41" s="24" t="n">
        <v>0.6</v>
      </c>
      <c r="G41" s="24" t="n">
        <v>0.6</v>
      </c>
      <c r="H41" s="24" t="n">
        <v>0.6</v>
      </c>
      <c r="I41" s="24" t="n">
        <v>0.6</v>
      </c>
    </row>
    <row r="42">
      <c r="A42" s="15" t="inlineStr">
        <is>
          <t>DTC / Other share of cases</t>
        </is>
      </c>
      <c r="B42" s="18" t="inlineStr">
        <is>
          <t>%</t>
        </is>
      </c>
      <c r="D42" s="24" t="n">
        <v>0.1</v>
      </c>
      <c r="E42" s="24" t="n">
        <v>0.1</v>
      </c>
      <c r="F42" s="24" t="n">
        <v>0.1</v>
      </c>
      <c r="G42" s="24" t="n">
        <v>0.1</v>
      </c>
      <c r="H42" s="24" t="n">
        <v>0.1</v>
      </c>
      <c r="I42" s="24" t="n">
        <v>0.1</v>
      </c>
    </row>
    <row r="43">
      <c r="A43" s="7" t="inlineStr">
        <is>
          <t>Channel mix check (= 100 pct)</t>
        </is>
      </c>
      <c r="B43" s="27" t="inlineStr">
        <is>
          <t>%</t>
        </is>
      </c>
      <c r="D43" s="28">
        <f>D39+D40+D41+D42</f>
        <v/>
      </c>
      <c r="E43" s="28">
        <f>E39+E40+E41+E42</f>
        <v/>
      </c>
      <c r="F43" s="28">
        <f>F39+F40+F41+F42</f>
        <v/>
      </c>
      <c r="G43" s="28">
        <f>G39+G40+G41+G42</f>
        <v/>
      </c>
      <c r="H43" s="28">
        <f>H39+H40+H41+H42</f>
        <v/>
      </c>
      <c r="I43" s="28">
        <f>I39+I40+I41+I42</f>
        <v/>
      </c>
    </row>
    <row r="44">
      <c r="A44" s="5" t="inlineStr">
        <is>
          <t>Blended Discounts rate (derived)</t>
        </is>
      </c>
      <c r="B44" s="29" t="inlineStr">
        <is>
          <t>%</t>
        </is>
      </c>
      <c r="D44" s="30">
        <f>D39*D21+D40*D22+D41*D23+D42*D24</f>
        <v/>
      </c>
      <c r="E44" s="30">
        <f>E39*E21+E40*E22+E41*E23+E42*E24</f>
        <v/>
      </c>
      <c r="F44" s="30">
        <f>F39*F21+F40*F22+F41*F23+F42*F24</f>
        <v/>
      </c>
      <c r="G44" s="30">
        <f>G39*G21+G40*G22+G41*G23+G42*G24</f>
        <v/>
      </c>
      <c r="H44" s="30">
        <f>H39*H21+H40*H22+H41*H23+H42*H24</f>
        <v/>
      </c>
      <c r="I44" s="30">
        <f>I39*I21+I40*I22+I41*I23+I42*I24</f>
        <v/>
      </c>
    </row>
    <row r="46" ht="15" customHeight="1">
      <c r="A46" s="2" t="inlineStr">
        <is>
          <t>DIRECT MATERIAL COST.</t>
        </is>
      </c>
    </row>
    <row r="47" ht="15" customHeight="1">
      <c r="A47" s="2" t="inlineStr">
        <is>
          <t>Ingredients</t>
        </is>
      </c>
    </row>
    <row r="48">
      <c r="A48" s="31" t="inlineStr">
        <is>
          <t>Liquid concentrate</t>
        </is>
      </c>
      <c r="B48" s="18" t="inlineStr">
        <is>
          <t>$/can</t>
        </is>
      </c>
      <c r="D48" s="32" t="n">
        <v>0.1</v>
      </c>
      <c r="E48" s="32" t="n">
        <v>0.1</v>
      </c>
      <c r="F48" s="32" t="n">
        <v>0.1</v>
      </c>
      <c r="G48" s="32" t="n">
        <v>0.1</v>
      </c>
      <c r="H48" s="32" t="n">
        <v>0.1</v>
      </c>
      <c r="I48" s="32" t="n">
        <v>0.1</v>
      </c>
    </row>
    <row r="49">
      <c r="A49" s="31" t="inlineStr">
        <is>
          <t>Water</t>
        </is>
      </c>
      <c r="B49" s="18" t="inlineStr">
        <is>
          <t>$/can</t>
        </is>
      </c>
      <c r="D49" s="32" t="n">
        <v>0.02</v>
      </c>
      <c r="E49" s="32" t="n">
        <v>0.02</v>
      </c>
      <c r="F49" s="32" t="n">
        <v>0.02</v>
      </c>
      <c r="G49" s="32" t="n">
        <v>0.02</v>
      </c>
      <c r="H49" s="32" t="n">
        <v>0.02</v>
      </c>
      <c r="I49" s="32" t="n">
        <v>0.02</v>
      </c>
    </row>
    <row r="50">
      <c r="A50" s="31" t="inlineStr">
        <is>
          <t>Sweetener</t>
        </is>
      </c>
      <c r="B50" s="18" t="inlineStr">
        <is>
          <t>$/can</t>
        </is>
      </c>
      <c r="D50" s="32" t="n">
        <v>0.01</v>
      </c>
      <c r="E50" s="32" t="n">
        <v>0.01</v>
      </c>
      <c r="F50" s="32" t="n">
        <v>0.01</v>
      </c>
      <c r="G50" s="32" t="n">
        <v>0.01</v>
      </c>
      <c r="H50" s="32" t="n">
        <v>0.01</v>
      </c>
      <c r="I50" s="32" t="n">
        <v>0.01</v>
      </c>
    </row>
    <row r="51">
      <c r="A51" s="31" t="inlineStr">
        <is>
          <t>Acidulants</t>
        </is>
      </c>
      <c r="B51" s="18" t="inlineStr">
        <is>
          <t>$/can</t>
        </is>
      </c>
      <c r="D51" s="32" t="n">
        <v>0.005</v>
      </c>
      <c r="E51" s="32" t="n">
        <v>0.005</v>
      </c>
      <c r="F51" s="32" t="n">
        <v>0.005</v>
      </c>
      <c r="G51" s="32" t="n">
        <v>0.005</v>
      </c>
      <c r="H51" s="32" t="n">
        <v>0.005</v>
      </c>
      <c r="I51" s="32" t="n">
        <v>0.005</v>
      </c>
    </row>
    <row r="52">
      <c r="A52" s="31" t="inlineStr">
        <is>
          <t>Probiotics</t>
        </is>
      </c>
      <c r="B52" s="18" t="inlineStr">
        <is>
          <t>$/can</t>
        </is>
      </c>
      <c r="D52" s="32" t="n">
        <v>0.05</v>
      </c>
      <c r="E52" s="32" t="n">
        <v>0.05</v>
      </c>
      <c r="F52" s="32" t="n">
        <v>0.05</v>
      </c>
      <c r="G52" s="32" t="n">
        <v>0.05</v>
      </c>
      <c r="H52" s="32" t="n">
        <v>0.05</v>
      </c>
      <c r="I52" s="32" t="n">
        <v>0.05</v>
      </c>
    </row>
    <row r="53">
      <c r="A53" s="31" t="inlineStr">
        <is>
          <t>Other ingredients</t>
        </is>
      </c>
      <c r="B53" s="18" t="inlineStr">
        <is>
          <t>$/can</t>
        </is>
      </c>
      <c r="D53" s="32" t="n">
        <v>0</v>
      </c>
      <c r="E53" s="32" t="n">
        <v>0</v>
      </c>
      <c r="F53" s="32" t="n">
        <v>0</v>
      </c>
      <c r="G53" s="32" t="n">
        <v>0</v>
      </c>
      <c r="H53" s="32" t="n">
        <v>0</v>
      </c>
      <c r="I53" s="32" t="n">
        <v>0</v>
      </c>
    </row>
    <row r="54" ht="15" customHeight="1">
      <c r="A54" s="2" t="inlineStr">
        <is>
          <t>Primary packaging (per can). Can body and lid wired through FX.</t>
        </is>
      </c>
    </row>
    <row r="55">
      <c r="A55" s="31" t="inlineStr">
        <is>
          <t>Can body</t>
        </is>
      </c>
      <c r="B55" s="18" t="inlineStr">
        <is>
          <t>$/can</t>
        </is>
      </c>
      <c r="D55" s="32" t="n">
        <v>0</v>
      </c>
      <c r="E55" s="32" t="n">
        <v>0</v>
      </c>
      <c r="F55" s="32" t="n">
        <v>0</v>
      </c>
      <c r="G55" s="32" t="n">
        <v>0</v>
      </c>
      <c r="H55" s="32" t="n">
        <v>0</v>
      </c>
      <c r="I55" s="32" t="n">
        <v>0</v>
      </c>
    </row>
    <row r="56">
      <c r="A56" s="31" t="inlineStr">
        <is>
          <t>Can lid / end</t>
        </is>
      </c>
      <c r="B56" s="18" t="inlineStr">
        <is>
          <t>$/can</t>
        </is>
      </c>
      <c r="D56" s="32" t="n">
        <v>0.05</v>
      </c>
      <c r="E56" s="32" t="n">
        <v>0.05</v>
      </c>
      <c r="F56" s="32" t="n">
        <v>0.05</v>
      </c>
      <c r="G56" s="32" t="n">
        <v>0.05</v>
      </c>
      <c r="H56" s="32" t="n">
        <v>0.05</v>
      </c>
      <c r="I56" s="32" t="n">
        <v>0.05</v>
      </c>
    </row>
    <row r="57">
      <c r="A57" s="31" t="inlineStr">
        <is>
          <t>Label</t>
        </is>
      </c>
      <c r="B57" s="18" t="inlineStr">
        <is>
          <t>$/can</t>
        </is>
      </c>
      <c r="D57" s="32" t="n">
        <v>0.15</v>
      </c>
      <c r="E57" s="32" t="n">
        <v>0.15</v>
      </c>
      <c r="F57" s="32" t="n">
        <v>0.15</v>
      </c>
      <c r="G57" s="32" t="n">
        <v>0.15</v>
      </c>
      <c r="H57" s="32" t="n">
        <v>0.15</v>
      </c>
      <c r="I57" s="32" t="n">
        <v>0.15</v>
      </c>
    </row>
    <row r="58">
      <c r="A58" s="31" t="inlineStr">
        <is>
          <t>Label application fee</t>
        </is>
      </c>
      <c r="B58" s="18" t="inlineStr">
        <is>
          <t>$/can</t>
        </is>
      </c>
      <c r="D58" s="32" t="n">
        <v>0</v>
      </c>
      <c r="E58" s="32" t="n">
        <v>0</v>
      </c>
      <c r="F58" s="32" t="n">
        <v>0</v>
      </c>
      <c r="G58" s="32" t="n">
        <v>0</v>
      </c>
      <c r="H58" s="32" t="n">
        <v>0</v>
      </c>
      <c r="I58" s="32" t="n">
        <v>0</v>
      </c>
    </row>
    <row r="59" ht="15" customHeight="1">
      <c r="A59" s="2" t="inlineStr">
        <is>
          <t>Secondary packaging (per tray)</t>
        </is>
      </c>
    </row>
    <row r="60">
      <c r="A60" s="31" t="inlineStr">
        <is>
          <t>Tray</t>
        </is>
      </c>
      <c r="B60" s="18" t="inlineStr">
        <is>
          <t>$/tray</t>
        </is>
      </c>
      <c r="D60" s="32" t="n">
        <v>0</v>
      </c>
      <c r="E60" s="32" t="n">
        <v>0</v>
      </c>
      <c r="F60" s="32" t="n">
        <v>0</v>
      </c>
      <c r="G60" s="32" t="n">
        <v>0</v>
      </c>
      <c r="H60" s="32" t="n">
        <v>0</v>
      </c>
      <c r="I60" s="32" t="n">
        <v>0</v>
      </c>
    </row>
    <row r="61">
      <c r="A61" s="31" t="inlineStr">
        <is>
          <t>Tray shrink wrap</t>
        </is>
      </c>
      <c r="B61" s="18" t="inlineStr">
        <is>
          <t>$/tray</t>
        </is>
      </c>
      <c r="D61" s="32" t="n">
        <v>0.2</v>
      </c>
      <c r="E61" s="32" t="n">
        <v>0.25</v>
      </c>
      <c r="F61" s="32" t="n">
        <v>0.4</v>
      </c>
      <c r="G61" s="32" t="n">
        <v>0.55</v>
      </c>
      <c r="H61" s="32" t="n">
        <v>0.7</v>
      </c>
      <c r="I61" s="32" t="n">
        <v>0.2</v>
      </c>
    </row>
    <row r="62">
      <c r="A62" s="31" t="inlineStr">
        <is>
          <t>Tray label</t>
        </is>
      </c>
      <c r="B62" s="18" t="inlineStr">
        <is>
          <t>$/tray</t>
        </is>
      </c>
      <c r="D62" s="32" t="n">
        <v>0.05</v>
      </c>
      <c r="E62" s="32" t="n">
        <v>0.05</v>
      </c>
      <c r="F62" s="32" t="n">
        <v>0.05</v>
      </c>
      <c r="G62" s="32" t="n">
        <v>0.05</v>
      </c>
      <c r="H62" s="32" t="n">
        <v>0.05</v>
      </c>
      <c r="I62" s="32" t="n">
        <v>0.05</v>
      </c>
    </row>
    <row r="63" ht="15" customHeight="1">
      <c r="A63" s="2" t="inlineStr">
        <is>
          <t>Tertiary packaging (per pallet)</t>
        </is>
      </c>
    </row>
    <row r="64">
      <c r="A64" s="31" t="inlineStr">
        <is>
          <t>CHEP pallet</t>
        </is>
      </c>
      <c r="B64" s="18" t="inlineStr">
        <is>
          <t>$/pallet</t>
        </is>
      </c>
      <c r="D64" s="26" t="n">
        <v>18</v>
      </c>
      <c r="E64" s="26" t="n">
        <v>18</v>
      </c>
      <c r="F64" s="26" t="n">
        <v>18</v>
      </c>
      <c r="G64" s="26" t="n">
        <v>18</v>
      </c>
      <c r="H64" s="26" t="n">
        <v>18</v>
      </c>
      <c r="I64" s="26" t="n">
        <v>18</v>
      </c>
    </row>
    <row r="65">
      <c r="A65" s="31" t="inlineStr">
        <is>
          <t>Pallet wrap</t>
        </is>
      </c>
      <c r="B65" s="18" t="inlineStr">
        <is>
          <t>$/pallet</t>
        </is>
      </c>
      <c r="D65" s="26" t="n">
        <v>5</v>
      </c>
      <c r="E65" s="26" t="n">
        <v>5</v>
      </c>
      <c r="F65" s="26" t="n">
        <v>5</v>
      </c>
      <c r="G65" s="26" t="n">
        <v>5</v>
      </c>
      <c r="H65" s="26" t="n">
        <v>5</v>
      </c>
      <c r="I65" s="26" t="n">
        <v>5</v>
      </c>
    </row>
    <row r="66">
      <c r="A66" s="31" t="inlineStr">
        <is>
          <t>Pallet corners</t>
        </is>
      </c>
      <c r="B66" s="18" t="inlineStr">
        <is>
          <t>$/pallet</t>
        </is>
      </c>
      <c r="D66" s="26" t="n">
        <v>2</v>
      </c>
      <c r="E66" s="26" t="n">
        <v>2</v>
      </c>
      <c r="F66" s="26" t="n">
        <v>2</v>
      </c>
      <c r="G66" s="26" t="n">
        <v>2</v>
      </c>
      <c r="H66" s="26" t="n">
        <v>2</v>
      </c>
      <c r="I66" s="26" t="n">
        <v>2</v>
      </c>
    </row>
    <row r="67">
      <c r="A67" s="31" t="inlineStr">
        <is>
          <t>Pallet label</t>
        </is>
      </c>
      <c r="B67" s="18" t="inlineStr">
        <is>
          <t>$/pallet</t>
        </is>
      </c>
      <c r="D67" s="26" t="n">
        <v>0.5</v>
      </c>
      <c r="E67" s="26" t="n">
        <v>0.5</v>
      </c>
      <c r="F67" s="26" t="n">
        <v>0.5</v>
      </c>
      <c r="G67" s="26" t="n">
        <v>0.5</v>
      </c>
      <c r="H67" s="26" t="n">
        <v>0.5</v>
      </c>
      <c r="I67" s="26" t="n">
        <v>0.5</v>
      </c>
    </row>
    <row r="69" ht="15" customHeight="1">
      <c r="A69" s="2" t="inlineStr">
        <is>
          <t>DIRECT PRODUCTION OVERHEAD.</t>
        </is>
      </c>
    </row>
    <row r="70" ht="15" customHeight="1">
      <c r="A70" s="2" t="inlineStr">
        <is>
          <t>Tolling / canning fees</t>
        </is>
      </c>
    </row>
    <row r="71">
      <c r="A71" s="31" t="inlineStr">
        <is>
          <t>Tolling / canning fee</t>
        </is>
      </c>
      <c r="B71" s="18" t="inlineStr">
        <is>
          <t>$/can</t>
        </is>
      </c>
      <c r="D71" s="32" t="n">
        <v>0.27</v>
      </c>
      <c r="E71" s="32" t="n">
        <v>0.27</v>
      </c>
      <c r="F71" s="32" t="n">
        <v>0.27</v>
      </c>
      <c r="G71" s="32" t="n">
        <v>0.27</v>
      </c>
      <c r="H71" s="32" t="n">
        <v>0.27</v>
      </c>
      <c r="I71" s="32" t="n">
        <v>0.27</v>
      </c>
    </row>
    <row r="72">
      <c r="A72" s="31" t="inlineStr">
        <is>
          <t>Pasteurization fee</t>
        </is>
      </c>
      <c r="B72" s="18" t="inlineStr">
        <is>
          <t>$/can</t>
        </is>
      </c>
      <c r="D72" s="32" t="n">
        <v>0</v>
      </c>
      <c r="E72" s="32" t="n">
        <v>0</v>
      </c>
      <c r="F72" s="32" t="n">
        <v>0</v>
      </c>
      <c r="G72" s="32" t="n">
        <v>0</v>
      </c>
      <c r="H72" s="32" t="n">
        <v>0</v>
      </c>
      <c r="I72" s="32" t="n">
        <v>0</v>
      </c>
    </row>
    <row r="73">
      <c r="A73" s="31" t="inlineStr">
        <is>
          <t>Carbonation fee</t>
        </is>
      </c>
      <c r="B73" s="18" t="inlineStr">
        <is>
          <t>$/can</t>
        </is>
      </c>
      <c r="D73" s="32" t="n">
        <v>0</v>
      </c>
      <c r="E73" s="32" t="n">
        <v>0</v>
      </c>
      <c r="F73" s="32" t="n">
        <v>0</v>
      </c>
      <c r="G73" s="32" t="n">
        <v>0</v>
      </c>
      <c r="H73" s="32" t="n">
        <v>0</v>
      </c>
      <c r="I73" s="32" t="n">
        <v>0</v>
      </c>
    </row>
    <row r="74">
      <c r="A74" s="31" t="inlineStr">
        <is>
          <t>Tank mixing / blending fee</t>
        </is>
      </c>
      <c r="B74" s="18" t="inlineStr">
        <is>
          <t>$/can</t>
        </is>
      </c>
      <c r="D74" s="32" t="n">
        <v>0</v>
      </c>
      <c r="E74" s="32" t="n">
        <v>0</v>
      </c>
      <c r="F74" s="32" t="n">
        <v>0</v>
      </c>
      <c r="G74" s="32" t="n">
        <v>0</v>
      </c>
      <c r="H74" s="32" t="n">
        <v>0</v>
      </c>
      <c r="I74" s="32" t="n">
        <v>0</v>
      </c>
    </row>
    <row r="75">
      <c r="A75" s="31" t="inlineStr">
        <is>
          <t>Lab testing / micro hold</t>
        </is>
      </c>
      <c r="B75" s="18" t="inlineStr">
        <is>
          <t>$/can</t>
        </is>
      </c>
      <c r="D75" s="32" t="n">
        <v>0.01</v>
      </c>
      <c r="E75" s="32" t="n">
        <v>0.01</v>
      </c>
      <c r="F75" s="32" t="n">
        <v>0.01</v>
      </c>
      <c r="G75" s="32" t="n">
        <v>0.01</v>
      </c>
      <c r="H75" s="32" t="n">
        <v>0.01</v>
      </c>
      <c r="I75" s="32" t="n">
        <v>0.01</v>
      </c>
    </row>
    <row r="76">
      <c r="A76" s="31" t="inlineStr">
        <is>
          <t>Allergen handling</t>
        </is>
      </c>
      <c r="B76" s="18" t="inlineStr">
        <is>
          <t>$/can</t>
        </is>
      </c>
      <c r="D76" s="32" t="n">
        <v>0</v>
      </c>
      <c r="E76" s="32" t="n">
        <v>0</v>
      </c>
      <c r="F76" s="32" t="n">
        <v>0</v>
      </c>
      <c r="G76" s="32" t="n">
        <v>0</v>
      </c>
      <c r="H76" s="32" t="n">
        <v>0</v>
      </c>
      <c r="I76" s="32" t="n">
        <v>0</v>
      </c>
    </row>
    <row r="77">
      <c r="A77" s="31" t="inlineStr">
        <is>
          <t>Other tolling</t>
        </is>
      </c>
      <c r="B77" s="18" t="inlineStr">
        <is>
          <t>$/can</t>
        </is>
      </c>
      <c r="D77" s="32" t="n">
        <v>0.02</v>
      </c>
      <c r="E77" s="32" t="n">
        <v>0.02</v>
      </c>
      <c r="F77" s="32" t="n">
        <v>0.02</v>
      </c>
      <c r="G77" s="32" t="n">
        <v>0.02</v>
      </c>
      <c r="H77" s="32" t="n">
        <v>0.02</v>
      </c>
      <c r="I77" s="32" t="n">
        <v>0.02</v>
      </c>
    </row>
    <row r="78" ht="15" customHeight="1">
      <c r="A78" s="2" t="inlineStr">
        <is>
          <t>Skid packing</t>
        </is>
      </c>
    </row>
    <row r="79">
      <c r="A79" s="31" t="inlineStr">
        <is>
          <t>Skid packing fee</t>
        </is>
      </c>
      <c r="B79" s="18" t="inlineStr">
        <is>
          <t>$/pallet</t>
        </is>
      </c>
      <c r="D79" s="26" t="n">
        <v>25</v>
      </c>
      <c r="E79" s="26" t="n">
        <v>25</v>
      </c>
      <c r="F79" s="26" t="n">
        <v>25</v>
      </c>
      <c r="G79" s="26" t="n">
        <v>25</v>
      </c>
      <c r="H79" s="26" t="n">
        <v>25</v>
      </c>
      <c r="I79" s="26" t="n">
        <v>25</v>
      </c>
    </row>
    <row r="80" ht="15" customHeight="1">
      <c r="A80" s="2" t="inlineStr">
        <is>
          <t>Setup and first run premium (Round 1)</t>
        </is>
      </c>
    </row>
    <row r="81">
      <c r="A81" s="31" t="inlineStr">
        <is>
          <t>Setup fee per production run (standard)</t>
        </is>
      </c>
      <c r="B81" s="18" t="inlineStr">
        <is>
          <t>$/run</t>
        </is>
      </c>
      <c r="D81" s="33" t="n">
        <v>1000</v>
      </c>
      <c r="E81" s="33" t="n">
        <v>1000</v>
      </c>
      <c r="F81" s="33" t="n">
        <v>1000</v>
      </c>
      <c r="G81" s="33" t="n">
        <v>1000</v>
      </c>
      <c r="H81" s="33" t="n">
        <v>1000</v>
      </c>
      <c r="I81" s="33" t="n">
        <v>1000</v>
      </c>
    </row>
    <row r="82">
      <c r="A82" s="31" t="inlineStr">
        <is>
          <t>First run premium (multiplier on standard setup)</t>
        </is>
      </c>
      <c r="B82" s="18" t="inlineStr">
        <is>
          <t>x</t>
        </is>
      </c>
      <c r="D82" s="34" t="n">
        <v>2</v>
      </c>
      <c r="E82" s="34" t="n">
        <v>2</v>
      </c>
      <c r="F82" s="34" t="n">
        <v>2</v>
      </c>
      <c r="G82" s="34" t="n">
        <v>2</v>
      </c>
      <c r="H82" s="34" t="n">
        <v>2</v>
      </c>
      <c r="I82" s="34" t="n">
        <v>2</v>
      </c>
    </row>
    <row r="83">
      <c r="A83" s="35" t="inlineStr">
        <is>
          <t xml:space="preserve">  Runs needed (Cases / MOQ, rounded up)</t>
        </is>
      </c>
      <c r="B83" s="27" t="inlineStr">
        <is>
          <t>runs</t>
        </is>
      </c>
      <c r="D83" s="36">
        <f>IFERROR(ROUNDUP(D10/D30,0),0)</f>
        <v/>
      </c>
      <c r="E83" s="36">
        <f>IFERROR(ROUNDUP(E10/E30,0),0)</f>
        <v/>
      </c>
      <c r="F83" s="36">
        <f>IFERROR(ROUNDUP(F10/F30,0),0)</f>
        <v/>
      </c>
      <c r="G83" s="36">
        <f>IFERROR(ROUNDUP(G10/G30,0),0)</f>
        <v/>
      </c>
      <c r="H83" s="36">
        <f>IFERROR(ROUNDUP(H10/H30,0),0)</f>
        <v/>
      </c>
      <c r="I83" s="36">
        <f>IFERROR(ROUNDUP(I10/I30,0),0)</f>
        <v/>
      </c>
    </row>
    <row r="84">
      <c r="A84" s="35" t="inlineStr">
        <is>
          <t xml:space="preserve">  Total setup cost (first run premium + standard for remaining runs)</t>
        </is>
      </c>
      <c r="B84" s="27" t="inlineStr">
        <is>
          <t>$</t>
        </is>
      </c>
      <c r="D84" s="37">
        <f>IF(D83&gt;=1,D81*D82,0)+MAX(0,D83-1)*D81</f>
        <v/>
      </c>
      <c r="E84" s="37">
        <f>IF(E83&gt;=1,E81*E82,0)+MAX(0,E83-1)*E81</f>
        <v/>
      </c>
      <c r="F84" s="37">
        <f>IF(F83&gt;=1,F81*F82,0)+MAX(0,F83-1)*F81</f>
        <v/>
      </c>
      <c r="G84" s="37">
        <f>IF(G83&gt;=1,G81*G82,0)+MAX(0,G83-1)*G81</f>
        <v/>
      </c>
      <c r="H84" s="37">
        <f>IF(H83&gt;=1,H81*H82,0)+MAX(0,H83-1)*H81</f>
        <v/>
      </c>
      <c r="I84" s="37">
        <f>IF(I83&gt;=1,I81*I82,0)+MAX(0,I83-1)*I81</f>
        <v/>
      </c>
    </row>
    <row r="85">
      <c r="A85" s="35" t="inlineStr">
        <is>
          <t xml:space="preserve">  Setup cost per case (derived)</t>
        </is>
      </c>
      <c r="B85" s="27" t="inlineStr">
        <is>
          <t>$/case</t>
        </is>
      </c>
      <c r="D85" s="38">
        <f>IFERROR(D84/D10,0)</f>
        <v/>
      </c>
      <c r="E85" s="38">
        <f>IFERROR(E84/E10,0)</f>
        <v/>
      </c>
      <c r="F85" s="38">
        <f>IFERROR(F84/F10,0)</f>
        <v/>
      </c>
      <c r="G85" s="38">
        <f>IFERROR(G84/G10,0)</f>
        <v/>
      </c>
      <c r="H85" s="38">
        <f>IFERROR(H84/H10,0)</f>
        <v/>
      </c>
      <c r="I85" s="38">
        <f>IFERROR(I84/I10,0)</f>
        <v/>
      </c>
    </row>
    <row r="86" ht="15" customHeight="1">
      <c r="A86" s="2" t="inlineStr">
        <is>
          <t>INDIRECT COGS.</t>
        </is>
      </c>
    </row>
    <row r="87" ht="15" customHeight="1">
      <c r="A87" s="2" t="inlineStr">
        <is>
          <t>Warehousing raw materials (natural units)</t>
        </is>
      </c>
    </row>
    <row r="88">
      <c r="A88" s="31" t="inlineStr">
        <is>
          <t>Raw materials warehousing rate</t>
        </is>
      </c>
      <c r="B88" s="18" t="inlineStr">
        <is>
          <t>$/skid/month</t>
        </is>
      </c>
      <c r="D88" s="26" t="n">
        <v>100</v>
      </c>
      <c r="E88" s="26" t="n">
        <v>100</v>
      </c>
      <c r="F88" s="26" t="n">
        <v>100</v>
      </c>
      <c r="G88" s="26" t="n">
        <v>100</v>
      </c>
      <c r="H88" s="26" t="n">
        <v>100</v>
      </c>
      <c r="I88" s="26" t="n">
        <v>100</v>
      </c>
    </row>
    <row r="89">
      <c r="A89" s="31" t="inlineStr">
        <is>
          <t>Raw materials months held</t>
        </is>
      </c>
      <c r="B89" s="18" t="inlineStr">
        <is>
          <t>months</t>
        </is>
      </c>
      <c r="D89" s="39" t="n">
        <v>0.5</v>
      </c>
      <c r="E89" s="39" t="n">
        <v>0.5</v>
      </c>
      <c r="F89" s="39" t="n">
        <v>0.5</v>
      </c>
      <c r="G89" s="39" t="n">
        <v>0.5</v>
      </c>
      <c r="H89" s="39" t="n">
        <v>0.5</v>
      </c>
      <c r="I89" s="39" t="n">
        <v>0.5</v>
      </c>
    </row>
    <row r="90">
      <c r="A90" s="35" t="inlineStr">
        <is>
          <t xml:space="preserve">  Warehousing raw per case</t>
        </is>
      </c>
      <c r="B90" s="27" t="inlineStr">
        <is>
          <t>$/case</t>
        </is>
      </c>
      <c r="D90" s="38">
        <f>IFERROR(D88*D89/D18,0)</f>
        <v/>
      </c>
      <c r="E90" s="38">
        <f>IFERROR(E88*E89/E18,0)</f>
        <v/>
      </c>
      <c r="F90" s="38">
        <f>IFERROR(F88*F89/F18,0)</f>
        <v/>
      </c>
      <c r="G90" s="38">
        <f>IFERROR(G88*G89/G18,0)</f>
        <v/>
      </c>
      <c r="H90" s="38">
        <f>IFERROR(H88*H89/H18,0)</f>
        <v/>
      </c>
      <c r="I90" s="38">
        <f>IFERROR(I88*I89/I18,0)</f>
        <v/>
      </c>
    </row>
    <row r="91" ht="15" customHeight="1">
      <c r="A91" s="2" t="inlineStr">
        <is>
          <t>Warehousing finished goods (natural units)</t>
        </is>
      </c>
    </row>
    <row r="92">
      <c r="A92" s="31" t="inlineStr">
        <is>
          <t>FG warehousing rate</t>
        </is>
      </c>
      <c r="B92" s="18" t="inlineStr">
        <is>
          <t>$/skid/month</t>
        </is>
      </c>
      <c r="D92" s="26" t="n">
        <v>100</v>
      </c>
      <c r="E92" s="26" t="n">
        <v>100</v>
      </c>
      <c r="F92" s="26" t="n">
        <v>100</v>
      </c>
      <c r="G92" s="26" t="n">
        <v>100</v>
      </c>
      <c r="H92" s="26" t="n">
        <v>100</v>
      </c>
      <c r="I92" s="26" t="n">
        <v>100</v>
      </c>
    </row>
    <row r="93">
      <c r="A93" s="31" t="inlineStr">
        <is>
          <t>FG months held</t>
        </is>
      </c>
      <c r="B93" s="18" t="inlineStr">
        <is>
          <t>months</t>
        </is>
      </c>
      <c r="D93" s="39" t="n">
        <v>1.5</v>
      </c>
      <c r="E93" s="39" t="n">
        <v>1.5</v>
      </c>
      <c r="F93" s="39" t="n">
        <v>1.5</v>
      </c>
      <c r="G93" s="39" t="n">
        <v>1.5</v>
      </c>
      <c r="H93" s="39" t="n">
        <v>1.5</v>
      </c>
      <c r="I93" s="39" t="n">
        <v>1.5</v>
      </c>
    </row>
    <row r="94">
      <c r="A94" s="35" t="inlineStr">
        <is>
          <t xml:space="preserve">  Warehousing FG per case</t>
        </is>
      </c>
      <c r="B94" s="27" t="inlineStr">
        <is>
          <t>$/case</t>
        </is>
      </c>
      <c r="D94" s="38">
        <f>IFERROR(D92*D93/D18,0)</f>
        <v/>
      </c>
      <c r="E94" s="38">
        <f>IFERROR(E92*E93/E18,0)</f>
        <v/>
      </c>
      <c r="F94" s="38">
        <f>IFERROR(F92*F93/F18,0)</f>
        <v/>
      </c>
      <c r="G94" s="38">
        <f>IFERROR(G92*G93/G18,0)</f>
        <v/>
      </c>
      <c r="H94" s="38">
        <f>IFERROR(H92*H93/H18,0)</f>
        <v/>
      </c>
      <c r="I94" s="38">
        <f>IFERROR(I92*I93/I18,0)</f>
        <v/>
      </c>
    </row>
    <row r="95" ht="15" customHeight="1">
      <c r="A95" s="2" t="inlineStr">
        <is>
          <t>Pick and pack (natural units)</t>
        </is>
      </c>
    </row>
    <row r="96">
      <c r="A96" s="31" t="inlineStr">
        <is>
          <t>Pick and pack rate</t>
        </is>
      </c>
      <c r="B96" s="18" t="inlineStr">
        <is>
          <t>$/SKU/order</t>
        </is>
      </c>
      <c r="D96" s="26" t="n">
        <v>50</v>
      </c>
      <c r="E96" s="26" t="n">
        <v>50</v>
      </c>
      <c r="F96" s="26" t="n">
        <v>50</v>
      </c>
      <c r="G96" s="26" t="n">
        <v>50</v>
      </c>
      <c r="H96" s="26" t="n">
        <v>50</v>
      </c>
      <c r="I96" s="26" t="n">
        <v>50</v>
      </c>
    </row>
    <row r="97">
      <c r="A97" s="31" t="inlineStr">
        <is>
          <t>Orders per year</t>
        </is>
      </c>
      <c r="B97" s="18" t="inlineStr">
        <is>
          <t>orders/yr</t>
        </is>
      </c>
      <c r="D97" s="20" t="n">
        <v>12</v>
      </c>
      <c r="E97" s="20" t="n">
        <v>12</v>
      </c>
      <c r="F97" s="20" t="n">
        <v>12</v>
      </c>
      <c r="G97" s="20" t="n">
        <v>12</v>
      </c>
      <c r="H97" s="20" t="n">
        <v>12</v>
      </c>
      <c r="I97" s="20" t="n">
        <v>12</v>
      </c>
    </row>
    <row r="98">
      <c r="A98" s="35" t="inlineStr">
        <is>
          <t xml:space="preserve">  Pick and pack per case</t>
        </is>
      </c>
      <c r="B98" s="27" t="inlineStr">
        <is>
          <t>$/case</t>
        </is>
      </c>
      <c r="D98" s="38">
        <f>IFERROR(D96*D97/D10,0)</f>
        <v/>
      </c>
      <c r="E98" s="38">
        <f>IFERROR(E96*E97/E10,0)</f>
        <v/>
      </c>
      <c r="F98" s="38">
        <f>IFERROR(F96*F97/F10,0)</f>
        <v/>
      </c>
      <c r="G98" s="38">
        <f>IFERROR(G96*G97/G10,0)</f>
        <v/>
      </c>
      <c r="H98" s="38">
        <f>IFERROR(H96*H97/H10,0)</f>
        <v/>
      </c>
      <c r="I98" s="38">
        <f>IFERROR(I96*I97/I10,0)</f>
        <v/>
      </c>
    </row>
    <row r="102" ht="15" customHeight="1">
      <c r="A102" s="2" t="inlineStr">
        <is>
          <t>Insurance and other</t>
        </is>
      </c>
    </row>
    <row r="103">
      <c r="A103" s="31" t="inlineStr">
        <is>
          <t>Insurance (product liability, recall, transit)</t>
        </is>
      </c>
      <c r="B103" s="18" t="inlineStr">
        <is>
          <t>$/case</t>
        </is>
      </c>
      <c r="D103" s="32" t="n">
        <v>0.1</v>
      </c>
      <c r="E103" s="32" t="n">
        <v>0.1</v>
      </c>
      <c r="F103" s="32" t="n">
        <v>0.1</v>
      </c>
      <c r="G103" s="32" t="n">
        <v>0.1</v>
      </c>
      <c r="H103" s="32" t="n">
        <v>0.1</v>
      </c>
      <c r="I103" s="32" t="n">
        <v>0.1</v>
      </c>
    </row>
    <row r="104">
      <c r="A104" s="31" t="inlineStr">
        <is>
          <t>Inventory adjustment</t>
        </is>
      </c>
      <c r="B104" s="18" t="inlineStr">
        <is>
          <t>% of Direct material</t>
        </is>
      </c>
      <c r="D104" s="24" t="n">
        <v>0.01</v>
      </c>
      <c r="E104" s="24" t="n">
        <v>0.01</v>
      </c>
      <c r="F104" s="24" t="n">
        <v>0.01</v>
      </c>
      <c r="G104" s="24" t="n">
        <v>0.01</v>
      </c>
      <c r="H104" s="24" t="n">
        <v>0.01</v>
      </c>
      <c r="I104" s="24" t="n">
        <v>0.01</v>
      </c>
    </row>
    <row r="105">
      <c r="A105" s="31" t="inlineStr">
        <is>
          <t>Other indirect</t>
        </is>
      </c>
      <c r="B105" s="18" t="inlineStr">
        <is>
          <t>$/case</t>
        </is>
      </c>
      <c r="D105" s="32" t="n">
        <v>0</v>
      </c>
      <c r="E105" s="32" t="n">
        <v>0</v>
      </c>
      <c r="F105" s="32" t="n">
        <v>0</v>
      </c>
      <c r="G105" s="32" t="n">
        <v>0</v>
      </c>
      <c r="H105" s="32" t="n">
        <v>0</v>
      </c>
      <c r="I105" s="32" t="n">
        <v>0</v>
      </c>
    </row>
    <row r="107" ht="15" customHeight="1">
      <c r="A107" s="2" t="inlineStr">
        <is>
          <t>A&amp;P</t>
        </is>
      </c>
    </row>
    <row r="108">
      <c r="A108" s="15" t="inlineStr">
        <is>
          <t>A&amp;P Consumer</t>
        </is>
      </c>
      <c r="B108" s="18" t="inlineStr">
        <is>
          <t>% of Net Sales</t>
        </is>
      </c>
      <c r="D108" s="24" t="n">
        <v>0.05</v>
      </c>
      <c r="E108" s="24" t="n">
        <v>0.05</v>
      </c>
      <c r="F108" s="24" t="n">
        <v>0.05</v>
      </c>
      <c r="G108" s="24" t="n">
        <v>0.05</v>
      </c>
      <c r="H108" s="24" t="n">
        <v>0.05</v>
      </c>
      <c r="I108" s="24" t="n">
        <v>0.05</v>
      </c>
    </row>
    <row r="109">
      <c r="A109" s="15" t="inlineStr">
        <is>
          <t>A&amp;P Trade</t>
        </is>
      </c>
      <c r="B109" s="18" t="inlineStr">
        <is>
          <t>% of Net Sales</t>
        </is>
      </c>
      <c r="D109" s="24" t="n">
        <v>0.03</v>
      </c>
      <c r="E109" s="24" t="n">
        <v>0.03</v>
      </c>
      <c r="F109" s="24" t="n">
        <v>0.03</v>
      </c>
      <c r="G109" s="24" t="n">
        <v>0.03</v>
      </c>
      <c r="H109" s="24" t="n">
        <v>0.03</v>
      </c>
      <c r="I109" s="24" t="n">
        <v>0.03</v>
      </c>
    </row>
    <row r="110">
      <c r="A110" s="15" t="inlineStr">
        <is>
          <t>A&amp;P Sales</t>
        </is>
      </c>
      <c r="B110" s="18" t="inlineStr">
        <is>
          <t>% of Net Sales</t>
        </is>
      </c>
      <c r="D110" s="24" t="n">
        <v>0.02</v>
      </c>
      <c r="E110" s="24" t="n">
        <v>0.02</v>
      </c>
      <c r="F110" s="24" t="n">
        <v>0.02</v>
      </c>
      <c r="G110" s="24" t="n">
        <v>0.02</v>
      </c>
      <c r="H110" s="24" t="n">
        <v>0.02</v>
      </c>
      <c r="I110" s="24" t="n">
        <v>0.02</v>
      </c>
    </row>
    <row r="111">
      <c r="A111" s="15" t="inlineStr">
        <is>
          <t>Slotting / listing fees</t>
        </is>
      </c>
      <c r="B111" s="18" t="inlineStr">
        <is>
          <t>$/case</t>
        </is>
      </c>
      <c r="D111" s="32" t="n">
        <v>0.2</v>
      </c>
      <c r="E111" s="32" t="n">
        <v>0.2</v>
      </c>
      <c r="F111" s="32" t="n">
        <v>0.2</v>
      </c>
      <c r="G111" s="32" t="n">
        <v>0.2</v>
      </c>
      <c r="H111" s="32" t="n">
        <v>0.2</v>
      </c>
      <c r="I111" s="32" t="n">
        <v>0.2</v>
      </c>
    </row>
    <row r="112">
      <c r="A112" s="15" t="inlineStr">
        <is>
          <t>Broker rate</t>
        </is>
      </c>
      <c r="B112" s="18" t="inlineStr">
        <is>
          <t>% of Net Sales</t>
        </is>
      </c>
      <c r="D112" s="24" t="n">
        <v>0.03</v>
      </c>
      <c r="E112" s="24" t="n">
        <v>0.03</v>
      </c>
      <c r="F112" s="24" t="n">
        <v>0.03</v>
      </c>
      <c r="G112" s="24" t="n">
        <v>0.03</v>
      </c>
      <c r="H112" s="24" t="n">
        <v>0.03</v>
      </c>
      <c r="I112" s="24" t="n">
        <v>0.03</v>
      </c>
    </row>
    <row r="113">
      <c r="A113" s="15" t="inlineStr">
        <is>
          <t>Commission rate</t>
        </is>
      </c>
      <c r="B113" s="18" t="inlineStr">
        <is>
          <t>% of Net Sales</t>
        </is>
      </c>
      <c r="D113" s="24" t="n">
        <v>0.02</v>
      </c>
      <c r="E113" s="24" t="n">
        <v>0.02</v>
      </c>
      <c r="F113" s="24" t="n">
        <v>0.02</v>
      </c>
      <c r="G113" s="24" t="n">
        <v>0.02</v>
      </c>
      <c r="H113" s="24" t="n">
        <v>0.02</v>
      </c>
      <c r="I113" s="24" t="n">
        <v>0.02</v>
      </c>
    </row>
    <row r="114">
      <c r="A114" s="15" t="inlineStr">
        <is>
          <t>Royalties</t>
        </is>
      </c>
      <c r="B114" s="18" t="inlineStr">
        <is>
          <t>% of Net Sales</t>
        </is>
      </c>
      <c r="D114" s="24" t="n">
        <v>0</v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</row>
    <row r="116" ht="15" customHeight="1">
      <c r="A116" s="2" t="inlineStr">
        <is>
          <t>Freight per pallet</t>
        </is>
      </c>
    </row>
    <row r="117">
      <c r="A117" s="15" t="inlineStr">
        <is>
          <t>Inbound rate</t>
        </is>
      </c>
      <c r="B117" s="18" t="inlineStr">
        <is>
          <t>$/pallet</t>
        </is>
      </c>
      <c r="D117" s="33" t="n">
        <v>250</v>
      </c>
      <c r="E117" s="33" t="n">
        <v>250</v>
      </c>
      <c r="F117" s="33" t="n">
        <v>250</v>
      </c>
      <c r="G117" s="33" t="n">
        <v>250</v>
      </c>
      <c r="H117" s="33" t="n">
        <v>250</v>
      </c>
      <c r="I117" s="33" t="n">
        <v>250</v>
      </c>
    </row>
    <row r="118">
      <c r="A118" s="15" t="inlineStr">
        <is>
          <t>Transfer rate, DC to DC</t>
        </is>
      </c>
      <c r="B118" s="18" t="inlineStr">
        <is>
          <t>$/pallet</t>
        </is>
      </c>
      <c r="D118" s="33" t="n">
        <v>0</v>
      </c>
      <c r="E118" s="33" t="n">
        <v>0</v>
      </c>
      <c r="F118" s="33" t="n">
        <v>0</v>
      </c>
      <c r="G118" s="33" t="n">
        <v>0</v>
      </c>
      <c r="H118" s="33" t="n">
        <v>0</v>
      </c>
      <c r="I118" s="33" t="n">
        <v>0</v>
      </c>
    </row>
    <row r="119">
      <c r="A119" s="15" t="inlineStr">
        <is>
          <t>Outbound rate</t>
        </is>
      </c>
      <c r="B119" s="18" t="inlineStr">
        <is>
          <t>$/pallet</t>
        </is>
      </c>
      <c r="D119" s="33" t="n">
        <v>250</v>
      </c>
      <c r="E119" s="33" t="n">
        <v>250</v>
      </c>
      <c r="F119" s="33" t="n">
        <v>250</v>
      </c>
      <c r="G119" s="33" t="n">
        <v>250</v>
      </c>
      <c r="H119" s="33" t="n">
        <v>250</v>
      </c>
      <c r="I119" s="33" t="n">
        <v>250</v>
      </c>
    </row>
    <row r="120">
      <c r="A120" s="15" t="inlineStr">
        <is>
          <t>Fuel surcharge</t>
        </is>
      </c>
      <c r="B120" s="18" t="inlineStr">
        <is>
          <t>%</t>
        </is>
      </c>
      <c r="D120" s="24" t="n">
        <v>0.15</v>
      </c>
      <c r="E120" s="24" t="n">
        <v>0.15</v>
      </c>
      <c r="F120" s="24" t="n">
        <v>0.15</v>
      </c>
      <c r="G120" s="24" t="n">
        <v>0.15</v>
      </c>
      <c r="H120" s="24" t="n">
        <v>0.15</v>
      </c>
      <c r="I120" s="24" t="n">
        <v>0.15</v>
      </c>
    </row>
    <row r="121">
      <c r="A121" s="15" t="inlineStr">
        <is>
          <t>LTL premium per pallet</t>
        </is>
      </c>
      <c r="B121" s="18" t="inlineStr">
        <is>
          <t>$/pallet</t>
        </is>
      </c>
      <c r="D121" s="33" t="n">
        <v>50</v>
      </c>
      <c r="E121" s="33" t="n">
        <v>50</v>
      </c>
      <c r="F121" s="33" t="n">
        <v>50</v>
      </c>
      <c r="G121" s="33" t="n">
        <v>50</v>
      </c>
      <c r="H121" s="33" t="n">
        <v>50</v>
      </c>
      <c r="I121" s="33" t="n">
        <v>50</v>
      </c>
    </row>
    <row r="122">
      <c r="A122" s="15" t="inlineStr">
        <is>
          <t>Broker fees</t>
        </is>
      </c>
      <c r="B122" s="18" t="inlineStr">
        <is>
          <t>$/case</t>
        </is>
      </c>
      <c r="D122" s="32" t="n">
        <v>0.5</v>
      </c>
      <c r="E122" s="32" t="n">
        <v>0.5</v>
      </c>
      <c r="F122" s="32" t="n">
        <v>0.5</v>
      </c>
      <c r="G122" s="32" t="n">
        <v>0.5</v>
      </c>
      <c r="H122" s="32" t="n">
        <v>0.5</v>
      </c>
      <c r="I122" s="32" t="n">
        <v>0.5</v>
      </c>
    </row>
    <row r="123">
      <c r="A123" s="15" t="inlineStr">
        <is>
          <t>Distributor fees</t>
        </is>
      </c>
      <c r="B123" s="18" t="inlineStr">
        <is>
          <t>$/case</t>
        </is>
      </c>
      <c r="D123" s="32" t="n">
        <v>1</v>
      </c>
      <c r="E123" s="32" t="n">
        <v>1</v>
      </c>
      <c r="F123" s="32" t="n">
        <v>1</v>
      </c>
      <c r="G123" s="32" t="n">
        <v>1</v>
      </c>
      <c r="H123" s="32" t="n">
        <v>1</v>
      </c>
      <c r="I123" s="32" t="n">
        <v>1</v>
      </c>
    </row>
    <row r="124">
      <c r="A124" s="15" t="inlineStr">
        <is>
          <t>Sales team commission</t>
        </is>
      </c>
      <c r="B124" s="18" t="inlineStr">
        <is>
          <t>$/case</t>
        </is>
      </c>
      <c r="D124" s="32" t="n">
        <v>0.5</v>
      </c>
      <c r="E124" s="32" t="n">
        <v>0.5</v>
      </c>
      <c r="F124" s="32" t="n">
        <v>0.5</v>
      </c>
      <c r="G124" s="32" t="n">
        <v>0.5</v>
      </c>
      <c r="H124" s="32" t="n">
        <v>0.5</v>
      </c>
      <c r="I124" s="32" t="n">
        <v>0.5</v>
      </c>
    </row>
  </sheetData>
  <mergeCells count="25">
    <mergeCell ref="A46:I46"/>
    <mergeCell ref="A80:I80"/>
    <mergeCell ref="A26:I26"/>
    <mergeCell ref="A86:I86"/>
    <mergeCell ref="A95:I95"/>
    <mergeCell ref="A2:I2"/>
    <mergeCell ref="A47:I47"/>
    <mergeCell ref="A14:I14"/>
    <mergeCell ref="A116:I116"/>
    <mergeCell ref="A91:I91"/>
    <mergeCell ref="A20:I20"/>
    <mergeCell ref="A38:I38"/>
    <mergeCell ref="A29:I29"/>
    <mergeCell ref="A63:I63"/>
    <mergeCell ref="A102:I102"/>
    <mergeCell ref="A9:I9"/>
    <mergeCell ref="A34:I34"/>
    <mergeCell ref="A59:I59"/>
    <mergeCell ref="A107:I107"/>
    <mergeCell ref="A1:I1"/>
    <mergeCell ref="A70:I70"/>
    <mergeCell ref="A69:I69"/>
    <mergeCell ref="A87:I87"/>
    <mergeCell ref="A78:I78"/>
    <mergeCell ref="A54:I54"/>
  </mergeCells>
  <conditionalFormatting sqref="D43:I43">
    <cfRule type="cellIs" priority="2" operator="notEqual" dxfId="1">
      <formula>1</formula>
    </cfRule>
  </conditionalFormatting>
  <dataValidations count="3">
    <dataValidation sqref="D6:I6" showDropDown="0" showInputMessage="0" showErrorMessage="0" allowBlank="0" type="list">
      <formula1>"ON,AB,BC,QC,Other"</formula1>
      <formula2>0</formula2>
    </dataValidation>
    <dataValidation sqref="D7:I7" showDropDown="0" showInputMessage="0" showErrorMessage="0" allowBlank="0" type="list">
      <formula1>"Turnkey,Tolling"</formula1>
      <formula2>0</formula2>
    </dataValidation>
    <dataValidation sqref="D21:I24 D27:I27 D32:I32" showDropDown="0" showInputMessage="0" showErrorMessage="0" allowBlank="1" errorTitle="Out of range" error="Enter a percent between 0 and 100." type="decimal">
      <formula1>0</formula1>
      <formula2>1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P39"/>
  <sheetViews>
    <sheetView zoomScaleNormal="100" workbookViewId="0">
      <pane xSplit="3" ySplit="4" topLeftCell="D19" activePane="bottomRight" state="frozen"/>
      <selection pane="topRight" activeCell="D1" sqref="D1"/>
      <selection pane="bottomLeft" activeCell="A5" sqref="A5"/>
      <selection pane="bottomRight" activeCell="A1" sqref="A1:P1"/>
    </sheetView>
  </sheetViews>
  <sheetFormatPr baseColWidth="10" defaultColWidth="8.6640625" defaultRowHeight="15"/>
  <cols>
    <col width="44" customWidth="1" min="1" max="1"/>
    <col width="12" customWidth="1" min="2" max="2"/>
    <col width="2" customWidth="1" min="3" max="3"/>
    <col width="12" customWidth="1" min="4" max="9"/>
    <col width="2" customWidth="1" min="10" max="10"/>
    <col width="12" customWidth="1" min="11" max="16"/>
  </cols>
  <sheetData>
    <row r="1" ht="30" customHeight="1">
      <c r="A1" s="4" t="inlineStr">
        <is>
          <t xml:space="preserve">Direct COGS </t>
        </is>
      </c>
    </row>
    <row r="2" ht="24" customHeight="1">
      <c r="A2" s="3" t="n"/>
    </row>
    <row r="3" ht="19.5" customHeight="1">
      <c r="D3" s="11" t="inlineStr">
        <is>
          <t>Per can (CAD)</t>
        </is>
      </c>
      <c r="E3" s="55" t="n"/>
      <c r="F3" s="55" t="n"/>
      <c r="G3" s="55" t="n"/>
      <c r="H3" s="55" t="n"/>
      <c r="I3" s="56" t="n"/>
      <c r="K3" s="11" t="inlineStr">
        <is>
          <t>Per case (CAD)</t>
        </is>
      </c>
      <c r="L3" s="55" t="n"/>
      <c r="M3" s="55" t="n"/>
      <c r="N3" s="55" t="n"/>
      <c r="O3" s="55" t="n"/>
      <c r="P3" s="56" t="n"/>
    </row>
    <row r="4" ht="21.75" customHeight="1">
      <c r="A4" s="10" t="inlineStr">
        <is>
          <t>Component</t>
        </is>
      </c>
      <c r="B4" s="11" t="inlineStr">
        <is>
          <t>Native</t>
        </is>
      </c>
      <c r="D4" s="11">
        <f>Inputs!D4</f>
        <v/>
      </c>
      <c r="E4" s="11">
        <f>Inputs!E4</f>
        <v/>
      </c>
      <c r="F4" s="11">
        <f>Inputs!F4</f>
        <v/>
      </c>
      <c r="G4" s="11">
        <f>Inputs!G4</f>
        <v/>
      </c>
      <c r="H4" s="11">
        <f>Inputs!H4</f>
        <v/>
      </c>
      <c r="I4" s="11">
        <f>Inputs!I4</f>
        <v/>
      </c>
      <c r="K4" s="11">
        <f>Inputs!D4</f>
        <v/>
      </c>
      <c r="L4" s="11">
        <f>Inputs!E4</f>
        <v/>
      </c>
      <c r="M4" s="11">
        <f>Inputs!F4</f>
        <v/>
      </c>
      <c r="N4" s="11">
        <f>Inputs!G4</f>
        <v/>
      </c>
      <c r="O4" s="11">
        <f>Inputs!H4</f>
        <v/>
      </c>
      <c r="P4" s="11">
        <f>Inputs!I4</f>
        <v/>
      </c>
    </row>
    <row r="6" ht="15" customHeight="1">
      <c r="A6" s="2" t="inlineStr">
        <is>
          <t>Direct Material — Ingredients</t>
        </is>
      </c>
    </row>
    <row r="7">
      <c r="A7" s="31" t="inlineStr">
        <is>
          <t>Liquid concentrate</t>
        </is>
      </c>
      <c r="B7" s="27" t="inlineStr">
        <is>
          <t>$/can</t>
        </is>
      </c>
      <c r="D7" s="40">
        <f>Inputs!D48</f>
        <v/>
      </c>
      <c r="E7" s="40">
        <f>Inputs!E48</f>
        <v/>
      </c>
      <c r="F7" s="40">
        <f>Inputs!F48</f>
        <v/>
      </c>
      <c r="G7" s="40">
        <f>Inputs!G48</f>
        <v/>
      </c>
      <c r="H7" s="40">
        <f>Inputs!H48</f>
        <v/>
      </c>
      <c r="I7" s="40">
        <f>Inputs!I48</f>
        <v/>
      </c>
      <c r="K7" s="40">
        <f>Inputs!D48*Inputs!D16</f>
        <v/>
      </c>
      <c r="L7" s="40">
        <f>Inputs!E48*Inputs!E16</f>
        <v/>
      </c>
      <c r="M7" s="40">
        <f>Inputs!F48*Inputs!F16</f>
        <v/>
      </c>
      <c r="N7" s="40">
        <f>Inputs!G48*Inputs!G16</f>
        <v/>
      </c>
      <c r="O7" s="40">
        <f>Inputs!H48*Inputs!H16</f>
        <v/>
      </c>
      <c r="P7" s="40">
        <f>Inputs!I48*Inputs!I16</f>
        <v/>
      </c>
    </row>
    <row r="8">
      <c r="A8" s="31" t="inlineStr">
        <is>
          <t>Water</t>
        </is>
      </c>
      <c r="B8" s="27" t="inlineStr">
        <is>
          <t>$/can</t>
        </is>
      </c>
      <c r="D8" s="40">
        <f>Inputs!D49</f>
        <v/>
      </c>
      <c r="E8" s="40">
        <f>Inputs!E49</f>
        <v/>
      </c>
      <c r="F8" s="40">
        <f>Inputs!F49</f>
        <v/>
      </c>
      <c r="G8" s="40">
        <f>Inputs!G49</f>
        <v/>
      </c>
      <c r="H8" s="40">
        <f>Inputs!H49</f>
        <v/>
      </c>
      <c r="I8" s="40">
        <f>Inputs!I49</f>
        <v/>
      </c>
      <c r="K8" s="40">
        <f>Inputs!D49*Inputs!D16</f>
        <v/>
      </c>
      <c r="L8" s="40">
        <f>Inputs!E49*Inputs!E16</f>
        <v/>
      </c>
      <c r="M8" s="40">
        <f>Inputs!F49*Inputs!F16</f>
        <v/>
      </c>
      <c r="N8" s="40">
        <f>Inputs!G49*Inputs!G16</f>
        <v/>
      </c>
      <c r="O8" s="40">
        <f>Inputs!H49*Inputs!H16</f>
        <v/>
      </c>
      <c r="P8" s="40">
        <f>Inputs!I49*Inputs!I16</f>
        <v/>
      </c>
    </row>
    <row r="9">
      <c r="A9" s="31" t="inlineStr">
        <is>
          <t>Sweetener</t>
        </is>
      </c>
      <c r="B9" s="27" t="inlineStr">
        <is>
          <t>$/can</t>
        </is>
      </c>
      <c r="D9" s="40">
        <f>Inputs!D50</f>
        <v/>
      </c>
      <c r="E9" s="40">
        <f>Inputs!E50</f>
        <v/>
      </c>
      <c r="F9" s="40">
        <f>Inputs!F50</f>
        <v/>
      </c>
      <c r="G9" s="40">
        <f>Inputs!G50</f>
        <v/>
      </c>
      <c r="H9" s="40">
        <f>Inputs!H50</f>
        <v/>
      </c>
      <c r="I9" s="40">
        <f>Inputs!I50</f>
        <v/>
      </c>
      <c r="K9" s="40">
        <f>Inputs!D50*Inputs!D16</f>
        <v/>
      </c>
      <c r="L9" s="40">
        <f>Inputs!E50*Inputs!E16</f>
        <v/>
      </c>
      <c r="M9" s="40">
        <f>Inputs!F50*Inputs!F16</f>
        <v/>
      </c>
      <c r="N9" s="40">
        <f>Inputs!G50*Inputs!G16</f>
        <v/>
      </c>
      <c r="O9" s="40">
        <f>Inputs!H50*Inputs!H16</f>
        <v/>
      </c>
      <c r="P9" s="40">
        <f>Inputs!I50*Inputs!I16</f>
        <v/>
      </c>
    </row>
    <row r="10">
      <c r="A10" s="31" t="inlineStr">
        <is>
          <t>Acidulants</t>
        </is>
      </c>
      <c r="B10" s="27" t="inlineStr">
        <is>
          <t>$/can</t>
        </is>
      </c>
      <c r="D10" s="40">
        <f>Inputs!D51</f>
        <v/>
      </c>
      <c r="E10" s="40">
        <f>Inputs!E51</f>
        <v/>
      </c>
      <c r="F10" s="40">
        <f>Inputs!F51</f>
        <v/>
      </c>
      <c r="G10" s="40">
        <f>Inputs!G51</f>
        <v/>
      </c>
      <c r="H10" s="40">
        <f>Inputs!H51</f>
        <v/>
      </c>
      <c r="I10" s="40">
        <f>Inputs!I51</f>
        <v/>
      </c>
      <c r="K10" s="40">
        <f>Inputs!D51*Inputs!D16</f>
        <v/>
      </c>
      <c r="L10" s="40">
        <f>Inputs!E51*Inputs!E16</f>
        <v/>
      </c>
      <c r="M10" s="40">
        <f>Inputs!F51*Inputs!F16</f>
        <v/>
      </c>
      <c r="N10" s="40">
        <f>Inputs!G51*Inputs!G16</f>
        <v/>
      </c>
      <c r="O10" s="40">
        <f>Inputs!H51*Inputs!H16</f>
        <v/>
      </c>
      <c r="P10" s="40">
        <f>Inputs!I51*Inputs!I16</f>
        <v/>
      </c>
    </row>
    <row r="11">
      <c r="A11" s="31" t="inlineStr">
        <is>
          <t>Probiotics</t>
        </is>
      </c>
      <c r="B11" s="27" t="inlineStr">
        <is>
          <t>$/can</t>
        </is>
      </c>
      <c r="D11" s="40">
        <f>Inputs!D52</f>
        <v/>
      </c>
      <c r="E11" s="40">
        <f>Inputs!E52</f>
        <v/>
      </c>
      <c r="F11" s="40">
        <f>Inputs!F52</f>
        <v/>
      </c>
      <c r="G11" s="40">
        <f>Inputs!G52</f>
        <v/>
      </c>
      <c r="H11" s="40">
        <f>Inputs!H52</f>
        <v/>
      </c>
      <c r="I11" s="40">
        <f>Inputs!I52</f>
        <v/>
      </c>
      <c r="K11" s="40">
        <f>Inputs!D52*Inputs!D16</f>
        <v/>
      </c>
      <c r="L11" s="40">
        <f>Inputs!E52*Inputs!E16</f>
        <v/>
      </c>
      <c r="M11" s="40">
        <f>Inputs!F52*Inputs!F16</f>
        <v/>
      </c>
      <c r="N11" s="40">
        <f>Inputs!G52*Inputs!G16</f>
        <v/>
      </c>
      <c r="O11" s="40">
        <f>Inputs!H52*Inputs!H16</f>
        <v/>
      </c>
      <c r="P11" s="40">
        <f>Inputs!I52*Inputs!I16</f>
        <v/>
      </c>
    </row>
    <row r="12">
      <c r="A12" s="31" t="inlineStr">
        <is>
          <t>Other ingredients</t>
        </is>
      </c>
      <c r="B12" s="27" t="inlineStr">
        <is>
          <t>$/can</t>
        </is>
      </c>
      <c r="D12" s="40">
        <f>Inputs!D53</f>
        <v/>
      </c>
      <c r="E12" s="40">
        <f>Inputs!E53</f>
        <v/>
      </c>
      <c r="F12" s="40">
        <f>Inputs!F53</f>
        <v/>
      </c>
      <c r="G12" s="40">
        <f>Inputs!G53</f>
        <v/>
      </c>
      <c r="H12" s="40">
        <f>Inputs!H53</f>
        <v/>
      </c>
      <c r="I12" s="40">
        <f>Inputs!I53</f>
        <v/>
      </c>
      <c r="K12" s="40">
        <f>Inputs!D53*Inputs!D16</f>
        <v/>
      </c>
      <c r="L12" s="40">
        <f>Inputs!E53*Inputs!E16</f>
        <v/>
      </c>
      <c r="M12" s="40">
        <f>Inputs!F53*Inputs!F16</f>
        <v/>
      </c>
      <c r="N12" s="40">
        <f>Inputs!G53*Inputs!G16</f>
        <v/>
      </c>
      <c r="O12" s="40">
        <f>Inputs!H53*Inputs!H16</f>
        <v/>
      </c>
      <c r="P12" s="40">
        <f>Inputs!I53*Inputs!I16</f>
        <v/>
      </c>
    </row>
    <row r="13" ht="15" customHeight="1">
      <c r="A13" s="2" t="inlineStr">
        <is>
          <t>Direct Material — Primary packaging</t>
        </is>
      </c>
    </row>
    <row r="14">
      <c r="A14" s="31" t="inlineStr">
        <is>
          <t>Can body</t>
        </is>
      </c>
      <c r="B14" s="27" t="inlineStr">
        <is>
          <t>$/can</t>
        </is>
      </c>
      <c r="D14" s="40">
        <f>Inputs!D55</f>
        <v/>
      </c>
      <c r="E14" s="40">
        <f>Inputs!E55</f>
        <v/>
      </c>
      <c r="F14" s="40">
        <f>Inputs!F55</f>
        <v/>
      </c>
      <c r="G14" s="40">
        <f>Inputs!G55</f>
        <v/>
      </c>
      <c r="H14" s="40">
        <f>Inputs!H55</f>
        <v/>
      </c>
      <c r="I14" s="40">
        <f>Inputs!I55</f>
        <v/>
      </c>
      <c r="K14" s="40">
        <f>Inputs!D55*Inputs!D16</f>
        <v/>
      </c>
      <c r="L14" s="40">
        <f>Inputs!E55*Inputs!E16</f>
        <v/>
      </c>
      <c r="M14" s="40">
        <f>Inputs!F55*Inputs!F16</f>
        <v/>
      </c>
      <c r="N14" s="40">
        <f>Inputs!G55*Inputs!G16</f>
        <v/>
      </c>
      <c r="O14" s="40">
        <f>Inputs!H55*Inputs!H16</f>
        <v/>
      </c>
      <c r="P14" s="40">
        <f>Inputs!I55*Inputs!I16</f>
        <v/>
      </c>
    </row>
    <row r="15">
      <c r="A15" s="31" t="inlineStr">
        <is>
          <t>Can lid / end</t>
        </is>
      </c>
      <c r="B15" s="27" t="inlineStr">
        <is>
          <t>$/can</t>
        </is>
      </c>
      <c r="D15" s="40">
        <f>Inputs!D56</f>
        <v/>
      </c>
      <c r="E15" s="40">
        <f>Inputs!E56</f>
        <v/>
      </c>
      <c r="F15" s="40">
        <f>Inputs!F56</f>
        <v/>
      </c>
      <c r="G15" s="40">
        <f>Inputs!G56</f>
        <v/>
      </c>
      <c r="H15" s="40">
        <f>Inputs!H56</f>
        <v/>
      </c>
      <c r="I15" s="40">
        <f>Inputs!I56</f>
        <v/>
      </c>
      <c r="K15" s="40">
        <f>Inputs!D56*Inputs!D16</f>
        <v/>
      </c>
      <c r="L15" s="40">
        <f>Inputs!E56*Inputs!E16</f>
        <v/>
      </c>
      <c r="M15" s="40">
        <f>Inputs!F56*Inputs!F16</f>
        <v/>
      </c>
      <c r="N15" s="40">
        <f>Inputs!G56*Inputs!G16</f>
        <v/>
      </c>
      <c r="O15" s="40">
        <f>Inputs!H56*Inputs!H16</f>
        <v/>
      </c>
      <c r="P15" s="40">
        <f>Inputs!I56*Inputs!I16</f>
        <v/>
      </c>
    </row>
    <row r="16">
      <c r="A16" s="31" t="inlineStr">
        <is>
          <t>Label</t>
        </is>
      </c>
      <c r="B16" s="27" t="inlineStr">
        <is>
          <t>$/can</t>
        </is>
      </c>
      <c r="D16" s="40">
        <f>Inputs!D57</f>
        <v/>
      </c>
      <c r="E16" s="40">
        <f>Inputs!E57</f>
        <v/>
      </c>
      <c r="F16" s="40">
        <f>Inputs!F57</f>
        <v/>
      </c>
      <c r="G16" s="40">
        <f>Inputs!G57</f>
        <v/>
      </c>
      <c r="H16" s="40">
        <f>Inputs!H57</f>
        <v/>
      </c>
      <c r="I16" s="40">
        <f>Inputs!I57</f>
        <v/>
      </c>
      <c r="K16" s="40">
        <f>Inputs!D57*Inputs!D16</f>
        <v/>
      </c>
      <c r="L16" s="40">
        <f>Inputs!E57*Inputs!E16</f>
        <v/>
      </c>
      <c r="M16" s="40">
        <f>Inputs!F57*Inputs!F16</f>
        <v/>
      </c>
      <c r="N16" s="40">
        <f>Inputs!G57*Inputs!G16</f>
        <v/>
      </c>
      <c r="O16" s="40">
        <f>Inputs!H57*Inputs!H16</f>
        <v/>
      </c>
      <c r="P16" s="40">
        <f>Inputs!I57*Inputs!I16</f>
        <v/>
      </c>
    </row>
    <row r="17">
      <c r="A17" s="31" t="inlineStr">
        <is>
          <t>Label application</t>
        </is>
      </c>
      <c r="B17" s="27" t="inlineStr">
        <is>
          <t>$/can</t>
        </is>
      </c>
      <c r="D17" s="40">
        <f>Inputs!D58</f>
        <v/>
      </c>
      <c r="E17" s="40">
        <f>Inputs!E58</f>
        <v/>
      </c>
      <c r="F17" s="40">
        <f>Inputs!F58</f>
        <v/>
      </c>
      <c r="G17" s="40">
        <f>Inputs!G58</f>
        <v/>
      </c>
      <c r="H17" s="40">
        <f>Inputs!H58</f>
        <v/>
      </c>
      <c r="I17" s="40">
        <f>Inputs!I58</f>
        <v/>
      </c>
      <c r="K17" s="40">
        <f>Inputs!D58*Inputs!D16</f>
        <v/>
      </c>
      <c r="L17" s="40">
        <f>Inputs!E58*Inputs!E16</f>
        <v/>
      </c>
      <c r="M17" s="40">
        <f>Inputs!F58*Inputs!F16</f>
        <v/>
      </c>
      <c r="N17" s="40">
        <f>Inputs!G58*Inputs!G16</f>
        <v/>
      </c>
      <c r="O17" s="40">
        <f>Inputs!H58*Inputs!H16</f>
        <v/>
      </c>
      <c r="P17" s="40">
        <f>Inputs!I58*Inputs!I16</f>
        <v/>
      </c>
    </row>
    <row r="18" ht="15" customHeight="1">
      <c r="A18" s="2" t="inlineStr">
        <is>
          <t>Direct Material — Secondary packaging</t>
        </is>
      </c>
    </row>
    <row r="19">
      <c r="A19" s="31" t="inlineStr">
        <is>
          <t>Tray</t>
        </is>
      </c>
      <c r="B19" s="27" t="inlineStr">
        <is>
          <t>$/tray</t>
        </is>
      </c>
      <c r="D19" s="40">
        <f>IFERROR(Inputs!D60/Inputs!D17,0)</f>
        <v/>
      </c>
      <c r="E19" s="40">
        <f>IFERROR(Inputs!E60/Inputs!E17,0)</f>
        <v/>
      </c>
      <c r="F19" s="40">
        <f>IFERROR(Inputs!F60/Inputs!F17,0)</f>
        <v/>
      </c>
      <c r="G19" s="40">
        <f>IFERROR(Inputs!G60/Inputs!G17,0)</f>
        <v/>
      </c>
      <c r="H19" s="40">
        <f>IFERROR(Inputs!H60/Inputs!H17,0)</f>
        <v/>
      </c>
      <c r="I19" s="40">
        <f>IFERROR(Inputs!I60/Inputs!I17,0)</f>
        <v/>
      </c>
      <c r="K19" s="40">
        <f>IFERROR(Inputs!D60*Inputs!D16/Inputs!D17,0)</f>
        <v/>
      </c>
      <c r="L19" s="40">
        <f>IFERROR(Inputs!E60*Inputs!E16/Inputs!E17,0)</f>
        <v/>
      </c>
      <c r="M19" s="40">
        <f>IFERROR(Inputs!F60*Inputs!F16/Inputs!F17,0)</f>
        <v/>
      </c>
      <c r="N19" s="40">
        <f>IFERROR(Inputs!G60*Inputs!G16/Inputs!G17,0)</f>
        <v/>
      </c>
      <c r="O19" s="40">
        <f>IFERROR(Inputs!H60*Inputs!H16/Inputs!H17,0)</f>
        <v/>
      </c>
      <c r="P19" s="40">
        <f>IFERROR(Inputs!I60*Inputs!I16/Inputs!I17,0)</f>
        <v/>
      </c>
    </row>
    <row r="20">
      <c r="A20" s="31" t="inlineStr">
        <is>
          <t>Tray shrink wrap</t>
        </is>
      </c>
      <c r="B20" s="27" t="inlineStr">
        <is>
          <t>$/tray</t>
        </is>
      </c>
      <c r="D20" s="40">
        <f>IFERROR(Inputs!D61/Inputs!D17,0)</f>
        <v/>
      </c>
      <c r="E20" s="40">
        <f>IFERROR(Inputs!E61/Inputs!E17,0)</f>
        <v/>
      </c>
      <c r="F20" s="40">
        <f>IFERROR(Inputs!F61/Inputs!F17,0)</f>
        <v/>
      </c>
      <c r="G20" s="40">
        <f>IFERROR(Inputs!G61/Inputs!G17,0)</f>
        <v/>
      </c>
      <c r="H20" s="40">
        <f>IFERROR(Inputs!H61/Inputs!H17,0)</f>
        <v/>
      </c>
      <c r="I20" s="40">
        <f>IFERROR(Inputs!I61/Inputs!I17,0)</f>
        <v/>
      </c>
      <c r="K20" s="40">
        <f>IFERROR(Inputs!D61*Inputs!D16/Inputs!D17,0)</f>
        <v/>
      </c>
      <c r="L20" s="40">
        <f>IFERROR(Inputs!E61*Inputs!E16/Inputs!E17,0)</f>
        <v/>
      </c>
      <c r="M20" s="40">
        <f>IFERROR(Inputs!F61*Inputs!F16/Inputs!F17,0)</f>
        <v/>
      </c>
      <c r="N20" s="40">
        <f>IFERROR(Inputs!G61*Inputs!G16/Inputs!G17,0)</f>
        <v/>
      </c>
      <c r="O20" s="40">
        <f>IFERROR(Inputs!H61*Inputs!H16/Inputs!H17,0)</f>
        <v/>
      </c>
      <c r="P20" s="40">
        <f>IFERROR(Inputs!I61*Inputs!I16/Inputs!I17,0)</f>
        <v/>
      </c>
    </row>
    <row r="21">
      <c r="A21" s="31" t="inlineStr">
        <is>
          <t>Tray label</t>
        </is>
      </c>
      <c r="B21" s="27" t="inlineStr">
        <is>
          <t>$/tray</t>
        </is>
      </c>
      <c r="D21" s="40">
        <f>IFERROR(Inputs!D62/Inputs!D17,0)</f>
        <v/>
      </c>
      <c r="E21" s="40">
        <f>IFERROR(Inputs!E62/Inputs!E17,0)</f>
        <v/>
      </c>
      <c r="F21" s="40">
        <f>IFERROR(Inputs!F62/Inputs!F17,0)</f>
        <v/>
      </c>
      <c r="G21" s="40">
        <f>IFERROR(Inputs!G62/Inputs!G17,0)</f>
        <v/>
      </c>
      <c r="H21" s="40">
        <f>IFERROR(Inputs!H62/Inputs!H17,0)</f>
        <v/>
      </c>
      <c r="I21" s="40">
        <f>IFERROR(Inputs!I62/Inputs!I17,0)</f>
        <v/>
      </c>
      <c r="K21" s="40">
        <f>IFERROR(Inputs!D62*Inputs!D16/Inputs!D17,0)</f>
        <v/>
      </c>
      <c r="L21" s="40">
        <f>IFERROR(Inputs!E62*Inputs!E16/Inputs!E17,0)</f>
        <v/>
      </c>
      <c r="M21" s="40">
        <f>IFERROR(Inputs!F62*Inputs!F16/Inputs!F17,0)</f>
        <v/>
      </c>
      <c r="N21" s="40">
        <f>IFERROR(Inputs!G62*Inputs!G16/Inputs!G17,0)</f>
        <v/>
      </c>
      <c r="O21" s="40">
        <f>IFERROR(Inputs!H62*Inputs!H16/Inputs!H17,0)</f>
        <v/>
      </c>
      <c r="P21" s="40">
        <f>IFERROR(Inputs!I62*Inputs!I16/Inputs!I17,0)</f>
        <v/>
      </c>
    </row>
    <row r="22" ht="15" customHeight="1">
      <c r="A22" s="2" t="inlineStr">
        <is>
          <t>Direct Material — Tertiary packaging</t>
        </is>
      </c>
    </row>
    <row r="23">
      <c r="A23" s="31" t="inlineStr">
        <is>
          <t>CHEP pallet</t>
        </is>
      </c>
      <c r="B23" s="27" t="inlineStr">
        <is>
          <t>$/pallet</t>
        </is>
      </c>
      <c r="D23" s="40">
        <f>IFERROR(Inputs!D64/(Inputs!D18*Inputs!D16),0)</f>
        <v/>
      </c>
      <c r="E23" s="40">
        <f>IFERROR(Inputs!E64/(Inputs!E18*Inputs!E16),0)</f>
        <v/>
      </c>
      <c r="F23" s="40">
        <f>IFERROR(Inputs!F64/(Inputs!F18*Inputs!F16),0)</f>
        <v/>
      </c>
      <c r="G23" s="40">
        <f>IFERROR(Inputs!G64/(Inputs!G18*Inputs!G16),0)</f>
        <v/>
      </c>
      <c r="H23" s="40">
        <f>IFERROR(Inputs!H64/(Inputs!H18*Inputs!H16),0)</f>
        <v/>
      </c>
      <c r="I23" s="40">
        <f>IFERROR(Inputs!I64/(Inputs!I18*Inputs!I16),0)</f>
        <v/>
      </c>
      <c r="K23" s="40">
        <f>IFERROR(Inputs!D64/Inputs!D18,0)</f>
        <v/>
      </c>
      <c r="L23" s="40">
        <f>IFERROR(Inputs!E64/Inputs!E18,0)</f>
        <v/>
      </c>
      <c r="M23" s="40">
        <f>IFERROR(Inputs!F64/Inputs!F18,0)</f>
        <v/>
      </c>
      <c r="N23" s="40">
        <f>IFERROR(Inputs!G64/Inputs!G18,0)</f>
        <v/>
      </c>
      <c r="O23" s="40">
        <f>IFERROR(Inputs!H64/Inputs!H18,0)</f>
        <v/>
      </c>
      <c r="P23" s="40">
        <f>IFERROR(Inputs!I64/Inputs!I18,0)</f>
        <v/>
      </c>
    </row>
    <row r="24">
      <c r="A24" s="31" t="inlineStr">
        <is>
          <t>Pallet wrap</t>
        </is>
      </c>
      <c r="B24" s="27" t="inlineStr">
        <is>
          <t>$/pallet</t>
        </is>
      </c>
      <c r="D24" s="40">
        <f>IFERROR(Inputs!D65/(Inputs!D18*Inputs!D16),0)</f>
        <v/>
      </c>
      <c r="E24" s="40">
        <f>IFERROR(Inputs!E65/(Inputs!E18*Inputs!E16),0)</f>
        <v/>
      </c>
      <c r="F24" s="40">
        <f>IFERROR(Inputs!F65/(Inputs!F18*Inputs!F16),0)</f>
        <v/>
      </c>
      <c r="G24" s="40">
        <f>IFERROR(Inputs!G65/(Inputs!G18*Inputs!G16),0)</f>
        <v/>
      </c>
      <c r="H24" s="40">
        <f>IFERROR(Inputs!H65/(Inputs!H18*Inputs!H16),0)</f>
        <v/>
      </c>
      <c r="I24" s="40">
        <f>IFERROR(Inputs!I65/(Inputs!I18*Inputs!I16),0)</f>
        <v/>
      </c>
      <c r="K24" s="40">
        <f>IFERROR(Inputs!D65/Inputs!D18,0)</f>
        <v/>
      </c>
      <c r="L24" s="40">
        <f>IFERROR(Inputs!E65/Inputs!E18,0)</f>
        <v/>
      </c>
      <c r="M24" s="40">
        <f>IFERROR(Inputs!F65/Inputs!F18,0)</f>
        <v/>
      </c>
      <c r="N24" s="40">
        <f>IFERROR(Inputs!G65/Inputs!G18,0)</f>
        <v/>
      </c>
      <c r="O24" s="40">
        <f>IFERROR(Inputs!H65/Inputs!H18,0)</f>
        <v/>
      </c>
      <c r="P24" s="40">
        <f>IFERROR(Inputs!I65/Inputs!I18,0)</f>
        <v/>
      </c>
    </row>
    <row r="25">
      <c r="A25" s="31" t="inlineStr">
        <is>
          <t>Pallet corners</t>
        </is>
      </c>
      <c r="B25" s="27" t="inlineStr">
        <is>
          <t>$/pallet</t>
        </is>
      </c>
      <c r="D25" s="40">
        <f>IFERROR(Inputs!D66/(Inputs!D18*Inputs!D16),0)</f>
        <v/>
      </c>
      <c r="E25" s="40">
        <f>IFERROR(Inputs!E66/(Inputs!E18*Inputs!E16),0)</f>
        <v/>
      </c>
      <c r="F25" s="40">
        <f>IFERROR(Inputs!F66/(Inputs!F18*Inputs!F16),0)</f>
        <v/>
      </c>
      <c r="G25" s="40">
        <f>IFERROR(Inputs!G66/(Inputs!G18*Inputs!G16),0)</f>
        <v/>
      </c>
      <c r="H25" s="40">
        <f>IFERROR(Inputs!H66/(Inputs!H18*Inputs!H16),0)</f>
        <v/>
      </c>
      <c r="I25" s="40">
        <f>IFERROR(Inputs!I66/(Inputs!I18*Inputs!I16),0)</f>
        <v/>
      </c>
      <c r="K25" s="40">
        <f>IFERROR(Inputs!D66/Inputs!D18,0)</f>
        <v/>
      </c>
      <c r="L25" s="40">
        <f>IFERROR(Inputs!E66/Inputs!E18,0)</f>
        <v/>
      </c>
      <c r="M25" s="40">
        <f>IFERROR(Inputs!F66/Inputs!F18,0)</f>
        <v/>
      </c>
      <c r="N25" s="40">
        <f>IFERROR(Inputs!G66/Inputs!G18,0)</f>
        <v/>
      </c>
      <c r="O25" s="40">
        <f>IFERROR(Inputs!H66/Inputs!H18,0)</f>
        <v/>
      </c>
      <c r="P25" s="40">
        <f>IFERROR(Inputs!I66/Inputs!I18,0)</f>
        <v/>
      </c>
    </row>
    <row r="26">
      <c r="A26" s="31" t="inlineStr">
        <is>
          <t>Pallet label</t>
        </is>
      </c>
      <c r="B26" s="27" t="inlineStr">
        <is>
          <t>$/pallet</t>
        </is>
      </c>
      <c r="D26" s="40">
        <f>IFERROR(Inputs!D67/(Inputs!D18*Inputs!D16),0)</f>
        <v/>
      </c>
      <c r="E26" s="40">
        <f>IFERROR(Inputs!E67/(Inputs!E18*Inputs!E16),0)</f>
        <v/>
      </c>
      <c r="F26" s="40">
        <f>IFERROR(Inputs!F67/(Inputs!F18*Inputs!F16),0)</f>
        <v/>
      </c>
      <c r="G26" s="40">
        <f>IFERROR(Inputs!G67/(Inputs!G18*Inputs!G16),0)</f>
        <v/>
      </c>
      <c r="H26" s="40">
        <f>IFERROR(Inputs!H67/(Inputs!H18*Inputs!H16),0)</f>
        <v/>
      </c>
      <c r="I26" s="40">
        <f>IFERROR(Inputs!I67/(Inputs!I18*Inputs!I16),0)</f>
        <v/>
      </c>
      <c r="K26" s="40">
        <f>IFERROR(Inputs!D67/Inputs!D18,0)</f>
        <v/>
      </c>
      <c r="L26" s="40">
        <f>IFERROR(Inputs!E67/Inputs!E18,0)</f>
        <v/>
      </c>
      <c r="M26" s="40">
        <f>IFERROR(Inputs!F67/Inputs!F18,0)</f>
        <v/>
      </c>
      <c r="N26" s="40">
        <f>IFERROR(Inputs!G67/Inputs!G18,0)</f>
        <v/>
      </c>
      <c r="O26" s="40">
        <f>IFERROR(Inputs!H67/Inputs!H18,0)</f>
        <v/>
      </c>
      <c r="P26" s="40">
        <f>IFERROR(Inputs!I67/Inputs!I18,0)</f>
        <v/>
      </c>
    </row>
    <row r="27" ht="15" customHeight="1">
      <c r="A27" s="2" t="inlineStr">
        <is>
          <t>Direct Production Overhead — Tolling / canning</t>
        </is>
      </c>
    </row>
    <row r="28">
      <c r="A28" s="31" t="inlineStr">
        <is>
          <t>Tolling / canning</t>
        </is>
      </c>
      <c r="B28" s="27" t="inlineStr">
        <is>
          <t>$/can</t>
        </is>
      </c>
      <c r="D28" s="40">
        <f>Inputs!D71</f>
        <v/>
      </c>
      <c r="E28" s="40">
        <f>Inputs!E71</f>
        <v/>
      </c>
      <c r="F28" s="40">
        <f>Inputs!F71</f>
        <v/>
      </c>
      <c r="G28" s="40">
        <f>Inputs!G71</f>
        <v/>
      </c>
      <c r="H28" s="40">
        <f>Inputs!H71</f>
        <v/>
      </c>
      <c r="I28" s="40">
        <f>Inputs!I71</f>
        <v/>
      </c>
      <c r="K28" s="40">
        <f>Inputs!D71*Inputs!D16</f>
        <v/>
      </c>
      <c r="L28" s="40">
        <f>Inputs!E71*Inputs!E16</f>
        <v/>
      </c>
      <c r="M28" s="40">
        <f>Inputs!F71*Inputs!F16</f>
        <v/>
      </c>
      <c r="N28" s="40">
        <f>Inputs!G71*Inputs!G16</f>
        <v/>
      </c>
      <c r="O28" s="40">
        <f>Inputs!H71*Inputs!H16</f>
        <v/>
      </c>
      <c r="P28" s="40">
        <f>Inputs!I71*Inputs!I16</f>
        <v/>
      </c>
    </row>
    <row r="29">
      <c r="A29" s="31" t="inlineStr">
        <is>
          <t>Pasteurization</t>
        </is>
      </c>
      <c r="B29" s="27" t="inlineStr">
        <is>
          <t>$/can</t>
        </is>
      </c>
      <c r="D29" s="40">
        <f>Inputs!D72</f>
        <v/>
      </c>
      <c r="E29" s="40">
        <f>Inputs!E72</f>
        <v/>
      </c>
      <c r="F29" s="40">
        <f>Inputs!F72</f>
        <v/>
      </c>
      <c r="G29" s="40">
        <f>Inputs!G72</f>
        <v/>
      </c>
      <c r="H29" s="40">
        <f>Inputs!H72</f>
        <v/>
      </c>
      <c r="I29" s="40">
        <f>Inputs!I72</f>
        <v/>
      </c>
      <c r="K29" s="40">
        <f>Inputs!D72*Inputs!D16</f>
        <v/>
      </c>
      <c r="L29" s="40">
        <f>Inputs!E72*Inputs!E16</f>
        <v/>
      </c>
      <c r="M29" s="40">
        <f>Inputs!F72*Inputs!F16</f>
        <v/>
      </c>
      <c r="N29" s="40">
        <f>Inputs!G72*Inputs!G16</f>
        <v/>
      </c>
      <c r="O29" s="40">
        <f>Inputs!H72*Inputs!H16</f>
        <v/>
      </c>
      <c r="P29" s="40">
        <f>Inputs!I72*Inputs!I16</f>
        <v/>
      </c>
    </row>
    <row r="30">
      <c r="A30" s="31" t="inlineStr">
        <is>
          <t>Carbonation</t>
        </is>
      </c>
      <c r="B30" s="27" t="inlineStr">
        <is>
          <t>$/can</t>
        </is>
      </c>
      <c r="D30" s="40">
        <f>Inputs!D73</f>
        <v/>
      </c>
      <c r="E30" s="40">
        <f>Inputs!E73</f>
        <v/>
      </c>
      <c r="F30" s="40">
        <f>Inputs!F73</f>
        <v/>
      </c>
      <c r="G30" s="40">
        <f>Inputs!G73</f>
        <v/>
      </c>
      <c r="H30" s="40">
        <f>Inputs!H73</f>
        <v/>
      </c>
      <c r="I30" s="40">
        <f>Inputs!I73</f>
        <v/>
      </c>
      <c r="K30" s="40">
        <f>Inputs!D73*Inputs!D16</f>
        <v/>
      </c>
      <c r="L30" s="40">
        <f>Inputs!E73*Inputs!E16</f>
        <v/>
      </c>
      <c r="M30" s="40">
        <f>Inputs!F73*Inputs!F16</f>
        <v/>
      </c>
      <c r="N30" s="40">
        <f>Inputs!G73*Inputs!G16</f>
        <v/>
      </c>
      <c r="O30" s="40">
        <f>Inputs!H73*Inputs!H16</f>
        <v/>
      </c>
      <c r="P30" s="40">
        <f>Inputs!I73*Inputs!I16</f>
        <v/>
      </c>
    </row>
    <row r="31">
      <c r="A31" s="31" t="inlineStr">
        <is>
          <t>Tank mixing / blending</t>
        </is>
      </c>
      <c r="B31" s="27" t="inlineStr">
        <is>
          <t>$/can</t>
        </is>
      </c>
      <c r="D31" s="40">
        <f>Inputs!D74</f>
        <v/>
      </c>
      <c r="E31" s="40">
        <f>Inputs!E74</f>
        <v/>
      </c>
      <c r="F31" s="40">
        <f>Inputs!F74</f>
        <v/>
      </c>
      <c r="G31" s="40">
        <f>Inputs!G74</f>
        <v/>
      </c>
      <c r="H31" s="40">
        <f>Inputs!H74</f>
        <v/>
      </c>
      <c r="I31" s="40">
        <f>Inputs!I74</f>
        <v/>
      </c>
      <c r="K31" s="40">
        <f>Inputs!D74*Inputs!D16</f>
        <v/>
      </c>
      <c r="L31" s="40">
        <f>Inputs!E74*Inputs!E16</f>
        <v/>
      </c>
      <c r="M31" s="40">
        <f>Inputs!F74*Inputs!F16</f>
        <v/>
      </c>
      <c r="N31" s="40">
        <f>Inputs!G74*Inputs!G16</f>
        <v/>
      </c>
      <c r="O31" s="40">
        <f>Inputs!H74*Inputs!H16</f>
        <v/>
      </c>
      <c r="P31" s="40">
        <f>Inputs!I74*Inputs!I16</f>
        <v/>
      </c>
    </row>
    <row r="32">
      <c r="A32" s="31" t="inlineStr">
        <is>
          <t>Lab / micro hold</t>
        </is>
      </c>
      <c r="B32" s="27" t="inlineStr">
        <is>
          <t>$/can</t>
        </is>
      </c>
      <c r="D32" s="40">
        <f>Inputs!D75</f>
        <v/>
      </c>
      <c r="E32" s="40">
        <f>Inputs!E75</f>
        <v/>
      </c>
      <c r="F32" s="40">
        <f>Inputs!F75</f>
        <v/>
      </c>
      <c r="G32" s="40">
        <f>Inputs!G75</f>
        <v/>
      </c>
      <c r="H32" s="40">
        <f>Inputs!H75</f>
        <v/>
      </c>
      <c r="I32" s="40">
        <f>Inputs!I75</f>
        <v/>
      </c>
      <c r="K32" s="40">
        <f>Inputs!D75*Inputs!D16</f>
        <v/>
      </c>
      <c r="L32" s="40">
        <f>Inputs!E75*Inputs!E16</f>
        <v/>
      </c>
      <c r="M32" s="40">
        <f>Inputs!F75*Inputs!F16</f>
        <v/>
      </c>
      <c r="N32" s="40">
        <f>Inputs!G75*Inputs!G16</f>
        <v/>
      </c>
      <c r="O32" s="40">
        <f>Inputs!H75*Inputs!H16</f>
        <v/>
      </c>
      <c r="P32" s="40">
        <f>Inputs!I75*Inputs!I16</f>
        <v/>
      </c>
    </row>
    <row r="33">
      <c r="A33" s="31" t="inlineStr">
        <is>
          <t>Allergen handling</t>
        </is>
      </c>
      <c r="B33" s="27" t="inlineStr">
        <is>
          <t>$/can</t>
        </is>
      </c>
      <c r="D33" s="40">
        <f>Inputs!D76</f>
        <v/>
      </c>
      <c r="E33" s="40">
        <f>Inputs!E76</f>
        <v/>
      </c>
      <c r="F33" s="40">
        <f>Inputs!F76</f>
        <v/>
      </c>
      <c r="G33" s="40">
        <f>Inputs!G76</f>
        <v/>
      </c>
      <c r="H33" s="40">
        <f>Inputs!H76</f>
        <v/>
      </c>
      <c r="I33" s="40">
        <f>Inputs!I76</f>
        <v/>
      </c>
      <c r="K33" s="40">
        <f>Inputs!D76*Inputs!D16</f>
        <v/>
      </c>
      <c r="L33" s="40">
        <f>Inputs!E76*Inputs!E16</f>
        <v/>
      </c>
      <c r="M33" s="40">
        <f>Inputs!F76*Inputs!F16</f>
        <v/>
      </c>
      <c r="N33" s="40">
        <f>Inputs!G76*Inputs!G16</f>
        <v/>
      </c>
      <c r="O33" s="40">
        <f>Inputs!H76*Inputs!H16</f>
        <v/>
      </c>
      <c r="P33" s="40">
        <f>Inputs!I76*Inputs!I16</f>
        <v/>
      </c>
    </row>
    <row r="34">
      <c r="A34" s="31" t="inlineStr">
        <is>
          <t>Other tolling</t>
        </is>
      </c>
      <c r="B34" s="27" t="inlineStr">
        <is>
          <t>$/can</t>
        </is>
      </c>
      <c r="D34" s="40">
        <f>Inputs!D77</f>
        <v/>
      </c>
      <c r="E34" s="40">
        <f>Inputs!E77</f>
        <v/>
      </c>
      <c r="F34" s="40">
        <f>Inputs!F77</f>
        <v/>
      </c>
      <c r="G34" s="40">
        <f>Inputs!G77</f>
        <v/>
      </c>
      <c r="H34" s="40">
        <f>Inputs!H77</f>
        <v/>
      </c>
      <c r="I34" s="40">
        <f>Inputs!I77</f>
        <v/>
      </c>
      <c r="K34" s="40">
        <f>Inputs!D77*Inputs!D16</f>
        <v/>
      </c>
      <c r="L34" s="40">
        <f>Inputs!E77*Inputs!E16</f>
        <v/>
      </c>
      <c r="M34" s="40">
        <f>Inputs!F77*Inputs!F16</f>
        <v/>
      </c>
      <c r="N34" s="40">
        <f>Inputs!G77*Inputs!G16</f>
        <v/>
      </c>
      <c r="O34" s="40">
        <f>Inputs!H77*Inputs!H16</f>
        <v/>
      </c>
      <c r="P34" s="40">
        <f>Inputs!I77*Inputs!I16</f>
        <v/>
      </c>
    </row>
    <row r="35" ht="15" customHeight="1">
      <c r="A35" s="2" t="inlineStr">
        <is>
          <t>Setup and skid packing</t>
        </is>
      </c>
    </row>
    <row r="36">
      <c r="A36" s="31" t="inlineStr">
        <is>
          <t>Skid packing fee</t>
        </is>
      </c>
      <c r="B36" s="27" t="inlineStr">
        <is>
          <t>$/pallet</t>
        </is>
      </c>
      <c r="D36" s="40">
        <f>IFERROR(Inputs!D79/(Inputs!D18*Inputs!D16),0)</f>
        <v/>
      </c>
      <c r="E36" s="40">
        <f>IFERROR(Inputs!E79/(Inputs!E18*Inputs!E16),0)</f>
        <v/>
      </c>
      <c r="F36" s="40">
        <f>IFERROR(Inputs!F79/(Inputs!F18*Inputs!F16),0)</f>
        <v/>
      </c>
      <c r="G36" s="40">
        <f>IFERROR(Inputs!G79/(Inputs!G18*Inputs!G16),0)</f>
        <v/>
      </c>
      <c r="H36" s="40">
        <f>IFERROR(Inputs!H79/(Inputs!H18*Inputs!H16),0)</f>
        <v/>
      </c>
      <c r="I36" s="40">
        <f>IFERROR(Inputs!I79/(Inputs!I18*Inputs!I16),0)</f>
        <v/>
      </c>
      <c r="K36" s="40">
        <f>IFERROR(Inputs!D79/Inputs!D18,0)</f>
        <v/>
      </c>
      <c r="L36" s="40">
        <f>IFERROR(Inputs!E79/Inputs!E18,0)</f>
        <v/>
      </c>
      <c r="M36" s="40">
        <f>IFERROR(Inputs!F79/Inputs!F18,0)</f>
        <v/>
      </c>
      <c r="N36" s="40">
        <f>IFERROR(Inputs!G79/Inputs!G18,0)</f>
        <v/>
      </c>
      <c r="O36" s="40">
        <f>IFERROR(Inputs!H79/Inputs!H18,0)</f>
        <v/>
      </c>
      <c r="P36" s="40">
        <f>IFERROR(Inputs!I79/Inputs!I18,0)</f>
        <v/>
      </c>
    </row>
    <row r="37">
      <c r="A37" s="31" t="inlineStr">
        <is>
          <t>Setup cost per case (with first run premium)</t>
        </is>
      </c>
      <c r="B37" s="27" t="inlineStr">
        <is>
          <t>derived</t>
        </is>
      </c>
      <c r="D37" s="40">
        <f>IFERROR(Inputs!D85/Inputs!D16,0)</f>
        <v/>
      </c>
      <c r="E37" s="40">
        <f>IFERROR(Inputs!E85/Inputs!E16,0)</f>
        <v/>
      </c>
      <c r="F37" s="40">
        <f>IFERROR(Inputs!F85/Inputs!F16,0)</f>
        <v/>
      </c>
      <c r="G37" s="40">
        <f>IFERROR(Inputs!G85/Inputs!G16,0)</f>
        <v/>
      </c>
      <c r="H37" s="40">
        <f>IFERROR(Inputs!H85/Inputs!H16,0)</f>
        <v/>
      </c>
      <c r="I37" s="40">
        <f>IFERROR(Inputs!I85/Inputs!I16,0)</f>
        <v/>
      </c>
      <c r="K37" s="40">
        <f>Inputs!D85</f>
        <v/>
      </c>
      <c r="L37" s="40">
        <f>Inputs!E85</f>
        <v/>
      </c>
      <c r="M37" s="40">
        <f>Inputs!F85</f>
        <v/>
      </c>
      <c r="N37" s="40">
        <f>Inputs!G85</f>
        <v/>
      </c>
      <c r="O37" s="40">
        <f>Inputs!H85</f>
        <v/>
      </c>
      <c r="P37" s="40">
        <f>Inputs!I85</f>
        <v/>
      </c>
    </row>
    <row r="39">
      <c r="A39" s="41" t="inlineStr">
        <is>
          <t>Direct COGS (total)</t>
        </is>
      </c>
      <c r="B39" s="42" t="n"/>
      <c r="D39" s="43">
        <f>D7+D8+D9+D10+D11+D12+D14+D15+D16+D17+D19+D20+D21+D23+D24+D25+D26+D28+D29+D30+D31+D32+D33+D34+D36+D37</f>
        <v/>
      </c>
      <c r="E39" s="43">
        <f>E7+E8+E9+E10+E11+E12+E14+E15+E16+E17+E19+E20+E21+E23+E24+E25+E26+E28+E29+E30+E31+E32+E33+E34+E36+E37</f>
        <v/>
      </c>
      <c r="F39" s="43">
        <f>F7+F8+F9+F10+F11+F12+F14+F15+F16+F17+F19+F20+F21+F23+F24+F25+F26+F28+F29+F30+F31+F32+F33+F34+F36+F37</f>
        <v/>
      </c>
      <c r="G39" s="43">
        <f>G7+G8+G9+G10+G11+G12+G14+G15+G16+G17+G19+G20+G21+G23+G24+G25+G26+G28+G29+G30+G31+G32+G33+G34+G36+G37</f>
        <v/>
      </c>
      <c r="H39" s="43">
        <f>H7+H8+H9+H10+H11+H12+H14+H15+H16+H17+H19+H20+H21+H23+H24+H25+H26+H28+H29+H30+H31+H32+H33+H34+H36+H37</f>
        <v/>
      </c>
      <c r="I39" s="43">
        <f>I7+I8+I9+I10+I11+I12+I14+I15+I16+I17+I19+I20+I21+I23+I24+I25+I26+I28+I29+I30+I31+I32+I33+I34+I36+I37</f>
        <v/>
      </c>
      <c r="K39" s="44">
        <f>K7+K8+K9+K10+K11+K12+K14+K15+K16+K17+K19+K20+K21+K23+K24+K25+K26+K28+K29+K30+K31+K32+K33+K34+K36+K37</f>
        <v/>
      </c>
      <c r="L39" s="44">
        <f>L7+L8+L9+L10+L11+L12+L14+L15+L16+L17+L19+L20+L21+L23+L24+L25+L26+L28+L29+L30+L31+L32+L33+L34+L36+L37</f>
        <v/>
      </c>
      <c r="M39" s="44">
        <f>M7+M8+M9+M10+M11+M12+M14+M15+M16+M17+M19+M20+M21+M23+M24+M25+M26+M28+M29+M30+M31+M32+M33+M34+M36+M37</f>
        <v/>
      </c>
      <c r="N39" s="44">
        <f>N7+N8+N9+N10+N11+N12+N14+N15+N16+N17+N19+N20+N21+N23+N24+N25+N26+N28+N29+N30+N31+N32+N33+N34+N36+N37</f>
        <v/>
      </c>
      <c r="O39" s="44">
        <f>O7+O8+O9+O10+O11+O12+O14+O15+O16+O17+O19+O20+O21+O23+O24+O25+O26+O28+O29+O30+O31+O32+O33+O34+O36+O37</f>
        <v/>
      </c>
      <c r="P39" s="44">
        <f>P7+P8+P9+P10+P11+P12+P14+P15+P16+P17+P19+P20+P21+P23+P24+P25+P26+P28+P29+P30+P31+P32+P33+P34+P36+P37</f>
        <v/>
      </c>
    </row>
  </sheetData>
  <mergeCells count="10">
    <mergeCell ref="A13:P13"/>
    <mergeCell ref="A1:P1"/>
    <mergeCell ref="A18:P18"/>
    <mergeCell ref="A27:P27"/>
    <mergeCell ref="A6:P6"/>
    <mergeCell ref="A22:P22"/>
    <mergeCell ref="A35:P35"/>
    <mergeCell ref="K3:P3"/>
    <mergeCell ref="D3:I3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20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37" sqref="G37"/>
    </sheetView>
  </sheetViews>
  <sheetFormatPr baseColWidth="10" defaultColWidth="8.6640625" defaultRowHeight="15"/>
  <cols>
    <col width="44" customWidth="1" min="1" max="1"/>
    <col width="12" customWidth="1" min="2" max="2"/>
    <col width="2" customWidth="1" min="3" max="3"/>
    <col width="12" customWidth="1" min="4" max="9"/>
    <col width="2" customWidth="1" min="10" max="10"/>
    <col width="12" customWidth="1" min="11" max="16"/>
  </cols>
  <sheetData>
    <row r="1" ht="30" customHeight="1">
      <c r="A1" s="4" t="inlineStr">
        <is>
          <t>Indirect COGS. Corporate allocated.</t>
        </is>
      </c>
    </row>
    <row r="2" ht="24" customHeight="1">
      <c r="A2" s="3" t="n"/>
    </row>
    <row r="3" ht="19.5" customHeight="1">
      <c r="D3" s="11" t="inlineStr">
        <is>
          <t>Per can (CAD)</t>
        </is>
      </c>
      <c r="E3" s="55" t="n"/>
      <c r="F3" s="55" t="n"/>
      <c r="G3" s="55" t="n"/>
      <c r="H3" s="55" t="n"/>
      <c r="I3" s="56" t="n"/>
      <c r="K3" s="11" t="inlineStr">
        <is>
          <t>Per case (CAD)</t>
        </is>
      </c>
      <c r="L3" s="55" t="n"/>
      <c r="M3" s="55" t="n"/>
      <c r="N3" s="55" t="n"/>
      <c r="O3" s="55" t="n"/>
      <c r="P3" s="56" t="n"/>
    </row>
    <row r="4" ht="21.75" customHeight="1">
      <c r="A4" s="10" t="inlineStr">
        <is>
          <t>Component</t>
        </is>
      </c>
      <c r="B4" s="11" t="inlineStr">
        <is>
          <t>Native</t>
        </is>
      </c>
      <c r="D4" s="11">
        <f>Inputs!D4</f>
        <v/>
      </c>
      <c r="E4" s="11">
        <f>Inputs!E4</f>
        <v/>
      </c>
      <c r="F4" s="11">
        <f>Inputs!F4</f>
        <v/>
      </c>
      <c r="G4" s="11">
        <f>Inputs!G4</f>
        <v/>
      </c>
      <c r="H4" s="11">
        <f>Inputs!H4</f>
        <v/>
      </c>
      <c r="I4" s="11">
        <f>Inputs!I4</f>
        <v/>
      </c>
      <c r="K4" s="11">
        <f>Inputs!D4</f>
        <v/>
      </c>
      <c r="L4" s="11">
        <f>Inputs!E4</f>
        <v/>
      </c>
      <c r="M4" s="11">
        <f>Inputs!F4</f>
        <v/>
      </c>
      <c r="N4" s="11">
        <f>Inputs!G4</f>
        <v/>
      </c>
      <c r="O4" s="11">
        <f>Inputs!H4</f>
        <v/>
      </c>
      <c r="P4" s="11">
        <f>Inputs!I4</f>
        <v/>
      </c>
    </row>
    <row r="6" ht="15" customHeight="1">
      <c r="A6" s="2" t="inlineStr">
        <is>
          <t>Warehousing and pick/pack</t>
        </is>
      </c>
    </row>
    <row r="7">
      <c r="A7" s="31" t="inlineStr">
        <is>
          <t>Warehousing raw materials</t>
        </is>
      </c>
      <c r="B7" s="27" t="inlineStr">
        <is>
          <t>$/case</t>
        </is>
      </c>
      <c r="D7" s="45">
        <f>IFERROR(Inputs!D90/Inputs!D16,0)</f>
        <v/>
      </c>
      <c r="E7" s="45">
        <f>IFERROR(Inputs!E90/Inputs!E16,0)</f>
        <v/>
      </c>
      <c r="F7" s="45">
        <f>IFERROR(Inputs!F90/Inputs!F16,0)</f>
        <v/>
      </c>
      <c r="G7" s="45">
        <f>IFERROR(Inputs!G90/Inputs!G16,0)</f>
        <v/>
      </c>
      <c r="H7" s="45">
        <f>IFERROR(Inputs!H90/Inputs!H16,0)</f>
        <v/>
      </c>
      <c r="I7" s="45">
        <f>IFERROR(Inputs!I90/Inputs!I16,0)</f>
        <v/>
      </c>
      <c r="K7" s="40">
        <f>Inputs!D90</f>
        <v/>
      </c>
      <c r="L7" s="40">
        <f>Inputs!E90</f>
        <v/>
      </c>
      <c r="M7" s="40">
        <f>Inputs!F90</f>
        <v/>
      </c>
      <c r="N7" s="40">
        <f>Inputs!G90</f>
        <v/>
      </c>
      <c r="O7" s="40">
        <f>Inputs!H90</f>
        <v/>
      </c>
      <c r="P7" s="40">
        <f>Inputs!I90</f>
        <v/>
      </c>
    </row>
    <row r="8">
      <c r="A8" s="31" t="inlineStr">
        <is>
          <t>Warehousing finished goods</t>
        </is>
      </c>
      <c r="B8" s="27" t="inlineStr">
        <is>
          <t>$/case</t>
        </is>
      </c>
      <c r="D8" s="45">
        <f>IFERROR(Inputs!D94/Inputs!D16,0)</f>
        <v/>
      </c>
      <c r="E8" s="45">
        <f>IFERROR(Inputs!E94/Inputs!E16,0)</f>
        <v/>
      </c>
      <c r="F8" s="45">
        <f>IFERROR(Inputs!F94/Inputs!F16,0)</f>
        <v/>
      </c>
      <c r="G8" s="45">
        <f>IFERROR(Inputs!G94/Inputs!G16,0)</f>
        <v/>
      </c>
      <c r="H8" s="45">
        <f>IFERROR(Inputs!H94/Inputs!H16,0)</f>
        <v/>
      </c>
      <c r="I8" s="45">
        <f>IFERROR(Inputs!I94/Inputs!I16,0)</f>
        <v/>
      </c>
      <c r="K8" s="40">
        <f>Inputs!D94</f>
        <v/>
      </c>
      <c r="L8" s="40">
        <f>Inputs!E94</f>
        <v/>
      </c>
      <c r="M8" s="40">
        <f>Inputs!F94</f>
        <v/>
      </c>
      <c r="N8" s="40">
        <f>Inputs!G94</f>
        <v/>
      </c>
      <c r="O8" s="40">
        <f>Inputs!H94</f>
        <v/>
      </c>
      <c r="P8" s="40">
        <f>Inputs!I94</f>
        <v/>
      </c>
    </row>
    <row r="9">
      <c r="A9" s="31" t="inlineStr">
        <is>
          <t>Pick and pack</t>
        </is>
      </c>
      <c r="B9" s="27" t="inlineStr">
        <is>
          <t>$/case</t>
        </is>
      </c>
      <c r="D9" s="45">
        <f>IFERROR(Inputs!D98/Inputs!D16,0)</f>
        <v/>
      </c>
      <c r="E9" s="45">
        <f>IFERROR(Inputs!E98/Inputs!E16,0)</f>
        <v/>
      </c>
      <c r="F9" s="45">
        <f>IFERROR(Inputs!F98/Inputs!F16,0)</f>
        <v/>
      </c>
      <c r="G9" s="45">
        <f>IFERROR(Inputs!G98/Inputs!G16,0)</f>
        <v/>
      </c>
      <c r="H9" s="45">
        <f>IFERROR(Inputs!H98/Inputs!H16,0)</f>
        <v/>
      </c>
      <c r="I9" s="45">
        <f>IFERROR(Inputs!I98/Inputs!I16,0)</f>
        <v/>
      </c>
      <c r="K9" s="40">
        <f>Inputs!D98</f>
        <v/>
      </c>
      <c r="L9" s="40">
        <f>Inputs!E98</f>
        <v/>
      </c>
      <c r="M9" s="40">
        <f>Inputs!F98</f>
        <v/>
      </c>
      <c r="N9" s="40">
        <f>Inputs!G98</f>
        <v/>
      </c>
      <c r="O9" s="40">
        <f>Inputs!H98</f>
        <v/>
      </c>
      <c r="P9" s="40">
        <f>Inputs!I98</f>
        <v/>
      </c>
    </row>
    <row r="10" ht="15" customHeight="1">
      <c r="A10" s="2" t="inlineStr">
        <is>
          <t>Freight (from Freight Model)</t>
        </is>
      </c>
    </row>
    <row r="11">
      <c r="A11" s="31" t="inlineStr">
        <is>
          <t>Freight In</t>
        </is>
      </c>
      <c r="B11" s="27" t="inlineStr">
        <is>
          <t>$/case</t>
        </is>
      </c>
      <c r="D11" s="45">
        <f>IFERROR('Freight Model'!D17/Inputs!D16,0)</f>
        <v/>
      </c>
      <c r="E11" s="45">
        <f>IFERROR('Freight Model'!E17/Inputs!E16,0)</f>
        <v/>
      </c>
      <c r="F11" s="45">
        <f>IFERROR('Freight Model'!F17/Inputs!F16,0)</f>
        <v/>
      </c>
      <c r="G11" s="45">
        <f>IFERROR('Freight Model'!G17/Inputs!G16,0)</f>
        <v/>
      </c>
      <c r="H11" s="45">
        <f>IFERROR('Freight Model'!H17/Inputs!H16,0)</f>
        <v/>
      </c>
      <c r="I11" s="45">
        <f>IFERROR('Freight Model'!I17/Inputs!I16,0)</f>
        <v/>
      </c>
      <c r="K11" s="40">
        <f>'Freight Model'!D17</f>
        <v/>
      </c>
      <c r="L11" s="40">
        <f>'Freight Model'!E17</f>
        <v/>
      </c>
      <c r="M11" s="40">
        <f>'Freight Model'!F17</f>
        <v/>
      </c>
      <c r="N11" s="40">
        <f>'Freight Model'!G17</f>
        <v/>
      </c>
      <c r="O11" s="40">
        <f>'Freight Model'!H17</f>
        <v/>
      </c>
      <c r="P11" s="40">
        <f>'Freight Model'!I17</f>
        <v/>
      </c>
    </row>
    <row r="12">
      <c r="A12" s="31" t="inlineStr">
        <is>
          <t>Freight Out</t>
        </is>
      </c>
      <c r="B12" s="27" t="inlineStr">
        <is>
          <t>$/case</t>
        </is>
      </c>
      <c r="D12" s="45">
        <f>IFERROR('Freight Model'!D18/Inputs!D16,0)</f>
        <v/>
      </c>
      <c r="E12" s="45">
        <f>IFERROR('Freight Model'!E18/Inputs!E16,0)</f>
        <v/>
      </c>
      <c r="F12" s="45">
        <f>IFERROR('Freight Model'!F18/Inputs!F16,0)</f>
        <v/>
      </c>
      <c r="G12" s="45">
        <f>IFERROR('Freight Model'!G18/Inputs!G16,0)</f>
        <v/>
      </c>
      <c r="H12" s="45">
        <f>IFERROR('Freight Model'!H18/Inputs!H16,0)</f>
        <v/>
      </c>
      <c r="I12" s="45">
        <f>IFERROR('Freight Model'!I18/Inputs!I16,0)</f>
        <v/>
      </c>
      <c r="K12" s="40">
        <f>'Freight Model'!D18</f>
        <v/>
      </c>
      <c r="L12" s="40">
        <f>'Freight Model'!E18</f>
        <v/>
      </c>
      <c r="M12" s="40">
        <f>'Freight Model'!F18</f>
        <v/>
      </c>
      <c r="N12" s="40">
        <f>'Freight Model'!G18</f>
        <v/>
      </c>
      <c r="O12" s="40">
        <f>'Freight Model'!H18</f>
        <v/>
      </c>
      <c r="P12" s="40">
        <f>'Freight Model'!I18</f>
        <v/>
      </c>
    </row>
    <row r="13" ht="15" customHeight="1">
      <c r="A13" s="2" t="inlineStr">
        <is>
          <t>Inventory adjustment and scrap (derived)</t>
        </is>
      </c>
    </row>
    <row r="14">
      <c r="A14" s="31" t="inlineStr">
        <is>
          <t>Inventory adjustment</t>
        </is>
      </c>
      <c r="B14" s="27" t="inlineStr">
        <is>
          <t>$/case</t>
        </is>
      </c>
      <c r="D14" s="45">
        <f>IFERROR((Inputs!D104*'Direct COGS'!K39)/Inputs!D16,0)</f>
        <v/>
      </c>
      <c r="E14" s="45">
        <f>IFERROR((Inputs!E104*'Direct COGS'!L39)/Inputs!E16,0)</f>
        <v/>
      </c>
      <c r="F14" s="45">
        <f>IFERROR((Inputs!F104*'Direct COGS'!M39)/Inputs!F16,0)</f>
        <v/>
      </c>
      <c r="G14" s="45">
        <f>IFERROR((Inputs!G104*'Direct COGS'!N39)/Inputs!G16,0)</f>
        <v/>
      </c>
      <c r="H14" s="45">
        <f>IFERROR((Inputs!H104*'Direct COGS'!O39)/Inputs!H16,0)</f>
        <v/>
      </c>
      <c r="I14" s="45">
        <f>IFERROR((Inputs!I104*'Direct COGS'!P39)/Inputs!I16,0)</f>
        <v/>
      </c>
      <c r="K14" s="45">
        <f>Inputs!D104*'Direct COGS'!K39</f>
        <v/>
      </c>
      <c r="L14" s="45">
        <f>Inputs!E104*'Direct COGS'!L39</f>
        <v/>
      </c>
      <c r="M14" s="45">
        <f>Inputs!F104*'Direct COGS'!M39</f>
        <v/>
      </c>
      <c r="N14" s="45">
        <f>Inputs!G104*'Direct COGS'!N39</f>
        <v/>
      </c>
      <c r="O14" s="45">
        <f>Inputs!H104*'Direct COGS'!O39</f>
        <v/>
      </c>
      <c r="P14" s="45">
        <f>Inputs!I104*'Direct COGS'!P39</f>
        <v/>
      </c>
    </row>
    <row r="15">
      <c r="A15" s="31" t="inlineStr">
        <is>
          <t>Scrap allowance</t>
        </is>
      </c>
      <c r="B15" s="27" t="inlineStr">
        <is>
          <t>$/case</t>
        </is>
      </c>
      <c r="D15" s="45">
        <f>IFERROR((Inputs!D32*'Direct COGS'!K39)/Inputs!D16,0)</f>
        <v/>
      </c>
      <c r="E15" s="45">
        <f>IFERROR((Inputs!E32*'Direct COGS'!L39)/Inputs!E16,0)</f>
        <v/>
      </c>
      <c r="F15" s="45">
        <f>IFERROR((Inputs!F32*'Direct COGS'!M39)/Inputs!F16,0)</f>
        <v/>
      </c>
      <c r="G15" s="45">
        <f>IFERROR((Inputs!G32*'Direct COGS'!N39)/Inputs!G16,0)</f>
        <v/>
      </c>
      <c r="H15" s="45">
        <f>IFERROR((Inputs!H32*'Direct COGS'!O39)/Inputs!H16,0)</f>
        <v/>
      </c>
      <c r="I15" s="45">
        <f>IFERROR((Inputs!I32*'Direct COGS'!P39)/Inputs!I16,0)</f>
        <v/>
      </c>
      <c r="K15" s="45">
        <f>Inputs!D32*'Direct COGS'!K39</f>
        <v/>
      </c>
      <c r="L15" s="45">
        <f>Inputs!E32*'Direct COGS'!L39</f>
        <v/>
      </c>
      <c r="M15" s="45">
        <f>Inputs!F32*'Direct COGS'!M39</f>
        <v/>
      </c>
      <c r="N15" s="45">
        <f>Inputs!G32*'Direct COGS'!N39</f>
        <v/>
      </c>
      <c r="O15" s="45">
        <f>Inputs!H32*'Direct COGS'!O39</f>
        <v/>
      </c>
      <c r="P15" s="45">
        <f>Inputs!I32*'Direct COGS'!P39</f>
        <v/>
      </c>
    </row>
    <row r="16" ht="15" customHeight="1">
      <c r="A16" s="2" t="inlineStr">
        <is>
          <t>Insurance and other</t>
        </is>
      </c>
    </row>
    <row r="17">
      <c r="A17" s="31" t="inlineStr">
        <is>
          <t>Insurance</t>
        </is>
      </c>
      <c r="B17" s="27" t="inlineStr">
        <is>
          <t>$/case</t>
        </is>
      </c>
      <c r="D17" s="45">
        <f>IFERROR(Inputs!D103/Inputs!D16,0)</f>
        <v/>
      </c>
      <c r="E17" s="45">
        <f>IFERROR(Inputs!E103/Inputs!E16,0)</f>
        <v/>
      </c>
      <c r="F17" s="45">
        <f>IFERROR(Inputs!F103/Inputs!F16,0)</f>
        <v/>
      </c>
      <c r="G17" s="45">
        <f>IFERROR(Inputs!G103/Inputs!G16,0)</f>
        <v/>
      </c>
      <c r="H17" s="45">
        <f>IFERROR(Inputs!H103/Inputs!H16,0)</f>
        <v/>
      </c>
      <c r="I17" s="45">
        <f>IFERROR(Inputs!I103/Inputs!I16,0)</f>
        <v/>
      </c>
      <c r="K17" s="40">
        <f>Inputs!D103</f>
        <v/>
      </c>
      <c r="L17" s="40">
        <f>Inputs!E103</f>
        <v/>
      </c>
      <c r="M17" s="40">
        <f>Inputs!F103</f>
        <v/>
      </c>
      <c r="N17" s="40">
        <f>Inputs!G103</f>
        <v/>
      </c>
      <c r="O17" s="40">
        <f>Inputs!H103</f>
        <v/>
      </c>
      <c r="P17" s="40">
        <f>Inputs!I103</f>
        <v/>
      </c>
    </row>
    <row r="18">
      <c r="A18" s="31" t="inlineStr">
        <is>
          <t>Other indirect</t>
        </is>
      </c>
      <c r="B18" s="27" t="inlineStr">
        <is>
          <t>$/case</t>
        </is>
      </c>
      <c r="D18" s="45">
        <f>IFERROR(Inputs!D105/Inputs!D16,0)</f>
        <v/>
      </c>
      <c r="E18" s="45">
        <f>IFERROR(Inputs!E105/Inputs!E16,0)</f>
        <v/>
      </c>
      <c r="F18" s="45">
        <f>IFERROR(Inputs!F105/Inputs!F16,0)</f>
        <v/>
      </c>
      <c r="G18" s="45">
        <f>IFERROR(Inputs!G105/Inputs!G16,0)</f>
        <v/>
      </c>
      <c r="H18" s="45">
        <f>IFERROR(Inputs!H105/Inputs!H16,0)</f>
        <v/>
      </c>
      <c r="I18" s="45">
        <f>IFERROR(Inputs!I105/Inputs!I16,0)</f>
        <v/>
      </c>
      <c r="K18" s="40">
        <f>Inputs!D105</f>
        <v/>
      </c>
      <c r="L18" s="40">
        <f>Inputs!E105</f>
        <v/>
      </c>
      <c r="M18" s="40">
        <f>Inputs!F105</f>
        <v/>
      </c>
      <c r="N18" s="40">
        <f>Inputs!G105</f>
        <v/>
      </c>
      <c r="O18" s="40">
        <f>Inputs!H105</f>
        <v/>
      </c>
      <c r="P18" s="40">
        <f>Inputs!I105</f>
        <v/>
      </c>
    </row>
    <row r="20">
      <c r="A20" s="41" t="inlineStr">
        <is>
          <t>Indirect COGS (total)</t>
        </is>
      </c>
      <c r="B20" s="42" t="n"/>
      <c r="D20" s="43">
        <f>D7+D8+D9+D11+D12+D14+D15+D17+D18</f>
        <v/>
      </c>
      <c r="E20" s="43">
        <f>E7+E8+E9+E11+E12+E14+E15+E17+E18</f>
        <v/>
      </c>
      <c r="F20" s="43">
        <f>F7+F8+F9+F11+F12+F14+F15+F17+F18</f>
        <v/>
      </c>
      <c r="G20" s="43">
        <f>G7+G8+G9+G11+G12+G14+G15+G17+G18</f>
        <v/>
      </c>
      <c r="H20" s="43">
        <f>H7+H8+H9+H11+H12+H14+H15+H17+H18</f>
        <v/>
      </c>
      <c r="I20" s="43">
        <f>I7+I8+I9+I11+I12+I14+I15+I17+I18</f>
        <v/>
      </c>
      <c r="K20" s="44">
        <f>K7+K8+K9+K11+K12+K14+K15+K17+K18</f>
        <v/>
      </c>
      <c r="L20" s="44">
        <f>L7+L8+L9+L11+L12+L14+L15+L17+L18</f>
        <v/>
      </c>
      <c r="M20" s="44">
        <f>M7+M8+M9+M11+M12+M14+M15+M17+M18</f>
        <v/>
      </c>
      <c r="N20" s="44">
        <f>N7+N8+N9+N11+N12+N14+N15+N17+N18</f>
        <v/>
      </c>
      <c r="O20" s="44">
        <f>O7+O8+O9+O11+O12+O14+O15+O17+O18</f>
        <v/>
      </c>
      <c r="P20" s="44">
        <f>P7+P8+P9+P11+P12+P14+P15+P17+P18</f>
        <v/>
      </c>
    </row>
  </sheetData>
  <mergeCells count="8">
    <mergeCell ref="A10:P10"/>
    <mergeCell ref="A13:P13"/>
    <mergeCell ref="A1:P1"/>
    <mergeCell ref="A6:P6"/>
    <mergeCell ref="K3:P3"/>
    <mergeCell ref="D3:I3"/>
    <mergeCell ref="A16:P16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I1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:I2"/>
    </sheetView>
  </sheetViews>
  <sheetFormatPr baseColWidth="10" defaultColWidth="8.6640625" defaultRowHeight="15"/>
  <cols>
    <col width="38" customWidth="1" min="1" max="1"/>
    <col width="12" customWidth="1" min="2" max="2"/>
    <col width="13" customWidth="1" min="4" max="9"/>
  </cols>
  <sheetData>
    <row r="1" ht="30" customHeight="1">
      <c r="A1" s="4" t="inlineStr">
        <is>
          <t>Freight Model.</t>
        </is>
      </c>
    </row>
    <row r="2" ht="24" customHeight="1">
      <c r="A2" s="3" t="n"/>
    </row>
    <row r="4" ht="21.75" customHeight="1">
      <c r="A4" s="10" t="inlineStr">
        <is>
          <t>Lane</t>
        </is>
      </c>
      <c r="B4" s="11" t="inlineStr">
        <is>
          <t>Unit</t>
        </is>
      </c>
      <c r="D4" s="11">
        <f>Inputs!D4</f>
        <v/>
      </c>
      <c r="E4" s="11">
        <f>Inputs!E4</f>
        <v/>
      </c>
      <c r="F4" s="11">
        <f>Inputs!F4</f>
        <v/>
      </c>
      <c r="G4" s="11">
        <f>Inputs!G4</f>
        <v/>
      </c>
      <c r="H4" s="11">
        <f>Inputs!H4</f>
        <v/>
      </c>
      <c r="I4" s="11">
        <f>Inputs!I4</f>
        <v/>
      </c>
    </row>
    <row r="6" ht="15" customHeight="1">
      <c r="A6" s="2" t="inlineStr">
        <is>
          <t>Per pallet with fuel</t>
        </is>
      </c>
    </row>
    <row r="7">
      <c r="A7" s="15" t="inlineStr">
        <is>
          <t>Inbound</t>
        </is>
      </c>
      <c r="B7" s="18" t="inlineStr">
        <is>
          <t>$/pallet</t>
        </is>
      </c>
      <c r="D7" s="16">
        <f>Inputs!D117*(1+Inputs!D120)</f>
        <v/>
      </c>
      <c r="E7" s="16">
        <f>Inputs!E117*(1+Inputs!E120)</f>
        <v/>
      </c>
      <c r="F7" s="16">
        <f>Inputs!F117*(1+Inputs!F120)</f>
        <v/>
      </c>
      <c r="G7" s="16">
        <f>Inputs!G117*(1+Inputs!G120)</f>
        <v/>
      </c>
      <c r="H7" s="16">
        <f>Inputs!H117*(1+Inputs!H120)</f>
        <v/>
      </c>
      <c r="I7" s="16">
        <f>Inputs!I117*(1+Inputs!I120)</f>
        <v/>
      </c>
    </row>
    <row r="8">
      <c r="A8" s="15" t="inlineStr">
        <is>
          <t>Transfer</t>
        </is>
      </c>
      <c r="B8" s="18" t="inlineStr">
        <is>
          <t>$/pallet</t>
        </is>
      </c>
      <c r="D8" s="16">
        <f>Inputs!D118*(1+Inputs!D120)</f>
        <v/>
      </c>
      <c r="E8" s="16">
        <f>Inputs!E118*(1+Inputs!E120)</f>
        <v/>
      </c>
      <c r="F8" s="16">
        <f>Inputs!F118*(1+Inputs!F120)</f>
        <v/>
      </c>
      <c r="G8" s="16">
        <f>Inputs!G118*(1+Inputs!G120)</f>
        <v/>
      </c>
      <c r="H8" s="16">
        <f>Inputs!H118*(1+Inputs!H120)</f>
        <v/>
      </c>
      <c r="I8" s="16">
        <f>Inputs!I118*(1+Inputs!I120)</f>
        <v/>
      </c>
    </row>
    <row r="9">
      <c r="A9" s="15" t="inlineStr">
        <is>
          <t>Outbound</t>
        </is>
      </c>
      <c r="B9" s="18" t="inlineStr">
        <is>
          <t>$/pallet</t>
        </is>
      </c>
      <c r="D9" s="16">
        <f>Inputs!D119*(1+Inputs!D120)</f>
        <v/>
      </c>
      <c r="E9" s="16">
        <f>Inputs!E119*(1+Inputs!E120)</f>
        <v/>
      </c>
      <c r="F9" s="16">
        <f>Inputs!F119*(1+Inputs!F120)</f>
        <v/>
      </c>
      <c r="G9" s="16">
        <f>Inputs!G119*(1+Inputs!G120)</f>
        <v/>
      </c>
      <c r="H9" s="16">
        <f>Inputs!H119*(1+Inputs!H120)</f>
        <v/>
      </c>
      <c r="I9" s="16">
        <f>Inputs!I119*(1+Inputs!I120)</f>
        <v/>
      </c>
    </row>
    <row r="10">
      <c r="A10" s="15" t="inlineStr">
        <is>
          <t>LTL premium (memo)</t>
        </is>
      </c>
      <c r="B10" s="18" t="inlineStr">
        <is>
          <t>$/pallet</t>
        </is>
      </c>
      <c r="D10" s="16">
        <f>Inputs!D121</f>
        <v/>
      </c>
      <c r="E10" s="16">
        <f>Inputs!E121</f>
        <v/>
      </c>
      <c r="F10" s="16">
        <f>Inputs!F121</f>
        <v/>
      </c>
      <c r="G10" s="16">
        <f>Inputs!G121</f>
        <v/>
      </c>
      <c r="H10" s="16">
        <f>Inputs!H121</f>
        <v/>
      </c>
      <c r="I10" s="16">
        <f>Inputs!I121</f>
        <v/>
      </c>
    </row>
    <row r="12" ht="15" customHeight="1">
      <c r="A12" s="2" t="inlineStr">
        <is>
          <t>Per case</t>
        </is>
      </c>
    </row>
    <row r="13">
      <c r="A13" s="15" t="inlineStr">
        <is>
          <t>Inbound per case</t>
        </is>
      </c>
      <c r="B13" s="18" t="inlineStr">
        <is>
          <t>$/case</t>
        </is>
      </c>
      <c r="D13" s="45">
        <f>IFERROR(D7/Inputs!D18,0)</f>
        <v/>
      </c>
      <c r="E13" s="45">
        <f>IFERROR(E7/Inputs!E18,0)</f>
        <v/>
      </c>
      <c r="F13" s="45">
        <f>IFERROR(F7/Inputs!F18,0)</f>
        <v/>
      </c>
      <c r="G13" s="45">
        <f>IFERROR(G7/Inputs!G18,0)</f>
        <v/>
      </c>
      <c r="H13" s="45">
        <f>IFERROR(H7/Inputs!H18,0)</f>
        <v/>
      </c>
      <c r="I13" s="45">
        <f>IFERROR(I7/Inputs!I18,0)</f>
        <v/>
      </c>
    </row>
    <row r="14">
      <c r="A14" s="15" t="inlineStr">
        <is>
          <t>Transfer per case</t>
        </is>
      </c>
      <c r="B14" s="18" t="inlineStr">
        <is>
          <t>$/case</t>
        </is>
      </c>
      <c r="D14" s="45">
        <f>IFERROR(D8/Inputs!D18,0)</f>
        <v/>
      </c>
      <c r="E14" s="45">
        <f>IFERROR(E8/Inputs!E18,0)</f>
        <v/>
      </c>
      <c r="F14" s="45">
        <f>IFERROR(F8/Inputs!F18,0)</f>
        <v/>
      </c>
      <c r="G14" s="45">
        <f>IFERROR(G8/Inputs!G18,0)</f>
        <v/>
      </c>
      <c r="H14" s="45">
        <f>IFERROR(H8/Inputs!H18,0)</f>
        <v/>
      </c>
      <c r="I14" s="45">
        <f>IFERROR(I8/Inputs!I18,0)</f>
        <v/>
      </c>
    </row>
    <row r="15">
      <c r="A15" s="15" t="inlineStr">
        <is>
          <t>Outbound per case</t>
        </is>
      </c>
      <c r="B15" s="18" t="inlineStr">
        <is>
          <t>$/case</t>
        </is>
      </c>
      <c r="D15" s="45">
        <f>IFERROR(D9/Inputs!D18,0)</f>
        <v/>
      </c>
      <c r="E15" s="45">
        <f>IFERROR(E9/Inputs!E18,0)</f>
        <v/>
      </c>
      <c r="F15" s="45">
        <f>IFERROR(F9/Inputs!F18,0)</f>
        <v/>
      </c>
      <c r="G15" s="45">
        <f>IFERROR(G9/Inputs!G18,0)</f>
        <v/>
      </c>
      <c r="H15" s="45">
        <f>IFERROR(H9/Inputs!H18,0)</f>
        <v/>
      </c>
      <c r="I15" s="45">
        <f>IFERROR(I9/Inputs!I18,0)</f>
        <v/>
      </c>
    </row>
    <row r="17">
      <c r="A17" s="41" t="inlineStr">
        <is>
          <t>Freight In (inbound + transfer)</t>
        </is>
      </c>
      <c r="B17" s="42" t="inlineStr">
        <is>
          <t>$/case</t>
        </is>
      </c>
      <c r="D17" s="43">
        <f>D13+D14</f>
        <v/>
      </c>
      <c r="E17" s="43">
        <f>E13+E14</f>
        <v/>
      </c>
      <c r="F17" s="43">
        <f>F13+F14</f>
        <v/>
      </c>
      <c r="G17" s="43">
        <f>G13+G14</f>
        <v/>
      </c>
      <c r="H17" s="43">
        <f>H13+H14</f>
        <v/>
      </c>
      <c r="I17" s="43">
        <f>I13+I14</f>
        <v/>
      </c>
    </row>
    <row r="18">
      <c r="A18" s="41" t="inlineStr">
        <is>
          <t>Freight Out</t>
        </is>
      </c>
      <c r="B18" s="42" t="inlineStr">
        <is>
          <t>$/case</t>
        </is>
      </c>
      <c r="D18" s="43">
        <f>D15</f>
        <v/>
      </c>
      <c r="E18" s="43">
        <f>E15</f>
        <v/>
      </c>
      <c r="F18" s="43">
        <f>F15</f>
        <v/>
      </c>
      <c r="G18" s="43">
        <f>G15</f>
        <v/>
      </c>
      <c r="H18" s="43">
        <f>H15</f>
        <v/>
      </c>
      <c r="I18" s="43">
        <f>I15</f>
        <v/>
      </c>
    </row>
  </sheetData>
  <mergeCells count="4">
    <mergeCell ref="A1:I1"/>
    <mergeCell ref="A12:I12"/>
    <mergeCell ref="A2:I2"/>
    <mergeCell ref="A6:I6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/>
  </sheetPr>
  <dimension ref="A1:P32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36" sqref="I36"/>
    </sheetView>
  </sheetViews>
  <sheetFormatPr baseColWidth="10" defaultColWidth="8.6640625" defaultRowHeight="15"/>
  <cols>
    <col width="38" customWidth="1" min="1" max="1"/>
    <col width="4" customWidth="1" min="2" max="2"/>
    <col width="13" customWidth="1" min="4" max="9"/>
    <col width="3" customWidth="1" min="10" max="10"/>
    <col width="13" customWidth="1" min="11" max="16"/>
  </cols>
  <sheetData>
    <row r="1" ht="30" customHeight="1">
      <c r="A1" s="4" t="inlineStr">
        <is>
          <t>P&amp;L by Scenario</t>
        </is>
      </c>
    </row>
    <row r="2" ht="24" customHeight="1">
      <c r="A2" s="3" t="n"/>
    </row>
    <row r="3" ht="19.5" customHeight="1">
      <c r="D3" s="11">
        <f>CONCATENATE(Cover!B4," (CAD)")</f>
        <v/>
      </c>
      <c r="E3" s="55" t="n"/>
      <c r="F3" s="55" t="n"/>
      <c r="G3" s="55" t="n"/>
      <c r="H3" s="55" t="n"/>
      <c r="I3" s="56" t="n"/>
      <c r="K3" s="11" t="inlineStr">
        <is>
          <t>Year 1 total (CAD)</t>
        </is>
      </c>
      <c r="L3" s="55" t="n"/>
      <c r="M3" s="55" t="n"/>
      <c r="N3" s="55" t="n"/>
      <c r="O3" s="55" t="n"/>
      <c r="P3" s="56" t="n"/>
    </row>
    <row r="4" ht="21.75" customHeight="1">
      <c r="A4" s="10" t="inlineStr">
        <is>
          <t>Line item</t>
        </is>
      </c>
      <c r="D4" s="11">
        <f>Inputs!D4</f>
        <v/>
      </c>
      <c r="E4" s="11">
        <f>Inputs!E4</f>
        <v/>
      </c>
      <c r="F4" s="11">
        <f>Inputs!F4</f>
        <v/>
      </c>
      <c r="G4" s="11">
        <f>Inputs!G4</f>
        <v/>
      </c>
      <c r="H4" s="11">
        <f>Inputs!H4</f>
        <v/>
      </c>
      <c r="I4" s="11">
        <f>Inputs!I4</f>
        <v/>
      </c>
      <c r="K4" s="11">
        <f>Inputs!D4</f>
        <v/>
      </c>
      <c r="L4" s="11">
        <f>Inputs!E4</f>
        <v/>
      </c>
      <c r="M4" s="11">
        <f>Inputs!F4</f>
        <v/>
      </c>
      <c r="N4" s="11">
        <f>Inputs!G4</f>
        <v/>
      </c>
      <c r="O4" s="11">
        <f>Inputs!H4</f>
        <v/>
      </c>
      <c r="P4" s="11">
        <f>Inputs!I4</f>
        <v/>
      </c>
    </row>
    <row r="6">
      <c r="A6" s="5">
        <f>CONCATENATE("Physical units (",Cover!$B$4,")")</f>
        <v/>
      </c>
      <c r="D6" s="14">
        <f>IFERROR(Inputs!D10/Cover!D6,0)</f>
        <v/>
      </c>
      <c r="E6" s="14">
        <f>IFERROR(Inputs!E10/Cover!E6,0)</f>
        <v/>
      </c>
      <c r="F6" s="14">
        <f>IFERROR(Inputs!F10/Cover!F6,0)</f>
        <v/>
      </c>
      <c r="G6" s="14">
        <f>IFERROR(Inputs!G10/Cover!G6,0)</f>
        <v/>
      </c>
      <c r="H6" s="14">
        <f>IFERROR(Inputs!H10/Cover!H6,0)</f>
        <v/>
      </c>
      <c r="I6" s="14">
        <f>IFERROR(Inputs!I10/Cover!I6,0)</f>
        <v/>
      </c>
      <c r="K6" s="14">
        <f>D6</f>
        <v/>
      </c>
      <c r="L6" s="14">
        <f>E6</f>
        <v/>
      </c>
      <c r="M6" s="14">
        <f>F6</f>
        <v/>
      </c>
      <c r="N6" s="14">
        <f>G6</f>
        <v/>
      </c>
      <c r="O6" s="14">
        <f>H6</f>
        <v/>
      </c>
      <c r="P6" s="14">
        <f>I6</f>
        <v/>
      </c>
    </row>
    <row r="7">
      <c r="A7" s="15" t="inlineStr">
        <is>
          <t>Gross Revenue (CP)</t>
        </is>
      </c>
      <c r="D7" s="46">
        <f>(Inputs!D35)*Cover!D6</f>
        <v/>
      </c>
      <c r="E7" s="46">
        <f>(Inputs!E35)*Cover!E6</f>
        <v/>
      </c>
      <c r="F7" s="46">
        <f>(Inputs!F35)*Cover!F6</f>
        <v/>
      </c>
      <c r="G7" s="46">
        <f>(Inputs!G35)*Cover!G6</f>
        <v/>
      </c>
      <c r="H7" s="46">
        <f>(Inputs!H35)*Cover!H6</f>
        <v/>
      </c>
      <c r="I7" s="46">
        <f>(Inputs!I35)*Cover!I6</f>
        <v/>
      </c>
      <c r="K7" s="47">
        <f>(Inputs!D35)*Inputs!D10</f>
        <v/>
      </c>
      <c r="L7" s="47">
        <f>(Inputs!E35)*Inputs!E10</f>
        <v/>
      </c>
      <c r="M7" s="47">
        <f>(Inputs!F35)*Inputs!F10</f>
        <v/>
      </c>
      <c r="N7" s="47">
        <f>(Inputs!G35)*Inputs!G10</f>
        <v/>
      </c>
      <c r="O7" s="47">
        <f>(Inputs!H35)*Inputs!H10</f>
        <v/>
      </c>
      <c r="P7" s="47">
        <f>(Inputs!I35)*Inputs!I10</f>
        <v/>
      </c>
    </row>
    <row r="8">
      <c r="A8" s="31" t="inlineStr">
        <is>
          <t xml:space="preserve">  Discounts (blended trade)</t>
        </is>
      </c>
      <c r="D8" s="48">
        <f>(-Inputs!D44*Inputs!D35)*Cover!D6</f>
        <v/>
      </c>
      <c r="E8" s="48">
        <f>(-Inputs!E44*Inputs!E35)*Cover!E6</f>
        <v/>
      </c>
      <c r="F8" s="48">
        <f>(-Inputs!F44*Inputs!F35)*Cover!F6</f>
        <v/>
      </c>
      <c r="G8" s="48">
        <f>(-Inputs!G44*Inputs!G35)*Cover!G6</f>
        <v/>
      </c>
      <c r="H8" s="48">
        <f>(-Inputs!H44*Inputs!H35)*Cover!H6</f>
        <v/>
      </c>
      <c r="I8" s="48">
        <f>(-Inputs!I44*Inputs!I35)*Cover!I6</f>
        <v/>
      </c>
      <c r="K8" s="49">
        <f>(-Inputs!D44*Inputs!D35)*Inputs!D10</f>
        <v/>
      </c>
      <c r="L8" s="49">
        <f>(-Inputs!E44*Inputs!E35)*Inputs!E10</f>
        <v/>
      </c>
      <c r="M8" s="49">
        <f>(-Inputs!F44*Inputs!F35)*Inputs!F10</f>
        <v/>
      </c>
      <c r="N8" s="49">
        <f>(-Inputs!G44*Inputs!G35)*Inputs!G10</f>
        <v/>
      </c>
      <c r="O8" s="49">
        <f>(-Inputs!H44*Inputs!H35)*Inputs!H10</f>
        <v/>
      </c>
      <c r="P8" s="49">
        <f>(-Inputs!I44*Inputs!I35)*Inputs!I10</f>
        <v/>
      </c>
    </row>
    <row r="9">
      <c r="A9" s="50" t="inlineStr">
        <is>
          <t>Net Sales</t>
        </is>
      </c>
      <c r="D9" s="51">
        <f>(Inputs!D35*(1-Inputs!D44))*Cover!D6</f>
        <v/>
      </c>
      <c r="E9" s="51">
        <f>(Inputs!E35*(1-Inputs!E44))*Cover!E6</f>
        <v/>
      </c>
      <c r="F9" s="51">
        <f>(Inputs!F35*(1-Inputs!F44))*Cover!F6</f>
        <v/>
      </c>
      <c r="G9" s="51">
        <f>(Inputs!G35*(1-Inputs!G44))*Cover!G6</f>
        <v/>
      </c>
      <c r="H9" s="51">
        <f>(Inputs!H35*(1-Inputs!H44))*Cover!H6</f>
        <v/>
      </c>
      <c r="I9" s="51">
        <f>(Inputs!I35*(1-Inputs!I44))*Cover!I6</f>
        <v/>
      </c>
      <c r="K9" s="52">
        <f>(Inputs!D35*(1-Inputs!D44))*Inputs!D10</f>
        <v/>
      </c>
      <c r="L9" s="52">
        <f>(Inputs!E35*(1-Inputs!E44))*Inputs!E10</f>
        <v/>
      </c>
      <c r="M9" s="52">
        <f>(Inputs!F35*(1-Inputs!F44))*Inputs!F10</f>
        <v/>
      </c>
      <c r="N9" s="52">
        <f>(Inputs!G35*(1-Inputs!G44))*Inputs!G10</f>
        <v/>
      </c>
      <c r="O9" s="52">
        <f>(Inputs!H35*(1-Inputs!H44))*Inputs!H10</f>
        <v/>
      </c>
      <c r="P9" s="52">
        <f>(Inputs!I35*(1-Inputs!I44))*Inputs!I10</f>
        <v/>
      </c>
    </row>
    <row r="11" ht="15" customHeight="1">
      <c r="A11" s="2" t="inlineStr">
        <is>
          <t>Cost of Sales</t>
        </is>
      </c>
    </row>
    <row r="12">
      <c r="A12" s="31" t="inlineStr">
        <is>
          <t xml:space="preserve">  COGS Direct</t>
        </is>
      </c>
      <c r="D12" s="46">
        <f>('Direct COGS'!K39)*Cover!D6</f>
        <v/>
      </c>
      <c r="E12" s="46">
        <f>('Direct COGS'!L39)*Cover!E6</f>
        <v/>
      </c>
      <c r="F12" s="46">
        <f>('Direct COGS'!M39)*Cover!F6</f>
        <v/>
      </c>
      <c r="G12" s="46">
        <f>('Direct COGS'!N39)*Cover!G6</f>
        <v/>
      </c>
      <c r="H12" s="46">
        <f>('Direct COGS'!O39)*Cover!H6</f>
        <v/>
      </c>
      <c r="I12" s="46">
        <f>('Direct COGS'!P39)*Cover!I6</f>
        <v/>
      </c>
      <c r="K12" s="47">
        <f>('Direct COGS'!K39)*Inputs!D10</f>
        <v/>
      </c>
      <c r="L12" s="47">
        <f>('Direct COGS'!L39)*Inputs!E10</f>
        <v/>
      </c>
      <c r="M12" s="47">
        <f>('Direct COGS'!M39)*Inputs!F10</f>
        <v/>
      </c>
      <c r="N12" s="47">
        <f>('Direct COGS'!N39)*Inputs!G10</f>
        <v/>
      </c>
      <c r="O12" s="47">
        <f>('Direct COGS'!O39)*Inputs!H10</f>
        <v/>
      </c>
      <c r="P12" s="47">
        <f>('Direct COGS'!P39)*Inputs!I10</f>
        <v/>
      </c>
    </row>
    <row r="13">
      <c r="A13" s="31" t="inlineStr">
        <is>
          <t xml:space="preserve">  COGS Indirect</t>
        </is>
      </c>
      <c r="D13" s="46">
        <f>('Indirect COGS'!K20)*Cover!D6</f>
        <v/>
      </c>
      <c r="E13" s="46">
        <f>('Indirect COGS'!L20)*Cover!E6</f>
        <v/>
      </c>
      <c r="F13" s="46">
        <f>('Indirect COGS'!M20)*Cover!F6</f>
        <v/>
      </c>
      <c r="G13" s="46">
        <f>('Indirect COGS'!N20)*Cover!G6</f>
        <v/>
      </c>
      <c r="H13" s="46">
        <f>('Indirect COGS'!O20)*Cover!H6</f>
        <v/>
      </c>
      <c r="I13" s="46">
        <f>('Indirect COGS'!P20)*Cover!I6</f>
        <v/>
      </c>
      <c r="K13" s="47">
        <f>('Indirect COGS'!K20)*Inputs!D10</f>
        <v/>
      </c>
      <c r="L13" s="47">
        <f>('Indirect COGS'!L20)*Inputs!E10</f>
        <v/>
      </c>
      <c r="M13" s="47">
        <f>('Indirect COGS'!M20)*Inputs!F10</f>
        <v/>
      </c>
      <c r="N13" s="47">
        <f>('Indirect COGS'!N20)*Inputs!G10</f>
        <v/>
      </c>
      <c r="O13" s="47">
        <f>('Indirect COGS'!O20)*Inputs!H10</f>
        <v/>
      </c>
      <c r="P13" s="47">
        <f>('Indirect COGS'!P20)*Inputs!I10</f>
        <v/>
      </c>
    </row>
    <row r="14">
      <c r="A14" s="50" t="inlineStr">
        <is>
          <t>Cost of Sales</t>
        </is>
      </c>
      <c r="D14" s="51">
        <f>('Direct COGS'!K39+'Indirect COGS'!K20)*Cover!D6</f>
        <v/>
      </c>
      <c r="E14" s="51">
        <f>('Direct COGS'!L39+'Indirect COGS'!L20)*Cover!E6</f>
        <v/>
      </c>
      <c r="F14" s="51">
        <f>('Direct COGS'!M39+'Indirect COGS'!M20)*Cover!F6</f>
        <v/>
      </c>
      <c r="G14" s="51">
        <f>('Direct COGS'!N39+'Indirect COGS'!N20)*Cover!G6</f>
        <v/>
      </c>
      <c r="H14" s="51">
        <f>('Direct COGS'!O39+'Indirect COGS'!O20)*Cover!H6</f>
        <v/>
      </c>
      <c r="I14" s="51">
        <f>('Direct COGS'!P39+'Indirect COGS'!P20)*Cover!I6</f>
        <v/>
      </c>
      <c r="K14" s="52">
        <f>('Direct COGS'!K39+'Indirect COGS'!K20)*Inputs!D10</f>
        <v/>
      </c>
      <c r="L14" s="52">
        <f>('Direct COGS'!L39+'Indirect COGS'!L20)*Inputs!E10</f>
        <v/>
      </c>
      <c r="M14" s="52">
        <f>('Direct COGS'!M39+'Indirect COGS'!M20)*Inputs!F10</f>
        <v/>
      </c>
      <c r="N14" s="52">
        <f>('Direct COGS'!N39+'Indirect COGS'!N20)*Inputs!G10</f>
        <v/>
      </c>
      <c r="O14" s="52">
        <f>('Direct COGS'!O39+'Indirect COGS'!O20)*Inputs!H10</f>
        <v/>
      </c>
      <c r="P14" s="52">
        <f>('Direct COGS'!P39+'Indirect COGS'!P20)*Inputs!I10</f>
        <v/>
      </c>
    </row>
    <row r="15">
      <c r="A15" s="50" t="inlineStr">
        <is>
          <t>Gross Profit</t>
        </is>
      </c>
      <c r="D15" s="51">
        <f>((Inputs!D35*(1-Inputs!D44))-('Direct COGS'!K39+'Indirect COGS'!K20))*Cover!D6</f>
        <v/>
      </c>
      <c r="E15" s="51">
        <f>((Inputs!E35*(1-Inputs!E44))-('Direct COGS'!L39+'Indirect COGS'!L20))*Cover!E6</f>
        <v/>
      </c>
      <c r="F15" s="51">
        <f>((Inputs!F35*(1-Inputs!F44))-('Direct COGS'!M39+'Indirect COGS'!M20))*Cover!F6</f>
        <v/>
      </c>
      <c r="G15" s="51">
        <f>((Inputs!G35*(1-Inputs!G44))-('Direct COGS'!N39+'Indirect COGS'!N20))*Cover!G6</f>
        <v/>
      </c>
      <c r="H15" s="51">
        <f>((Inputs!H35*(1-Inputs!H44))-('Direct COGS'!O39+'Indirect COGS'!O20))*Cover!H6</f>
        <v/>
      </c>
      <c r="I15" s="51">
        <f>((Inputs!I35*(1-Inputs!I44))-('Direct COGS'!P39+'Indirect COGS'!P20))*Cover!I6</f>
        <v/>
      </c>
      <c r="K15" s="52">
        <f>((Inputs!D35*(1-Inputs!D44))-('Direct COGS'!K39+'Indirect COGS'!K20))*Inputs!D10</f>
        <v/>
      </c>
      <c r="L15" s="52">
        <f>((Inputs!E35*(1-Inputs!E44))-('Direct COGS'!L39+'Indirect COGS'!L20))*Inputs!E10</f>
        <v/>
      </c>
      <c r="M15" s="52">
        <f>((Inputs!F35*(1-Inputs!F44))-('Direct COGS'!M39+'Indirect COGS'!M20))*Inputs!F10</f>
        <v/>
      </c>
      <c r="N15" s="52">
        <f>((Inputs!G35*(1-Inputs!G44))-('Direct COGS'!N39+'Indirect COGS'!N20))*Inputs!G10</f>
        <v/>
      </c>
      <c r="O15" s="52">
        <f>((Inputs!H35*(1-Inputs!H44))-('Direct COGS'!O39+'Indirect COGS'!O20))*Inputs!H10</f>
        <v/>
      </c>
      <c r="P15" s="52">
        <f>((Inputs!I35*(1-Inputs!I44))-('Direct COGS'!P39+'Indirect COGS'!P20))*Inputs!I10</f>
        <v/>
      </c>
    </row>
    <row r="16">
      <c r="A16" s="50" t="inlineStr">
        <is>
          <t>GP %</t>
        </is>
      </c>
      <c r="D16" s="30">
        <f>IFERROR(((Inputs!D35*(1-Inputs!D44))-('Direct COGS'!K39+'Indirect COGS'!K20))/(Inputs!D35*(1-Inputs!D44)),0)</f>
        <v/>
      </c>
      <c r="E16" s="30">
        <f>IFERROR(((Inputs!E35*(1-Inputs!E44))-('Direct COGS'!L39+'Indirect COGS'!L20))/(Inputs!E35*(1-Inputs!E44)),0)</f>
        <v/>
      </c>
      <c r="F16" s="30">
        <f>IFERROR(((Inputs!F35*(1-Inputs!F44))-('Direct COGS'!M39+'Indirect COGS'!M20))/(Inputs!F35*(1-Inputs!F44)),0)</f>
        <v/>
      </c>
      <c r="G16" s="30">
        <f>IFERROR(((Inputs!G35*(1-Inputs!G44))-('Direct COGS'!N39+'Indirect COGS'!N20))/(Inputs!G35*(1-Inputs!G44)),0)</f>
        <v/>
      </c>
      <c r="H16" s="30">
        <f>IFERROR(((Inputs!H35*(1-Inputs!H44))-('Direct COGS'!O39+'Indirect COGS'!O20))/(Inputs!H35*(1-Inputs!H44)),0)</f>
        <v/>
      </c>
      <c r="I16" s="30">
        <f>IFERROR(((Inputs!I35*(1-Inputs!I44))-('Direct COGS'!P39+'Indirect COGS'!P20))/(Inputs!I35*(1-Inputs!I44)),0)</f>
        <v/>
      </c>
      <c r="K16" s="30">
        <f>D16</f>
        <v/>
      </c>
      <c r="L16" s="30">
        <f>E16</f>
        <v/>
      </c>
      <c r="M16" s="30">
        <f>F16</f>
        <v/>
      </c>
      <c r="N16" s="30">
        <f>G16</f>
        <v/>
      </c>
      <c r="O16" s="30">
        <f>H16</f>
        <v/>
      </c>
      <c r="P16" s="30">
        <f>I16</f>
        <v/>
      </c>
    </row>
    <row r="18" ht="15" customHeight="1">
      <c r="A18" s="2" t="inlineStr">
        <is>
          <t>A and P</t>
        </is>
      </c>
    </row>
    <row r="19">
      <c r="A19" s="31" t="inlineStr">
        <is>
          <t xml:space="preserve">  A&amp;P Consumer</t>
        </is>
      </c>
      <c r="D19" s="46">
        <f>(Inputs!D108*(Inputs!D35*(1-Inputs!D44)))*Cover!D6</f>
        <v/>
      </c>
      <c r="E19" s="46">
        <f>(Inputs!E108*(Inputs!E35*(1-Inputs!E44)))*Cover!E6</f>
        <v/>
      </c>
      <c r="F19" s="46">
        <f>(Inputs!F108*(Inputs!F35*(1-Inputs!F44)))*Cover!F6</f>
        <v/>
      </c>
      <c r="G19" s="46">
        <f>(Inputs!G108*(Inputs!G35*(1-Inputs!G44)))*Cover!G6</f>
        <v/>
      </c>
      <c r="H19" s="46">
        <f>(Inputs!H108*(Inputs!H35*(1-Inputs!H44)))*Cover!H6</f>
        <v/>
      </c>
      <c r="I19" s="46">
        <f>(Inputs!I108*(Inputs!I35*(1-Inputs!I44)))*Cover!I6</f>
        <v/>
      </c>
      <c r="K19" s="47">
        <f>(Inputs!D108*(Inputs!D35*(1-Inputs!D44)))*Inputs!D10</f>
        <v/>
      </c>
      <c r="L19" s="47">
        <f>(Inputs!E108*(Inputs!E35*(1-Inputs!E44)))*Inputs!E10</f>
        <v/>
      </c>
      <c r="M19" s="47">
        <f>(Inputs!F108*(Inputs!F35*(1-Inputs!F44)))*Inputs!F10</f>
        <v/>
      </c>
      <c r="N19" s="47">
        <f>(Inputs!G108*(Inputs!G35*(1-Inputs!G44)))*Inputs!G10</f>
        <v/>
      </c>
      <c r="O19" s="47">
        <f>(Inputs!H108*(Inputs!H35*(1-Inputs!H44)))*Inputs!H10</f>
        <v/>
      </c>
      <c r="P19" s="47">
        <f>(Inputs!I108*(Inputs!I35*(1-Inputs!I44)))*Inputs!I10</f>
        <v/>
      </c>
    </row>
    <row r="20">
      <c r="A20" s="31" t="inlineStr">
        <is>
          <t xml:space="preserve">  A&amp;P Trade</t>
        </is>
      </c>
      <c r="D20" s="46">
        <f>(Inputs!D109*(Inputs!D35*(1-Inputs!D44)))*Cover!D6</f>
        <v/>
      </c>
      <c r="E20" s="46">
        <f>(Inputs!E109*(Inputs!E35*(1-Inputs!E44)))*Cover!E6</f>
        <v/>
      </c>
      <c r="F20" s="46">
        <f>(Inputs!F109*(Inputs!F35*(1-Inputs!F44)))*Cover!F6</f>
        <v/>
      </c>
      <c r="G20" s="46">
        <f>(Inputs!G109*(Inputs!G35*(1-Inputs!G44)))*Cover!G6</f>
        <v/>
      </c>
      <c r="H20" s="46">
        <f>(Inputs!H109*(Inputs!H35*(1-Inputs!H44)))*Cover!H6</f>
        <v/>
      </c>
      <c r="I20" s="46">
        <f>(Inputs!I109*(Inputs!I35*(1-Inputs!I44)))*Cover!I6</f>
        <v/>
      </c>
      <c r="K20" s="47">
        <f>(Inputs!D109*(Inputs!D35*(1-Inputs!D44)))*Inputs!D10</f>
        <v/>
      </c>
      <c r="L20" s="47">
        <f>(Inputs!E109*(Inputs!E35*(1-Inputs!E44)))*Inputs!E10</f>
        <v/>
      </c>
      <c r="M20" s="47">
        <f>(Inputs!F109*(Inputs!F35*(1-Inputs!F44)))*Inputs!F10</f>
        <v/>
      </c>
      <c r="N20" s="47">
        <f>(Inputs!G109*(Inputs!G35*(1-Inputs!G44)))*Inputs!G10</f>
        <v/>
      </c>
      <c r="O20" s="47">
        <f>(Inputs!H109*(Inputs!H35*(1-Inputs!H44)))*Inputs!H10</f>
        <v/>
      </c>
      <c r="P20" s="47">
        <f>(Inputs!I109*(Inputs!I35*(1-Inputs!I44)))*Inputs!I10</f>
        <v/>
      </c>
    </row>
    <row r="21">
      <c r="A21" s="31" t="inlineStr">
        <is>
          <t xml:space="preserve">  A&amp;P Sales</t>
        </is>
      </c>
      <c r="D21" s="46">
        <f>(Inputs!D110*(Inputs!D35*(1-Inputs!D44)))*Cover!D6</f>
        <v/>
      </c>
      <c r="E21" s="46">
        <f>(Inputs!E110*(Inputs!E35*(1-Inputs!E44)))*Cover!E6</f>
        <v/>
      </c>
      <c r="F21" s="46">
        <f>(Inputs!F110*(Inputs!F35*(1-Inputs!F44)))*Cover!F6</f>
        <v/>
      </c>
      <c r="G21" s="46">
        <f>(Inputs!G110*(Inputs!G35*(1-Inputs!G44)))*Cover!G6</f>
        <v/>
      </c>
      <c r="H21" s="46">
        <f>(Inputs!H110*(Inputs!H35*(1-Inputs!H44)))*Cover!H6</f>
        <v/>
      </c>
      <c r="I21" s="46">
        <f>(Inputs!I110*(Inputs!I35*(1-Inputs!I44)))*Cover!I6</f>
        <v/>
      </c>
      <c r="K21" s="47">
        <f>(Inputs!D110*(Inputs!D35*(1-Inputs!D44)))*Inputs!D10</f>
        <v/>
      </c>
      <c r="L21" s="47">
        <f>(Inputs!E110*(Inputs!E35*(1-Inputs!E44)))*Inputs!E10</f>
        <v/>
      </c>
      <c r="M21" s="47">
        <f>(Inputs!F110*(Inputs!F35*(1-Inputs!F44)))*Inputs!F10</f>
        <v/>
      </c>
      <c r="N21" s="47">
        <f>(Inputs!G110*(Inputs!G35*(1-Inputs!G44)))*Inputs!G10</f>
        <v/>
      </c>
      <c r="O21" s="47">
        <f>(Inputs!H110*(Inputs!H35*(1-Inputs!H44)))*Inputs!H10</f>
        <v/>
      </c>
      <c r="P21" s="47">
        <f>(Inputs!I110*(Inputs!I35*(1-Inputs!I44)))*Inputs!I10</f>
        <v/>
      </c>
    </row>
    <row r="22">
      <c r="A22" s="31" t="inlineStr">
        <is>
          <t xml:space="preserve">  Slotting / listing fees</t>
        </is>
      </c>
      <c r="D22" s="46">
        <f>(Inputs!D111)*Cover!D6</f>
        <v/>
      </c>
      <c r="E22" s="46">
        <f>(Inputs!E111)*Cover!E6</f>
        <v/>
      </c>
      <c r="F22" s="46">
        <f>(Inputs!F111)*Cover!F6</f>
        <v/>
      </c>
      <c r="G22" s="46">
        <f>(Inputs!G111)*Cover!G6</f>
        <v/>
      </c>
      <c r="H22" s="46">
        <f>(Inputs!H111)*Cover!H6</f>
        <v/>
      </c>
      <c r="I22" s="46">
        <f>(Inputs!I111)*Cover!I6</f>
        <v/>
      </c>
      <c r="K22" s="47">
        <f>(Inputs!D111)*Inputs!D10</f>
        <v/>
      </c>
      <c r="L22" s="47">
        <f>(Inputs!E111)*Inputs!E10</f>
        <v/>
      </c>
      <c r="M22" s="47">
        <f>(Inputs!F111)*Inputs!F10</f>
        <v/>
      </c>
      <c r="N22" s="47">
        <f>(Inputs!G111)*Inputs!G10</f>
        <v/>
      </c>
      <c r="O22" s="47">
        <f>(Inputs!H111)*Inputs!H10</f>
        <v/>
      </c>
      <c r="P22" s="47">
        <f>(Inputs!I111)*Inputs!I10</f>
        <v/>
      </c>
    </row>
    <row r="23">
      <c r="A23" s="31" t="inlineStr">
        <is>
          <t xml:space="preserve">  Broker, distributor, sales commission, royalties</t>
        </is>
      </c>
      <c r="D23" s="46">
        <f>((Inputs!D112+Inputs!D113+Inputs!D114)*(Inputs!D35*(1-Inputs!D44))+Inputs!D122+Inputs!D123+Inputs!D124)*Cover!D6</f>
        <v/>
      </c>
      <c r="E23" s="46">
        <f>((Inputs!E112+Inputs!E113+Inputs!E114)*(Inputs!E35*(1-Inputs!E44))+Inputs!E122+Inputs!E123+Inputs!E124)*Cover!E6</f>
        <v/>
      </c>
      <c r="F23" s="46">
        <f>((Inputs!F112+Inputs!F113+Inputs!F114)*(Inputs!F35*(1-Inputs!F44))+Inputs!F122+Inputs!F123+Inputs!F124)*Cover!F6</f>
        <v/>
      </c>
      <c r="G23" s="46">
        <f>((Inputs!G112+Inputs!G113+Inputs!G114)*(Inputs!G35*(1-Inputs!G44))+Inputs!G122+Inputs!G123+Inputs!G124)*Cover!G6</f>
        <v/>
      </c>
      <c r="H23" s="46">
        <f>((Inputs!H112+Inputs!H113+Inputs!H114)*(Inputs!H35*(1-Inputs!H44))+Inputs!H122+Inputs!H123+Inputs!H124)*Cover!H6</f>
        <v/>
      </c>
      <c r="I23" s="46">
        <f>((Inputs!I112+Inputs!I113+Inputs!I114)*(Inputs!I35*(1-Inputs!I44))+Inputs!I122+Inputs!I123+Inputs!I124)*Cover!I6</f>
        <v/>
      </c>
      <c r="K23" s="47">
        <f>((Inputs!D112+Inputs!D113+Inputs!D114)*(Inputs!D35*(1-Inputs!D44))+Inputs!D122+Inputs!D123+Inputs!D124)*Inputs!D10</f>
        <v/>
      </c>
      <c r="L23" s="47">
        <f>((Inputs!E112+Inputs!E113+Inputs!E114)*(Inputs!E35*(1-Inputs!E44))+Inputs!E122+Inputs!E123+Inputs!E124)*Inputs!E10</f>
        <v/>
      </c>
      <c r="M23" s="47">
        <f>((Inputs!F112+Inputs!F113+Inputs!F114)*(Inputs!F35*(1-Inputs!F44))+Inputs!F122+Inputs!F123+Inputs!F124)*Inputs!F10</f>
        <v/>
      </c>
      <c r="N23" s="47">
        <f>((Inputs!G112+Inputs!G113+Inputs!G114)*(Inputs!G35*(1-Inputs!G44))+Inputs!G122+Inputs!G123+Inputs!G124)*Inputs!G10</f>
        <v/>
      </c>
      <c r="O23" s="47">
        <f>((Inputs!H112+Inputs!H113+Inputs!H114)*(Inputs!H35*(1-Inputs!H44))+Inputs!H122+Inputs!H123+Inputs!H124)*Inputs!H10</f>
        <v/>
      </c>
      <c r="P23" s="47">
        <f>((Inputs!I112+Inputs!I113+Inputs!I114)*(Inputs!I35*(1-Inputs!I44))+Inputs!I122+Inputs!I123+Inputs!I124)*Inputs!I10</f>
        <v/>
      </c>
    </row>
    <row r="24">
      <c r="A24" s="50" t="inlineStr">
        <is>
          <t>A&amp;P (total)</t>
        </is>
      </c>
      <c r="D24" s="51">
        <f>((Inputs!D108+Inputs!D109+Inputs!D110+Inputs!D112+Inputs!D113+Inputs!D114)*(Inputs!D35*(1-Inputs!D44))+Inputs!D111+Inputs!D122+Inputs!D123+Inputs!D124)*Cover!D6</f>
        <v/>
      </c>
      <c r="E24" s="51">
        <f>((Inputs!E108+Inputs!E109+Inputs!E110+Inputs!E112+Inputs!E113+Inputs!E114)*(Inputs!E35*(1-Inputs!E44))+Inputs!E111+Inputs!E122+Inputs!E123+Inputs!E124)*Cover!E6</f>
        <v/>
      </c>
      <c r="F24" s="51">
        <f>((Inputs!F108+Inputs!F109+Inputs!F110+Inputs!F112+Inputs!F113+Inputs!F114)*(Inputs!F35*(1-Inputs!F44))+Inputs!F111+Inputs!F122+Inputs!F123+Inputs!F124)*Cover!F6</f>
        <v/>
      </c>
      <c r="G24" s="51">
        <f>((Inputs!G108+Inputs!G109+Inputs!G110+Inputs!G112+Inputs!G113+Inputs!G114)*(Inputs!G35*(1-Inputs!G44))+Inputs!G111+Inputs!G122+Inputs!G123+Inputs!G124)*Cover!G6</f>
        <v/>
      </c>
      <c r="H24" s="51">
        <f>((Inputs!H108+Inputs!H109+Inputs!H110+Inputs!H112+Inputs!H113+Inputs!H114)*(Inputs!H35*(1-Inputs!H44))+Inputs!H111+Inputs!H122+Inputs!H123+Inputs!H124)*Cover!H6</f>
        <v/>
      </c>
      <c r="I24" s="51">
        <f>((Inputs!I108+Inputs!I109+Inputs!I110+Inputs!I112+Inputs!I113+Inputs!I114)*(Inputs!I35*(1-Inputs!I44))+Inputs!I111+Inputs!I122+Inputs!I123+Inputs!I124)*Cover!I6</f>
        <v/>
      </c>
      <c r="K24" s="52">
        <f>((Inputs!D108+Inputs!D109+Inputs!D110+Inputs!D112+Inputs!D113+Inputs!D114)*(Inputs!D35*(1-Inputs!D44))+Inputs!D111+Inputs!D122+Inputs!D123+Inputs!D124)*Inputs!D10</f>
        <v/>
      </c>
      <c r="L24" s="52">
        <f>((Inputs!E108+Inputs!E109+Inputs!E110+Inputs!E112+Inputs!E113+Inputs!E114)*(Inputs!E35*(1-Inputs!E44))+Inputs!E111+Inputs!E122+Inputs!E123+Inputs!E124)*Inputs!E10</f>
        <v/>
      </c>
      <c r="M24" s="52">
        <f>((Inputs!F108+Inputs!F109+Inputs!F110+Inputs!F112+Inputs!F113+Inputs!F114)*(Inputs!F35*(1-Inputs!F44))+Inputs!F111+Inputs!F122+Inputs!F123+Inputs!F124)*Inputs!F10</f>
        <v/>
      </c>
      <c r="N24" s="52">
        <f>((Inputs!G108+Inputs!G109+Inputs!G110+Inputs!G112+Inputs!G113+Inputs!G114)*(Inputs!G35*(1-Inputs!G44))+Inputs!G111+Inputs!G122+Inputs!G123+Inputs!G124)*Inputs!G10</f>
        <v/>
      </c>
      <c r="O24" s="52">
        <f>((Inputs!H108+Inputs!H109+Inputs!H110+Inputs!H112+Inputs!H113+Inputs!H114)*(Inputs!H35*(1-Inputs!H44))+Inputs!H111+Inputs!H122+Inputs!H123+Inputs!H124)*Inputs!H10</f>
        <v/>
      </c>
      <c r="P24" s="52">
        <f>((Inputs!I108+Inputs!I109+Inputs!I110+Inputs!I112+Inputs!I113+Inputs!I114)*(Inputs!I35*(1-Inputs!I44))+Inputs!I111+Inputs!I122+Inputs!I123+Inputs!I124)*Inputs!I10</f>
        <v/>
      </c>
    </row>
    <row r="26">
      <c r="A26" s="41" t="inlineStr">
        <is>
          <t>Contrib After A&amp;P (PBT before tax)</t>
        </is>
      </c>
      <c r="D26" s="44">
        <f>((Inputs!D35*(1-Inputs!D44))-('Direct COGS'!K39+'Indirect COGS'!K20)-((Inputs!D108+Inputs!D109+Inputs!D110+Inputs!D112+Inputs!D113+Inputs!D114)*(Inputs!D35*(1-Inputs!D44))+Inputs!D111+Inputs!D122+Inputs!D123+Inputs!D124))*Cover!D6</f>
        <v/>
      </c>
      <c r="E26" s="44">
        <f>((Inputs!E35*(1-Inputs!E44))-('Direct COGS'!L39+'Indirect COGS'!L20)-((Inputs!E108+Inputs!E109+Inputs!E110+Inputs!E112+Inputs!E113+Inputs!E114)*(Inputs!E35*(1-Inputs!E44))+Inputs!E111+Inputs!E122+Inputs!E123+Inputs!E124))*Cover!E6</f>
        <v/>
      </c>
      <c r="F26" s="44">
        <f>((Inputs!F35*(1-Inputs!F44))-('Direct COGS'!M39+'Indirect COGS'!M20)-((Inputs!F108+Inputs!F109+Inputs!F110+Inputs!F112+Inputs!F113+Inputs!F114)*(Inputs!F35*(1-Inputs!F44))+Inputs!F111+Inputs!F122+Inputs!F123+Inputs!F124))*Cover!F6</f>
        <v/>
      </c>
      <c r="G26" s="44">
        <f>((Inputs!G35*(1-Inputs!G44))-('Direct COGS'!N39+'Indirect COGS'!N20)-((Inputs!G108+Inputs!G109+Inputs!G110+Inputs!G112+Inputs!G113+Inputs!G114)*(Inputs!G35*(1-Inputs!G44))+Inputs!G111+Inputs!G122+Inputs!G123+Inputs!G124))*Cover!G6</f>
        <v/>
      </c>
      <c r="H26" s="44">
        <f>((Inputs!H35*(1-Inputs!H44))-('Direct COGS'!O39+'Indirect COGS'!O20)-((Inputs!H108+Inputs!H109+Inputs!H110+Inputs!H112+Inputs!H113+Inputs!H114)*(Inputs!H35*(1-Inputs!H44))+Inputs!H111+Inputs!H122+Inputs!H123+Inputs!H124))*Cover!H6</f>
        <v/>
      </c>
      <c r="I26" s="44">
        <f>((Inputs!I35*(1-Inputs!I44))-('Direct COGS'!P39+'Indirect COGS'!P20)-((Inputs!I108+Inputs!I109+Inputs!I110+Inputs!I112+Inputs!I113+Inputs!I114)*(Inputs!I35*(1-Inputs!I44))+Inputs!I111+Inputs!I122+Inputs!I123+Inputs!I124))*Cover!I6</f>
        <v/>
      </c>
      <c r="K26" s="53">
        <f>((Inputs!D35*(1-Inputs!D44))-('Direct COGS'!K39+'Indirect COGS'!K20)-((Inputs!D108+Inputs!D109+Inputs!D110+Inputs!D112+Inputs!D113+Inputs!D114)*(Inputs!D35*(1-Inputs!D44))+Inputs!D111+Inputs!D122+Inputs!D123+Inputs!D124))*Inputs!D10</f>
        <v/>
      </c>
      <c r="L26" s="53">
        <f>((Inputs!E35*(1-Inputs!E44))-('Direct COGS'!L39+'Indirect COGS'!L20)-((Inputs!E108+Inputs!E109+Inputs!E110+Inputs!E112+Inputs!E113+Inputs!E114)*(Inputs!E35*(1-Inputs!E44))+Inputs!E111+Inputs!E122+Inputs!E123+Inputs!E124))*Inputs!E10</f>
        <v/>
      </c>
      <c r="M26" s="53">
        <f>((Inputs!F35*(1-Inputs!F44))-('Direct COGS'!M39+'Indirect COGS'!M20)-((Inputs!F108+Inputs!F109+Inputs!F110+Inputs!F112+Inputs!F113+Inputs!F114)*(Inputs!F35*(1-Inputs!F44))+Inputs!F111+Inputs!F122+Inputs!F123+Inputs!F124))*Inputs!F10</f>
        <v/>
      </c>
      <c r="N26" s="53">
        <f>((Inputs!G35*(1-Inputs!G44))-('Direct COGS'!N39+'Indirect COGS'!N20)-((Inputs!G108+Inputs!G109+Inputs!G110+Inputs!G112+Inputs!G113+Inputs!G114)*(Inputs!G35*(1-Inputs!G44))+Inputs!G111+Inputs!G122+Inputs!G123+Inputs!G124))*Inputs!G10</f>
        <v/>
      </c>
      <c r="O26" s="53">
        <f>((Inputs!H35*(1-Inputs!H44))-('Direct COGS'!O39+'Indirect COGS'!O20)-((Inputs!H108+Inputs!H109+Inputs!H110+Inputs!H112+Inputs!H113+Inputs!H114)*(Inputs!H35*(1-Inputs!H44))+Inputs!H111+Inputs!H122+Inputs!H123+Inputs!H124))*Inputs!H10</f>
        <v/>
      </c>
      <c r="P26" s="53">
        <f>((Inputs!I35*(1-Inputs!I44))-('Direct COGS'!P39+'Indirect COGS'!P20)-((Inputs!I108+Inputs!I109+Inputs!I110+Inputs!I112+Inputs!I113+Inputs!I114)*(Inputs!I35*(1-Inputs!I44))+Inputs!I111+Inputs!I122+Inputs!I123+Inputs!I124))*Inputs!I10</f>
        <v/>
      </c>
    </row>
    <row r="27">
      <c r="A27" s="41" t="inlineStr">
        <is>
          <t>CAAP %</t>
        </is>
      </c>
      <c r="D27" s="54">
        <f>IFERROR(((Inputs!D35*(1-Inputs!D44))-('Direct COGS'!K39+'Indirect COGS'!K20)-((Inputs!D108+Inputs!D109+Inputs!D110+Inputs!D112+Inputs!D113+Inputs!D114)*(Inputs!D35*(1-Inputs!D44))+Inputs!D111+Inputs!D122+Inputs!D123+Inputs!D124))/(Inputs!D35*(1-Inputs!D44)),0)</f>
        <v/>
      </c>
      <c r="E27" s="54">
        <f>IFERROR(((Inputs!E35*(1-Inputs!E44))-('Direct COGS'!L39+'Indirect COGS'!L20)-((Inputs!E108+Inputs!E109+Inputs!E110+Inputs!E112+Inputs!E113+Inputs!E114)*(Inputs!E35*(1-Inputs!E44))+Inputs!E111+Inputs!E122+Inputs!E123+Inputs!E124))/(Inputs!E35*(1-Inputs!E44)),0)</f>
        <v/>
      </c>
      <c r="F27" s="54">
        <f>IFERROR(((Inputs!F35*(1-Inputs!F44))-('Direct COGS'!M39+'Indirect COGS'!M20)-((Inputs!F108+Inputs!F109+Inputs!F110+Inputs!F112+Inputs!F113+Inputs!F114)*(Inputs!F35*(1-Inputs!F44))+Inputs!F111+Inputs!F122+Inputs!F123+Inputs!F124))/(Inputs!F35*(1-Inputs!F44)),0)</f>
        <v/>
      </c>
      <c r="G27" s="54">
        <f>IFERROR(((Inputs!G35*(1-Inputs!G44))-('Direct COGS'!N39+'Indirect COGS'!N20)-((Inputs!G108+Inputs!G109+Inputs!G110+Inputs!G112+Inputs!G113+Inputs!G114)*(Inputs!G35*(1-Inputs!G44))+Inputs!G111+Inputs!G122+Inputs!G123+Inputs!G124))/(Inputs!G35*(1-Inputs!G44)),0)</f>
        <v/>
      </c>
      <c r="H27" s="54">
        <f>IFERROR(((Inputs!H35*(1-Inputs!H44))-('Direct COGS'!O39+'Indirect COGS'!O20)-((Inputs!H108+Inputs!H109+Inputs!H110+Inputs!H112+Inputs!H113+Inputs!H114)*(Inputs!H35*(1-Inputs!H44))+Inputs!H111+Inputs!H122+Inputs!H123+Inputs!H124))/(Inputs!H35*(1-Inputs!H44)),0)</f>
        <v/>
      </c>
      <c r="I27" s="54">
        <f>IFERROR(((Inputs!I35*(1-Inputs!I44))-('Direct COGS'!P39+'Indirect COGS'!P20)-((Inputs!I108+Inputs!I109+Inputs!I110+Inputs!I112+Inputs!I113+Inputs!I114)*(Inputs!I35*(1-Inputs!I44))+Inputs!I111+Inputs!I122+Inputs!I123+Inputs!I124))/(Inputs!I35*(1-Inputs!I44)),0)</f>
        <v/>
      </c>
      <c r="K27" s="54">
        <f>D27</f>
        <v/>
      </c>
      <c r="L27" s="54">
        <f>E27</f>
        <v/>
      </c>
      <c r="M27" s="54">
        <f>F27</f>
        <v/>
      </c>
      <c r="N27" s="54">
        <f>G27</f>
        <v/>
      </c>
      <c r="O27" s="54">
        <f>H27</f>
        <v/>
      </c>
      <c r="P27" s="54">
        <f>I27</f>
        <v/>
      </c>
    </row>
    <row r="29" ht="15" customHeight="1">
      <c r="A29" s="2" t="inlineStr">
        <is>
          <t>Tax</t>
        </is>
      </c>
    </row>
    <row r="30">
      <c r="A30" s="31" t="inlineStr">
        <is>
          <t xml:space="preserve">  Income tax</t>
        </is>
      </c>
      <c r="D30" s="48">
        <f>(MAX(0,((Inputs!D35*(1-Inputs!D44))-('Direct COGS'!K39+'Indirect COGS'!K20)-((Inputs!D108+Inputs!D109+Inputs!D110+Inputs!D112+Inputs!D113+Inputs!D114)*(Inputs!D35*(1-Inputs!D44))+Inputs!D111+Inputs!D122+Inputs!D123+Inputs!D124)))*Inputs!D27)*Cover!D6</f>
        <v/>
      </c>
      <c r="E30" s="48">
        <f>(MAX(0,((Inputs!E35*(1-Inputs!E44))-('Direct COGS'!L39+'Indirect COGS'!L20)-((Inputs!E108+Inputs!E109+Inputs!E110+Inputs!E112+Inputs!E113+Inputs!E114)*(Inputs!E35*(1-Inputs!E44))+Inputs!E111+Inputs!E122+Inputs!E123+Inputs!E124)))*Inputs!E27)*Cover!E6</f>
        <v/>
      </c>
      <c r="F30" s="48">
        <f>(MAX(0,((Inputs!F35*(1-Inputs!F44))-('Direct COGS'!M39+'Indirect COGS'!M20)-((Inputs!F108+Inputs!F109+Inputs!F110+Inputs!F112+Inputs!F113+Inputs!F114)*(Inputs!F35*(1-Inputs!F44))+Inputs!F111+Inputs!F122+Inputs!F123+Inputs!F124)))*Inputs!F27)*Cover!F6</f>
        <v/>
      </c>
      <c r="G30" s="48">
        <f>(MAX(0,((Inputs!G35*(1-Inputs!G44))-('Direct COGS'!N39+'Indirect COGS'!N20)-((Inputs!G108+Inputs!G109+Inputs!G110+Inputs!G112+Inputs!G113+Inputs!G114)*(Inputs!G35*(1-Inputs!G44))+Inputs!G111+Inputs!G122+Inputs!G123+Inputs!G124)))*Inputs!G27)*Cover!G6</f>
        <v/>
      </c>
      <c r="H30" s="48">
        <f>(MAX(0,((Inputs!H35*(1-Inputs!H44))-('Direct COGS'!O39+'Indirect COGS'!O20)-((Inputs!H108+Inputs!H109+Inputs!H110+Inputs!H112+Inputs!H113+Inputs!H114)*(Inputs!H35*(1-Inputs!H44))+Inputs!H111+Inputs!H122+Inputs!H123+Inputs!H124)))*Inputs!H27)*Cover!H6</f>
        <v/>
      </c>
      <c r="I30" s="48">
        <f>(MAX(0,((Inputs!I35*(1-Inputs!I44))-('Direct COGS'!P39+'Indirect COGS'!P20)-((Inputs!I108+Inputs!I109+Inputs!I110+Inputs!I112+Inputs!I113+Inputs!I114)*(Inputs!I35*(1-Inputs!I44))+Inputs!I111+Inputs!I122+Inputs!I123+Inputs!I124)))*Inputs!I27)*Cover!I6</f>
        <v/>
      </c>
      <c r="K30" s="49">
        <f>(MAX(0,((Inputs!D35*(1-Inputs!D44))-('Direct COGS'!K39+'Indirect COGS'!K20)-((Inputs!D108+Inputs!D109+Inputs!D110+Inputs!D112+Inputs!D113+Inputs!D114)*(Inputs!D35*(1-Inputs!D44))+Inputs!D111+Inputs!D122+Inputs!D123+Inputs!D124)))*Inputs!D27)*Inputs!D10</f>
        <v/>
      </c>
      <c r="L30" s="49">
        <f>(MAX(0,((Inputs!E35*(1-Inputs!E44))-('Direct COGS'!L39+'Indirect COGS'!L20)-((Inputs!E108+Inputs!E109+Inputs!E110+Inputs!E112+Inputs!E113+Inputs!E114)*(Inputs!E35*(1-Inputs!E44))+Inputs!E111+Inputs!E122+Inputs!E123+Inputs!E124)))*Inputs!E27)*Inputs!E10</f>
        <v/>
      </c>
      <c r="M30" s="49">
        <f>(MAX(0,((Inputs!F35*(1-Inputs!F44))-('Direct COGS'!M39+'Indirect COGS'!M20)-((Inputs!F108+Inputs!F109+Inputs!F110+Inputs!F112+Inputs!F113+Inputs!F114)*(Inputs!F35*(1-Inputs!F44))+Inputs!F111+Inputs!F122+Inputs!F123+Inputs!F124)))*Inputs!F27)*Inputs!F10</f>
        <v/>
      </c>
      <c r="N30" s="49">
        <f>(MAX(0,((Inputs!G35*(1-Inputs!G44))-('Direct COGS'!N39+'Indirect COGS'!N20)-((Inputs!G108+Inputs!G109+Inputs!G110+Inputs!G112+Inputs!G113+Inputs!G114)*(Inputs!G35*(1-Inputs!G44))+Inputs!G111+Inputs!G122+Inputs!G123+Inputs!G124)))*Inputs!G27)*Inputs!G10</f>
        <v/>
      </c>
      <c r="O30" s="49">
        <f>(MAX(0,((Inputs!H35*(1-Inputs!H44))-('Direct COGS'!O39+'Indirect COGS'!O20)-((Inputs!H108+Inputs!H109+Inputs!H110+Inputs!H112+Inputs!H113+Inputs!H114)*(Inputs!H35*(1-Inputs!H44))+Inputs!H111+Inputs!H122+Inputs!H123+Inputs!H124)))*Inputs!H27)*Inputs!H10</f>
        <v/>
      </c>
      <c r="P30" s="49">
        <f>(MAX(0,((Inputs!I35*(1-Inputs!I44))-('Direct COGS'!P39+'Indirect COGS'!P20)-((Inputs!I108+Inputs!I109+Inputs!I110+Inputs!I112+Inputs!I113+Inputs!I114)*(Inputs!I35*(1-Inputs!I44))+Inputs!I111+Inputs!I122+Inputs!I123+Inputs!I124)))*Inputs!I27)*Inputs!I10</f>
        <v/>
      </c>
    </row>
    <row r="31">
      <c r="A31" s="41" t="inlineStr">
        <is>
          <t>Profit After Tax (PAT)</t>
        </is>
      </c>
      <c r="D31" s="44">
        <f>(((Inputs!D35*(1-Inputs!D44))-('Direct COGS'!K39+'Indirect COGS'!K20)-((Inputs!D108+Inputs!D109+Inputs!D110+Inputs!D112+Inputs!D113+Inputs!D114)*(Inputs!D35*(1-Inputs!D44))+Inputs!D111+Inputs!D122+Inputs!D123+Inputs!D124))-MAX(0,((Inputs!D35*(1-Inputs!D44))-('Direct COGS'!K39+'Indirect COGS'!K20)-((Inputs!D108+Inputs!D109+Inputs!D110+Inputs!D112+Inputs!D113+Inputs!D114)*(Inputs!D35*(1-Inputs!D44))+Inputs!D111+Inputs!D122+Inputs!D123+Inputs!D124)))*Inputs!D27)*Cover!D6</f>
        <v/>
      </c>
      <c r="E31" s="44">
        <f>(((Inputs!E35*(1-Inputs!E44))-('Direct COGS'!L39+'Indirect COGS'!L20)-((Inputs!E108+Inputs!E109+Inputs!E110+Inputs!E112+Inputs!E113+Inputs!E114)*(Inputs!E35*(1-Inputs!E44))+Inputs!E111+Inputs!E122+Inputs!E123+Inputs!E124))-MAX(0,((Inputs!E35*(1-Inputs!E44))-('Direct COGS'!L39+'Indirect COGS'!L20)-((Inputs!E108+Inputs!E109+Inputs!E110+Inputs!E112+Inputs!E113+Inputs!E114)*(Inputs!E35*(1-Inputs!E44))+Inputs!E111+Inputs!E122+Inputs!E123+Inputs!E124)))*Inputs!E27)*Cover!E6</f>
        <v/>
      </c>
      <c r="F31" s="44">
        <f>(((Inputs!F35*(1-Inputs!F44))-('Direct COGS'!M39+'Indirect COGS'!M20)-((Inputs!F108+Inputs!F109+Inputs!F110+Inputs!F112+Inputs!F113+Inputs!F114)*(Inputs!F35*(1-Inputs!F44))+Inputs!F111+Inputs!F122+Inputs!F123+Inputs!F124))-MAX(0,((Inputs!F35*(1-Inputs!F44))-('Direct COGS'!M39+'Indirect COGS'!M20)-((Inputs!F108+Inputs!F109+Inputs!F110+Inputs!F112+Inputs!F113+Inputs!F114)*(Inputs!F35*(1-Inputs!F44))+Inputs!F111+Inputs!F122+Inputs!F123+Inputs!F124)))*Inputs!F27)*Cover!F6</f>
        <v/>
      </c>
      <c r="G31" s="44">
        <f>(((Inputs!G35*(1-Inputs!G44))-('Direct COGS'!N39+'Indirect COGS'!N20)-((Inputs!G108+Inputs!G109+Inputs!G110+Inputs!G112+Inputs!G113+Inputs!G114)*(Inputs!G35*(1-Inputs!G44))+Inputs!G111+Inputs!G122+Inputs!G123+Inputs!G124))-MAX(0,((Inputs!G35*(1-Inputs!G44))-('Direct COGS'!N39+'Indirect COGS'!N20)-((Inputs!G108+Inputs!G109+Inputs!G110+Inputs!G112+Inputs!G113+Inputs!G114)*(Inputs!G35*(1-Inputs!G44))+Inputs!G111+Inputs!G122+Inputs!G123+Inputs!G124)))*Inputs!G27)*Cover!G6</f>
        <v/>
      </c>
      <c r="H31" s="44">
        <f>(((Inputs!H35*(1-Inputs!H44))-('Direct COGS'!O39+'Indirect COGS'!O20)-((Inputs!H108+Inputs!H109+Inputs!H110+Inputs!H112+Inputs!H113+Inputs!H114)*(Inputs!H35*(1-Inputs!H44))+Inputs!H111+Inputs!H122+Inputs!H123+Inputs!H124))-MAX(0,((Inputs!H35*(1-Inputs!H44))-('Direct COGS'!O39+'Indirect COGS'!O20)-((Inputs!H108+Inputs!H109+Inputs!H110+Inputs!H112+Inputs!H113+Inputs!H114)*(Inputs!H35*(1-Inputs!H44))+Inputs!H111+Inputs!H122+Inputs!H123+Inputs!H124)))*Inputs!H27)*Cover!H6</f>
        <v/>
      </c>
      <c r="I31" s="44">
        <f>(((Inputs!I35*(1-Inputs!I44))-('Direct COGS'!P39+'Indirect COGS'!P20)-((Inputs!I108+Inputs!I109+Inputs!I110+Inputs!I112+Inputs!I113+Inputs!I114)*(Inputs!I35*(1-Inputs!I44))+Inputs!I111+Inputs!I122+Inputs!I123+Inputs!I124))-MAX(0,((Inputs!I35*(1-Inputs!I44))-('Direct COGS'!P39+'Indirect COGS'!P20)-((Inputs!I108+Inputs!I109+Inputs!I110+Inputs!I112+Inputs!I113+Inputs!I114)*(Inputs!I35*(1-Inputs!I44))+Inputs!I111+Inputs!I122+Inputs!I123+Inputs!I124)))*Inputs!I27)*Cover!I6</f>
        <v/>
      </c>
      <c r="K31" s="53">
        <f>(((Inputs!D35*(1-Inputs!D44))-('Direct COGS'!K39+'Indirect COGS'!K20)-((Inputs!D108+Inputs!D109+Inputs!D110+Inputs!D112+Inputs!D113+Inputs!D114)*(Inputs!D35*(1-Inputs!D44))+Inputs!D111+Inputs!D122+Inputs!D123+Inputs!D124))-MAX(0,((Inputs!D35*(1-Inputs!D44))-('Direct COGS'!K39+'Indirect COGS'!K20)-((Inputs!D108+Inputs!D109+Inputs!D110+Inputs!D112+Inputs!D113+Inputs!D114)*(Inputs!D35*(1-Inputs!D44))+Inputs!D111+Inputs!D122+Inputs!D123+Inputs!D124)))*Inputs!D27)*Inputs!D10</f>
        <v/>
      </c>
      <c r="L31" s="53">
        <f>(((Inputs!E35*(1-Inputs!E44))-('Direct COGS'!L39+'Indirect COGS'!L20)-((Inputs!E108+Inputs!E109+Inputs!E110+Inputs!E112+Inputs!E113+Inputs!E114)*(Inputs!E35*(1-Inputs!E44))+Inputs!E111+Inputs!E122+Inputs!E123+Inputs!E124))-MAX(0,((Inputs!E35*(1-Inputs!E44))-('Direct COGS'!L39+'Indirect COGS'!L20)-((Inputs!E108+Inputs!E109+Inputs!E110+Inputs!E112+Inputs!E113+Inputs!E114)*(Inputs!E35*(1-Inputs!E44))+Inputs!E111+Inputs!E122+Inputs!E123+Inputs!E124)))*Inputs!E27)*Inputs!E10</f>
        <v/>
      </c>
      <c r="M31" s="53">
        <f>(((Inputs!F35*(1-Inputs!F44))-('Direct COGS'!M39+'Indirect COGS'!M20)-((Inputs!F108+Inputs!F109+Inputs!F110+Inputs!F112+Inputs!F113+Inputs!F114)*(Inputs!F35*(1-Inputs!F44))+Inputs!F111+Inputs!F122+Inputs!F123+Inputs!F124))-MAX(0,((Inputs!F35*(1-Inputs!F44))-('Direct COGS'!M39+'Indirect COGS'!M20)-((Inputs!F108+Inputs!F109+Inputs!F110+Inputs!F112+Inputs!F113+Inputs!F114)*(Inputs!F35*(1-Inputs!F44))+Inputs!F111+Inputs!F122+Inputs!F123+Inputs!F124)))*Inputs!F27)*Inputs!F10</f>
        <v/>
      </c>
      <c r="N31" s="53">
        <f>(((Inputs!G35*(1-Inputs!G44))-('Direct COGS'!N39+'Indirect COGS'!N20)-((Inputs!G108+Inputs!G109+Inputs!G110+Inputs!G112+Inputs!G113+Inputs!G114)*(Inputs!G35*(1-Inputs!G44))+Inputs!G111+Inputs!G122+Inputs!G123+Inputs!G124))-MAX(0,((Inputs!G35*(1-Inputs!G44))-('Direct COGS'!N39+'Indirect COGS'!N20)-((Inputs!G108+Inputs!G109+Inputs!G110+Inputs!G112+Inputs!G113+Inputs!G114)*(Inputs!G35*(1-Inputs!G44))+Inputs!G111+Inputs!G122+Inputs!G123+Inputs!G124)))*Inputs!G27)*Inputs!G10</f>
        <v/>
      </c>
      <c r="O31" s="53">
        <f>(((Inputs!H35*(1-Inputs!H44))-('Direct COGS'!O39+'Indirect COGS'!O20)-((Inputs!H108+Inputs!H109+Inputs!H110+Inputs!H112+Inputs!H113+Inputs!H114)*(Inputs!H35*(1-Inputs!H44))+Inputs!H111+Inputs!H122+Inputs!H123+Inputs!H124))-MAX(0,((Inputs!H35*(1-Inputs!H44))-('Direct COGS'!O39+'Indirect COGS'!O20)-((Inputs!H108+Inputs!H109+Inputs!H110+Inputs!H112+Inputs!H113+Inputs!H114)*(Inputs!H35*(1-Inputs!H44))+Inputs!H111+Inputs!H122+Inputs!H123+Inputs!H124)))*Inputs!H27)*Inputs!H10</f>
        <v/>
      </c>
      <c r="P31" s="53">
        <f>(((Inputs!I35*(1-Inputs!I44))-('Direct COGS'!P39+'Indirect COGS'!P20)-((Inputs!I108+Inputs!I109+Inputs!I110+Inputs!I112+Inputs!I113+Inputs!I114)*(Inputs!I35*(1-Inputs!I44))+Inputs!I111+Inputs!I122+Inputs!I123+Inputs!I124))-MAX(0,((Inputs!I35*(1-Inputs!I44))-('Direct COGS'!P39+'Indirect COGS'!P20)-((Inputs!I108+Inputs!I109+Inputs!I110+Inputs!I112+Inputs!I113+Inputs!I114)*(Inputs!I35*(1-Inputs!I44))+Inputs!I111+Inputs!I122+Inputs!I123+Inputs!I124)))*Inputs!I27)*Inputs!I10</f>
        <v/>
      </c>
    </row>
    <row r="32">
      <c r="A32" s="41" t="inlineStr">
        <is>
          <t>Net Margin %</t>
        </is>
      </c>
      <c r="D32" s="54">
        <f>IFERROR((((Inputs!D35*(1-Inputs!D44))-('Direct COGS'!K39+'Indirect COGS'!K20)-((Inputs!D108+Inputs!D109+Inputs!D110+Inputs!D112+Inputs!D113+Inputs!D114)*(Inputs!D35*(1-Inputs!D44))+Inputs!D111+Inputs!D122+Inputs!D123+Inputs!D124))-MAX(0,((Inputs!D35*(1-Inputs!D44))-('Direct COGS'!K39+'Indirect COGS'!K20)-((Inputs!D108+Inputs!D109+Inputs!D110+Inputs!D112+Inputs!D113+Inputs!D114)*(Inputs!D35*(1-Inputs!D44))+Inputs!D111+Inputs!D122+Inputs!D123+Inputs!D124)))*Inputs!D27)/(Inputs!D35*(1-Inputs!D44)),0)</f>
        <v/>
      </c>
      <c r="E32" s="54">
        <f>IFERROR((((Inputs!E35*(1-Inputs!E44))-('Direct COGS'!L39+'Indirect COGS'!L20)-((Inputs!E108+Inputs!E109+Inputs!E110+Inputs!E112+Inputs!E113+Inputs!E114)*(Inputs!E35*(1-Inputs!E44))+Inputs!E111+Inputs!E122+Inputs!E123+Inputs!E124))-MAX(0,((Inputs!E35*(1-Inputs!E44))-('Direct COGS'!L39+'Indirect COGS'!L20)-((Inputs!E108+Inputs!E109+Inputs!E110+Inputs!E112+Inputs!E113+Inputs!E114)*(Inputs!E35*(1-Inputs!E44))+Inputs!E111+Inputs!E122+Inputs!E123+Inputs!E124)))*Inputs!E27)/(Inputs!E35*(1-Inputs!E44)),0)</f>
        <v/>
      </c>
      <c r="F32" s="54">
        <f>IFERROR((((Inputs!F35*(1-Inputs!F44))-('Direct COGS'!M39+'Indirect COGS'!M20)-((Inputs!F108+Inputs!F109+Inputs!F110+Inputs!F112+Inputs!F113+Inputs!F114)*(Inputs!F35*(1-Inputs!F44))+Inputs!F111+Inputs!F122+Inputs!F123+Inputs!F124))-MAX(0,((Inputs!F35*(1-Inputs!F44))-('Direct COGS'!M39+'Indirect COGS'!M20)-((Inputs!F108+Inputs!F109+Inputs!F110+Inputs!F112+Inputs!F113+Inputs!F114)*(Inputs!F35*(1-Inputs!F44))+Inputs!F111+Inputs!F122+Inputs!F123+Inputs!F124)))*Inputs!F27)/(Inputs!F35*(1-Inputs!F44)),0)</f>
        <v/>
      </c>
      <c r="G32" s="54">
        <f>IFERROR((((Inputs!G35*(1-Inputs!G44))-('Direct COGS'!N39+'Indirect COGS'!N20)-((Inputs!G108+Inputs!G109+Inputs!G110+Inputs!G112+Inputs!G113+Inputs!G114)*(Inputs!G35*(1-Inputs!G44))+Inputs!G111+Inputs!G122+Inputs!G123+Inputs!G124))-MAX(0,((Inputs!G35*(1-Inputs!G44))-('Direct COGS'!N39+'Indirect COGS'!N20)-((Inputs!G108+Inputs!G109+Inputs!G110+Inputs!G112+Inputs!G113+Inputs!G114)*(Inputs!G35*(1-Inputs!G44))+Inputs!G111+Inputs!G122+Inputs!G123+Inputs!G124)))*Inputs!G27)/(Inputs!G35*(1-Inputs!G44)),0)</f>
        <v/>
      </c>
      <c r="H32" s="54">
        <f>IFERROR((((Inputs!H35*(1-Inputs!H44))-('Direct COGS'!O39+'Indirect COGS'!O20)-((Inputs!H108+Inputs!H109+Inputs!H110+Inputs!H112+Inputs!H113+Inputs!H114)*(Inputs!H35*(1-Inputs!H44))+Inputs!H111+Inputs!H122+Inputs!H123+Inputs!H124))-MAX(0,((Inputs!H35*(1-Inputs!H44))-('Direct COGS'!O39+'Indirect COGS'!O20)-((Inputs!H108+Inputs!H109+Inputs!H110+Inputs!H112+Inputs!H113+Inputs!H114)*(Inputs!H35*(1-Inputs!H44))+Inputs!H111+Inputs!H122+Inputs!H123+Inputs!H124)))*Inputs!H27)/(Inputs!H35*(1-Inputs!H44)),0)</f>
        <v/>
      </c>
      <c r="I32" s="54">
        <f>IFERROR((((Inputs!I35*(1-Inputs!I44))-('Direct COGS'!P39+'Indirect COGS'!P20)-((Inputs!I108+Inputs!I109+Inputs!I110+Inputs!I112+Inputs!I113+Inputs!I114)*(Inputs!I35*(1-Inputs!I44))+Inputs!I111+Inputs!I122+Inputs!I123+Inputs!I124))-MAX(0,((Inputs!I35*(1-Inputs!I44))-('Direct COGS'!P39+'Indirect COGS'!P20)-((Inputs!I108+Inputs!I109+Inputs!I110+Inputs!I112+Inputs!I113+Inputs!I114)*(Inputs!I35*(1-Inputs!I44))+Inputs!I111+Inputs!I122+Inputs!I123+Inputs!I124)))*Inputs!I27)/(Inputs!I35*(1-Inputs!I44)),0)</f>
        <v/>
      </c>
      <c r="K32" s="54">
        <f>D32</f>
        <v/>
      </c>
      <c r="L32" s="54">
        <f>E32</f>
        <v/>
      </c>
      <c r="M32" s="54">
        <f>F32</f>
        <v/>
      </c>
      <c r="N32" s="54">
        <f>G32</f>
        <v/>
      </c>
      <c r="O32" s="54">
        <f>H32</f>
        <v/>
      </c>
      <c r="P32" s="54">
        <f>I32</f>
        <v/>
      </c>
    </row>
  </sheetData>
  <mergeCells count="7">
    <mergeCell ref="A11:P11"/>
    <mergeCell ref="A1:P1"/>
    <mergeCell ref="A18:P18"/>
    <mergeCell ref="K3:P3"/>
    <mergeCell ref="D3:I3"/>
    <mergeCell ref="A29:P29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2026-05-27T23:06:16Z</dcterms:created>
  <dcterms:modified xsi:type="dcterms:W3CDTF">2026-05-27T23:24:06Z</dcterms:modified>
  <cp:lastModifiedBy>Louis To</cp:lastModifiedBy>
  <cp:revision>0</cp:revision>
</cp:coreProperties>
</file>