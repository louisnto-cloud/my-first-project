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Forecast" sheetId="3" state="visible" r:id="rId3"/>
    <sheet name="Summary" sheetId="4" state="visible" r:id="rId4"/>
    <sheet name="Portfolio" sheetId="5" state="visible" r:id="rId5"/>
  </sheets>
  <definedNames>
    <definedName name="StartDate">Inputs!$C$7</definedName>
    <definedName name="WHs">Inputs!$C$8</definedName>
    <definedName name="Period">Inputs!$C$9</definedName>
    <definedName name="Price">Inputs!$C$12</definedName>
    <definedName name="Cost">Inputs!$C$13</definedName>
    <definedName name="BaseUnits">Inputs!$C$19</definedName>
    <definedName name="DemoCost">Inputs!$C$24</definedName>
    <definedName name="EndCapCost">Inputs!$C$28</definedName>
    <definedName name="FenceCost">Inputs!$C$29</definedName>
    <definedName name="AdvertCost">Inputs!$C$30</definedName>
    <definedName name="TPDPct">Inputs!$C$31</definedName>
    <definedName name="MdPct">Inputs!$C$32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-mmm-yyyy"/>
    <numFmt numFmtId="166" formatCode="_-£* #,##0.00_-;[Red]-£* #,##0.00_-;_-£* &quot;-&quot;??_-;_-@_-"/>
    <numFmt numFmtId="167" formatCode="0.0%"/>
    <numFmt numFmtId="168" formatCode="_-£* #,##0_-;[Red]-£* #,##0_-;_-£* &quot;-&quot;??_-;_-@_-"/>
    <numFmt numFmtId="169" formatCode="0.0&quot;x&quot;"/>
    <numFmt numFmtId="170" formatCode="dd-mmm"/>
    <numFmt numFmtId="171" formatCode="0;;;@"/>
  </numFmts>
  <fonts count="16">
    <font>
      <name val="Calibri"/>
      <family val="2"/>
      <color theme="1"/>
      <sz val="11"/>
      <scheme val="minor"/>
    </font>
    <font>
      <name val="Calibri"/>
      <b val="1"/>
      <color rgb="001F4E78"/>
      <sz val="20"/>
    </font>
    <font>
      <name val="Calibri"/>
      <i val="1"/>
      <color rgb="00595959"/>
      <sz val="12"/>
    </font>
    <font>
      <name val="Calibri"/>
      <b val="1"/>
      <color rgb="00FFFFFF"/>
      <sz val="13"/>
    </font>
    <font>
      <name val="Calibri"/>
      <sz val="11"/>
    </font>
    <font>
      <name val="Calibri"/>
      <b val="1"/>
      <color rgb="001F4E78"/>
      <sz val="11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0070C0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i val="1"/>
      <color rgb="00595959"/>
      <sz val="11"/>
    </font>
    <font>
      <name val="Calibri"/>
      <color rgb="00000000"/>
      <sz val="11"/>
    </font>
    <font>
      <name val="Calibri"/>
      <b val="1"/>
      <color rgb="001F4E78"/>
      <sz val="14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top" wrapText="1"/>
    </xf>
    <xf numFmtId="165" fontId="9" fillId="3" borderId="1" applyAlignment="1" pivotButton="0" quotePrefix="0" xfId="0">
      <alignment horizontal="right" vertical="center"/>
    </xf>
    <xf numFmtId="3" fontId="9" fillId="3" borderId="1" applyAlignment="1" pivotButton="0" quotePrefix="0" xfId="0">
      <alignment horizontal="right" vertical="center"/>
    </xf>
    <xf numFmtId="166" fontId="9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8" fontId="9" fillId="3" borderId="1" applyAlignment="1" pivotButton="0" quotePrefix="0" xfId="0">
      <alignment horizontal="right" vertical="center"/>
    </xf>
    <xf numFmtId="169" fontId="9" fillId="3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167" fontId="9" fillId="3" borderId="1" applyAlignment="1" pivotButton="0" quotePrefix="0" xfId="0">
      <alignment horizontal="right" vertical="center"/>
    </xf>
    <xf numFmtId="0" fontId="11" fillId="6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170" fontId="12" fillId="5" borderId="1" applyAlignment="1" pivotButton="0" quotePrefix="0" xfId="0">
      <alignment horizontal="center" vertical="center" wrapText="1"/>
    </xf>
    <xf numFmtId="171" fontId="9" fillId="3" borderId="1" applyAlignment="1" pivotButton="0" quotePrefix="0" xfId="0">
      <alignment horizontal="center" vertical="center" wrapText="1"/>
    </xf>
    <xf numFmtId="169" fontId="9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0" fillId="5" borderId="1" pivotButton="0" quotePrefix="0" xfId="0"/>
    <xf numFmtId="3" fontId="4" fillId="5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8" fontId="4" fillId="5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8" fontId="15" fillId="4" borderId="1" applyAlignment="1" pivotButton="0" quotePrefix="0" xfId="0">
      <alignment horizontal="right" vertical="center"/>
    </xf>
    <xf numFmtId="167" fontId="1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center" wrapText="1"/>
    </xf>
    <xf numFmtId="3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167" fontId="4" fillId="5" borderId="1" applyAlignment="1" pivotButton="0" quotePrefix="0" xfId="0">
      <alignment horizontal="right" vertical="center"/>
    </xf>
    <xf numFmtId="0" fontId="0" fillId="6" borderId="1" pivotButton="0" quotePrefix="0" xfId="0"/>
    <xf numFmtId="0" fontId="11" fillId="6" borderId="1" applyAlignment="1" pivotButton="0" quotePrefix="0" xfId="0">
      <alignment horizontal="left" vertical="center" wrapText="1"/>
    </xf>
    <xf numFmtId="167" fontId="11" fillId="6" borderId="1" applyAlignment="1" pivotButton="0" quotePrefix="0" xfId="0">
      <alignment horizontal="right" vertical="center"/>
    </xf>
    <xf numFmtId="3" fontId="11" fillId="6" borderId="1" applyAlignment="1" pivotButton="0" quotePrefix="0" xfId="0">
      <alignment horizontal="right" vertical="center"/>
    </xf>
    <xf numFmtId="168" fontId="11" fillId="6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Costco UK — D93 Portfolio ROI Model</t>
        </is>
      </c>
    </row>
    <row r="3">
      <c r="B3" s="2" t="inlineStr">
        <is>
          <t>v5.0 · Bee Propolis market-test (baseline) + 1-year portfolio roll-up</t>
        </is>
      </c>
    </row>
    <row r="5">
      <c r="B5" s="3" t="inlineStr">
        <is>
          <t>HOW TO USE</t>
        </is>
      </c>
    </row>
    <row r="6">
      <c r="B6" s="4" t="inlineStr"/>
    </row>
    <row r="7">
      <c r="B7" s="4" t="inlineStr">
        <is>
          <t>1.  Two views in one workbook:</t>
        </is>
      </c>
    </row>
    <row r="8">
      <c r="B8" s="4" t="inlineStr">
        <is>
          <t xml:space="preserve">      •  Bee Propolis deep-dive — 26-week market test with BEST / IDEAL / WORST scenarios.</t>
        </is>
      </c>
    </row>
    <row r="9">
      <c r="B9" s="4" t="inlineStr">
        <is>
          <t xml:space="preserve">      •  Portfolio roll-up — annual Y1 numbers across all seven D93 SKUs with blended margin &amp; ROI.</t>
        </is>
      </c>
    </row>
    <row r="10">
      <c r="B10" s="4" t="inlineStr"/>
    </row>
    <row r="11">
      <c r="B11" s="4" t="inlineStr">
        <is>
          <t>2.  Only the YELLOW cells are editable. Every yellow cell is an input you can change.</t>
        </is>
      </c>
    </row>
    <row r="12">
      <c r="B12" s="4" t="inlineStr">
        <is>
          <t xml:space="preserve">      •  Some yellow cells contain a formula by default (e.g. Gross Margin per unit = SP − Cost).</t>
        </is>
      </c>
    </row>
    <row r="13">
      <c r="B13" s="4" t="inlineStr">
        <is>
          <t xml:space="preserve">      •  Type your own number into any yellow cell to override — the formula is replaced.</t>
        </is>
      </c>
    </row>
    <row r="14">
      <c r="B14" s="4" t="inlineStr">
        <is>
          <t xml:space="preserve">      •  No separate 'override' column — one column, one place to change anything.</t>
        </is>
      </c>
    </row>
    <row r="15">
      <c r="B15" s="4" t="inlineStr"/>
    </row>
    <row r="16">
      <c r="B16" s="4" t="inlineStr">
        <is>
          <t>3.  Change the 'Test Start Date (W1)' on Inputs and every week column on every sheet shifts dates.</t>
        </is>
      </c>
    </row>
    <row r="17">
      <c r="B17" s="4" t="inlineStr"/>
    </row>
    <row r="18">
      <c r="B18" s="4" t="inlineStr">
        <is>
          <t>4.  On the Portfolio sheet, fill in SP / Cost / Y1 Units / Promo Spend for SKUs 2-7 from Asana.</t>
        </is>
      </c>
    </row>
    <row r="19">
      <c r="B19" s="4" t="inlineStr">
        <is>
          <t xml:space="preserve">    The bottom row computes the blended GM%, Net Margin %, and ROI on Promo Spend across SKUs.</t>
        </is>
      </c>
    </row>
    <row r="20">
      <c r="B20" s="4" t="inlineStr"/>
    </row>
    <row r="21">
      <c r="B21" s="4" t="inlineStr"/>
    </row>
    <row r="22">
      <c r="B22" s="5" t="inlineStr">
        <is>
          <t>KEY CONCEPTS</t>
        </is>
      </c>
    </row>
    <row r="23" ht="38" customHeight="1">
      <c r="B23" s="4" t="inlineStr">
        <is>
          <t>•  Base Demand — Organic Costco velocity with no promo. ~500 units / 29 weeks × 0.8 sell-through, scaled to 20 warehouses → ~13.8 units / wh / week.</t>
        </is>
      </c>
    </row>
    <row r="24" ht="38" customHeight="1">
      <c r="B24" s="4" t="inlineStr">
        <is>
          <t>•  Lift Multiplier — Sales multiplier vs base for a given week. 1.0x = base, 3.0x = demo, 3.6x = demo + end cap, 8.0x+ = clearance markdown.</t>
        </is>
      </c>
    </row>
    <row r="25" ht="38" customHeight="1">
      <c r="B25" s="4" t="inlineStr">
        <is>
          <t>•  TPD — 20% off MSRP = 25% deduction on net (Costco takes a 20% retail margin: 0.20 / 0.80 = 0.25).</t>
        </is>
      </c>
    </row>
    <row r="26" ht="38" customHeight="1">
      <c r="B26" s="4" t="inlineStr">
        <is>
          <t>•  Demo cost — £199 / warehouse / weekend × 1.86 staffing-and-POS factor.</t>
        </is>
      </c>
    </row>
    <row r="27" ht="38" customHeight="1">
      <c r="B27" s="4" t="inlineStr">
        <is>
          <t>•  End cap — £850 / warehouse / 2-week cycle × 1.86 factor. Per-week cost = total ÷ 2.</t>
        </is>
      </c>
    </row>
    <row r="28" ht="38" customHeight="1">
      <c r="B28" s="4" t="inlineStr">
        <is>
          <t>•  ROI on Promo Spend — Net Profit ÷ Promo Spend. What every £1 of promo investment returned.</t>
        </is>
      </c>
    </row>
    <row r="29" ht="38" customHeight="1">
      <c r="B29" s="4" t="inlineStr">
        <is>
          <t>•  Blended Margin / ROI — On the Portfolio total row: Σ GP ÷ Σ Rev, Σ Net ÷ Σ Promo. Shows how high-margin SKUs offset lower-margin SKUs in the overall pitch.</t>
        </is>
      </c>
    </row>
    <row r="31">
      <c r="B31" s="5" t="inlineStr">
        <is>
          <t>COLOUR KEY</t>
        </is>
      </c>
    </row>
    <row r="32">
      <c r="B32" s="6" t="inlineStr">
        <is>
          <t xml:space="preserve">   Yellow: Editable input — change me</t>
        </is>
      </c>
    </row>
    <row r="33">
      <c r="B33" s="7" t="inlineStr">
        <is>
          <t xml:space="preserve">   Light Blue: Summary KPI</t>
        </is>
      </c>
    </row>
    <row r="34">
      <c r="B34" s="8" t="inlineStr">
        <is>
          <t xml:space="preserve">   Grey: Reference / structure (you generally won't edit)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E71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78" customWidth="1" min="4" max="4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</cols>
  <sheetData>
    <row r="2" ht="32" customHeight="1">
      <c r="B2" s="9" t="inlineStr">
        <is>
          <t>INPUTS &amp; ASSUMPTIONS — change any yellow cell</t>
        </is>
      </c>
    </row>
    <row r="3">
      <c r="B3" s="10" t="inlineStr">
        <is>
          <t>Field</t>
        </is>
      </c>
      <c r="C3" s="11" t="inlineStr">
        <is>
          <t>Value</t>
        </is>
      </c>
      <c r="D3" s="10" t="inlineStr">
        <is>
          <t>Notes / justification</t>
        </is>
      </c>
    </row>
    <row r="5" ht="22" customHeight="1">
      <c r="B5" s="12" t="inlineStr">
        <is>
          <t>1.  Product &amp; Distribution</t>
        </is>
      </c>
    </row>
    <row r="6" ht="24" customHeight="1">
      <c r="B6" s="13" t="inlineStr">
        <is>
          <t>SKU</t>
        </is>
      </c>
      <c r="C6" s="14" t="inlineStr">
        <is>
          <t>Bee Propolis Spray 30ml x 2</t>
        </is>
      </c>
      <c r="D6" s="15" t="inlineStr">
        <is>
          <t>Costco UK market test SKU.</t>
        </is>
      </c>
    </row>
    <row r="7" ht="24" customHeight="1">
      <c r="B7" s="13" t="inlineStr">
        <is>
          <t>Test Start Date (W1)</t>
        </is>
      </c>
      <c r="C7" s="16" t="n">
        <v>46034</v>
      </c>
      <c r="D7" s="15" t="inlineStr">
        <is>
          <t>Week-commencing date for W1. Drives every date header.</t>
        </is>
      </c>
    </row>
    <row r="8" ht="24" customHeight="1">
      <c r="B8" s="13" t="inlineStr">
        <is>
          <t>Test Warehouses</t>
        </is>
      </c>
      <c r="C8" s="17" t="n">
        <v>20</v>
      </c>
      <c r="D8" s="15" t="inlineStr">
        <is>
          <t>Number of Costco UK warehouses in test.</t>
        </is>
      </c>
    </row>
    <row r="9" ht="24" customHeight="1">
      <c r="B9" s="13" t="inlineStr">
        <is>
          <t>Test Period (Weeks)</t>
        </is>
      </c>
      <c r="C9" s="17" t="n">
        <v>26</v>
      </c>
      <c r="D9" s="15" t="inlineStr">
        <is>
          <t>Forecast horizon (26 weeks, W1 to W26).</t>
        </is>
      </c>
    </row>
    <row r="11" ht="22" customHeight="1">
      <c r="B11" s="12" t="inlineStr">
        <is>
          <t>2.  Pricing &amp; Cost (per unit, £)</t>
        </is>
      </c>
    </row>
    <row r="12" ht="24" customHeight="1">
      <c r="B12" s="13" t="inlineStr">
        <is>
          <t>Selling Price (MSRP)</t>
        </is>
      </c>
      <c r="C12" s="18" t="n">
        <v>15.99</v>
      </c>
      <c r="D12" s="15" t="inlineStr">
        <is>
          <t>Retail per pack.</t>
        </is>
      </c>
    </row>
    <row r="13" ht="24" customHeight="1">
      <c r="B13" s="13" t="inlineStr">
        <is>
          <t>Cost Price (landed)</t>
        </is>
      </c>
      <c r="C13" s="18" t="n">
        <v>7.29</v>
      </c>
      <c r="D13" s="15" t="inlineStr">
        <is>
          <t>Brand cost delivered.</t>
        </is>
      </c>
    </row>
    <row r="14" ht="24" customHeight="1">
      <c r="B14" s="13" t="inlineStr">
        <is>
          <t>Gross Margin per unit</t>
        </is>
      </c>
      <c r="C14" s="19">
        <f>C12-C13</f>
        <v/>
      </c>
      <c r="D14" s="15" t="inlineStr">
        <is>
          <t>Default = SP − Cost. Type over to override (display-only — Forecast uses SP and Cost).</t>
        </is>
      </c>
    </row>
    <row r="15" ht="24" customHeight="1">
      <c r="B15" s="13" t="inlineStr">
        <is>
          <t>Gross Margin %</t>
        </is>
      </c>
      <c r="C15" s="20">
        <f>IFERROR((C12-C13)/C12,0)</f>
        <v/>
      </c>
      <c r="D15" s="15" t="inlineStr">
        <is>
          <t>Default = GP ÷ SP. Type over to override (display-only).</t>
        </is>
      </c>
    </row>
    <row r="17" ht="22" customHeight="1">
      <c r="B17" s="12" t="inlineStr">
        <is>
          <t>3.  Base Demand (no promo)</t>
        </is>
      </c>
    </row>
    <row r="18" ht="24" customHeight="1">
      <c r="B18" s="13" t="inlineStr">
        <is>
          <t>Units / Warehouse / Week</t>
        </is>
      </c>
      <c r="C18" s="21" t="n">
        <v>13.79</v>
      </c>
      <c r="D18" s="15" t="inlineStr">
        <is>
          <t>From prior 30ml SKU run-rate (500 × 0.8 / 29).</t>
        </is>
      </c>
    </row>
    <row r="19" ht="24" customHeight="1">
      <c r="B19" s="13" t="inlineStr">
        <is>
          <t>Base Units / Week (all warehouses)</t>
        </is>
      </c>
      <c r="C19" s="22">
        <f>C18*C8</f>
        <v/>
      </c>
      <c r="D19" s="15" t="inlineStr">
        <is>
          <t>Default = per-wh rate × warehouses. Type over to set the all-wh weekly base directly.</t>
        </is>
      </c>
    </row>
    <row r="21" ht="22" customHeight="1">
      <c r="B21" s="12" t="inlineStr">
        <is>
          <t>4.  Promo Economics</t>
        </is>
      </c>
    </row>
    <row r="22" ht="24" customHeight="1">
      <c r="B22" s="13" t="inlineStr">
        <is>
          <t>Demo £ / warehouse / week</t>
        </is>
      </c>
      <c r="C22" s="23" t="n">
        <v>199</v>
      </c>
      <c r="D22" s="15" t="inlineStr">
        <is>
          <t>Costco standard demo rate.</t>
        </is>
      </c>
    </row>
    <row r="23" ht="24" customHeight="1">
      <c r="B23" s="13" t="inlineStr">
        <is>
          <t>Demo cost factor</t>
        </is>
      </c>
      <c r="C23" s="24" t="n">
        <v>1.86</v>
      </c>
      <c r="D23" s="15" t="inlineStr">
        <is>
          <t>Staffing + POS overhead multiplier.</t>
        </is>
      </c>
    </row>
    <row r="24" ht="24" customHeight="1">
      <c r="B24" s="13" t="inlineStr">
        <is>
          <t>Demo Total £ / week</t>
        </is>
      </c>
      <c r="C24" s="25">
        <f>C22*C8*C23</f>
        <v/>
      </c>
      <c r="D24" s="15" t="inlineStr">
        <is>
          <t>Default = rate × warehouses × factor. Type over to set total directly.</t>
        </is>
      </c>
    </row>
    <row r="25" ht="24" customHeight="1">
      <c r="B25" s="13" t="inlineStr">
        <is>
          <t>End Cap £ / warehouse / booking</t>
        </is>
      </c>
      <c r="C25" s="23" t="n">
        <v>850</v>
      </c>
      <c r="D25" s="15" t="inlineStr">
        <is>
          <t>Costco standard end cap rental per warehouse per booking.</t>
        </is>
      </c>
    </row>
    <row r="26" ht="24" customHeight="1">
      <c r="B26" s="13" t="inlineStr">
        <is>
          <t>End Cap cost factor</t>
        </is>
      </c>
      <c r="C26" s="24" t="n">
        <v>1.86</v>
      </c>
      <c r="D26" s="15" t="inlineStr">
        <is>
          <t>Same as demo.</t>
        </is>
      </c>
    </row>
    <row r="27" ht="24" customHeight="1">
      <c r="B27" s="13" t="inlineStr">
        <is>
          <t>End Cap booking cycle (weeks)</t>
        </is>
      </c>
      <c r="C27" s="17" t="n">
        <v>2</v>
      </c>
      <c r="D27" s="15" t="inlineStr">
        <is>
          <t>End cap is typically booked across 2 weeks; per-week cost = total ÷ this.</t>
        </is>
      </c>
    </row>
    <row r="28" ht="24" customHeight="1">
      <c r="B28" s="13" t="inlineStr">
        <is>
          <t>End Cap Total £ / week</t>
        </is>
      </c>
      <c r="C28" s="25">
        <f>C25*C8*C26/C27</f>
        <v/>
      </c>
      <c r="D28" s="15" t="inlineStr">
        <is>
          <t>Default = rate × warehouses × factor ÷ booking weeks. Type over to set directly.</t>
        </is>
      </c>
    </row>
    <row r="29" ht="24" customHeight="1">
      <c r="B29" s="13" t="inlineStr">
        <is>
          <t>Fence £ / week (when active)</t>
        </is>
      </c>
      <c r="C29" s="23" t="n">
        <v>0</v>
      </c>
      <c r="D29" s="15" t="inlineStr">
        <is>
          <t>Not currently budgeted.</t>
        </is>
      </c>
    </row>
    <row r="30" ht="24" customHeight="1">
      <c r="B30" s="13" t="inlineStr">
        <is>
          <t>Advertising £ / week (when active)</t>
        </is>
      </c>
      <c r="C30" s="23" t="n">
        <v>0</v>
      </c>
      <c r="D30" s="15" t="inlineStr">
        <is>
          <t>Not currently budgeted.</t>
        </is>
      </c>
    </row>
    <row r="31" ht="24" customHeight="1">
      <c r="B31" s="13" t="inlineStr">
        <is>
          <t>TPD discount % (of net)</t>
        </is>
      </c>
      <c r="C31" s="26" t="n">
        <v>0.25</v>
      </c>
      <c r="D31" s="15" t="inlineStr">
        <is>
          <t>20% off MSRP = 25% deduction on net.</t>
        </is>
      </c>
    </row>
    <row r="32" ht="24" customHeight="1">
      <c r="B32" s="13" t="inlineStr">
        <is>
          <t>Markdown discount %</t>
        </is>
      </c>
      <c r="C32" s="26" t="n">
        <v>0.5</v>
      </c>
      <c r="D32" s="15" t="inlineStr">
        <is>
          <t>Clearance pricing.</t>
        </is>
      </c>
    </row>
    <row r="34" ht="22" customHeight="1">
      <c r="B34" s="12" t="inlineStr">
        <is>
          <t>5.  Scenario activity &amp; demand lift</t>
        </is>
      </c>
    </row>
    <row r="35" ht="30" customHeight="1">
      <c r="B35" s="15" t="inlineStr">
        <is>
          <t>Toggle 1 = promo active, 0 = off per week. Lift is the demand multiplier vs base. Dates auto-fill from Test Start Date. All yellow cells are editable.</t>
        </is>
      </c>
    </row>
    <row r="37" ht="22" customHeight="1">
      <c r="B37" s="27" t="inlineStr">
        <is>
          <t>BEST – x2 Demo (Wks 5-6) + TPD</t>
        </is>
      </c>
    </row>
    <row r="38" ht="30" customHeight="1">
      <c r="B38" s="15" t="inlineStr">
        <is>
          <t>Rationale: Two demo weekends with TPD. Demo lifts ~3x in-week. No end cap, no markdown.</t>
        </is>
      </c>
    </row>
    <row r="39">
      <c r="B39" s="28" t="inlineStr">
        <is>
          <t>Week</t>
        </is>
      </c>
      <c r="F39" s="29" t="inlineStr">
        <is>
          <t>W1</t>
        </is>
      </c>
      <c r="G39" s="29" t="inlineStr">
        <is>
          <t>W2</t>
        </is>
      </c>
      <c r="H39" s="29" t="inlineStr">
        <is>
          <t>W3</t>
        </is>
      </c>
      <c r="I39" s="29" t="inlineStr">
        <is>
          <t>W4</t>
        </is>
      </c>
      <c r="J39" s="29" t="inlineStr">
        <is>
          <t>W5</t>
        </is>
      </c>
      <c r="K39" s="29" t="inlineStr">
        <is>
          <t>W6</t>
        </is>
      </c>
      <c r="L39" s="29" t="inlineStr">
        <is>
          <t>W7</t>
        </is>
      </c>
      <c r="M39" s="29" t="inlineStr">
        <is>
          <t>W8</t>
        </is>
      </c>
      <c r="N39" s="29" t="inlineStr">
        <is>
          <t>W9</t>
        </is>
      </c>
      <c r="O39" s="29" t="inlineStr">
        <is>
          <t>W10</t>
        </is>
      </c>
      <c r="P39" s="29" t="inlineStr">
        <is>
          <t>W11</t>
        </is>
      </c>
      <c r="Q39" s="29" t="inlineStr">
        <is>
          <t>W12</t>
        </is>
      </c>
      <c r="R39" s="29" t="inlineStr">
        <is>
          <t>W13</t>
        </is>
      </c>
      <c r="S39" s="29" t="inlineStr">
        <is>
          <t>W14</t>
        </is>
      </c>
      <c r="T39" s="29" t="inlineStr">
        <is>
          <t>W15</t>
        </is>
      </c>
      <c r="U39" s="29" t="inlineStr">
        <is>
          <t>W16</t>
        </is>
      </c>
      <c r="V39" s="29" t="inlineStr">
        <is>
          <t>W17</t>
        </is>
      </c>
      <c r="W39" s="29" t="inlineStr">
        <is>
          <t>W18</t>
        </is>
      </c>
      <c r="X39" s="29" t="inlineStr">
        <is>
          <t>W19</t>
        </is>
      </c>
      <c r="Y39" s="29" t="inlineStr">
        <is>
          <t>W20</t>
        </is>
      </c>
      <c r="Z39" s="29" t="inlineStr">
        <is>
          <t>W21</t>
        </is>
      </c>
      <c r="AA39" s="29" t="inlineStr">
        <is>
          <t>W22</t>
        </is>
      </c>
      <c r="AB39" s="29" t="inlineStr">
        <is>
          <t>W23</t>
        </is>
      </c>
      <c r="AC39" s="29" t="inlineStr">
        <is>
          <t>W24</t>
        </is>
      </c>
      <c r="AD39" s="29" t="inlineStr">
        <is>
          <t>W25</t>
        </is>
      </c>
      <c r="AE39" s="29" t="inlineStr">
        <is>
          <t>W26</t>
        </is>
      </c>
    </row>
    <row r="40">
      <c r="B40" s="28" t="inlineStr">
        <is>
          <t>Wk-commencing</t>
        </is>
      </c>
      <c r="F40" s="30">
        <f>StartDate+7*0</f>
        <v/>
      </c>
      <c r="G40" s="30">
        <f>StartDate+7*1</f>
        <v/>
      </c>
      <c r="H40" s="30">
        <f>StartDate+7*2</f>
        <v/>
      </c>
      <c r="I40" s="30">
        <f>StartDate+7*3</f>
        <v/>
      </c>
      <c r="J40" s="30">
        <f>StartDate+7*4</f>
        <v/>
      </c>
      <c r="K40" s="30">
        <f>StartDate+7*5</f>
        <v/>
      </c>
      <c r="L40" s="30">
        <f>StartDate+7*6</f>
        <v/>
      </c>
      <c r="M40" s="30">
        <f>StartDate+7*7</f>
        <v/>
      </c>
      <c r="N40" s="30">
        <f>StartDate+7*8</f>
        <v/>
      </c>
      <c r="O40" s="30">
        <f>StartDate+7*9</f>
        <v/>
      </c>
      <c r="P40" s="30">
        <f>StartDate+7*10</f>
        <v/>
      </c>
      <c r="Q40" s="30">
        <f>StartDate+7*11</f>
        <v/>
      </c>
      <c r="R40" s="30">
        <f>StartDate+7*12</f>
        <v/>
      </c>
      <c r="S40" s="30">
        <f>StartDate+7*13</f>
        <v/>
      </c>
      <c r="T40" s="30">
        <f>StartDate+7*14</f>
        <v/>
      </c>
      <c r="U40" s="30">
        <f>StartDate+7*15</f>
        <v/>
      </c>
      <c r="V40" s="30">
        <f>StartDate+7*16</f>
        <v/>
      </c>
      <c r="W40" s="30">
        <f>StartDate+7*17</f>
        <v/>
      </c>
      <c r="X40" s="30">
        <f>StartDate+7*18</f>
        <v/>
      </c>
      <c r="Y40" s="30">
        <f>StartDate+7*19</f>
        <v/>
      </c>
      <c r="Z40" s="30">
        <f>StartDate+7*20</f>
        <v/>
      </c>
      <c r="AA40" s="30">
        <f>StartDate+7*21</f>
        <v/>
      </c>
      <c r="AB40" s="30">
        <f>StartDate+7*22</f>
        <v/>
      </c>
      <c r="AC40" s="30">
        <f>StartDate+7*23</f>
        <v/>
      </c>
      <c r="AD40" s="30">
        <f>StartDate+7*24</f>
        <v/>
      </c>
      <c r="AE40" s="30">
        <f>StartDate+7*25</f>
        <v/>
      </c>
    </row>
    <row r="41">
      <c r="B41" s="13" t="inlineStr">
        <is>
          <t>Demo</t>
        </is>
      </c>
      <c r="F41" s="31" t="n">
        <v>0</v>
      </c>
      <c r="G41" s="31" t="n">
        <v>0</v>
      </c>
      <c r="H41" s="31" t="n">
        <v>0</v>
      </c>
      <c r="I41" s="31" t="n">
        <v>0</v>
      </c>
      <c r="J41" s="31" t="n">
        <v>1</v>
      </c>
      <c r="K41" s="31" t="n">
        <v>1</v>
      </c>
      <c r="L41" s="31" t="n">
        <v>0</v>
      </c>
      <c r="M41" s="31" t="n">
        <v>0</v>
      </c>
      <c r="N41" s="31" t="n">
        <v>0</v>
      </c>
      <c r="O41" s="31" t="n">
        <v>0</v>
      </c>
      <c r="P41" s="31" t="n">
        <v>0</v>
      </c>
      <c r="Q41" s="31" t="n">
        <v>0</v>
      </c>
      <c r="R41" s="31" t="n">
        <v>0</v>
      </c>
      <c r="S41" s="31" t="n">
        <v>0</v>
      </c>
      <c r="T41" s="31" t="n">
        <v>0</v>
      </c>
      <c r="U41" s="31" t="n">
        <v>0</v>
      </c>
      <c r="V41" s="31" t="n">
        <v>0</v>
      </c>
      <c r="W41" s="31" t="n">
        <v>0</v>
      </c>
      <c r="X41" s="31" t="n">
        <v>0</v>
      </c>
      <c r="Y41" s="31" t="n">
        <v>0</v>
      </c>
      <c r="Z41" s="31" t="n">
        <v>0</v>
      </c>
      <c r="AA41" s="31" t="n">
        <v>0</v>
      </c>
      <c r="AB41" s="31" t="n">
        <v>0</v>
      </c>
      <c r="AC41" s="31" t="n">
        <v>0</v>
      </c>
      <c r="AD41" s="31" t="n">
        <v>0</v>
      </c>
      <c r="AE41" s="31" t="n">
        <v>0</v>
      </c>
    </row>
    <row r="42">
      <c r="B42" s="13" t="inlineStr">
        <is>
          <t>End Cap</t>
        </is>
      </c>
      <c r="F42" s="31" t="n">
        <v>0</v>
      </c>
      <c r="G42" s="31" t="n">
        <v>0</v>
      </c>
      <c r="H42" s="31" t="n">
        <v>0</v>
      </c>
      <c r="I42" s="31" t="n">
        <v>0</v>
      </c>
      <c r="J42" s="31" t="n">
        <v>0</v>
      </c>
      <c r="K42" s="31" t="n">
        <v>0</v>
      </c>
      <c r="L42" s="31" t="n">
        <v>0</v>
      </c>
      <c r="M42" s="31" t="n">
        <v>0</v>
      </c>
      <c r="N42" s="31" t="n">
        <v>0</v>
      </c>
      <c r="O42" s="31" t="n">
        <v>0</v>
      </c>
      <c r="P42" s="31" t="n">
        <v>0</v>
      </c>
      <c r="Q42" s="31" t="n">
        <v>0</v>
      </c>
      <c r="R42" s="31" t="n">
        <v>0</v>
      </c>
      <c r="S42" s="31" t="n">
        <v>0</v>
      </c>
      <c r="T42" s="31" t="n">
        <v>0</v>
      </c>
      <c r="U42" s="31" t="n">
        <v>0</v>
      </c>
      <c r="V42" s="31" t="n">
        <v>0</v>
      </c>
      <c r="W42" s="31" t="n">
        <v>0</v>
      </c>
      <c r="X42" s="31" t="n">
        <v>0</v>
      </c>
      <c r="Y42" s="31" t="n">
        <v>0</v>
      </c>
      <c r="Z42" s="31" t="n">
        <v>0</v>
      </c>
      <c r="AA42" s="31" t="n">
        <v>0</v>
      </c>
      <c r="AB42" s="31" t="n">
        <v>0</v>
      </c>
      <c r="AC42" s="31" t="n">
        <v>0</v>
      </c>
      <c r="AD42" s="31" t="n">
        <v>0</v>
      </c>
      <c r="AE42" s="31" t="n">
        <v>0</v>
      </c>
    </row>
    <row r="43">
      <c r="B43" s="13" t="inlineStr">
        <is>
          <t>Fence</t>
        </is>
      </c>
      <c r="F43" s="31" t="n">
        <v>0</v>
      </c>
      <c r="G43" s="31" t="n">
        <v>0</v>
      </c>
      <c r="H43" s="31" t="n">
        <v>0</v>
      </c>
      <c r="I43" s="31" t="n">
        <v>0</v>
      </c>
      <c r="J43" s="31" t="n">
        <v>0</v>
      </c>
      <c r="K43" s="31" t="n">
        <v>0</v>
      </c>
      <c r="L43" s="31" t="n">
        <v>0</v>
      </c>
      <c r="M43" s="31" t="n">
        <v>0</v>
      </c>
      <c r="N43" s="31" t="n">
        <v>0</v>
      </c>
      <c r="O43" s="31" t="n">
        <v>0</v>
      </c>
      <c r="P43" s="31" t="n">
        <v>0</v>
      </c>
      <c r="Q43" s="31" t="n">
        <v>0</v>
      </c>
      <c r="R43" s="31" t="n">
        <v>0</v>
      </c>
      <c r="S43" s="31" t="n">
        <v>0</v>
      </c>
      <c r="T43" s="31" t="n">
        <v>0</v>
      </c>
      <c r="U43" s="31" t="n">
        <v>0</v>
      </c>
      <c r="V43" s="31" t="n">
        <v>0</v>
      </c>
      <c r="W43" s="31" t="n">
        <v>0</v>
      </c>
      <c r="X43" s="31" t="n">
        <v>0</v>
      </c>
      <c r="Y43" s="31" t="n">
        <v>0</v>
      </c>
      <c r="Z43" s="31" t="n">
        <v>0</v>
      </c>
      <c r="AA43" s="31" t="n">
        <v>0</v>
      </c>
      <c r="AB43" s="31" t="n">
        <v>0</v>
      </c>
      <c r="AC43" s="31" t="n">
        <v>0</v>
      </c>
      <c r="AD43" s="31" t="n">
        <v>0</v>
      </c>
      <c r="AE43" s="31" t="n">
        <v>0</v>
      </c>
    </row>
    <row r="44">
      <c r="B44" s="13" t="inlineStr">
        <is>
          <t>TPD</t>
        </is>
      </c>
      <c r="F44" s="31" t="n">
        <v>0</v>
      </c>
      <c r="G44" s="31" t="n">
        <v>0</v>
      </c>
      <c r="H44" s="31" t="n">
        <v>0</v>
      </c>
      <c r="I44" s="31" t="n">
        <v>0</v>
      </c>
      <c r="J44" s="31" t="n">
        <v>1</v>
      </c>
      <c r="K44" s="31" t="n">
        <v>1</v>
      </c>
      <c r="L44" s="31" t="n">
        <v>0</v>
      </c>
      <c r="M44" s="31" t="n">
        <v>0</v>
      </c>
      <c r="N44" s="31" t="n">
        <v>0</v>
      </c>
      <c r="O44" s="31" t="n">
        <v>0</v>
      </c>
      <c r="P44" s="31" t="n">
        <v>0</v>
      </c>
      <c r="Q44" s="31" t="n">
        <v>0</v>
      </c>
      <c r="R44" s="31" t="n">
        <v>0</v>
      </c>
      <c r="S44" s="31" t="n">
        <v>0</v>
      </c>
      <c r="T44" s="31" t="n">
        <v>0</v>
      </c>
      <c r="U44" s="31" t="n">
        <v>0</v>
      </c>
      <c r="V44" s="31" t="n">
        <v>0</v>
      </c>
      <c r="W44" s="31" t="n">
        <v>0</v>
      </c>
      <c r="X44" s="31" t="n">
        <v>0</v>
      </c>
      <c r="Y44" s="31" t="n">
        <v>0</v>
      </c>
      <c r="Z44" s="31" t="n">
        <v>0</v>
      </c>
      <c r="AA44" s="31" t="n">
        <v>0</v>
      </c>
      <c r="AB44" s="31" t="n">
        <v>0</v>
      </c>
      <c r="AC44" s="31" t="n">
        <v>0</v>
      </c>
      <c r="AD44" s="31" t="n">
        <v>0</v>
      </c>
      <c r="AE44" s="31" t="n">
        <v>0</v>
      </c>
    </row>
    <row r="45">
      <c r="B45" s="13" t="inlineStr">
        <is>
          <t>Markdown</t>
        </is>
      </c>
      <c r="F45" s="31" t="n">
        <v>0</v>
      </c>
      <c r="G45" s="31" t="n">
        <v>0</v>
      </c>
      <c r="H45" s="31" t="n">
        <v>0</v>
      </c>
      <c r="I45" s="31" t="n">
        <v>0</v>
      </c>
      <c r="J45" s="31" t="n">
        <v>0</v>
      </c>
      <c r="K45" s="31" t="n">
        <v>0</v>
      </c>
      <c r="L45" s="31" t="n">
        <v>0</v>
      </c>
      <c r="M45" s="31" t="n">
        <v>0</v>
      </c>
      <c r="N45" s="31" t="n">
        <v>0</v>
      </c>
      <c r="O45" s="31" t="n">
        <v>0</v>
      </c>
      <c r="P45" s="31" t="n">
        <v>0</v>
      </c>
      <c r="Q45" s="31" t="n">
        <v>0</v>
      </c>
      <c r="R45" s="31" t="n">
        <v>0</v>
      </c>
      <c r="S45" s="31" t="n">
        <v>0</v>
      </c>
      <c r="T45" s="31" t="n">
        <v>0</v>
      </c>
      <c r="U45" s="31" t="n">
        <v>0</v>
      </c>
      <c r="V45" s="31" t="n">
        <v>0</v>
      </c>
      <c r="W45" s="31" t="n">
        <v>0</v>
      </c>
      <c r="X45" s="31" t="n">
        <v>0</v>
      </c>
      <c r="Y45" s="31" t="n">
        <v>0</v>
      </c>
      <c r="Z45" s="31" t="n">
        <v>0</v>
      </c>
      <c r="AA45" s="31" t="n">
        <v>0</v>
      </c>
      <c r="AB45" s="31" t="n">
        <v>0</v>
      </c>
      <c r="AC45" s="31" t="n">
        <v>0</v>
      </c>
      <c r="AD45" s="31" t="n">
        <v>0</v>
      </c>
      <c r="AE45" s="31" t="n">
        <v>0</v>
      </c>
    </row>
    <row r="46">
      <c r="B46" s="13" t="inlineStr">
        <is>
          <t>Advert</t>
        </is>
      </c>
      <c r="F46" s="31" t="n">
        <v>0</v>
      </c>
      <c r="G46" s="31" t="n">
        <v>0</v>
      </c>
      <c r="H46" s="31" t="n">
        <v>0</v>
      </c>
      <c r="I46" s="31" t="n">
        <v>0</v>
      </c>
      <c r="J46" s="31" t="n">
        <v>0</v>
      </c>
      <c r="K46" s="31" t="n">
        <v>0</v>
      </c>
      <c r="L46" s="31" t="n">
        <v>0</v>
      </c>
      <c r="M46" s="31" t="n">
        <v>0</v>
      </c>
      <c r="N46" s="31" t="n">
        <v>0</v>
      </c>
      <c r="O46" s="31" t="n">
        <v>0</v>
      </c>
      <c r="P46" s="31" t="n">
        <v>0</v>
      </c>
      <c r="Q46" s="31" t="n">
        <v>0</v>
      </c>
      <c r="R46" s="31" t="n">
        <v>0</v>
      </c>
      <c r="S46" s="31" t="n">
        <v>0</v>
      </c>
      <c r="T46" s="31" t="n">
        <v>0</v>
      </c>
      <c r="U46" s="31" t="n">
        <v>0</v>
      </c>
      <c r="V46" s="31" t="n">
        <v>0</v>
      </c>
      <c r="W46" s="31" t="n">
        <v>0</v>
      </c>
      <c r="X46" s="31" t="n">
        <v>0</v>
      </c>
      <c r="Y46" s="31" t="n">
        <v>0</v>
      </c>
      <c r="Z46" s="31" t="n">
        <v>0</v>
      </c>
      <c r="AA46" s="31" t="n">
        <v>0</v>
      </c>
      <c r="AB46" s="31" t="n">
        <v>0</v>
      </c>
      <c r="AC46" s="31" t="n">
        <v>0</v>
      </c>
      <c r="AD46" s="31" t="n">
        <v>0</v>
      </c>
      <c r="AE46" s="31" t="n">
        <v>0</v>
      </c>
    </row>
    <row r="47">
      <c r="B47" s="13" t="inlineStr">
        <is>
          <t>Lift Multiplier (x base)</t>
        </is>
      </c>
      <c r="F47" s="32" t="n">
        <v>1</v>
      </c>
      <c r="G47" s="32" t="n">
        <v>1</v>
      </c>
      <c r="H47" s="32" t="n">
        <v>1</v>
      </c>
      <c r="I47" s="32" t="n">
        <v>1</v>
      </c>
      <c r="J47" s="32" t="n">
        <v>3</v>
      </c>
      <c r="K47" s="32" t="n">
        <v>3</v>
      </c>
      <c r="L47" s="32" t="n">
        <v>1</v>
      </c>
      <c r="M47" s="32" t="n">
        <v>1</v>
      </c>
      <c r="N47" s="32" t="n">
        <v>1</v>
      </c>
      <c r="O47" s="32" t="n">
        <v>1</v>
      </c>
      <c r="P47" s="32" t="n">
        <v>1</v>
      </c>
      <c r="Q47" s="32" t="n">
        <v>1</v>
      </c>
      <c r="R47" s="32" t="n">
        <v>1</v>
      </c>
      <c r="S47" s="32" t="n">
        <v>1</v>
      </c>
      <c r="T47" s="32" t="n">
        <v>1</v>
      </c>
      <c r="U47" s="32" t="n">
        <v>1</v>
      </c>
      <c r="V47" s="32" t="n">
        <v>1</v>
      </c>
      <c r="W47" s="32" t="n">
        <v>1</v>
      </c>
      <c r="X47" s="32" t="n">
        <v>1</v>
      </c>
      <c r="Y47" s="32" t="n">
        <v>1</v>
      </c>
      <c r="Z47" s="32" t="n">
        <v>1</v>
      </c>
      <c r="AA47" s="32" t="n">
        <v>1</v>
      </c>
      <c r="AB47" s="32" t="n">
        <v>1</v>
      </c>
      <c r="AC47" s="32" t="n">
        <v>1</v>
      </c>
      <c r="AD47" s="32" t="n">
        <v>1</v>
      </c>
      <c r="AE47" s="32" t="n">
        <v>1</v>
      </c>
    </row>
    <row r="49" ht="22" customHeight="1">
      <c r="B49" s="27" t="inlineStr">
        <is>
          <t>IDEAL – x2 Demo + End Cap (Wks 5-6) + TPD</t>
        </is>
      </c>
    </row>
    <row r="50" ht="30" customHeight="1">
      <c r="B50" s="15" t="inlineStr">
        <is>
          <t>Rationale: Demo + end cap + TPD stacked for two weeks. Combined velocity ~3.6x base.</t>
        </is>
      </c>
    </row>
    <row r="51">
      <c r="B51" s="28" t="inlineStr">
        <is>
          <t>Week</t>
        </is>
      </c>
      <c r="F51" s="29" t="inlineStr">
        <is>
          <t>W1</t>
        </is>
      </c>
      <c r="G51" s="29" t="inlineStr">
        <is>
          <t>W2</t>
        </is>
      </c>
      <c r="H51" s="29" t="inlineStr">
        <is>
          <t>W3</t>
        </is>
      </c>
      <c r="I51" s="29" t="inlineStr">
        <is>
          <t>W4</t>
        </is>
      </c>
      <c r="J51" s="29" t="inlineStr">
        <is>
          <t>W5</t>
        </is>
      </c>
      <c r="K51" s="29" t="inlineStr">
        <is>
          <t>W6</t>
        </is>
      </c>
      <c r="L51" s="29" t="inlineStr">
        <is>
          <t>W7</t>
        </is>
      </c>
      <c r="M51" s="29" t="inlineStr">
        <is>
          <t>W8</t>
        </is>
      </c>
      <c r="N51" s="29" t="inlineStr">
        <is>
          <t>W9</t>
        </is>
      </c>
      <c r="O51" s="29" t="inlineStr">
        <is>
          <t>W10</t>
        </is>
      </c>
      <c r="P51" s="29" t="inlineStr">
        <is>
          <t>W11</t>
        </is>
      </c>
      <c r="Q51" s="29" t="inlineStr">
        <is>
          <t>W12</t>
        </is>
      </c>
      <c r="R51" s="29" t="inlineStr">
        <is>
          <t>W13</t>
        </is>
      </c>
      <c r="S51" s="29" t="inlineStr">
        <is>
          <t>W14</t>
        </is>
      </c>
      <c r="T51" s="29" t="inlineStr">
        <is>
          <t>W15</t>
        </is>
      </c>
      <c r="U51" s="29" t="inlineStr">
        <is>
          <t>W16</t>
        </is>
      </c>
      <c r="V51" s="29" t="inlineStr">
        <is>
          <t>W17</t>
        </is>
      </c>
      <c r="W51" s="29" t="inlineStr">
        <is>
          <t>W18</t>
        </is>
      </c>
      <c r="X51" s="29" t="inlineStr">
        <is>
          <t>W19</t>
        </is>
      </c>
      <c r="Y51" s="29" t="inlineStr">
        <is>
          <t>W20</t>
        </is>
      </c>
      <c r="Z51" s="29" t="inlineStr">
        <is>
          <t>W21</t>
        </is>
      </c>
      <c r="AA51" s="29" t="inlineStr">
        <is>
          <t>W22</t>
        </is>
      </c>
      <c r="AB51" s="29" t="inlineStr">
        <is>
          <t>W23</t>
        </is>
      </c>
      <c r="AC51" s="29" t="inlineStr">
        <is>
          <t>W24</t>
        </is>
      </c>
      <c r="AD51" s="29" t="inlineStr">
        <is>
          <t>W25</t>
        </is>
      </c>
      <c r="AE51" s="29" t="inlineStr">
        <is>
          <t>W26</t>
        </is>
      </c>
    </row>
    <row r="52">
      <c r="B52" s="28" t="inlineStr">
        <is>
          <t>Wk-commencing</t>
        </is>
      </c>
      <c r="F52" s="30">
        <f>StartDate+7*0</f>
        <v/>
      </c>
      <c r="G52" s="30">
        <f>StartDate+7*1</f>
        <v/>
      </c>
      <c r="H52" s="30">
        <f>StartDate+7*2</f>
        <v/>
      </c>
      <c r="I52" s="30">
        <f>StartDate+7*3</f>
        <v/>
      </c>
      <c r="J52" s="30">
        <f>StartDate+7*4</f>
        <v/>
      </c>
      <c r="K52" s="30">
        <f>StartDate+7*5</f>
        <v/>
      </c>
      <c r="L52" s="30">
        <f>StartDate+7*6</f>
        <v/>
      </c>
      <c r="M52" s="30">
        <f>StartDate+7*7</f>
        <v/>
      </c>
      <c r="N52" s="30">
        <f>StartDate+7*8</f>
        <v/>
      </c>
      <c r="O52" s="30">
        <f>StartDate+7*9</f>
        <v/>
      </c>
      <c r="P52" s="30">
        <f>StartDate+7*10</f>
        <v/>
      </c>
      <c r="Q52" s="30">
        <f>StartDate+7*11</f>
        <v/>
      </c>
      <c r="R52" s="30">
        <f>StartDate+7*12</f>
        <v/>
      </c>
      <c r="S52" s="30">
        <f>StartDate+7*13</f>
        <v/>
      </c>
      <c r="T52" s="30">
        <f>StartDate+7*14</f>
        <v/>
      </c>
      <c r="U52" s="30">
        <f>StartDate+7*15</f>
        <v/>
      </c>
      <c r="V52" s="30">
        <f>StartDate+7*16</f>
        <v/>
      </c>
      <c r="W52" s="30">
        <f>StartDate+7*17</f>
        <v/>
      </c>
      <c r="X52" s="30">
        <f>StartDate+7*18</f>
        <v/>
      </c>
      <c r="Y52" s="30">
        <f>StartDate+7*19</f>
        <v/>
      </c>
      <c r="Z52" s="30">
        <f>StartDate+7*20</f>
        <v/>
      </c>
      <c r="AA52" s="30">
        <f>StartDate+7*21</f>
        <v/>
      </c>
      <c r="AB52" s="30">
        <f>StartDate+7*22</f>
        <v/>
      </c>
      <c r="AC52" s="30">
        <f>StartDate+7*23</f>
        <v/>
      </c>
      <c r="AD52" s="30">
        <f>StartDate+7*24</f>
        <v/>
      </c>
      <c r="AE52" s="30">
        <f>StartDate+7*25</f>
        <v/>
      </c>
    </row>
    <row r="53">
      <c r="B53" s="13" t="inlineStr">
        <is>
          <t>Demo</t>
        </is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1</v>
      </c>
      <c r="K53" s="31" t="n">
        <v>1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  <c r="X53" s="31" t="n">
        <v>0</v>
      </c>
      <c r="Y53" s="31" t="n">
        <v>0</v>
      </c>
      <c r="Z53" s="31" t="n">
        <v>0</v>
      </c>
      <c r="AA53" s="31" t="n">
        <v>0</v>
      </c>
      <c r="AB53" s="31" t="n">
        <v>0</v>
      </c>
      <c r="AC53" s="31" t="n">
        <v>0</v>
      </c>
      <c r="AD53" s="31" t="n">
        <v>0</v>
      </c>
      <c r="AE53" s="31" t="n">
        <v>0</v>
      </c>
    </row>
    <row r="54">
      <c r="B54" s="13" t="inlineStr">
        <is>
          <t>End Cap</t>
        </is>
      </c>
      <c r="F54" s="31" t="n">
        <v>0</v>
      </c>
      <c r="G54" s="31" t="n">
        <v>0</v>
      </c>
      <c r="H54" s="31" t="n">
        <v>0</v>
      </c>
      <c r="I54" s="31" t="n">
        <v>0</v>
      </c>
      <c r="J54" s="31" t="n">
        <v>1</v>
      </c>
      <c r="K54" s="31" t="n">
        <v>1</v>
      </c>
      <c r="L54" s="31" t="n">
        <v>0</v>
      </c>
      <c r="M54" s="31" t="n">
        <v>0</v>
      </c>
      <c r="N54" s="31" t="n">
        <v>0</v>
      </c>
      <c r="O54" s="31" t="n">
        <v>0</v>
      </c>
      <c r="P54" s="31" t="n">
        <v>0</v>
      </c>
      <c r="Q54" s="31" t="n">
        <v>0</v>
      </c>
      <c r="R54" s="31" t="n">
        <v>0</v>
      </c>
      <c r="S54" s="31" t="n">
        <v>0</v>
      </c>
      <c r="T54" s="31" t="n">
        <v>0</v>
      </c>
      <c r="U54" s="31" t="n">
        <v>0</v>
      </c>
      <c r="V54" s="31" t="n">
        <v>0</v>
      </c>
      <c r="W54" s="31" t="n">
        <v>0</v>
      </c>
      <c r="X54" s="31" t="n">
        <v>0</v>
      </c>
      <c r="Y54" s="31" t="n">
        <v>0</v>
      </c>
      <c r="Z54" s="31" t="n">
        <v>0</v>
      </c>
      <c r="AA54" s="31" t="n">
        <v>0</v>
      </c>
      <c r="AB54" s="31" t="n">
        <v>0</v>
      </c>
      <c r="AC54" s="31" t="n">
        <v>0</v>
      </c>
      <c r="AD54" s="31" t="n">
        <v>0</v>
      </c>
      <c r="AE54" s="31" t="n">
        <v>0</v>
      </c>
    </row>
    <row r="55">
      <c r="B55" s="13" t="inlineStr">
        <is>
          <t>Fence</t>
        </is>
      </c>
      <c r="F55" s="31" t="n">
        <v>0</v>
      </c>
      <c r="G55" s="31" t="n">
        <v>0</v>
      </c>
      <c r="H55" s="31" t="n">
        <v>0</v>
      </c>
      <c r="I55" s="31" t="n">
        <v>0</v>
      </c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  <c r="X55" s="31" t="n">
        <v>0</v>
      </c>
      <c r="Y55" s="31" t="n">
        <v>0</v>
      </c>
      <c r="Z55" s="31" t="n">
        <v>0</v>
      </c>
      <c r="AA55" s="31" t="n">
        <v>0</v>
      </c>
      <c r="AB55" s="31" t="n">
        <v>0</v>
      </c>
      <c r="AC55" s="31" t="n">
        <v>0</v>
      </c>
      <c r="AD55" s="31" t="n">
        <v>0</v>
      </c>
      <c r="AE55" s="31" t="n">
        <v>0</v>
      </c>
    </row>
    <row r="56">
      <c r="B56" s="13" t="inlineStr">
        <is>
          <t>TPD</t>
        </is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1</v>
      </c>
      <c r="K56" s="31" t="n">
        <v>1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0</v>
      </c>
      <c r="T56" s="31" t="n">
        <v>0</v>
      </c>
      <c r="U56" s="31" t="n">
        <v>0</v>
      </c>
      <c r="V56" s="31" t="n">
        <v>0</v>
      </c>
      <c r="W56" s="31" t="n">
        <v>0</v>
      </c>
      <c r="X56" s="31" t="n">
        <v>0</v>
      </c>
      <c r="Y56" s="31" t="n">
        <v>0</v>
      </c>
      <c r="Z56" s="31" t="n">
        <v>0</v>
      </c>
      <c r="AA56" s="31" t="n">
        <v>0</v>
      </c>
      <c r="AB56" s="31" t="n">
        <v>0</v>
      </c>
      <c r="AC56" s="31" t="n">
        <v>0</v>
      </c>
      <c r="AD56" s="31" t="n">
        <v>0</v>
      </c>
      <c r="AE56" s="31" t="n">
        <v>0</v>
      </c>
    </row>
    <row r="57">
      <c r="B57" s="13" t="inlineStr">
        <is>
          <t>Markdown</t>
        </is>
      </c>
      <c r="F57" s="31" t="n">
        <v>0</v>
      </c>
      <c r="G57" s="31" t="n">
        <v>0</v>
      </c>
      <c r="H57" s="31" t="n">
        <v>0</v>
      </c>
      <c r="I57" s="31" t="n">
        <v>0</v>
      </c>
      <c r="J57" s="31" t="n">
        <v>0</v>
      </c>
      <c r="K57" s="31" t="n">
        <v>0</v>
      </c>
      <c r="L57" s="31" t="n">
        <v>0</v>
      </c>
      <c r="M57" s="31" t="n">
        <v>0</v>
      </c>
      <c r="N57" s="31" t="n">
        <v>0</v>
      </c>
      <c r="O57" s="31" t="n">
        <v>0</v>
      </c>
      <c r="P57" s="31" t="n">
        <v>0</v>
      </c>
      <c r="Q57" s="31" t="n">
        <v>0</v>
      </c>
      <c r="R57" s="31" t="n">
        <v>0</v>
      </c>
      <c r="S57" s="31" t="n">
        <v>0</v>
      </c>
      <c r="T57" s="31" t="n">
        <v>0</v>
      </c>
      <c r="U57" s="31" t="n">
        <v>0</v>
      </c>
      <c r="V57" s="31" t="n">
        <v>0</v>
      </c>
      <c r="W57" s="31" t="n">
        <v>0</v>
      </c>
      <c r="X57" s="31" t="n">
        <v>0</v>
      </c>
      <c r="Y57" s="31" t="n">
        <v>0</v>
      </c>
      <c r="Z57" s="31" t="n">
        <v>0</v>
      </c>
      <c r="AA57" s="31" t="n">
        <v>0</v>
      </c>
      <c r="AB57" s="31" t="n">
        <v>0</v>
      </c>
      <c r="AC57" s="31" t="n">
        <v>0</v>
      </c>
      <c r="AD57" s="31" t="n">
        <v>0</v>
      </c>
      <c r="AE57" s="31" t="n">
        <v>0</v>
      </c>
    </row>
    <row r="58">
      <c r="B58" s="13" t="inlineStr">
        <is>
          <t>Advert</t>
        </is>
      </c>
      <c r="F58" s="31" t="n">
        <v>0</v>
      </c>
      <c r="G58" s="31" t="n">
        <v>0</v>
      </c>
      <c r="H58" s="31" t="n">
        <v>0</v>
      </c>
      <c r="I58" s="31" t="n">
        <v>0</v>
      </c>
      <c r="J58" s="31" t="n">
        <v>0</v>
      </c>
      <c r="K58" s="31" t="n">
        <v>0</v>
      </c>
      <c r="L58" s="31" t="n">
        <v>0</v>
      </c>
      <c r="M58" s="31" t="n">
        <v>0</v>
      </c>
      <c r="N58" s="31" t="n">
        <v>0</v>
      </c>
      <c r="O58" s="31" t="n">
        <v>0</v>
      </c>
      <c r="P58" s="31" t="n">
        <v>0</v>
      </c>
      <c r="Q58" s="31" t="n">
        <v>0</v>
      </c>
      <c r="R58" s="31" t="n">
        <v>0</v>
      </c>
      <c r="S58" s="31" t="n">
        <v>0</v>
      </c>
      <c r="T58" s="31" t="n">
        <v>0</v>
      </c>
      <c r="U58" s="31" t="n">
        <v>0</v>
      </c>
      <c r="V58" s="31" t="n">
        <v>0</v>
      </c>
      <c r="W58" s="31" t="n">
        <v>0</v>
      </c>
      <c r="X58" s="31" t="n">
        <v>0</v>
      </c>
      <c r="Y58" s="31" t="n">
        <v>0</v>
      </c>
      <c r="Z58" s="31" t="n">
        <v>0</v>
      </c>
      <c r="AA58" s="31" t="n">
        <v>0</v>
      </c>
      <c r="AB58" s="31" t="n">
        <v>0</v>
      </c>
      <c r="AC58" s="31" t="n">
        <v>0</v>
      </c>
      <c r="AD58" s="31" t="n">
        <v>0</v>
      </c>
      <c r="AE58" s="31" t="n">
        <v>0</v>
      </c>
    </row>
    <row r="59">
      <c r="B59" s="13" t="inlineStr">
        <is>
          <t>Lift Multiplier (x base)</t>
        </is>
      </c>
      <c r="F59" s="32" t="n">
        <v>1</v>
      </c>
      <c r="G59" s="32" t="n">
        <v>1</v>
      </c>
      <c r="H59" s="32" t="n">
        <v>1</v>
      </c>
      <c r="I59" s="32" t="n">
        <v>1</v>
      </c>
      <c r="J59" s="32" t="n">
        <v>3.6</v>
      </c>
      <c r="K59" s="32" t="n">
        <v>3.6</v>
      </c>
      <c r="L59" s="32" t="n">
        <v>1</v>
      </c>
      <c r="M59" s="32" t="n">
        <v>1</v>
      </c>
      <c r="N59" s="32" t="n">
        <v>1</v>
      </c>
      <c r="O59" s="32" t="n">
        <v>1</v>
      </c>
      <c r="P59" s="32" t="n">
        <v>1</v>
      </c>
      <c r="Q59" s="32" t="n">
        <v>1</v>
      </c>
      <c r="R59" s="32" t="n">
        <v>1</v>
      </c>
      <c r="S59" s="32" t="n">
        <v>1</v>
      </c>
      <c r="T59" s="32" t="n">
        <v>1</v>
      </c>
      <c r="U59" s="32" t="n">
        <v>1</v>
      </c>
      <c r="V59" s="32" t="n">
        <v>1</v>
      </c>
      <c r="W59" s="32" t="n">
        <v>1</v>
      </c>
      <c r="X59" s="32" t="n">
        <v>1</v>
      </c>
      <c r="Y59" s="32" t="n">
        <v>1</v>
      </c>
      <c r="Z59" s="32" t="n">
        <v>1</v>
      </c>
      <c r="AA59" s="32" t="n">
        <v>1</v>
      </c>
      <c r="AB59" s="32" t="n">
        <v>1</v>
      </c>
      <c r="AC59" s="32" t="n">
        <v>1</v>
      </c>
      <c r="AD59" s="32" t="n">
        <v>1</v>
      </c>
      <c r="AE59" s="32" t="n">
        <v>1</v>
      </c>
    </row>
    <row r="61" ht="22" customHeight="1">
      <c r="B61" s="27" t="inlineStr">
        <is>
          <t>WORST – Demo+EndCap+TPD then Markdown (Wks 18-20)</t>
        </is>
      </c>
    </row>
    <row r="62" ht="30" customHeight="1">
      <c r="B62" s="15" t="inlineStr">
        <is>
          <t>Rationale: Promo plan as IDEAL but residual inventory clears at 50% off over Wks 18-20.</t>
        </is>
      </c>
    </row>
    <row r="63">
      <c r="B63" s="28" t="inlineStr">
        <is>
          <t>Week</t>
        </is>
      </c>
      <c r="F63" s="29" t="inlineStr">
        <is>
          <t>W1</t>
        </is>
      </c>
      <c r="G63" s="29" t="inlineStr">
        <is>
          <t>W2</t>
        </is>
      </c>
      <c r="H63" s="29" t="inlineStr">
        <is>
          <t>W3</t>
        </is>
      </c>
      <c r="I63" s="29" t="inlineStr">
        <is>
          <t>W4</t>
        </is>
      </c>
      <c r="J63" s="29" t="inlineStr">
        <is>
          <t>W5</t>
        </is>
      </c>
      <c r="K63" s="29" t="inlineStr">
        <is>
          <t>W6</t>
        </is>
      </c>
      <c r="L63" s="29" t="inlineStr">
        <is>
          <t>W7</t>
        </is>
      </c>
      <c r="M63" s="29" t="inlineStr">
        <is>
          <t>W8</t>
        </is>
      </c>
      <c r="N63" s="29" t="inlineStr">
        <is>
          <t>W9</t>
        </is>
      </c>
      <c r="O63" s="29" t="inlineStr">
        <is>
          <t>W10</t>
        </is>
      </c>
      <c r="P63" s="29" t="inlineStr">
        <is>
          <t>W11</t>
        </is>
      </c>
      <c r="Q63" s="29" t="inlineStr">
        <is>
          <t>W12</t>
        </is>
      </c>
      <c r="R63" s="29" t="inlineStr">
        <is>
          <t>W13</t>
        </is>
      </c>
      <c r="S63" s="29" t="inlineStr">
        <is>
          <t>W14</t>
        </is>
      </c>
      <c r="T63" s="29" t="inlineStr">
        <is>
          <t>W15</t>
        </is>
      </c>
      <c r="U63" s="29" t="inlineStr">
        <is>
          <t>W16</t>
        </is>
      </c>
      <c r="V63" s="29" t="inlineStr">
        <is>
          <t>W17</t>
        </is>
      </c>
      <c r="W63" s="29" t="inlineStr">
        <is>
          <t>W18</t>
        </is>
      </c>
      <c r="X63" s="29" t="inlineStr">
        <is>
          <t>W19</t>
        </is>
      </c>
      <c r="Y63" s="29" t="inlineStr">
        <is>
          <t>W20</t>
        </is>
      </c>
      <c r="Z63" s="29" t="inlineStr">
        <is>
          <t>W21</t>
        </is>
      </c>
      <c r="AA63" s="29" t="inlineStr">
        <is>
          <t>W22</t>
        </is>
      </c>
      <c r="AB63" s="29" t="inlineStr">
        <is>
          <t>W23</t>
        </is>
      </c>
      <c r="AC63" s="29" t="inlineStr">
        <is>
          <t>W24</t>
        </is>
      </c>
      <c r="AD63" s="29" t="inlineStr">
        <is>
          <t>W25</t>
        </is>
      </c>
      <c r="AE63" s="29" t="inlineStr">
        <is>
          <t>W26</t>
        </is>
      </c>
    </row>
    <row r="64">
      <c r="B64" s="28" t="inlineStr">
        <is>
          <t>Wk-commencing</t>
        </is>
      </c>
      <c r="F64" s="30">
        <f>StartDate+7*0</f>
        <v/>
      </c>
      <c r="G64" s="30">
        <f>StartDate+7*1</f>
        <v/>
      </c>
      <c r="H64" s="30">
        <f>StartDate+7*2</f>
        <v/>
      </c>
      <c r="I64" s="30">
        <f>StartDate+7*3</f>
        <v/>
      </c>
      <c r="J64" s="30">
        <f>StartDate+7*4</f>
        <v/>
      </c>
      <c r="K64" s="30">
        <f>StartDate+7*5</f>
        <v/>
      </c>
      <c r="L64" s="30">
        <f>StartDate+7*6</f>
        <v/>
      </c>
      <c r="M64" s="30">
        <f>StartDate+7*7</f>
        <v/>
      </c>
      <c r="N64" s="30">
        <f>StartDate+7*8</f>
        <v/>
      </c>
      <c r="O64" s="30">
        <f>StartDate+7*9</f>
        <v/>
      </c>
      <c r="P64" s="30">
        <f>StartDate+7*10</f>
        <v/>
      </c>
      <c r="Q64" s="30">
        <f>StartDate+7*11</f>
        <v/>
      </c>
      <c r="R64" s="30">
        <f>StartDate+7*12</f>
        <v/>
      </c>
      <c r="S64" s="30">
        <f>StartDate+7*13</f>
        <v/>
      </c>
      <c r="T64" s="30">
        <f>StartDate+7*14</f>
        <v/>
      </c>
      <c r="U64" s="30">
        <f>StartDate+7*15</f>
        <v/>
      </c>
      <c r="V64" s="30">
        <f>StartDate+7*16</f>
        <v/>
      </c>
      <c r="W64" s="30">
        <f>StartDate+7*17</f>
        <v/>
      </c>
      <c r="X64" s="30">
        <f>StartDate+7*18</f>
        <v/>
      </c>
      <c r="Y64" s="30">
        <f>StartDate+7*19</f>
        <v/>
      </c>
      <c r="Z64" s="30">
        <f>StartDate+7*20</f>
        <v/>
      </c>
      <c r="AA64" s="30">
        <f>StartDate+7*21</f>
        <v/>
      </c>
      <c r="AB64" s="30">
        <f>StartDate+7*22</f>
        <v/>
      </c>
      <c r="AC64" s="30">
        <f>StartDate+7*23</f>
        <v/>
      </c>
      <c r="AD64" s="30">
        <f>StartDate+7*24</f>
        <v/>
      </c>
      <c r="AE64" s="30">
        <f>StartDate+7*25</f>
        <v/>
      </c>
    </row>
    <row r="65">
      <c r="B65" s="13" t="inlineStr">
        <is>
          <t>Demo</t>
        </is>
      </c>
      <c r="F65" s="31" t="n">
        <v>0</v>
      </c>
      <c r="G65" s="31" t="n">
        <v>0</v>
      </c>
      <c r="H65" s="31" t="n">
        <v>0</v>
      </c>
      <c r="I65" s="31" t="n">
        <v>0</v>
      </c>
      <c r="J65" s="31" t="n">
        <v>1</v>
      </c>
      <c r="K65" s="31" t="n">
        <v>1</v>
      </c>
      <c r="L65" s="31" t="n">
        <v>0</v>
      </c>
      <c r="M65" s="31" t="n">
        <v>0</v>
      </c>
      <c r="N65" s="31" t="n">
        <v>0</v>
      </c>
      <c r="O65" s="31" t="n">
        <v>0</v>
      </c>
      <c r="P65" s="31" t="n">
        <v>0</v>
      </c>
      <c r="Q65" s="31" t="n">
        <v>0</v>
      </c>
      <c r="R65" s="31" t="n">
        <v>0</v>
      </c>
      <c r="S65" s="31" t="n">
        <v>0</v>
      </c>
      <c r="T65" s="31" t="n">
        <v>0</v>
      </c>
      <c r="U65" s="31" t="n">
        <v>0</v>
      </c>
      <c r="V65" s="31" t="n">
        <v>0</v>
      </c>
      <c r="W65" s="31" t="n">
        <v>0</v>
      </c>
      <c r="X65" s="31" t="n">
        <v>0</v>
      </c>
      <c r="Y65" s="31" t="n">
        <v>0</v>
      </c>
      <c r="Z65" s="31" t="n">
        <v>0</v>
      </c>
      <c r="AA65" s="31" t="n">
        <v>0</v>
      </c>
      <c r="AB65" s="31" t="n">
        <v>0</v>
      </c>
      <c r="AC65" s="31" t="n">
        <v>0</v>
      </c>
      <c r="AD65" s="31" t="n">
        <v>0</v>
      </c>
      <c r="AE65" s="31" t="n">
        <v>0</v>
      </c>
    </row>
    <row r="66">
      <c r="B66" s="13" t="inlineStr">
        <is>
          <t>End Cap</t>
        </is>
      </c>
      <c r="F66" s="31" t="n">
        <v>0</v>
      </c>
      <c r="G66" s="31" t="n">
        <v>0</v>
      </c>
      <c r="H66" s="31" t="n">
        <v>0</v>
      </c>
      <c r="I66" s="31" t="n">
        <v>0</v>
      </c>
      <c r="J66" s="31" t="n">
        <v>1</v>
      </c>
      <c r="K66" s="31" t="n">
        <v>1</v>
      </c>
      <c r="L66" s="31" t="n">
        <v>0</v>
      </c>
      <c r="M66" s="31" t="n">
        <v>0</v>
      </c>
      <c r="N66" s="31" t="n">
        <v>0</v>
      </c>
      <c r="O66" s="31" t="n">
        <v>0</v>
      </c>
      <c r="P66" s="31" t="n">
        <v>0</v>
      </c>
      <c r="Q66" s="31" t="n">
        <v>0</v>
      </c>
      <c r="R66" s="31" t="n">
        <v>0</v>
      </c>
      <c r="S66" s="31" t="n">
        <v>0</v>
      </c>
      <c r="T66" s="31" t="n">
        <v>0</v>
      </c>
      <c r="U66" s="31" t="n">
        <v>0</v>
      </c>
      <c r="V66" s="31" t="n">
        <v>0</v>
      </c>
      <c r="W66" s="31" t="n">
        <v>0</v>
      </c>
      <c r="X66" s="31" t="n">
        <v>0</v>
      </c>
      <c r="Y66" s="31" t="n">
        <v>0</v>
      </c>
      <c r="Z66" s="31" t="n">
        <v>0</v>
      </c>
      <c r="AA66" s="31" t="n">
        <v>0</v>
      </c>
      <c r="AB66" s="31" t="n">
        <v>0</v>
      </c>
      <c r="AC66" s="31" t="n">
        <v>0</v>
      </c>
      <c r="AD66" s="31" t="n">
        <v>0</v>
      </c>
      <c r="AE66" s="31" t="n">
        <v>0</v>
      </c>
    </row>
    <row r="67">
      <c r="B67" s="13" t="inlineStr">
        <is>
          <t>Fence</t>
        </is>
      </c>
      <c r="F67" s="31" t="n">
        <v>0</v>
      </c>
      <c r="G67" s="31" t="n">
        <v>0</v>
      </c>
      <c r="H67" s="31" t="n">
        <v>0</v>
      </c>
      <c r="I67" s="31" t="n">
        <v>0</v>
      </c>
      <c r="J67" s="31" t="n">
        <v>0</v>
      </c>
      <c r="K67" s="31" t="n">
        <v>0</v>
      </c>
      <c r="L67" s="31" t="n">
        <v>0</v>
      </c>
      <c r="M67" s="31" t="n">
        <v>0</v>
      </c>
      <c r="N67" s="31" t="n">
        <v>0</v>
      </c>
      <c r="O67" s="31" t="n">
        <v>0</v>
      </c>
      <c r="P67" s="31" t="n">
        <v>0</v>
      </c>
      <c r="Q67" s="31" t="n">
        <v>0</v>
      </c>
      <c r="R67" s="31" t="n">
        <v>0</v>
      </c>
      <c r="S67" s="31" t="n">
        <v>0</v>
      </c>
      <c r="T67" s="31" t="n">
        <v>0</v>
      </c>
      <c r="U67" s="31" t="n">
        <v>0</v>
      </c>
      <c r="V67" s="31" t="n">
        <v>0</v>
      </c>
      <c r="W67" s="31" t="n">
        <v>0</v>
      </c>
      <c r="X67" s="31" t="n">
        <v>0</v>
      </c>
      <c r="Y67" s="31" t="n">
        <v>0</v>
      </c>
      <c r="Z67" s="31" t="n">
        <v>0</v>
      </c>
      <c r="AA67" s="31" t="n">
        <v>0</v>
      </c>
      <c r="AB67" s="31" t="n">
        <v>0</v>
      </c>
      <c r="AC67" s="31" t="n">
        <v>0</v>
      </c>
      <c r="AD67" s="31" t="n">
        <v>0</v>
      </c>
      <c r="AE67" s="31" t="n">
        <v>0</v>
      </c>
    </row>
    <row r="68">
      <c r="B68" s="13" t="inlineStr">
        <is>
          <t>TPD</t>
        </is>
      </c>
      <c r="F68" s="31" t="n">
        <v>0</v>
      </c>
      <c r="G68" s="31" t="n">
        <v>0</v>
      </c>
      <c r="H68" s="31" t="n">
        <v>0</v>
      </c>
      <c r="I68" s="31" t="n">
        <v>0</v>
      </c>
      <c r="J68" s="31" t="n">
        <v>1</v>
      </c>
      <c r="K68" s="31" t="n">
        <v>1</v>
      </c>
      <c r="L68" s="31" t="n">
        <v>0</v>
      </c>
      <c r="M68" s="31" t="n">
        <v>0</v>
      </c>
      <c r="N68" s="31" t="n">
        <v>0</v>
      </c>
      <c r="O68" s="31" t="n">
        <v>0</v>
      </c>
      <c r="P68" s="31" t="n">
        <v>0</v>
      </c>
      <c r="Q68" s="31" t="n">
        <v>0</v>
      </c>
      <c r="R68" s="31" t="n">
        <v>0</v>
      </c>
      <c r="S68" s="31" t="n">
        <v>0</v>
      </c>
      <c r="T68" s="31" t="n">
        <v>0</v>
      </c>
      <c r="U68" s="31" t="n">
        <v>0</v>
      </c>
      <c r="V68" s="31" t="n">
        <v>0</v>
      </c>
      <c r="W68" s="31" t="n">
        <v>0</v>
      </c>
      <c r="X68" s="31" t="n">
        <v>0</v>
      </c>
      <c r="Y68" s="31" t="n">
        <v>0</v>
      </c>
      <c r="Z68" s="31" t="n">
        <v>0</v>
      </c>
      <c r="AA68" s="31" t="n">
        <v>0</v>
      </c>
      <c r="AB68" s="31" t="n">
        <v>0</v>
      </c>
      <c r="AC68" s="31" t="n">
        <v>0</v>
      </c>
      <c r="AD68" s="31" t="n">
        <v>0</v>
      </c>
      <c r="AE68" s="31" t="n">
        <v>0</v>
      </c>
    </row>
    <row r="69">
      <c r="B69" s="13" t="inlineStr">
        <is>
          <t>Markdown</t>
        </is>
      </c>
      <c r="F69" s="31" t="n">
        <v>0</v>
      </c>
      <c r="G69" s="31" t="n">
        <v>0</v>
      </c>
      <c r="H69" s="31" t="n">
        <v>0</v>
      </c>
      <c r="I69" s="31" t="n">
        <v>0</v>
      </c>
      <c r="J69" s="31" t="n">
        <v>0</v>
      </c>
      <c r="K69" s="31" t="n">
        <v>0</v>
      </c>
      <c r="L69" s="31" t="n">
        <v>0</v>
      </c>
      <c r="M69" s="31" t="n">
        <v>0</v>
      </c>
      <c r="N69" s="31" t="n">
        <v>0</v>
      </c>
      <c r="O69" s="31" t="n">
        <v>0</v>
      </c>
      <c r="P69" s="31" t="n">
        <v>0</v>
      </c>
      <c r="Q69" s="31" t="n">
        <v>0</v>
      </c>
      <c r="R69" s="31" t="n">
        <v>0</v>
      </c>
      <c r="S69" s="31" t="n">
        <v>0</v>
      </c>
      <c r="T69" s="31" t="n">
        <v>0</v>
      </c>
      <c r="U69" s="31" t="n">
        <v>0</v>
      </c>
      <c r="V69" s="31" t="n">
        <v>0</v>
      </c>
      <c r="W69" s="31" t="n">
        <v>1</v>
      </c>
      <c r="X69" s="31" t="n">
        <v>1</v>
      </c>
      <c r="Y69" s="31" t="n">
        <v>1</v>
      </c>
      <c r="Z69" s="31" t="n">
        <v>0</v>
      </c>
      <c r="AA69" s="31" t="n">
        <v>0</v>
      </c>
      <c r="AB69" s="31" t="n">
        <v>0</v>
      </c>
      <c r="AC69" s="31" t="n">
        <v>0</v>
      </c>
      <c r="AD69" s="31" t="n">
        <v>0</v>
      </c>
      <c r="AE69" s="31" t="n">
        <v>0</v>
      </c>
    </row>
    <row r="70">
      <c r="B70" s="13" t="inlineStr">
        <is>
          <t>Advert</t>
        </is>
      </c>
      <c r="F70" s="31" t="n">
        <v>0</v>
      </c>
      <c r="G70" s="31" t="n">
        <v>0</v>
      </c>
      <c r="H70" s="31" t="n">
        <v>0</v>
      </c>
      <c r="I70" s="31" t="n">
        <v>0</v>
      </c>
      <c r="J70" s="31" t="n">
        <v>0</v>
      </c>
      <c r="K70" s="31" t="n">
        <v>0</v>
      </c>
      <c r="L70" s="31" t="n">
        <v>0</v>
      </c>
      <c r="M70" s="31" t="n">
        <v>0</v>
      </c>
      <c r="N70" s="31" t="n">
        <v>0</v>
      </c>
      <c r="O70" s="31" t="n">
        <v>0</v>
      </c>
      <c r="P70" s="31" t="n">
        <v>0</v>
      </c>
      <c r="Q70" s="31" t="n">
        <v>0</v>
      </c>
      <c r="R70" s="31" t="n">
        <v>0</v>
      </c>
      <c r="S70" s="31" t="n">
        <v>0</v>
      </c>
      <c r="T70" s="31" t="n">
        <v>0</v>
      </c>
      <c r="U70" s="31" t="n">
        <v>0</v>
      </c>
      <c r="V70" s="31" t="n">
        <v>0</v>
      </c>
      <c r="W70" s="31" t="n">
        <v>0</v>
      </c>
      <c r="X70" s="31" t="n">
        <v>0</v>
      </c>
      <c r="Y70" s="31" t="n">
        <v>0</v>
      </c>
      <c r="Z70" s="31" t="n">
        <v>0</v>
      </c>
      <c r="AA70" s="31" t="n">
        <v>0</v>
      </c>
      <c r="AB70" s="31" t="n">
        <v>0</v>
      </c>
      <c r="AC70" s="31" t="n">
        <v>0</v>
      </c>
      <c r="AD70" s="31" t="n">
        <v>0</v>
      </c>
      <c r="AE70" s="31" t="n">
        <v>0</v>
      </c>
    </row>
    <row r="71">
      <c r="B71" s="13" t="inlineStr">
        <is>
          <t>Lift Multiplier (x base)</t>
        </is>
      </c>
      <c r="F71" s="32" t="n">
        <v>1</v>
      </c>
      <c r="G71" s="32" t="n">
        <v>1</v>
      </c>
      <c r="H71" s="32" t="n">
        <v>1</v>
      </c>
      <c r="I71" s="32" t="n">
        <v>1</v>
      </c>
      <c r="J71" s="32" t="n">
        <v>3</v>
      </c>
      <c r="K71" s="32" t="n">
        <v>3</v>
      </c>
      <c r="L71" s="32" t="n">
        <v>1</v>
      </c>
      <c r="M71" s="32" t="n">
        <v>1</v>
      </c>
      <c r="N71" s="32" t="n">
        <v>1</v>
      </c>
      <c r="O71" s="32" t="n">
        <v>1</v>
      </c>
      <c r="P71" s="32" t="n">
        <v>1</v>
      </c>
      <c r="Q71" s="32" t="n">
        <v>1</v>
      </c>
      <c r="R71" s="32" t="n">
        <v>1</v>
      </c>
      <c r="S71" s="32" t="n">
        <v>1</v>
      </c>
      <c r="T71" s="32" t="n">
        <v>1</v>
      </c>
      <c r="U71" s="32" t="n">
        <v>1</v>
      </c>
      <c r="V71" s="32" t="n">
        <v>1</v>
      </c>
      <c r="W71" s="32" t="n">
        <v>1</v>
      </c>
      <c r="X71" s="32" t="n">
        <v>0.3</v>
      </c>
      <c r="Y71" s="32" t="n">
        <v>8.699999999999999</v>
      </c>
      <c r="Z71" s="32" t="n">
        <v>1</v>
      </c>
      <c r="AA71" s="32" t="n">
        <v>1</v>
      </c>
      <c r="AB71" s="32" t="n">
        <v>1</v>
      </c>
      <c r="AC71" s="32" t="n">
        <v>1</v>
      </c>
      <c r="AD71" s="32" t="n">
        <v>1</v>
      </c>
      <c r="AE71" s="32" t="n">
        <v>1</v>
      </c>
    </row>
  </sheetData>
  <mergeCells count="13">
    <mergeCell ref="B11:D11"/>
    <mergeCell ref="B49:AE49"/>
    <mergeCell ref="B5:D5"/>
    <mergeCell ref="B50:AE50"/>
    <mergeCell ref="B38:AE38"/>
    <mergeCell ref="B62:AE62"/>
    <mergeCell ref="B35:D35"/>
    <mergeCell ref="B17:D17"/>
    <mergeCell ref="B37:AE37"/>
    <mergeCell ref="B21:D21"/>
    <mergeCell ref="B2:D2"/>
    <mergeCell ref="B34:D34"/>
    <mergeCell ref="B61:AE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F5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4" customWidth="1" min="32" max="32"/>
  </cols>
  <sheetData>
    <row r="2" ht="32" customHeight="1">
      <c r="B2" s="9" t="inlineStr">
        <is>
          <t>FORECAST — Weekly P&amp;L by Scenario</t>
        </is>
      </c>
    </row>
    <row r="4" ht="22" customHeight="1">
      <c r="B4" s="27" t="inlineStr">
        <is>
          <t>BEST – x2 Demo (Wks 5-6) + TPD</t>
        </is>
      </c>
    </row>
    <row r="5">
      <c r="B5" s="28" t="inlineStr">
        <is>
          <t>Week</t>
        </is>
      </c>
      <c r="F5" s="29" t="inlineStr">
        <is>
          <t>W1</t>
        </is>
      </c>
      <c r="G5" s="29" t="inlineStr">
        <is>
          <t>W2</t>
        </is>
      </c>
      <c r="H5" s="29" t="inlineStr">
        <is>
          <t>W3</t>
        </is>
      </c>
      <c r="I5" s="29" t="inlineStr">
        <is>
          <t>W4</t>
        </is>
      </c>
      <c r="J5" s="29" t="inlineStr">
        <is>
          <t>W5</t>
        </is>
      </c>
      <c r="K5" s="29" t="inlineStr">
        <is>
          <t>W6</t>
        </is>
      </c>
      <c r="L5" s="29" t="inlineStr">
        <is>
          <t>W7</t>
        </is>
      </c>
      <c r="M5" s="29" t="inlineStr">
        <is>
          <t>W8</t>
        </is>
      </c>
      <c r="N5" s="29" t="inlineStr">
        <is>
          <t>W9</t>
        </is>
      </c>
      <c r="O5" s="29" t="inlineStr">
        <is>
          <t>W10</t>
        </is>
      </c>
      <c r="P5" s="29" t="inlineStr">
        <is>
          <t>W11</t>
        </is>
      </c>
      <c r="Q5" s="29" t="inlineStr">
        <is>
          <t>W12</t>
        </is>
      </c>
      <c r="R5" s="29" t="inlineStr">
        <is>
          <t>W13</t>
        </is>
      </c>
      <c r="S5" s="29" t="inlineStr">
        <is>
          <t>W14</t>
        </is>
      </c>
      <c r="T5" s="29" t="inlineStr">
        <is>
          <t>W15</t>
        </is>
      </c>
      <c r="U5" s="29" t="inlineStr">
        <is>
          <t>W16</t>
        </is>
      </c>
      <c r="V5" s="29" t="inlineStr">
        <is>
          <t>W17</t>
        </is>
      </c>
      <c r="W5" s="29" t="inlineStr">
        <is>
          <t>W18</t>
        </is>
      </c>
      <c r="X5" s="29" t="inlineStr">
        <is>
          <t>W19</t>
        </is>
      </c>
      <c r="Y5" s="29" t="inlineStr">
        <is>
          <t>W20</t>
        </is>
      </c>
      <c r="Z5" s="29" t="inlineStr">
        <is>
          <t>W21</t>
        </is>
      </c>
      <c r="AA5" s="29" t="inlineStr">
        <is>
          <t>W22</t>
        </is>
      </c>
      <c r="AB5" s="29" t="inlineStr">
        <is>
          <t>W23</t>
        </is>
      </c>
      <c r="AC5" s="29" t="inlineStr">
        <is>
          <t>W24</t>
        </is>
      </c>
      <c r="AD5" s="29" t="inlineStr">
        <is>
          <t>W25</t>
        </is>
      </c>
      <c r="AE5" s="29" t="inlineStr">
        <is>
          <t>W26</t>
        </is>
      </c>
      <c r="AF5" s="33" t="inlineStr">
        <is>
          <t>TOTAL</t>
        </is>
      </c>
    </row>
    <row r="6">
      <c r="B6" s="28" t="inlineStr">
        <is>
          <t>Wk-commencing</t>
        </is>
      </c>
      <c r="F6" s="30">
        <f>StartDate+7*0</f>
        <v/>
      </c>
      <c r="G6" s="30">
        <f>StartDate+7*1</f>
        <v/>
      </c>
      <c r="H6" s="30">
        <f>StartDate+7*2</f>
        <v/>
      </c>
      <c r="I6" s="30">
        <f>StartDate+7*3</f>
        <v/>
      </c>
      <c r="J6" s="30">
        <f>StartDate+7*4</f>
        <v/>
      </c>
      <c r="K6" s="30">
        <f>StartDate+7*5</f>
        <v/>
      </c>
      <c r="L6" s="30">
        <f>StartDate+7*6</f>
        <v/>
      </c>
      <c r="M6" s="30">
        <f>StartDate+7*7</f>
        <v/>
      </c>
      <c r="N6" s="30">
        <f>StartDate+7*8</f>
        <v/>
      </c>
      <c r="O6" s="30">
        <f>StartDate+7*9</f>
        <v/>
      </c>
      <c r="P6" s="30">
        <f>StartDate+7*10</f>
        <v/>
      </c>
      <c r="Q6" s="30">
        <f>StartDate+7*11</f>
        <v/>
      </c>
      <c r="R6" s="30">
        <f>StartDate+7*12</f>
        <v/>
      </c>
      <c r="S6" s="30">
        <f>StartDate+7*13</f>
        <v/>
      </c>
      <c r="T6" s="30">
        <f>StartDate+7*14</f>
        <v/>
      </c>
      <c r="U6" s="30">
        <f>StartDate+7*15</f>
        <v/>
      </c>
      <c r="V6" s="30">
        <f>StartDate+7*16</f>
        <v/>
      </c>
      <c r="W6" s="30">
        <f>StartDate+7*17</f>
        <v/>
      </c>
      <c r="X6" s="30">
        <f>StartDate+7*18</f>
        <v/>
      </c>
      <c r="Y6" s="30">
        <f>StartDate+7*19</f>
        <v/>
      </c>
      <c r="Z6" s="30">
        <f>StartDate+7*20</f>
        <v/>
      </c>
      <c r="AA6" s="30">
        <f>StartDate+7*21</f>
        <v/>
      </c>
      <c r="AB6" s="30">
        <f>StartDate+7*22</f>
        <v/>
      </c>
      <c r="AC6" s="30">
        <f>StartDate+7*23</f>
        <v/>
      </c>
      <c r="AD6" s="30">
        <f>StartDate+7*24</f>
        <v/>
      </c>
      <c r="AE6" s="30">
        <f>StartDate+7*25</f>
        <v/>
      </c>
      <c r="AF6" s="34" t="inlineStr"/>
    </row>
    <row r="7">
      <c r="B7" s="13" t="inlineStr">
        <is>
          <t>POS Units</t>
        </is>
      </c>
      <c r="F7" s="35">
        <f>ROUND(BaseUnits*Inputs!F47,0)</f>
        <v/>
      </c>
      <c r="G7" s="35">
        <f>ROUND(BaseUnits*Inputs!G47,0)</f>
        <v/>
      </c>
      <c r="H7" s="35">
        <f>ROUND(BaseUnits*Inputs!H47,0)</f>
        <v/>
      </c>
      <c r="I7" s="35">
        <f>ROUND(BaseUnits*Inputs!I47,0)</f>
        <v/>
      </c>
      <c r="J7" s="35">
        <f>ROUND(BaseUnits*Inputs!J47,0)</f>
        <v/>
      </c>
      <c r="K7" s="35">
        <f>ROUND(BaseUnits*Inputs!K47,0)</f>
        <v/>
      </c>
      <c r="L7" s="35">
        <f>ROUND(BaseUnits*Inputs!L47,0)</f>
        <v/>
      </c>
      <c r="M7" s="35">
        <f>ROUND(BaseUnits*Inputs!M47,0)</f>
        <v/>
      </c>
      <c r="N7" s="35">
        <f>ROUND(BaseUnits*Inputs!N47,0)</f>
        <v/>
      </c>
      <c r="O7" s="35">
        <f>ROUND(BaseUnits*Inputs!O47,0)</f>
        <v/>
      </c>
      <c r="P7" s="35">
        <f>ROUND(BaseUnits*Inputs!P47,0)</f>
        <v/>
      </c>
      <c r="Q7" s="35">
        <f>ROUND(BaseUnits*Inputs!Q47,0)</f>
        <v/>
      </c>
      <c r="R7" s="35">
        <f>ROUND(BaseUnits*Inputs!R47,0)</f>
        <v/>
      </c>
      <c r="S7" s="35">
        <f>ROUND(BaseUnits*Inputs!S47,0)</f>
        <v/>
      </c>
      <c r="T7" s="35">
        <f>ROUND(BaseUnits*Inputs!T47,0)</f>
        <v/>
      </c>
      <c r="U7" s="35">
        <f>ROUND(BaseUnits*Inputs!U47,0)</f>
        <v/>
      </c>
      <c r="V7" s="35">
        <f>ROUND(BaseUnits*Inputs!V47,0)</f>
        <v/>
      </c>
      <c r="W7" s="35">
        <f>ROUND(BaseUnits*Inputs!W47,0)</f>
        <v/>
      </c>
      <c r="X7" s="35">
        <f>ROUND(BaseUnits*Inputs!X47,0)</f>
        <v/>
      </c>
      <c r="Y7" s="35">
        <f>ROUND(BaseUnits*Inputs!Y47,0)</f>
        <v/>
      </c>
      <c r="Z7" s="35">
        <f>ROUND(BaseUnits*Inputs!Z47,0)</f>
        <v/>
      </c>
      <c r="AA7" s="35">
        <f>ROUND(BaseUnits*Inputs!AA47,0)</f>
        <v/>
      </c>
      <c r="AB7" s="35">
        <f>ROUND(BaseUnits*Inputs!AB47,0)</f>
        <v/>
      </c>
      <c r="AC7" s="35">
        <f>ROUND(BaseUnits*Inputs!AC47,0)</f>
        <v/>
      </c>
      <c r="AD7" s="35">
        <f>ROUND(BaseUnits*Inputs!AD47,0)</f>
        <v/>
      </c>
      <c r="AE7" s="35">
        <f>ROUND(BaseUnits*Inputs!AE47,0)</f>
        <v/>
      </c>
      <c r="AF7" s="36">
        <f>SUM(F7:AE7)</f>
        <v/>
      </c>
    </row>
    <row r="8">
      <c r="B8" s="37" t="inlineStr">
        <is>
          <t>Selling Price</t>
        </is>
      </c>
      <c r="F8" s="38">
        <f>Price</f>
        <v/>
      </c>
      <c r="G8" s="38">
        <f>Price</f>
        <v/>
      </c>
      <c r="H8" s="38">
        <f>Price</f>
        <v/>
      </c>
      <c r="I8" s="38">
        <f>Price</f>
        <v/>
      </c>
      <c r="J8" s="38">
        <f>Price</f>
        <v/>
      </c>
      <c r="K8" s="38">
        <f>Price</f>
        <v/>
      </c>
      <c r="L8" s="38">
        <f>Price</f>
        <v/>
      </c>
      <c r="M8" s="38">
        <f>Price</f>
        <v/>
      </c>
      <c r="N8" s="38">
        <f>Price</f>
        <v/>
      </c>
      <c r="O8" s="38">
        <f>Price</f>
        <v/>
      </c>
      <c r="P8" s="38">
        <f>Price</f>
        <v/>
      </c>
      <c r="Q8" s="38">
        <f>Price</f>
        <v/>
      </c>
      <c r="R8" s="38">
        <f>Price</f>
        <v/>
      </c>
      <c r="S8" s="38">
        <f>Price</f>
        <v/>
      </c>
      <c r="T8" s="38">
        <f>Price</f>
        <v/>
      </c>
      <c r="U8" s="38">
        <f>Price</f>
        <v/>
      </c>
      <c r="V8" s="38">
        <f>Price</f>
        <v/>
      </c>
      <c r="W8" s="38">
        <f>Price</f>
        <v/>
      </c>
      <c r="X8" s="38">
        <f>Price</f>
        <v/>
      </c>
      <c r="Y8" s="38">
        <f>Price</f>
        <v/>
      </c>
      <c r="Z8" s="38">
        <f>Price</f>
        <v/>
      </c>
      <c r="AA8" s="38">
        <f>Price</f>
        <v/>
      </c>
      <c r="AB8" s="38">
        <f>Price</f>
        <v/>
      </c>
      <c r="AC8" s="38">
        <f>Price</f>
        <v/>
      </c>
      <c r="AD8" s="38">
        <f>Price</f>
        <v/>
      </c>
      <c r="AE8" s="38">
        <f>Price</f>
        <v/>
      </c>
      <c r="AF8" s="39">
        <f>Price</f>
        <v/>
      </c>
    </row>
    <row r="9">
      <c r="B9" s="13" t="inlineStr">
        <is>
          <t>Revenue</t>
        </is>
      </c>
      <c r="F9" s="40">
        <f>F7*F8</f>
        <v/>
      </c>
      <c r="G9" s="40">
        <f>G7*G8</f>
        <v/>
      </c>
      <c r="H9" s="40">
        <f>H7*H8</f>
        <v/>
      </c>
      <c r="I9" s="40">
        <f>I7*I8</f>
        <v/>
      </c>
      <c r="J9" s="40">
        <f>J7*J8</f>
        <v/>
      </c>
      <c r="K9" s="40">
        <f>K7*K8</f>
        <v/>
      </c>
      <c r="L9" s="40">
        <f>L7*L8</f>
        <v/>
      </c>
      <c r="M9" s="40">
        <f>M7*M8</f>
        <v/>
      </c>
      <c r="N9" s="40">
        <f>N7*N8</f>
        <v/>
      </c>
      <c r="O9" s="40">
        <f>O7*O8</f>
        <v/>
      </c>
      <c r="P9" s="40">
        <f>P7*P8</f>
        <v/>
      </c>
      <c r="Q9" s="40">
        <f>Q7*Q8</f>
        <v/>
      </c>
      <c r="R9" s="40">
        <f>R7*R8</f>
        <v/>
      </c>
      <c r="S9" s="40">
        <f>S7*S8</f>
        <v/>
      </c>
      <c r="T9" s="40">
        <f>T7*T8</f>
        <v/>
      </c>
      <c r="U9" s="40">
        <f>U7*U8</f>
        <v/>
      </c>
      <c r="V9" s="40">
        <f>V7*V8</f>
        <v/>
      </c>
      <c r="W9" s="40">
        <f>W7*W8</f>
        <v/>
      </c>
      <c r="X9" s="40">
        <f>X7*X8</f>
        <v/>
      </c>
      <c r="Y9" s="40">
        <f>Y7*Y8</f>
        <v/>
      </c>
      <c r="Z9" s="40">
        <f>Z7*Z8</f>
        <v/>
      </c>
      <c r="AA9" s="40">
        <f>AA7*AA8</f>
        <v/>
      </c>
      <c r="AB9" s="40">
        <f>AB7*AB8</f>
        <v/>
      </c>
      <c r="AC9" s="40">
        <f>AC7*AC8</f>
        <v/>
      </c>
      <c r="AD9" s="40">
        <f>AD7*AD8</f>
        <v/>
      </c>
      <c r="AE9" s="40">
        <f>AE7*AE8</f>
        <v/>
      </c>
      <c r="AF9" s="41">
        <f>SUM(F9:AE9)</f>
        <v/>
      </c>
    </row>
    <row r="10">
      <c r="B10" s="37" t="inlineStr">
        <is>
          <t>Cost Price</t>
        </is>
      </c>
      <c r="F10" s="38">
        <f>Cost</f>
        <v/>
      </c>
      <c r="G10" s="38">
        <f>Cost</f>
        <v/>
      </c>
      <c r="H10" s="38">
        <f>Cost</f>
        <v/>
      </c>
      <c r="I10" s="38">
        <f>Cost</f>
        <v/>
      </c>
      <c r="J10" s="38">
        <f>Cost</f>
        <v/>
      </c>
      <c r="K10" s="38">
        <f>Cost</f>
        <v/>
      </c>
      <c r="L10" s="38">
        <f>Cost</f>
        <v/>
      </c>
      <c r="M10" s="38">
        <f>Cost</f>
        <v/>
      </c>
      <c r="N10" s="38">
        <f>Cost</f>
        <v/>
      </c>
      <c r="O10" s="38">
        <f>Cost</f>
        <v/>
      </c>
      <c r="P10" s="38">
        <f>Cost</f>
        <v/>
      </c>
      <c r="Q10" s="38">
        <f>Cost</f>
        <v/>
      </c>
      <c r="R10" s="38">
        <f>Cost</f>
        <v/>
      </c>
      <c r="S10" s="38">
        <f>Cost</f>
        <v/>
      </c>
      <c r="T10" s="38">
        <f>Cost</f>
        <v/>
      </c>
      <c r="U10" s="38">
        <f>Cost</f>
        <v/>
      </c>
      <c r="V10" s="38">
        <f>Cost</f>
        <v/>
      </c>
      <c r="W10" s="38">
        <f>Cost</f>
        <v/>
      </c>
      <c r="X10" s="38">
        <f>Cost</f>
        <v/>
      </c>
      <c r="Y10" s="38">
        <f>Cost</f>
        <v/>
      </c>
      <c r="Z10" s="38">
        <f>Cost</f>
        <v/>
      </c>
      <c r="AA10" s="38">
        <f>Cost</f>
        <v/>
      </c>
      <c r="AB10" s="38">
        <f>Cost</f>
        <v/>
      </c>
      <c r="AC10" s="38">
        <f>Cost</f>
        <v/>
      </c>
      <c r="AD10" s="38">
        <f>Cost</f>
        <v/>
      </c>
      <c r="AE10" s="38">
        <f>Cost</f>
        <v/>
      </c>
      <c r="AF10" s="39">
        <f>Cost</f>
        <v/>
      </c>
    </row>
    <row r="11">
      <c r="B11" s="13" t="inlineStr">
        <is>
          <t>Raw COGS</t>
        </is>
      </c>
      <c r="F11" s="40">
        <f>F7*F10</f>
        <v/>
      </c>
      <c r="G11" s="40">
        <f>G7*G10</f>
        <v/>
      </c>
      <c r="H11" s="40">
        <f>H7*H10</f>
        <v/>
      </c>
      <c r="I11" s="40">
        <f>I7*I10</f>
        <v/>
      </c>
      <c r="J11" s="40">
        <f>J7*J10</f>
        <v/>
      </c>
      <c r="K11" s="40">
        <f>K7*K10</f>
        <v/>
      </c>
      <c r="L11" s="40">
        <f>L7*L10</f>
        <v/>
      </c>
      <c r="M11" s="40">
        <f>M7*M10</f>
        <v/>
      </c>
      <c r="N11" s="40">
        <f>N7*N10</f>
        <v/>
      </c>
      <c r="O11" s="40">
        <f>O7*O10</f>
        <v/>
      </c>
      <c r="P11" s="40">
        <f>P7*P10</f>
        <v/>
      </c>
      <c r="Q11" s="40">
        <f>Q7*Q10</f>
        <v/>
      </c>
      <c r="R11" s="40">
        <f>R7*R10</f>
        <v/>
      </c>
      <c r="S11" s="40">
        <f>S7*S10</f>
        <v/>
      </c>
      <c r="T11" s="40">
        <f>T7*T10</f>
        <v/>
      </c>
      <c r="U11" s="40">
        <f>U7*U10</f>
        <v/>
      </c>
      <c r="V11" s="40">
        <f>V7*V10</f>
        <v/>
      </c>
      <c r="W11" s="40">
        <f>W7*W10</f>
        <v/>
      </c>
      <c r="X11" s="40">
        <f>X7*X10</f>
        <v/>
      </c>
      <c r="Y11" s="40">
        <f>Y7*Y10</f>
        <v/>
      </c>
      <c r="Z11" s="40">
        <f>Z7*Z10</f>
        <v/>
      </c>
      <c r="AA11" s="40">
        <f>AA7*AA10</f>
        <v/>
      </c>
      <c r="AB11" s="40">
        <f>AB7*AB10</f>
        <v/>
      </c>
      <c r="AC11" s="40">
        <f>AC7*AC10</f>
        <v/>
      </c>
      <c r="AD11" s="40">
        <f>AD7*AD10</f>
        <v/>
      </c>
      <c r="AE11" s="40">
        <f>AE7*AE10</f>
        <v/>
      </c>
      <c r="AF11" s="41">
        <f>SUM(F11:AE11)</f>
        <v/>
      </c>
    </row>
    <row r="12">
      <c r="B12" s="37" t="inlineStr">
        <is>
          <t>— Demo Spend</t>
        </is>
      </c>
      <c r="F12" s="40">
        <f>Inputs!F41*DemoCost</f>
        <v/>
      </c>
      <c r="G12" s="40">
        <f>Inputs!G41*DemoCost</f>
        <v/>
      </c>
      <c r="H12" s="40">
        <f>Inputs!H41*DemoCost</f>
        <v/>
      </c>
      <c r="I12" s="40">
        <f>Inputs!I41*DemoCost</f>
        <v/>
      </c>
      <c r="J12" s="40">
        <f>Inputs!J41*DemoCost</f>
        <v/>
      </c>
      <c r="K12" s="40">
        <f>Inputs!K41*DemoCost</f>
        <v/>
      </c>
      <c r="L12" s="40">
        <f>Inputs!L41*DemoCost</f>
        <v/>
      </c>
      <c r="M12" s="40">
        <f>Inputs!M41*DemoCost</f>
        <v/>
      </c>
      <c r="N12" s="40">
        <f>Inputs!N41*DemoCost</f>
        <v/>
      </c>
      <c r="O12" s="40">
        <f>Inputs!O41*DemoCost</f>
        <v/>
      </c>
      <c r="P12" s="40">
        <f>Inputs!P41*DemoCost</f>
        <v/>
      </c>
      <c r="Q12" s="40">
        <f>Inputs!Q41*DemoCost</f>
        <v/>
      </c>
      <c r="R12" s="40">
        <f>Inputs!R41*DemoCost</f>
        <v/>
      </c>
      <c r="S12" s="40">
        <f>Inputs!S41*DemoCost</f>
        <v/>
      </c>
      <c r="T12" s="40">
        <f>Inputs!T41*DemoCost</f>
        <v/>
      </c>
      <c r="U12" s="40">
        <f>Inputs!U41*DemoCost</f>
        <v/>
      </c>
      <c r="V12" s="40">
        <f>Inputs!V41*DemoCost</f>
        <v/>
      </c>
      <c r="W12" s="40">
        <f>Inputs!W41*DemoCost</f>
        <v/>
      </c>
      <c r="X12" s="40">
        <f>Inputs!X41*DemoCost</f>
        <v/>
      </c>
      <c r="Y12" s="40">
        <f>Inputs!Y41*DemoCost</f>
        <v/>
      </c>
      <c r="Z12" s="40">
        <f>Inputs!Z41*DemoCost</f>
        <v/>
      </c>
      <c r="AA12" s="40">
        <f>Inputs!AA41*DemoCost</f>
        <v/>
      </c>
      <c r="AB12" s="40">
        <f>Inputs!AB41*DemoCost</f>
        <v/>
      </c>
      <c r="AC12" s="40">
        <f>Inputs!AC41*DemoCost</f>
        <v/>
      </c>
      <c r="AD12" s="40">
        <f>Inputs!AD41*DemoCost</f>
        <v/>
      </c>
      <c r="AE12" s="40">
        <f>Inputs!AE41*DemoCost</f>
        <v/>
      </c>
      <c r="AF12" s="41">
        <f>SUM(F12:AE12)</f>
        <v/>
      </c>
    </row>
    <row r="13">
      <c r="B13" s="37" t="inlineStr">
        <is>
          <t>— End Cap Spend</t>
        </is>
      </c>
      <c r="F13" s="40">
        <f>Inputs!F42*EndCapCost</f>
        <v/>
      </c>
      <c r="G13" s="40">
        <f>Inputs!G42*EndCapCost</f>
        <v/>
      </c>
      <c r="H13" s="40">
        <f>Inputs!H42*EndCapCost</f>
        <v/>
      </c>
      <c r="I13" s="40">
        <f>Inputs!I42*EndCapCost</f>
        <v/>
      </c>
      <c r="J13" s="40">
        <f>Inputs!J42*EndCapCost</f>
        <v/>
      </c>
      <c r="K13" s="40">
        <f>Inputs!K42*EndCapCost</f>
        <v/>
      </c>
      <c r="L13" s="40">
        <f>Inputs!L42*EndCapCost</f>
        <v/>
      </c>
      <c r="M13" s="40">
        <f>Inputs!M42*EndCapCost</f>
        <v/>
      </c>
      <c r="N13" s="40">
        <f>Inputs!N42*EndCapCost</f>
        <v/>
      </c>
      <c r="O13" s="40">
        <f>Inputs!O42*EndCapCost</f>
        <v/>
      </c>
      <c r="P13" s="40">
        <f>Inputs!P42*EndCapCost</f>
        <v/>
      </c>
      <c r="Q13" s="40">
        <f>Inputs!Q42*EndCapCost</f>
        <v/>
      </c>
      <c r="R13" s="40">
        <f>Inputs!R42*EndCapCost</f>
        <v/>
      </c>
      <c r="S13" s="40">
        <f>Inputs!S42*EndCapCost</f>
        <v/>
      </c>
      <c r="T13" s="40">
        <f>Inputs!T42*EndCapCost</f>
        <v/>
      </c>
      <c r="U13" s="40">
        <f>Inputs!U42*EndCapCost</f>
        <v/>
      </c>
      <c r="V13" s="40">
        <f>Inputs!V42*EndCapCost</f>
        <v/>
      </c>
      <c r="W13" s="40">
        <f>Inputs!W42*EndCapCost</f>
        <v/>
      </c>
      <c r="X13" s="40">
        <f>Inputs!X42*EndCapCost</f>
        <v/>
      </c>
      <c r="Y13" s="40">
        <f>Inputs!Y42*EndCapCost</f>
        <v/>
      </c>
      <c r="Z13" s="40">
        <f>Inputs!Z42*EndCapCost</f>
        <v/>
      </c>
      <c r="AA13" s="40">
        <f>Inputs!AA42*EndCapCost</f>
        <v/>
      </c>
      <c r="AB13" s="40">
        <f>Inputs!AB42*EndCapCost</f>
        <v/>
      </c>
      <c r="AC13" s="40">
        <f>Inputs!AC42*EndCapCost</f>
        <v/>
      </c>
      <c r="AD13" s="40">
        <f>Inputs!AD42*EndCapCost</f>
        <v/>
      </c>
      <c r="AE13" s="40">
        <f>Inputs!AE42*EndCapCost</f>
        <v/>
      </c>
      <c r="AF13" s="41">
        <f>SUM(F13:AE13)</f>
        <v/>
      </c>
    </row>
    <row r="14">
      <c r="B14" s="37" t="inlineStr">
        <is>
          <t>— Fence Spend</t>
        </is>
      </c>
      <c r="F14" s="40">
        <f>Inputs!F43*FenceCost</f>
        <v/>
      </c>
      <c r="G14" s="40">
        <f>Inputs!G43*FenceCost</f>
        <v/>
      </c>
      <c r="H14" s="40">
        <f>Inputs!H43*FenceCost</f>
        <v/>
      </c>
      <c r="I14" s="40">
        <f>Inputs!I43*FenceCost</f>
        <v/>
      </c>
      <c r="J14" s="40">
        <f>Inputs!J43*FenceCost</f>
        <v/>
      </c>
      <c r="K14" s="40">
        <f>Inputs!K43*FenceCost</f>
        <v/>
      </c>
      <c r="L14" s="40">
        <f>Inputs!L43*FenceCost</f>
        <v/>
      </c>
      <c r="M14" s="40">
        <f>Inputs!M43*FenceCost</f>
        <v/>
      </c>
      <c r="N14" s="40">
        <f>Inputs!N43*FenceCost</f>
        <v/>
      </c>
      <c r="O14" s="40">
        <f>Inputs!O43*FenceCost</f>
        <v/>
      </c>
      <c r="P14" s="40">
        <f>Inputs!P43*FenceCost</f>
        <v/>
      </c>
      <c r="Q14" s="40">
        <f>Inputs!Q43*FenceCost</f>
        <v/>
      </c>
      <c r="R14" s="40">
        <f>Inputs!R43*FenceCost</f>
        <v/>
      </c>
      <c r="S14" s="40">
        <f>Inputs!S43*FenceCost</f>
        <v/>
      </c>
      <c r="T14" s="40">
        <f>Inputs!T43*FenceCost</f>
        <v/>
      </c>
      <c r="U14" s="40">
        <f>Inputs!U43*FenceCost</f>
        <v/>
      </c>
      <c r="V14" s="40">
        <f>Inputs!V43*FenceCost</f>
        <v/>
      </c>
      <c r="W14" s="40">
        <f>Inputs!W43*FenceCost</f>
        <v/>
      </c>
      <c r="X14" s="40">
        <f>Inputs!X43*FenceCost</f>
        <v/>
      </c>
      <c r="Y14" s="40">
        <f>Inputs!Y43*FenceCost</f>
        <v/>
      </c>
      <c r="Z14" s="40">
        <f>Inputs!Z43*FenceCost</f>
        <v/>
      </c>
      <c r="AA14" s="40">
        <f>Inputs!AA43*FenceCost</f>
        <v/>
      </c>
      <c r="AB14" s="40">
        <f>Inputs!AB43*FenceCost</f>
        <v/>
      </c>
      <c r="AC14" s="40">
        <f>Inputs!AC43*FenceCost</f>
        <v/>
      </c>
      <c r="AD14" s="40">
        <f>Inputs!AD43*FenceCost</f>
        <v/>
      </c>
      <c r="AE14" s="40">
        <f>Inputs!AE43*FenceCost</f>
        <v/>
      </c>
      <c r="AF14" s="41">
        <f>SUM(F14:AE14)</f>
        <v/>
      </c>
    </row>
    <row r="15">
      <c r="B15" s="37" t="inlineStr">
        <is>
          <t>— TPD Spend</t>
        </is>
      </c>
      <c r="F15" s="40">
        <f>Inputs!F44*F7*F8*TPDPct</f>
        <v/>
      </c>
      <c r="G15" s="40">
        <f>Inputs!G44*G7*G8*TPDPct</f>
        <v/>
      </c>
      <c r="H15" s="40">
        <f>Inputs!H44*H7*H8*TPDPct</f>
        <v/>
      </c>
      <c r="I15" s="40">
        <f>Inputs!I44*I7*I8*TPDPct</f>
        <v/>
      </c>
      <c r="J15" s="40">
        <f>Inputs!J44*J7*J8*TPDPct</f>
        <v/>
      </c>
      <c r="K15" s="40">
        <f>Inputs!K44*K7*K8*TPDPct</f>
        <v/>
      </c>
      <c r="L15" s="40">
        <f>Inputs!L44*L7*L8*TPDPct</f>
        <v/>
      </c>
      <c r="M15" s="40">
        <f>Inputs!M44*M7*M8*TPDPct</f>
        <v/>
      </c>
      <c r="N15" s="40">
        <f>Inputs!N44*N7*N8*TPDPct</f>
        <v/>
      </c>
      <c r="O15" s="40">
        <f>Inputs!O44*O7*O8*TPDPct</f>
        <v/>
      </c>
      <c r="P15" s="40">
        <f>Inputs!P44*P7*P8*TPDPct</f>
        <v/>
      </c>
      <c r="Q15" s="40">
        <f>Inputs!Q44*Q7*Q8*TPDPct</f>
        <v/>
      </c>
      <c r="R15" s="40">
        <f>Inputs!R44*R7*R8*TPDPct</f>
        <v/>
      </c>
      <c r="S15" s="40">
        <f>Inputs!S44*S7*S8*TPDPct</f>
        <v/>
      </c>
      <c r="T15" s="40">
        <f>Inputs!T44*T7*T8*TPDPct</f>
        <v/>
      </c>
      <c r="U15" s="40">
        <f>Inputs!U44*U7*U8*TPDPct</f>
        <v/>
      </c>
      <c r="V15" s="40">
        <f>Inputs!V44*V7*V8*TPDPct</f>
        <v/>
      </c>
      <c r="W15" s="40">
        <f>Inputs!W44*W7*W8*TPDPct</f>
        <v/>
      </c>
      <c r="X15" s="40">
        <f>Inputs!X44*X7*X8*TPDPct</f>
        <v/>
      </c>
      <c r="Y15" s="40">
        <f>Inputs!Y44*Y7*Y8*TPDPct</f>
        <v/>
      </c>
      <c r="Z15" s="40">
        <f>Inputs!Z44*Z7*Z8*TPDPct</f>
        <v/>
      </c>
      <c r="AA15" s="40">
        <f>Inputs!AA44*AA7*AA8*TPDPct</f>
        <v/>
      </c>
      <c r="AB15" s="40">
        <f>Inputs!AB44*AB7*AB8*TPDPct</f>
        <v/>
      </c>
      <c r="AC15" s="40">
        <f>Inputs!AC44*AC7*AC8*TPDPct</f>
        <v/>
      </c>
      <c r="AD15" s="40">
        <f>Inputs!AD44*AD7*AD8*TPDPct</f>
        <v/>
      </c>
      <c r="AE15" s="40">
        <f>Inputs!AE44*AE7*AE8*TPDPct</f>
        <v/>
      </c>
      <c r="AF15" s="41">
        <f>SUM(F15:AE15)</f>
        <v/>
      </c>
    </row>
    <row r="16">
      <c r="B16" s="37" t="inlineStr">
        <is>
          <t>— Markdown Spend</t>
        </is>
      </c>
      <c r="F16" s="40">
        <f>Inputs!F45*F7*F8*MdPct</f>
        <v/>
      </c>
      <c r="G16" s="40">
        <f>Inputs!G45*G7*G8*MdPct</f>
        <v/>
      </c>
      <c r="H16" s="40">
        <f>Inputs!H45*H7*H8*MdPct</f>
        <v/>
      </c>
      <c r="I16" s="40">
        <f>Inputs!I45*I7*I8*MdPct</f>
        <v/>
      </c>
      <c r="J16" s="40">
        <f>Inputs!J45*J7*J8*MdPct</f>
        <v/>
      </c>
      <c r="K16" s="40">
        <f>Inputs!K45*K7*K8*MdPct</f>
        <v/>
      </c>
      <c r="L16" s="40">
        <f>Inputs!L45*L7*L8*MdPct</f>
        <v/>
      </c>
      <c r="M16" s="40">
        <f>Inputs!M45*M7*M8*MdPct</f>
        <v/>
      </c>
      <c r="N16" s="40">
        <f>Inputs!N45*N7*N8*MdPct</f>
        <v/>
      </c>
      <c r="O16" s="40">
        <f>Inputs!O45*O7*O8*MdPct</f>
        <v/>
      </c>
      <c r="P16" s="40">
        <f>Inputs!P45*P7*P8*MdPct</f>
        <v/>
      </c>
      <c r="Q16" s="40">
        <f>Inputs!Q45*Q7*Q8*MdPct</f>
        <v/>
      </c>
      <c r="R16" s="40">
        <f>Inputs!R45*R7*R8*MdPct</f>
        <v/>
      </c>
      <c r="S16" s="40">
        <f>Inputs!S45*S7*S8*MdPct</f>
        <v/>
      </c>
      <c r="T16" s="40">
        <f>Inputs!T45*T7*T8*MdPct</f>
        <v/>
      </c>
      <c r="U16" s="40">
        <f>Inputs!U45*U7*U8*MdPct</f>
        <v/>
      </c>
      <c r="V16" s="40">
        <f>Inputs!V45*V7*V8*MdPct</f>
        <v/>
      </c>
      <c r="W16" s="40">
        <f>Inputs!W45*W7*W8*MdPct</f>
        <v/>
      </c>
      <c r="X16" s="40">
        <f>Inputs!X45*X7*X8*MdPct</f>
        <v/>
      </c>
      <c r="Y16" s="40">
        <f>Inputs!Y45*Y7*Y8*MdPct</f>
        <v/>
      </c>
      <c r="Z16" s="40">
        <f>Inputs!Z45*Z7*Z8*MdPct</f>
        <v/>
      </c>
      <c r="AA16" s="40">
        <f>Inputs!AA45*AA7*AA8*MdPct</f>
        <v/>
      </c>
      <c r="AB16" s="40">
        <f>Inputs!AB45*AB7*AB8*MdPct</f>
        <v/>
      </c>
      <c r="AC16" s="40">
        <f>Inputs!AC45*AC7*AC8*MdPct</f>
        <v/>
      </c>
      <c r="AD16" s="40">
        <f>Inputs!AD45*AD7*AD8*MdPct</f>
        <v/>
      </c>
      <c r="AE16" s="40">
        <f>Inputs!AE45*AE7*AE8*MdPct</f>
        <v/>
      </c>
      <c r="AF16" s="41">
        <f>SUM(F16:AE16)</f>
        <v/>
      </c>
    </row>
    <row r="17">
      <c r="B17" s="37" t="inlineStr">
        <is>
          <t>— Advertising Spend</t>
        </is>
      </c>
      <c r="F17" s="40">
        <f>Inputs!F46*AdvertCost</f>
        <v/>
      </c>
      <c r="G17" s="40">
        <f>Inputs!G46*AdvertCost</f>
        <v/>
      </c>
      <c r="H17" s="40">
        <f>Inputs!H46*AdvertCost</f>
        <v/>
      </c>
      <c r="I17" s="40">
        <f>Inputs!I46*AdvertCost</f>
        <v/>
      </c>
      <c r="J17" s="40">
        <f>Inputs!J46*AdvertCost</f>
        <v/>
      </c>
      <c r="K17" s="40">
        <f>Inputs!K46*AdvertCost</f>
        <v/>
      </c>
      <c r="L17" s="40">
        <f>Inputs!L46*AdvertCost</f>
        <v/>
      </c>
      <c r="M17" s="40">
        <f>Inputs!M46*AdvertCost</f>
        <v/>
      </c>
      <c r="N17" s="40">
        <f>Inputs!N46*AdvertCost</f>
        <v/>
      </c>
      <c r="O17" s="40">
        <f>Inputs!O46*AdvertCost</f>
        <v/>
      </c>
      <c r="P17" s="40">
        <f>Inputs!P46*AdvertCost</f>
        <v/>
      </c>
      <c r="Q17" s="40">
        <f>Inputs!Q46*AdvertCost</f>
        <v/>
      </c>
      <c r="R17" s="40">
        <f>Inputs!R46*AdvertCost</f>
        <v/>
      </c>
      <c r="S17" s="40">
        <f>Inputs!S46*AdvertCost</f>
        <v/>
      </c>
      <c r="T17" s="40">
        <f>Inputs!T46*AdvertCost</f>
        <v/>
      </c>
      <c r="U17" s="40">
        <f>Inputs!U46*AdvertCost</f>
        <v/>
      </c>
      <c r="V17" s="40">
        <f>Inputs!V46*AdvertCost</f>
        <v/>
      </c>
      <c r="W17" s="40">
        <f>Inputs!W46*AdvertCost</f>
        <v/>
      </c>
      <c r="X17" s="40">
        <f>Inputs!X46*AdvertCost</f>
        <v/>
      </c>
      <c r="Y17" s="40">
        <f>Inputs!Y46*AdvertCost</f>
        <v/>
      </c>
      <c r="Z17" s="40">
        <f>Inputs!Z46*AdvertCost</f>
        <v/>
      </c>
      <c r="AA17" s="40">
        <f>Inputs!AA46*AdvertCost</f>
        <v/>
      </c>
      <c r="AB17" s="40">
        <f>Inputs!AB46*AdvertCost</f>
        <v/>
      </c>
      <c r="AC17" s="40">
        <f>Inputs!AC46*AdvertCost</f>
        <v/>
      </c>
      <c r="AD17" s="40">
        <f>Inputs!AD46*AdvertCost</f>
        <v/>
      </c>
      <c r="AE17" s="40">
        <f>Inputs!AE46*AdvertCost</f>
        <v/>
      </c>
      <c r="AF17" s="41">
        <f>SUM(F17:AE17)</f>
        <v/>
      </c>
    </row>
    <row r="18">
      <c r="B18" s="13" t="inlineStr">
        <is>
          <t>Total Promo Spend</t>
        </is>
      </c>
      <c r="F18" s="40">
        <f>SUM(F12:F17)</f>
        <v/>
      </c>
      <c r="G18" s="40">
        <f>SUM(G12:G17)</f>
        <v/>
      </c>
      <c r="H18" s="40">
        <f>SUM(H12:H17)</f>
        <v/>
      </c>
      <c r="I18" s="40">
        <f>SUM(I12:I17)</f>
        <v/>
      </c>
      <c r="J18" s="40">
        <f>SUM(J12:J17)</f>
        <v/>
      </c>
      <c r="K18" s="40">
        <f>SUM(K12:K17)</f>
        <v/>
      </c>
      <c r="L18" s="40">
        <f>SUM(L12:L17)</f>
        <v/>
      </c>
      <c r="M18" s="40">
        <f>SUM(M12:M17)</f>
        <v/>
      </c>
      <c r="N18" s="40">
        <f>SUM(N12:N17)</f>
        <v/>
      </c>
      <c r="O18" s="40">
        <f>SUM(O12:O17)</f>
        <v/>
      </c>
      <c r="P18" s="40">
        <f>SUM(P12:P17)</f>
        <v/>
      </c>
      <c r="Q18" s="40">
        <f>SUM(Q12:Q17)</f>
        <v/>
      </c>
      <c r="R18" s="40">
        <f>SUM(R12:R17)</f>
        <v/>
      </c>
      <c r="S18" s="40">
        <f>SUM(S12:S17)</f>
        <v/>
      </c>
      <c r="T18" s="40">
        <f>SUM(T12:T17)</f>
        <v/>
      </c>
      <c r="U18" s="40">
        <f>SUM(U12:U17)</f>
        <v/>
      </c>
      <c r="V18" s="40">
        <f>SUM(V12:V17)</f>
        <v/>
      </c>
      <c r="W18" s="40">
        <f>SUM(W12:W17)</f>
        <v/>
      </c>
      <c r="X18" s="40">
        <f>SUM(X12:X17)</f>
        <v/>
      </c>
      <c r="Y18" s="40">
        <f>SUM(Y12:Y17)</f>
        <v/>
      </c>
      <c r="Z18" s="40">
        <f>SUM(Z12:Z17)</f>
        <v/>
      </c>
      <c r="AA18" s="40">
        <f>SUM(AA12:AA17)</f>
        <v/>
      </c>
      <c r="AB18" s="40">
        <f>SUM(AB12:AB17)</f>
        <v/>
      </c>
      <c r="AC18" s="40">
        <f>SUM(AC12:AC17)</f>
        <v/>
      </c>
      <c r="AD18" s="40">
        <f>SUM(AD12:AD17)</f>
        <v/>
      </c>
      <c r="AE18" s="40">
        <f>SUM(AE12:AE17)</f>
        <v/>
      </c>
      <c r="AF18" s="41">
        <f>SUM(F18:AE18)</f>
        <v/>
      </c>
    </row>
    <row r="19">
      <c r="B19" s="42" t="inlineStr">
        <is>
          <t>Gross Profit</t>
        </is>
      </c>
      <c r="F19" s="40">
        <f>F9-F11</f>
        <v/>
      </c>
      <c r="G19" s="40">
        <f>G9-G11</f>
        <v/>
      </c>
      <c r="H19" s="40">
        <f>H9-H11</f>
        <v/>
      </c>
      <c r="I19" s="40">
        <f>I9-I11</f>
        <v/>
      </c>
      <c r="J19" s="40">
        <f>J9-J11</f>
        <v/>
      </c>
      <c r="K19" s="40">
        <f>K9-K11</f>
        <v/>
      </c>
      <c r="L19" s="40">
        <f>L9-L11</f>
        <v/>
      </c>
      <c r="M19" s="40">
        <f>M9-M11</f>
        <v/>
      </c>
      <c r="N19" s="40">
        <f>N9-N11</f>
        <v/>
      </c>
      <c r="O19" s="40">
        <f>O9-O11</f>
        <v/>
      </c>
      <c r="P19" s="40">
        <f>P9-P11</f>
        <v/>
      </c>
      <c r="Q19" s="40">
        <f>Q9-Q11</f>
        <v/>
      </c>
      <c r="R19" s="40">
        <f>R9-R11</f>
        <v/>
      </c>
      <c r="S19" s="40">
        <f>S9-S11</f>
        <v/>
      </c>
      <c r="T19" s="40">
        <f>T9-T11</f>
        <v/>
      </c>
      <c r="U19" s="40">
        <f>U9-U11</f>
        <v/>
      </c>
      <c r="V19" s="40">
        <f>V9-V11</f>
        <v/>
      </c>
      <c r="W19" s="40">
        <f>W9-W11</f>
        <v/>
      </c>
      <c r="X19" s="40">
        <f>X9-X11</f>
        <v/>
      </c>
      <c r="Y19" s="40">
        <f>Y9-Y11</f>
        <v/>
      </c>
      <c r="Z19" s="40">
        <f>Z9-Z11</f>
        <v/>
      </c>
      <c r="AA19" s="40">
        <f>AA9-AA11</f>
        <v/>
      </c>
      <c r="AB19" s="40">
        <f>AB9-AB11</f>
        <v/>
      </c>
      <c r="AC19" s="40">
        <f>AC9-AC11</f>
        <v/>
      </c>
      <c r="AD19" s="40">
        <f>AD9-AD11</f>
        <v/>
      </c>
      <c r="AE19" s="40">
        <f>AE9-AE11</f>
        <v/>
      </c>
      <c r="AF19" s="41">
        <f>SUM(F19:AE19)</f>
        <v/>
      </c>
    </row>
    <row r="20">
      <c r="B20" s="42" t="inlineStr">
        <is>
          <t>Net Profit (after promo)</t>
        </is>
      </c>
      <c r="F20" s="40">
        <f>F19-F18</f>
        <v/>
      </c>
      <c r="G20" s="40">
        <f>G19-G18</f>
        <v/>
      </c>
      <c r="H20" s="40">
        <f>H19-H18</f>
        <v/>
      </c>
      <c r="I20" s="40">
        <f>I19-I18</f>
        <v/>
      </c>
      <c r="J20" s="40">
        <f>J19-J18</f>
        <v/>
      </c>
      <c r="K20" s="40">
        <f>K19-K18</f>
        <v/>
      </c>
      <c r="L20" s="40">
        <f>L19-L18</f>
        <v/>
      </c>
      <c r="M20" s="40">
        <f>M19-M18</f>
        <v/>
      </c>
      <c r="N20" s="40">
        <f>N19-N18</f>
        <v/>
      </c>
      <c r="O20" s="40">
        <f>O19-O18</f>
        <v/>
      </c>
      <c r="P20" s="40">
        <f>P19-P18</f>
        <v/>
      </c>
      <c r="Q20" s="40">
        <f>Q19-Q18</f>
        <v/>
      </c>
      <c r="R20" s="40">
        <f>R19-R18</f>
        <v/>
      </c>
      <c r="S20" s="40">
        <f>S19-S18</f>
        <v/>
      </c>
      <c r="T20" s="40">
        <f>T19-T18</f>
        <v/>
      </c>
      <c r="U20" s="40">
        <f>U19-U18</f>
        <v/>
      </c>
      <c r="V20" s="40">
        <f>V19-V18</f>
        <v/>
      </c>
      <c r="W20" s="40">
        <f>W19-W18</f>
        <v/>
      </c>
      <c r="X20" s="40">
        <f>X19-X18</f>
        <v/>
      </c>
      <c r="Y20" s="40">
        <f>Y19-Y18</f>
        <v/>
      </c>
      <c r="Z20" s="40">
        <f>Z19-Z18</f>
        <v/>
      </c>
      <c r="AA20" s="40">
        <f>AA19-AA18</f>
        <v/>
      </c>
      <c r="AB20" s="40">
        <f>AB19-AB18</f>
        <v/>
      </c>
      <c r="AC20" s="40">
        <f>AC19-AC18</f>
        <v/>
      </c>
      <c r="AD20" s="40">
        <f>AD19-AD18</f>
        <v/>
      </c>
      <c r="AE20" s="40">
        <f>AE19-AE18</f>
        <v/>
      </c>
      <c r="AF20" s="41">
        <f>SUM(F20:AE20)</f>
        <v/>
      </c>
    </row>
    <row r="23" ht="22" customHeight="1">
      <c r="B23" s="27" t="inlineStr">
        <is>
          <t>IDEAL – x2 Demo + End Cap (Wks 5-6) + TPD</t>
        </is>
      </c>
    </row>
    <row r="24">
      <c r="B24" s="28" t="inlineStr">
        <is>
          <t>Week</t>
        </is>
      </c>
      <c r="F24" s="29" t="inlineStr">
        <is>
          <t>W1</t>
        </is>
      </c>
      <c r="G24" s="29" t="inlineStr">
        <is>
          <t>W2</t>
        </is>
      </c>
      <c r="H24" s="29" t="inlineStr">
        <is>
          <t>W3</t>
        </is>
      </c>
      <c r="I24" s="29" t="inlineStr">
        <is>
          <t>W4</t>
        </is>
      </c>
      <c r="J24" s="29" t="inlineStr">
        <is>
          <t>W5</t>
        </is>
      </c>
      <c r="K24" s="29" t="inlineStr">
        <is>
          <t>W6</t>
        </is>
      </c>
      <c r="L24" s="29" t="inlineStr">
        <is>
          <t>W7</t>
        </is>
      </c>
      <c r="M24" s="29" t="inlineStr">
        <is>
          <t>W8</t>
        </is>
      </c>
      <c r="N24" s="29" t="inlineStr">
        <is>
          <t>W9</t>
        </is>
      </c>
      <c r="O24" s="29" t="inlineStr">
        <is>
          <t>W10</t>
        </is>
      </c>
      <c r="P24" s="29" t="inlineStr">
        <is>
          <t>W11</t>
        </is>
      </c>
      <c r="Q24" s="29" t="inlineStr">
        <is>
          <t>W12</t>
        </is>
      </c>
      <c r="R24" s="29" t="inlineStr">
        <is>
          <t>W13</t>
        </is>
      </c>
      <c r="S24" s="29" t="inlineStr">
        <is>
          <t>W14</t>
        </is>
      </c>
      <c r="T24" s="29" t="inlineStr">
        <is>
          <t>W15</t>
        </is>
      </c>
      <c r="U24" s="29" t="inlineStr">
        <is>
          <t>W16</t>
        </is>
      </c>
      <c r="V24" s="29" t="inlineStr">
        <is>
          <t>W17</t>
        </is>
      </c>
      <c r="W24" s="29" t="inlineStr">
        <is>
          <t>W18</t>
        </is>
      </c>
      <c r="X24" s="29" t="inlineStr">
        <is>
          <t>W19</t>
        </is>
      </c>
      <c r="Y24" s="29" t="inlineStr">
        <is>
          <t>W20</t>
        </is>
      </c>
      <c r="Z24" s="29" t="inlineStr">
        <is>
          <t>W21</t>
        </is>
      </c>
      <c r="AA24" s="29" t="inlineStr">
        <is>
          <t>W22</t>
        </is>
      </c>
      <c r="AB24" s="29" t="inlineStr">
        <is>
          <t>W23</t>
        </is>
      </c>
      <c r="AC24" s="29" t="inlineStr">
        <is>
          <t>W24</t>
        </is>
      </c>
      <c r="AD24" s="29" t="inlineStr">
        <is>
          <t>W25</t>
        </is>
      </c>
      <c r="AE24" s="29" t="inlineStr">
        <is>
          <t>W26</t>
        </is>
      </c>
      <c r="AF24" s="33" t="inlineStr">
        <is>
          <t>TOTAL</t>
        </is>
      </c>
    </row>
    <row r="25">
      <c r="B25" s="28" t="inlineStr">
        <is>
          <t>Wk-commencing</t>
        </is>
      </c>
      <c r="F25" s="30">
        <f>StartDate+7*0</f>
        <v/>
      </c>
      <c r="G25" s="30">
        <f>StartDate+7*1</f>
        <v/>
      </c>
      <c r="H25" s="30">
        <f>StartDate+7*2</f>
        <v/>
      </c>
      <c r="I25" s="30">
        <f>StartDate+7*3</f>
        <v/>
      </c>
      <c r="J25" s="30">
        <f>StartDate+7*4</f>
        <v/>
      </c>
      <c r="K25" s="30">
        <f>StartDate+7*5</f>
        <v/>
      </c>
      <c r="L25" s="30">
        <f>StartDate+7*6</f>
        <v/>
      </c>
      <c r="M25" s="30">
        <f>StartDate+7*7</f>
        <v/>
      </c>
      <c r="N25" s="30">
        <f>StartDate+7*8</f>
        <v/>
      </c>
      <c r="O25" s="30">
        <f>StartDate+7*9</f>
        <v/>
      </c>
      <c r="P25" s="30">
        <f>StartDate+7*10</f>
        <v/>
      </c>
      <c r="Q25" s="30">
        <f>StartDate+7*11</f>
        <v/>
      </c>
      <c r="R25" s="30">
        <f>StartDate+7*12</f>
        <v/>
      </c>
      <c r="S25" s="30">
        <f>StartDate+7*13</f>
        <v/>
      </c>
      <c r="T25" s="30">
        <f>StartDate+7*14</f>
        <v/>
      </c>
      <c r="U25" s="30">
        <f>StartDate+7*15</f>
        <v/>
      </c>
      <c r="V25" s="30">
        <f>StartDate+7*16</f>
        <v/>
      </c>
      <c r="W25" s="30">
        <f>StartDate+7*17</f>
        <v/>
      </c>
      <c r="X25" s="30">
        <f>StartDate+7*18</f>
        <v/>
      </c>
      <c r="Y25" s="30">
        <f>StartDate+7*19</f>
        <v/>
      </c>
      <c r="Z25" s="30">
        <f>StartDate+7*20</f>
        <v/>
      </c>
      <c r="AA25" s="30">
        <f>StartDate+7*21</f>
        <v/>
      </c>
      <c r="AB25" s="30">
        <f>StartDate+7*22</f>
        <v/>
      </c>
      <c r="AC25" s="30">
        <f>StartDate+7*23</f>
        <v/>
      </c>
      <c r="AD25" s="30">
        <f>StartDate+7*24</f>
        <v/>
      </c>
      <c r="AE25" s="30">
        <f>StartDate+7*25</f>
        <v/>
      </c>
      <c r="AF25" s="34" t="inlineStr"/>
    </row>
    <row r="26">
      <c r="B26" s="13" t="inlineStr">
        <is>
          <t>POS Units</t>
        </is>
      </c>
      <c r="F26" s="35">
        <f>ROUND(BaseUnits*Inputs!F59,0)</f>
        <v/>
      </c>
      <c r="G26" s="35">
        <f>ROUND(BaseUnits*Inputs!G59,0)</f>
        <v/>
      </c>
      <c r="H26" s="35">
        <f>ROUND(BaseUnits*Inputs!H59,0)</f>
        <v/>
      </c>
      <c r="I26" s="35">
        <f>ROUND(BaseUnits*Inputs!I59,0)</f>
        <v/>
      </c>
      <c r="J26" s="35">
        <f>ROUND(BaseUnits*Inputs!J59,0)</f>
        <v/>
      </c>
      <c r="K26" s="35">
        <f>ROUND(BaseUnits*Inputs!K59,0)</f>
        <v/>
      </c>
      <c r="L26" s="35">
        <f>ROUND(BaseUnits*Inputs!L59,0)</f>
        <v/>
      </c>
      <c r="M26" s="35">
        <f>ROUND(BaseUnits*Inputs!M59,0)</f>
        <v/>
      </c>
      <c r="N26" s="35">
        <f>ROUND(BaseUnits*Inputs!N59,0)</f>
        <v/>
      </c>
      <c r="O26" s="35">
        <f>ROUND(BaseUnits*Inputs!O59,0)</f>
        <v/>
      </c>
      <c r="P26" s="35">
        <f>ROUND(BaseUnits*Inputs!P59,0)</f>
        <v/>
      </c>
      <c r="Q26" s="35">
        <f>ROUND(BaseUnits*Inputs!Q59,0)</f>
        <v/>
      </c>
      <c r="R26" s="35">
        <f>ROUND(BaseUnits*Inputs!R59,0)</f>
        <v/>
      </c>
      <c r="S26" s="35">
        <f>ROUND(BaseUnits*Inputs!S59,0)</f>
        <v/>
      </c>
      <c r="T26" s="35">
        <f>ROUND(BaseUnits*Inputs!T59,0)</f>
        <v/>
      </c>
      <c r="U26" s="35">
        <f>ROUND(BaseUnits*Inputs!U59,0)</f>
        <v/>
      </c>
      <c r="V26" s="35">
        <f>ROUND(BaseUnits*Inputs!V59,0)</f>
        <v/>
      </c>
      <c r="W26" s="35">
        <f>ROUND(BaseUnits*Inputs!W59,0)</f>
        <v/>
      </c>
      <c r="X26" s="35">
        <f>ROUND(BaseUnits*Inputs!X59,0)</f>
        <v/>
      </c>
      <c r="Y26" s="35">
        <f>ROUND(BaseUnits*Inputs!Y59,0)</f>
        <v/>
      </c>
      <c r="Z26" s="35">
        <f>ROUND(BaseUnits*Inputs!Z59,0)</f>
        <v/>
      </c>
      <c r="AA26" s="35">
        <f>ROUND(BaseUnits*Inputs!AA59,0)</f>
        <v/>
      </c>
      <c r="AB26" s="35">
        <f>ROUND(BaseUnits*Inputs!AB59,0)</f>
        <v/>
      </c>
      <c r="AC26" s="35">
        <f>ROUND(BaseUnits*Inputs!AC59,0)</f>
        <v/>
      </c>
      <c r="AD26" s="35">
        <f>ROUND(BaseUnits*Inputs!AD59,0)</f>
        <v/>
      </c>
      <c r="AE26" s="35">
        <f>ROUND(BaseUnits*Inputs!AE59,0)</f>
        <v/>
      </c>
      <c r="AF26" s="36">
        <f>SUM(F26:AE26)</f>
        <v/>
      </c>
    </row>
    <row r="27">
      <c r="B27" s="37" t="inlineStr">
        <is>
          <t>Selling Price</t>
        </is>
      </c>
      <c r="F27" s="38">
        <f>Price</f>
        <v/>
      </c>
      <c r="G27" s="38">
        <f>Price</f>
        <v/>
      </c>
      <c r="H27" s="38">
        <f>Price</f>
        <v/>
      </c>
      <c r="I27" s="38">
        <f>Price</f>
        <v/>
      </c>
      <c r="J27" s="38">
        <f>Price</f>
        <v/>
      </c>
      <c r="K27" s="38">
        <f>Price</f>
        <v/>
      </c>
      <c r="L27" s="38">
        <f>Price</f>
        <v/>
      </c>
      <c r="M27" s="38">
        <f>Price</f>
        <v/>
      </c>
      <c r="N27" s="38">
        <f>Price</f>
        <v/>
      </c>
      <c r="O27" s="38">
        <f>Price</f>
        <v/>
      </c>
      <c r="P27" s="38">
        <f>Price</f>
        <v/>
      </c>
      <c r="Q27" s="38">
        <f>Price</f>
        <v/>
      </c>
      <c r="R27" s="38">
        <f>Price</f>
        <v/>
      </c>
      <c r="S27" s="38">
        <f>Price</f>
        <v/>
      </c>
      <c r="T27" s="38">
        <f>Price</f>
        <v/>
      </c>
      <c r="U27" s="38">
        <f>Price</f>
        <v/>
      </c>
      <c r="V27" s="38">
        <f>Price</f>
        <v/>
      </c>
      <c r="W27" s="38">
        <f>Price</f>
        <v/>
      </c>
      <c r="X27" s="38">
        <f>Price</f>
        <v/>
      </c>
      <c r="Y27" s="38">
        <f>Price</f>
        <v/>
      </c>
      <c r="Z27" s="38">
        <f>Price</f>
        <v/>
      </c>
      <c r="AA27" s="38">
        <f>Price</f>
        <v/>
      </c>
      <c r="AB27" s="38">
        <f>Price</f>
        <v/>
      </c>
      <c r="AC27" s="38">
        <f>Price</f>
        <v/>
      </c>
      <c r="AD27" s="38">
        <f>Price</f>
        <v/>
      </c>
      <c r="AE27" s="38">
        <f>Price</f>
        <v/>
      </c>
      <c r="AF27" s="39">
        <f>Price</f>
        <v/>
      </c>
    </row>
    <row r="28">
      <c r="B28" s="13" t="inlineStr">
        <is>
          <t>Revenue</t>
        </is>
      </c>
      <c r="F28" s="40">
        <f>F26*F27</f>
        <v/>
      </c>
      <c r="G28" s="40">
        <f>G26*G27</f>
        <v/>
      </c>
      <c r="H28" s="40">
        <f>H26*H27</f>
        <v/>
      </c>
      <c r="I28" s="40">
        <f>I26*I27</f>
        <v/>
      </c>
      <c r="J28" s="40">
        <f>J26*J27</f>
        <v/>
      </c>
      <c r="K28" s="40">
        <f>K26*K27</f>
        <v/>
      </c>
      <c r="L28" s="40">
        <f>L26*L27</f>
        <v/>
      </c>
      <c r="M28" s="40">
        <f>M26*M27</f>
        <v/>
      </c>
      <c r="N28" s="40">
        <f>N26*N27</f>
        <v/>
      </c>
      <c r="O28" s="40">
        <f>O26*O27</f>
        <v/>
      </c>
      <c r="P28" s="40">
        <f>P26*P27</f>
        <v/>
      </c>
      <c r="Q28" s="40">
        <f>Q26*Q27</f>
        <v/>
      </c>
      <c r="R28" s="40">
        <f>R26*R27</f>
        <v/>
      </c>
      <c r="S28" s="40">
        <f>S26*S27</f>
        <v/>
      </c>
      <c r="T28" s="40">
        <f>T26*T27</f>
        <v/>
      </c>
      <c r="U28" s="40">
        <f>U26*U27</f>
        <v/>
      </c>
      <c r="V28" s="40">
        <f>V26*V27</f>
        <v/>
      </c>
      <c r="W28" s="40">
        <f>W26*W27</f>
        <v/>
      </c>
      <c r="X28" s="40">
        <f>X26*X27</f>
        <v/>
      </c>
      <c r="Y28" s="40">
        <f>Y26*Y27</f>
        <v/>
      </c>
      <c r="Z28" s="40">
        <f>Z26*Z27</f>
        <v/>
      </c>
      <c r="AA28" s="40">
        <f>AA26*AA27</f>
        <v/>
      </c>
      <c r="AB28" s="40">
        <f>AB26*AB27</f>
        <v/>
      </c>
      <c r="AC28" s="40">
        <f>AC26*AC27</f>
        <v/>
      </c>
      <c r="AD28" s="40">
        <f>AD26*AD27</f>
        <v/>
      </c>
      <c r="AE28" s="40">
        <f>AE26*AE27</f>
        <v/>
      </c>
      <c r="AF28" s="41">
        <f>SUM(F28:AE28)</f>
        <v/>
      </c>
    </row>
    <row r="29">
      <c r="B29" s="37" t="inlineStr">
        <is>
          <t>Cost Price</t>
        </is>
      </c>
      <c r="F29" s="38">
        <f>Cost</f>
        <v/>
      </c>
      <c r="G29" s="38">
        <f>Cost</f>
        <v/>
      </c>
      <c r="H29" s="38">
        <f>Cost</f>
        <v/>
      </c>
      <c r="I29" s="38">
        <f>Cost</f>
        <v/>
      </c>
      <c r="J29" s="38">
        <f>Cost</f>
        <v/>
      </c>
      <c r="K29" s="38">
        <f>Cost</f>
        <v/>
      </c>
      <c r="L29" s="38">
        <f>Cost</f>
        <v/>
      </c>
      <c r="M29" s="38">
        <f>Cost</f>
        <v/>
      </c>
      <c r="N29" s="38">
        <f>Cost</f>
        <v/>
      </c>
      <c r="O29" s="38">
        <f>Cost</f>
        <v/>
      </c>
      <c r="P29" s="38">
        <f>Cost</f>
        <v/>
      </c>
      <c r="Q29" s="38">
        <f>Cost</f>
        <v/>
      </c>
      <c r="R29" s="38">
        <f>Cost</f>
        <v/>
      </c>
      <c r="S29" s="38">
        <f>Cost</f>
        <v/>
      </c>
      <c r="T29" s="38">
        <f>Cost</f>
        <v/>
      </c>
      <c r="U29" s="38">
        <f>Cost</f>
        <v/>
      </c>
      <c r="V29" s="38">
        <f>Cost</f>
        <v/>
      </c>
      <c r="W29" s="38">
        <f>Cost</f>
        <v/>
      </c>
      <c r="X29" s="38">
        <f>Cost</f>
        <v/>
      </c>
      <c r="Y29" s="38">
        <f>Cost</f>
        <v/>
      </c>
      <c r="Z29" s="38">
        <f>Cost</f>
        <v/>
      </c>
      <c r="AA29" s="38">
        <f>Cost</f>
        <v/>
      </c>
      <c r="AB29" s="38">
        <f>Cost</f>
        <v/>
      </c>
      <c r="AC29" s="38">
        <f>Cost</f>
        <v/>
      </c>
      <c r="AD29" s="38">
        <f>Cost</f>
        <v/>
      </c>
      <c r="AE29" s="38">
        <f>Cost</f>
        <v/>
      </c>
      <c r="AF29" s="39">
        <f>Cost</f>
        <v/>
      </c>
    </row>
    <row r="30">
      <c r="B30" s="13" t="inlineStr">
        <is>
          <t>Raw COGS</t>
        </is>
      </c>
      <c r="F30" s="40">
        <f>F26*F29</f>
        <v/>
      </c>
      <c r="G30" s="40">
        <f>G26*G29</f>
        <v/>
      </c>
      <c r="H30" s="40">
        <f>H26*H29</f>
        <v/>
      </c>
      <c r="I30" s="40">
        <f>I26*I29</f>
        <v/>
      </c>
      <c r="J30" s="40">
        <f>J26*J29</f>
        <v/>
      </c>
      <c r="K30" s="40">
        <f>K26*K29</f>
        <v/>
      </c>
      <c r="L30" s="40">
        <f>L26*L29</f>
        <v/>
      </c>
      <c r="M30" s="40">
        <f>M26*M29</f>
        <v/>
      </c>
      <c r="N30" s="40">
        <f>N26*N29</f>
        <v/>
      </c>
      <c r="O30" s="40">
        <f>O26*O29</f>
        <v/>
      </c>
      <c r="P30" s="40">
        <f>P26*P29</f>
        <v/>
      </c>
      <c r="Q30" s="40">
        <f>Q26*Q29</f>
        <v/>
      </c>
      <c r="R30" s="40">
        <f>R26*R29</f>
        <v/>
      </c>
      <c r="S30" s="40">
        <f>S26*S29</f>
        <v/>
      </c>
      <c r="T30" s="40">
        <f>T26*T29</f>
        <v/>
      </c>
      <c r="U30" s="40">
        <f>U26*U29</f>
        <v/>
      </c>
      <c r="V30" s="40">
        <f>V26*V29</f>
        <v/>
      </c>
      <c r="W30" s="40">
        <f>W26*W29</f>
        <v/>
      </c>
      <c r="X30" s="40">
        <f>X26*X29</f>
        <v/>
      </c>
      <c r="Y30" s="40">
        <f>Y26*Y29</f>
        <v/>
      </c>
      <c r="Z30" s="40">
        <f>Z26*Z29</f>
        <v/>
      </c>
      <c r="AA30" s="40">
        <f>AA26*AA29</f>
        <v/>
      </c>
      <c r="AB30" s="40">
        <f>AB26*AB29</f>
        <v/>
      </c>
      <c r="AC30" s="40">
        <f>AC26*AC29</f>
        <v/>
      </c>
      <c r="AD30" s="40">
        <f>AD26*AD29</f>
        <v/>
      </c>
      <c r="AE30" s="40">
        <f>AE26*AE29</f>
        <v/>
      </c>
      <c r="AF30" s="41">
        <f>SUM(F30:AE30)</f>
        <v/>
      </c>
    </row>
    <row r="31">
      <c r="B31" s="37" t="inlineStr">
        <is>
          <t>— Demo Spend</t>
        </is>
      </c>
      <c r="F31" s="40">
        <f>Inputs!F53*DemoCost</f>
        <v/>
      </c>
      <c r="G31" s="40">
        <f>Inputs!G53*DemoCost</f>
        <v/>
      </c>
      <c r="H31" s="40">
        <f>Inputs!H53*DemoCost</f>
        <v/>
      </c>
      <c r="I31" s="40">
        <f>Inputs!I53*DemoCost</f>
        <v/>
      </c>
      <c r="J31" s="40">
        <f>Inputs!J53*DemoCost</f>
        <v/>
      </c>
      <c r="K31" s="40">
        <f>Inputs!K53*DemoCost</f>
        <v/>
      </c>
      <c r="L31" s="40">
        <f>Inputs!L53*DemoCost</f>
        <v/>
      </c>
      <c r="M31" s="40">
        <f>Inputs!M53*DemoCost</f>
        <v/>
      </c>
      <c r="N31" s="40">
        <f>Inputs!N53*DemoCost</f>
        <v/>
      </c>
      <c r="O31" s="40">
        <f>Inputs!O53*DemoCost</f>
        <v/>
      </c>
      <c r="P31" s="40">
        <f>Inputs!P53*DemoCost</f>
        <v/>
      </c>
      <c r="Q31" s="40">
        <f>Inputs!Q53*DemoCost</f>
        <v/>
      </c>
      <c r="R31" s="40">
        <f>Inputs!R53*DemoCost</f>
        <v/>
      </c>
      <c r="S31" s="40">
        <f>Inputs!S53*DemoCost</f>
        <v/>
      </c>
      <c r="T31" s="40">
        <f>Inputs!T53*DemoCost</f>
        <v/>
      </c>
      <c r="U31" s="40">
        <f>Inputs!U53*DemoCost</f>
        <v/>
      </c>
      <c r="V31" s="40">
        <f>Inputs!V53*DemoCost</f>
        <v/>
      </c>
      <c r="W31" s="40">
        <f>Inputs!W53*DemoCost</f>
        <v/>
      </c>
      <c r="X31" s="40">
        <f>Inputs!X53*DemoCost</f>
        <v/>
      </c>
      <c r="Y31" s="40">
        <f>Inputs!Y53*DemoCost</f>
        <v/>
      </c>
      <c r="Z31" s="40">
        <f>Inputs!Z53*DemoCost</f>
        <v/>
      </c>
      <c r="AA31" s="40">
        <f>Inputs!AA53*DemoCost</f>
        <v/>
      </c>
      <c r="AB31" s="40">
        <f>Inputs!AB53*DemoCost</f>
        <v/>
      </c>
      <c r="AC31" s="40">
        <f>Inputs!AC53*DemoCost</f>
        <v/>
      </c>
      <c r="AD31" s="40">
        <f>Inputs!AD53*DemoCost</f>
        <v/>
      </c>
      <c r="AE31" s="40">
        <f>Inputs!AE53*DemoCost</f>
        <v/>
      </c>
      <c r="AF31" s="41">
        <f>SUM(F31:AE31)</f>
        <v/>
      </c>
    </row>
    <row r="32">
      <c r="B32" s="37" t="inlineStr">
        <is>
          <t>— End Cap Spend</t>
        </is>
      </c>
      <c r="F32" s="40">
        <f>Inputs!F54*EndCapCost</f>
        <v/>
      </c>
      <c r="G32" s="40">
        <f>Inputs!G54*EndCapCost</f>
        <v/>
      </c>
      <c r="H32" s="40">
        <f>Inputs!H54*EndCapCost</f>
        <v/>
      </c>
      <c r="I32" s="40">
        <f>Inputs!I54*EndCapCost</f>
        <v/>
      </c>
      <c r="J32" s="40">
        <f>Inputs!J54*EndCapCost</f>
        <v/>
      </c>
      <c r="K32" s="40">
        <f>Inputs!K54*EndCapCost</f>
        <v/>
      </c>
      <c r="L32" s="40">
        <f>Inputs!L54*EndCapCost</f>
        <v/>
      </c>
      <c r="M32" s="40">
        <f>Inputs!M54*EndCapCost</f>
        <v/>
      </c>
      <c r="N32" s="40">
        <f>Inputs!N54*EndCapCost</f>
        <v/>
      </c>
      <c r="O32" s="40">
        <f>Inputs!O54*EndCapCost</f>
        <v/>
      </c>
      <c r="P32" s="40">
        <f>Inputs!P54*EndCapCost</f>
        <v/>
      </c>
      <c r="Q32" s="40">
        <f>Inputs!Q54*EndCapCost</f>
        <v/>
      </c>
      <c r="R32" s="40">
        <f>Inputs!R54*EndCapCost</f>
        <v/>
      </c>
      <c r="S32" s="40">
        <f>Inputs!S54*EndCapCost</f>
        <v/>
      </c>
      <c r="T32" s="40">
        <f>Inputs!T54*EndCapCost</f>
        <v/>
      </c>
      <c r="U32" s="40">
        <f>Inputs!U54*EndCapCost</f>
        <v/>
      </c>
      <c r="V32" s="40">
        <f>Inputs!V54*EndCapCost</f>
        <v/>
      </c>
      <c r="W32" s="40">
        <f>Inputs!W54*EndCapCost</f>
        <v/>
      </c>
      <c r="X32" s="40">
        <f>Inputs!X54*EndCapCost</f>
        <v/>
      </c>
      <c r="Y32" s="40">
        <f>Inputs!Y54*EndCapCost</f>
        <v/>
      </c>
      <c r="Z32" s="40">
        <f>Inputs!Z54*EndCapCost</f>
        <v/>
      </c>
      <c r="AA32" s="40">
        <f>Inputs!AA54*EndCapCost</f>
        <v/>
      </c>
      <c r="AB32" s="40">
        <f>Inputs!AB54*EndCapCost</f>
        <v/>
      </c>
      <c r="AC32" s="40">
        <f>Inputs!AC54*EndCapCost</f>
        <v/>
      </c>
      <c r="AD32" s="40">
        <f>Inputs!AD54*EndCapCost</f>
        <v/>
      </c>
      <c r="AE32" s="40">
        <f>Inputs!AE54*EndCapCost</f>
        <v/>
      </c>
      <c r="AF32" s="41">
        <f>SUM(F32:AE32)</f>
        <v/>
      </c>
    </row>
    <row r="33">
      <c r="B33" s="37" t="inlineStr">
        <is>
          <t>— Fence Spend</t>
        </is>
      </c>
      <c r="F33" s="40">
        <f>Inputs!F55*FenceCost</f>
        <v/>
      </c>
      <c r="G33" s="40">
        <f>Inputs!G55*FenceCost</f>
        <v/>
      </c>
      <c r="H33" s="40">
        <f>Inputs!H55*FenceCost</f>
        <v/>
      </c>
      <c r="I33" s="40">
        <f>Inputs!I55*FenceCost</f>
        <v/>
      </c>
      <c r="J33" s="40">
        <f>Inputs!J55*FenceCost</f>
        <v/>
      </c>
      <c r="K33" s="40">
        <f>Inputs!K55*FenceCost</f>
        <v/>
      </c>
      <c r="L33" s="40">
        <f>Inputs!L55*FenceCost</f>
        <v/>
      </c>
      <c r="M33" s="40">
        <f>Inputs!M55*FenceCost</f>
        <v/>
      </c>
      <c r="N33" s="40">
        <f>Inputs!N55*FenceCost</f>
        <v/>
      </c>
      <c r="O33" s="40">
        <f>Inputs!O55*FenceCost</f>
        <v/>
      </c>
      <c r="P33" s="40">
        <f>Inputs!P55*FenceCost</f>
        <v/>
      </c>
      <c r="Q33" s="40">
        <f>Inputs!Q55*FenceCost</f>
        <v/>
      </c>
      <c r="R33" s="40">
        <f>Inputs!R55*FenceCost</f>
        <v/>
      </c>
      <c r="S33" s="40">
        <f>Inputs!S55*FenceCost</f>
        <v/>
      </c>
      <c r="T33" s="40">
        <f>Inputs!T55*FenceCost</f>
        <v/>
      </c>
      <c r="U33" s="40">
        <f>Inputs!U55*FenceCost</f>
        <v/>
      </c>
      <c r="V33" s="40">
        <f>Inputs!V55*FenceCost</f>
        <v/>
      </c>
      <c r="W33" s="40">
        <f>Inputs!W55*FenceCost</f>
        <v/>
      </c>
      <c r="X33" s="40">
        <f>Inputs!X55*FenceCost</f>
        <v/>
      </c>
      <c r="Y33" s="40">
        <f>Inputs!Y55*FenceCost</f>
        <v/>
      </c>
      <c r="Z33" s="40">
        <f>Inputs!Z55*FenceCost</f>
        <v/>
      </c>
      <c r="AA33" s="40">
        <f>Inputs!AA55*FenceCost</f>
        <v/>
      </c>
      <c r="AB33" s="40">
        <f>Inputs!AB55*FenceCost</f>
        <v/>
      </c>
      <c r="AC33" s="40">
        <f>Inputs!AC55*FenceCost</f>
        <v/>
      </c>
      <c r="AD33" s="40">
        <f>Inputs!AD55*FenceCost</f>
        <v/>
      </c>
      <c r="AE33" s="40">
        <f>Inputs!AE55*FenceCost</f>
        <v/>
      </c>
      <c r="AF33" s="41">
        <f>SUM(F33:AE33)</f>
        <v/>
      </c>
    </row>
    <row r="34">
      <c r="B34" s="37" t="inlineStr">
        <is>
          <t>— TPD Spend</t>
        </is>
      </c>
      <c r="F34" s="40">
        <f>Inputs!F56*F26*F27*TPDPct</f>
        <v/>
      </c>
      <c r="G34" s="40">
        <f>Inputs!G56*G26*G27*TPDPct</f>
        <v/>
      </c>
      <c r="H34" s="40">
        <f>Inputs!H56*H26*H27*TPDPct</f>
        <v/>
      </c>
      <c r="I34" s="40">
        <f>Inputs!I56*I26*I27*TPDPct</f>
        <v/>
      </c>
      <c r="J34" s="40">
        <f>Inputs!J56*J26*J27*TPDPct</f>
        <v/>
      </c>
      <c r="K34" s="40">
        <f>Inputs!K56*K26*K27*TPDPct</f>
        <v/>
      </c>
      <c r="L34" s="40">
        <f>Inputs!L56*L26*L27*TPDPct</f>
        <v/>
      </c>
      <c r="M34" s="40">
        <f>Inputs!M56*M26*M27*TPDPct</f>
        <v/>
      </c>
      <c r="N34" s="40">
        <f>Inputs!N56*N26*N27*TPDPct</f>
        <v/>
      </c>
      <c r="O34" s="40">
        <f>Inputs!O56*O26*O27*TPDPct</f>
        <v/>
      </c>
      <c r="P34" s="40">
        <f>Inputs!P56*P26*P27*TPDPct</f>
        <v/>
      </c>
      <c r="Q34" s="40">
        <f>Inputs!Q56*Q26*Q27*TPDPct</f>
        <v/>
      </c>
      <c r="R34" s="40">
        <f>Inputs!R56*R26*R27*TPDPct</f>
        <v/>
      </c>
      <c r="S34" s="40">
        <f>Inputs!S56*S26*S27*TPDPct</f>
        <v/>
      </c>
      <c r="T34" s="40">
        <f>Inputs!T56*T26*T27*TPDPct</f>
        <v/>
      </c>
      <c r="U34" s="40">
        <f>Inputs!U56*U26*U27*TPDPct</f>
        <v/>
      </c>
      <c r="V34" s="40">
        <f>Inputs!V56*V26*V27*TPDPct</f>
        <v/>
      </c>
      <c r="W34" s="40">
        <f>Inputs!W56*W26*W27*TPDPct</f>
        <v/>
      </c>
      <c r="X34" s="40">
        <f>Inputs!X56*X26*X27*TPDPct</f>
        <v/>
      </c>
      <c r="Y34" s="40">
        <f>Inputs!Y56*Y26*Y27*TPDPct</f>
        <v/>
      </c>
      <c r="Z34" s="40">
        <f>Inputs!Z56*Z26*Z27*TPDPct</f>
        <v/>
      </c>
      <c r="AA34" s="40">
        <f>Inputs!AA56*AA26*AA27*TPDPct</f>
        <v/>
      </c>
      <c r="AB34" s="40">
        <f>Inputs!AB56*AB26*AB27*TPDPct</f>
        <v/>
      </c>
      <c r="AC34" s="40">
        <f>Inputs!AC56*AC26*AC27*TPDPct</f>
        <v/>
      </c>
      <c r="AD34" s="40">
        <f>Inputs!AD56*AD26*AD27*TPDPct</f>
        <v/>
      </c>
      <c r="AE34" s="40">
        <f>Inputs!AE56*AE26*AE27*TPDPct</f>
        <v/>
      </c>
      <c r="AF34" s="41">
        <f>SUM(F34:AE34)</f>
        <v/>
      </c>
    </row>
    <row r="35">
      <c r="B35" s="37" t="inlineStr">
        <is>
          <t>— Markdown Spend</t>
        </is>
      </c>
      <c r="F35" s="40">
        <f>Inputs!F57*F26*F27*MdPct</f>
        <v/>
      </c>
      <c r="G35" s="40">
        <f>Inputs!G57*G26*G27*MdPct</f>
        <v/>
      </c>
      <c r="H35" s="40">
        <f>Inputs!H57*H26*H27*MdPct</f>
        <v/>
      </c>
      <c r="I35" s="40">
        <f>Inputs!I57*I26*I27*MdPct</f>
        <v/>
      </c>
      <c r="J35" s="40">
        <f>Inputs!J57*J26*J27*MdPct</f>
        <v/>
      </c>
      <c r="K35" s="40">
        <f>Inputs!K57*K26*K27*MdPct</f>
        <v/>
      </c>
      <c r="L35" s="40">
        <f>Inputs!L57*L26*L27*MdPct</f>
        <v/>
      </c>
      <c r="M35" s="40">
        <f>Inputs!M57*M26*M27*MdPct</f>
        <v/>
      </c>
      <c r="N35" s="40">
        <f>Inputs!N57*N26*N27*MdPct</f>
        <v/>
      </c>
      <c r="O35" s="40">
        <f>Inputs!O57*O26*O27*MdPct</f>
        <v/>
      </c>
      <c r="P35" s="40">
        <f>Inputs!P57*P26*P27*MdPct</f>
        <v/>
      </c>
      <c r="Q35" s="40">
        <f>Inputs!Q57*Q26*Q27*MdPct</f>
        <v/>
      </c>
      <c r="R35" s="40">
        <f>Inputs!R57*R26*R27*MdPct</f>
        <v/>
      </c>
      <c r="S35" s="40">
        <f>Inputs!S57*S26*S27*MdPct</f>
        <v/>
      </c>
      <c r="T35" s="40">
        <f>Inputs!T57*T26*T27*MdPct</f>
        <v/>
      </c>
      <c r="U35" s="40">
        <f>Inputs!U57*U26*U27*MdPct</f>
        <v/>
      </c>
      <c r="V35" s="40">
        <f>Inputs!V57*V26*V27*MdPct</f>
        <v/>
      </c>
      <c r="W35" s="40">
        <f>Inputs!W57*W26*W27*MdPct</f>
        <v/>
      </c>
      <c r="X35" s="40">
        <f>Inputs!X57*X26*X27*MdPct</f>
        <v/>
      </c>
      <c r="Y35" s="40">
        <f>Inputs!Y57*Y26*Y27*MdPct</f>
        <v/>
      </c>
      <c r="Z35" s="40">
        <f>Inputs!Z57*Z26*Z27*MdPct</f>
        <v/>
      </c>
      <c r="AA35" s="40">
        <f>Inputs!AA57*AA26*AA27*MdPct</f>
        <v/>
      </c>
      <c r="AB35" s="40">
        <f>Inputs!AB57*AB26*AB27*MdPct</f>
        <v/>
      </c>
      <c r="AC35" s="40">
        <f>Inputs!AC57*AC26*AC27*MdPct</f>
        <v/>
      </c>
      <c r="AD35" s="40">
        <f>Inputs!AD57*AD26*AD27*MdPct</f>
        <v/>
      </c>
      <c r="AE35" s="40">
        <f>Inputs!AE57*AE26*AE27*MdPct</f>
        <v/>
      </c>
      <c r="AF35" s="41">
        <f>SUM(F35:AE35)</f>
        <v/>
      </c>
    </row>
    <row r="36">
      <c r="B36" s="37" t="inlineStr">
        <is>
          <t>— Advertising Spend</t>
        </is>
      </c>
      <c r="F36" s="40">
        <f>Inputs!F58*AdvertCost</f>
        <v/>
      </c>
      <c r="G36" s="40">
        <f>Inputs!G58*AdvertCost</f>
        <v/>
      </c>
      <c r="H36" s="40">
        <f>Inputs!H58*AdvertCost</f>
        <v/>
      </c>
      <c r="I36" s="40">
        <f>Inputs!I58*AdvertCost</f>
        <v/>
      </c>
      <c r="J36" s="40">
        <f>Inputs!J58*AdvertCost</f>
        <v/>
      </c>
      <c r="K36" s="40">
        <f>Inputs!K58*AdvertCost</f>
        <v/>
      </c>
      <c r="L36" s="40">
        <f>Inputs!L58*AdvertCost</f>
        <v/>
      </c>
      <c r="M36" s="40">
        <f>Inputs!M58*AdvertCost</f>
        <v/>
      </c>
      <c r="N36" s="40">
        <f>Inputs!N58*AdvertCost</f>
        <v/>
      </c>
      <c r="O36" s="40">
        <f>Inputs!O58*AdvertCost</f>
        <v/>
      </c>
      <c r="P36" s="40">
        <f>Inputs!P58*AdvertCost</f>
        <v/>
      </c>
      <c r="Q36" s="40">
        <f>Inputs!Q58*AdvertCost</f>
        <v/>
      </c>
      <c r="R36" s="40">
        <f>Inputs!R58*AdvertCost</f>
        <v/>
      </c>
      <c r="S36" s="40">
        <f>Inputs!S58*AdvertCost</f>
        <v/>
      </c>
      <c r="T36" s="40">
        <f>Inputs!T58*AdvertCost</f>
        <v/>
      </c>
      <c r="U36" s="40">
        <f>Inputs!U58*AdvertCost</f>
        <v/>
      </c>
      <c r="V36" s="40">
        <f>Inputs!V58*AdvertCost</f>
        <v/>
      </c>
      <c r="W36" s="40">
        <f>Inputs!W58*AdvertCost</f>
        <v/>
      </c>
      <c r="X36" s="40">
        <f>Inputs!X58*AdvertCost</f>
        <v/>
      </c>
      <c r="Y36" s="40">
        <f>Inputs!Y58*AdvertCost</f>
        <v/>
      </c>
      <c r="Z36" s="40">
        <f>Inputs!Z58*AdvertCost</f>
        <v/>
      </c>
      <c r="AA36" s="40">
        <f>Inputs!AA58*AdvertCost</f>
        <v/>
      </c>
      <c r="AB36" s="40">
        <f>Inputs!AB58*AdvertCost</f>
        <v/>
      </c>
      <c r="AC36" s="40">
        <f>Inputs!AC58*AdvertCost</f>
        <v/>
      </c>
      <c r="AD36" s="40">
        <f>Inputs!AD58*AdvertCost</f>
        <v/>
      </c>
      <c r="AE36" s="40">
        <f>Inputs!AE58*AdvertCost</f>
        <v/>
      </c>
      <c r="AF36" s="41">
        <f>SUM(F36:AE36)</f>
        <v/>
      </c>
    </row>
    <row r="37">
      <c r="B37" s="13" t="inlineStr">
        <is>
          <t>Total Promo Spend</t>
        </is>
      </c>
      <c r="F37" s="40">
        <f>SUM(F31:F36)</f>
        <v/>
      </c>
      <c r="G37" s="40">
        <f>SUM(G31:G36)</f>
        <v/>
      </c>
      <c r="H37" s="40">
        <f>SUM(H31:H36)</f>
        <v/>
      </c>
      <c r="I37" s="40">
        <f>SUM(I31:I36)</f>
        <v/>
      </c>
      <c r="J37" s="40">
        <f>SUM(J31:J36)</f>
        <v/>
      </c>
      <c r="K37" s="40">
        <f>SUM(K31:K36)</f>
        <v/>
      </c>
      <c r="L37" s="40">
        <f>SUM(L31:L36)</f>
        <v/>
      </c>
      <c r="M37" s="40">
        <f>SUM(M31:M36)</f>
        <v/>
      </c>
      <c r="N37" s="40">
        <f>SUM(N31:N36)</f>
        <v/>
      </c>
      <c r="O37" s="40">
        <f>SUM(O31:O36)</f>
        <v/>
      </c>
      <c r="P37" s="40">
        <f>SUM(P31:P36)</f>
        <v/>
      </c>
      <c r="Q37" s="40">
        <f>SUM(Q31:Q36)</f>
        <v/>
      </c>
      <c r="R37" s="40">
        <f>SUM(R31:R36)</f>
        <v/>
      </c>
      <c r="S37" s="40">
        <f>SUM(S31:S36)</f>
        <v/>
      </c>
      <c r="T37" s="40">
        <f>SUM(T31:T36)</f>
        <v/>
      </c>
      <c r="U37" s="40">
        <f>SUM(U31:U36)</f>
        <v/>
      </c>
      <c r="V37" s="40">
        <f>SUM(V31:V36)</f>
        <v/>
      </c>
      <c r="W37" s="40">
        <f>SUM(W31:W36)</f>
        <v/>
      </c>
      <c r="X37" s="40">
        <f>SUM(X31:X36)</f>
        <v/>
      </c>
      <c r="Y37" s="40">
        <f>SUM(Y31:Y36)</f>
        <v/>
      </c>
      <c r="Z37" s="40">
        <f>SUM(Z31:Z36)</f>
        <v/>
      </c>
      <c r="AA37" s="40">
        <f>SUM(AA31:AA36)</f>
        <v/>
      </c>
      <c r="AB37" s="40">
        <f>SUM(AB31:AB36)</f>
        <v/>
      </c>
      <c r="AC37" s="40">
        <f>SUM(AC31:AC36)</f>
        <v/>
      </c>
      <c r="AD37" s="40">
        <f>SUM(AD31:AD36)</f>
        <v/>
      </c>
      <c r="AE37" s="40">
        <f>SUM(AE31:AE36)</f>
        <v/>
      </c>
      <c r="AF37" s="41">
        <f>SUM(F37:AE37)</f>
        <v/>
      </c>
    </row>
    <row r="38">
      <c r="B38" s="42" t="inlineStr">
        <is>
          <t>Gross Profit</t>
        </is>
      </c>
      <c r="F38" s="40">
        <f>F28-F30</f>
        <v/>
      </c>
      <c r="G38" s="40">
        <f>G28-G30</f>
        <v/>
      </c>
      <c r="H38" s="40">
        <f>H28-H30</f>
        <v/>
      </c>
      <c r="I38" s="40">
        <f>I28-I30</f>
        <v/>
      </c>
      <c r="J38" s="40">
        <f>J28-J30</f>
        <v/>
      </c>
      <c r="K38" s="40">
        <f>K28-K30</f>
        <v/>
      </c>
      <c r="L38" s="40">
        <f>L28-L30</f>
        <v/>
      </c>
      <c r="M38" s="40">
        <f>M28-M30</f>
        <v/>
      </c>
      <c r="N38" s="40">
        <f>N28-N30</f>
        <v/>
      </c>
      <c r="O38" s="40">
        <f>O28-O30</f>
        <v/>
      </c>
      <c r="P38" s="40">
        <f>P28-P30</f>
        <v/>
      </c>
      <c r="Q38" s="40">
        <f>Q28-Q30</f>
        <v/>
      </c>
      <c r="R38" s="40">
        <f>R28-R30</f>
        <v/>
      </c>
      <c r="S38" s="40">
        <f>S28-S30</f>
        <v/>
      </c>
      <c r="T38" s="40">
        <f>T28-T30</f>
        <v/>
      </c>
      <c r="U38" s="40">
        <f>U28-U30</f>
        <v/>
      </c>
      <c r="V38" s="40">
        <f>V28-V30</f>
        <v/>
      </c>
      <c r="W38" s="40">
        <f>W28-W30</f>
        <v/>
      </c>
      <c r="X38" s="40">
        <f>X28-X30</f>
        <v/>
      </c>
      <c r="Y38" s="40">
        <f>Y28-Y30</f>
        <v/>
      </c>
      <c r="Z38" s="40">
        <f>Z28-Z30</f>
        <v/>
      </c>
      <c r="AA38" s="40">
        <f>AA28-AA30</f>
        <v/>
      </c>
      <c r="AB38" s="40">
        <f>AB28-AB30</f>
        <v/>
      </c>
      <c r="AC38" s="40">
        <f>AC28-AC30</f>
        <v/>
      </c>
      <c r="AD38" s="40">
        <f>AD28-AD30</f>
        <v/>
      </c>
      <c r="AE38" s="40">
        <f>AE28-AE30</f>
        <v/>
      </c>
      <c r="AF38" s="41">
        <f>SUM(F38:AE38)</f>
        <v/>
      </c>
    </row>
    <row r="39">
      <c r="B39" s="42" t="inlineStr">
        <is>
          <t>Net Profit (after promo)</t>
        </is>
      </c>
      <c r="F39" s="40">
        <f>F38-F37</f>
        <v/>
      </c>
      <c r="G39" s="40">
        <f>G38-G37</f>
        <v/>
      </c>
      <c r="H39" s="40">
        <f>H38-H37</f>
        <v/>
      </c>
      <c r="I39" s="40">
        <f>I38-I37</f>
        <v/>
      </c>
      <c r="J39" s="40">
        <f>J38-J37</f>
        <v/>
      </c>
      <c r="K39" s="40">
        <f>K38-K37</f>
        <v/>
      </c>
      <c r="L39" s="40">
        <f>L38-L37</f>
        <v/>
      </c>
      <c r="M39" s="40">
        <f>M38-M37</f>
        <v/>
      </c>
      <c r="N39" s="40">
        <f>N38-N37</f>
        <v/>
      </c>
      <c r="O39" s="40">
        <f>O38-O37</f>
        <v/>
      </c>
      <c r="P39" s="40">
        <f>P38-P37</f>
        <v/>
      </c>
      <c r="Q39" s="40">
        <f>Q38-Q37</f>
        <v/>
      </c>
      <c r="R39" s="40">
        <f>R38-R37</f>
        <v/>
      </c>
      <c r="S39" s="40">
        <f>S38-S37</f>
        <v/>
      </c>
      <c r="T39" s="40">
        <f>T38-T37</f>
        <v/>
      </c>
      <c r="U39" s="40">
        <f>U38-U37</f>
        <v/>
      </c>
      <c r="V39" s="40">
        <f>V38-V37</f>
        <v/>
      </c>
      <c r="W39" s="40">
        <f>W38-W37</f>
        <v/>
      </c>
      <c r="X39" s="40">
        <f>X38-X37</f>
        <v/>
      </c>
      <c r="Y39" s="40">
        <f>Y38-Y37</f>
        <v/>
      </c>
      <c r="Z39" s="40">
        <f>Z38-Z37</f>
        <v/>
      </c>
      <c r="AA39" s="40">
        <f>AA38-AA37</f>
        <v/>
      </c>
      <c r="AB39" s="40">
        <f>AB38-AB37</f>
        <v/>
      </c>
      <c r="AC39" s="40">
        <f>AC38-AC37</f>
        <v/>
      </c>
      <c r="AD39" s="40">
        <f>AD38-AD37</f>
        <v/>
      </c>
      <c r="AE39" s="40">
        <f>AE38-AE37</f>
        <v/>
      </c>
      <c r="AF39" s="41">
        <f>SUM(F39:AE39)</f>
        <v/>
      </c>
    </row>
    <row r="42" ht="22" customHeight="1">
      <c r="B42" s="27" t="inlineStr">
        <is>
          <t>WORST – Demo+EndCap+TPD then Markdown (Wks 18-20)</t>
        </is>
      </c>
    </row>
    <row r="43">
      <c r="B43" s="28" t="inlineStr">
        <is>
          <t>Week</t>
        </is>
      </c>
      <c r="F43" s="29" t="inlineStr">
        <is>
          <t>W1</t>
        </is>
      </c>
      <c r="G43" s="29" t="inlineStr">
        <is>
          <t>W2</t>
        </is>
      </c>
      <c r="H43" s="29" t="inlineStr">
        <is>
          <t>W3</t>
        </is>
      </c>
      <c r="I43" s="29" t="inlineStr">
        <is>
          <t>W4</t>
        </is>
      </c>
      <c r="J43" s="29" t="inlineStr">
        <is>
          <t>W5</t>
        </is>
      </c>
      <c r="K43" s="29" t="inlineStr">
        <is>
          <t>W6</t>
        </is>
      </c>
      <c r="L43" s="29" t="inlineStr">
        <is>
          <t>W7</t>
        </is>
      </c>
      <c r="M43" s="29" t="inlineStr">
        <is>
          <t>W8</t>
        </is>
      </c>
      <c r="N43" s="29" t="inlineStr">
        <is>
          <t>W9</t>
        </is>
      </c>
      <c r="O43" s="29" t="inlineStr">
        <is>
          <t>W10</t>
        </is>
      </c>
      <c r="P43" s="29" t="inlineStr">
        <is>
          <t>W11</t>
        </is>
      </c>
      <c r="Q43" s="29" t="inlineStr">
        <is>
          <t>W12</t>
        </is>
      </c>
      <c r="R43" s="29" t="inlineStr">
        <is>
          <t>W13</t>
        </is>
      </c>
      <c r="S43" s="29" t="inlineStr">
        <is>
          <t>W14</t>
        </is>
      </c>
      <c r="T43" s="29" t="inlineStr">
        <is>
          <t>W15</t>
        </is>
      </c>
      <c r="U43" s="29" t="inlineStr">
        <is>
          <t>W16</t>
        </is>
      </c>
      <c r="V43" s="29" t="inlineStr">
        <is>
          <t>W17</t>
        </is>
      </c>
      <c r="W43" s="29" t="inlineStr">
        <is>
          <t>W18</t>
        </is>
      </c>
      <c r="X43" s="29" t="inlineStr">
        <is>
          <t>W19</t>
        </is>
      </c>
      <c r="Y43" s="29" t="inlineStr">
        <is>
          <t>W20</t>
        </is>
      </c>
      <c r="Z43" s="29" t="inlineStr">
        <is>
          <t>W21</t>
        </is>
      </c>
      <c r="AA43" s="29" t="inlineStr">
        <is>
          <t>W22</t>
        </is>
      </c>
      <c r="AB43" s="29" t="inlineStr">
        <is>
          <t>W23</t>
        </is>
      </c>
      <c r="AC43" s="29" t="inlineStr">
        <is>
          <t>W24</t>
        </is>
      </c>
      <c r="AD43" s="29" t="inlineStr">
        <is>
          <t>W25</t>
        </is>
      </c>
      <c r="AE43" s="29" t="inlineStr">
        <is>
          <t>W26</t>
        </is>
      </c>
      <c r="AF43" s="33" t="inlineStr">
        <is>
          <t>TOTAL</t>
        </is>
      </c>
    </row>
    <row r="44">
      <c r="B44" s="28" t="inlineStr">
        <is>
          <t>Wk-commencing</t>
        </is>
      </c>
      <c r="F44" s="30">
        <f>StartDate+7*0</f>
        <v/>
      </c>
      <c r="G44" s="30">
        <f>StartDate+7*1</f>
        <v/>
      </c>
      <c r="H44" s="30">
        <f>StartDate+7*2</f>
        <v/>
      </c>
      <c r="I44" s="30">
        <f>StartDate+7*3</f>
        <v/>
      </c>
      <c r="J44" s="30">
        <f>StartDate+7*4</f>
        <v/>
      </c>
      <c r="K44" s="30">
        <f>StartDate+7*5</f>
        <v/>
      </c>
      <c r="L44" s="30">
        <f>StartDate+7*6</f>
        <v/>
      </c>
      <c r="M44" s="30">
        <f>StartDate+7*7</f>
        <v/>
      </c>
      <c r="N44" s="30">
        <f>StartDate+7*8</f>
        <v/>
      </c>
      <c r="O44" s="30">
        <f>StartDate+7*9</f>
        <v/>
      </c>
      <c r="P44" s="30">
        <f>StartDate+7*10</f>
        <v/>
      </c>
      <c r="Q44" s="30">
        <f>StartDate+7*11</f>
        <v/>
      </c>
      <c r="R44" s="30">
        <f>StartDate+7*12</f>
        <v/>
      </c>
      <c r="S44" s="30">
        <f>StartDate+7*13</f>
        <v/>
      </c>
      <c r="T44" s="30">
        <f>StartDate+7*14</f>
        <v/>
      </c>
      <c r="U44" s="30">
        <f>StartDate+7*15</f>
        <v/>
      </c>
      <c r="V44" s="30">
        <f>StartDate+7*16</f>
        <v/>
      </c>
      <c r="W44" s="30">
        <f>StartDate+7*17</f>
        <v/>
      </c>
      <c r="X44" s="30">
        <f>StartDate+7*18</f>
        <v/>
      </c>
      <c r="Y44" s="30">
        <f>StartDate+7*19</f>
        <v/>
      </c>
      <c r="Z44" s="30">
        <f>StartDate+7*20</f>
        <v/>
      </c>
      <c r="AA44" s="30">
        <f>StartDate+7*21</f>
        <v/>
      </c>
      <c r="AB44" s="30">
        <f>StartDate+7*22</f>
        <v/>
      </c>
      <c r="AC44" s="30">
        <f>StartDate+7*23</f>
        <v/>
      </c>
      <c r="AD44" s="30">
        <f>StartDate+7*24</f>
        <v/>
      </c>
      <c r="AE44" s="30">
        <f>StartDate+7*25</f>
        <v/>
      </c>
      <c r="AF44" s="34" t="inlineStr"/>
    </row>
    <row r="45">
      <c r="B45" s="13" t="inlineStr">
        <is>
          <t>POS Units</t>
        </is>
      </c>
      <c r="F45" s="35">
        <f>ROUND(BaseUnits*Inputs!F71,0)</f>
        <v/>
      </c>
      <c r="G45" s="35">
        <f>ROUND(BaseUnits*Inputs!G71,0)</f>
        <v/>
      </c>
      <c r="H45" s="35">
        <f>ROUND(BaseUnits*Inputs!H71,0)</f>
        <v/>
      </c>
      <c r="I45" s="35">
        <f>ROUND(BaseUnits*Inputs!I71,0)</f>
        <v/>
      </c>
      <c r="J45" s="35">
        <f>ROUND(BaseUnits*Inputs!J71,0)</f>
        <v/>
      </c>
      <c r="K45" s="35">
        <f>ROUND(BaseUnits*Inputs!K71,0)</f>
        <v/>
      </c>
      <c r="L45" s="35">
        <f>ROUND(BaseUnits*Inputs!L71,0)</f>
        <v/>
      </c>
      <c r="M45" s="35">
        <f>ROUND(BaseUnits*Inputs!M71,0)</f>
        <v/>
      </c>
      <c r="N45" s="35">
        <f>ROUND(BaseUnits*Inputs!N71,0)</f>
        <v/>
      </c>
      <c r="O45" s="35">
        <f>ROUND(BaseUnits*Inputs!O71,0)</f>
        <v/>
      </c>
      <c r="P45" s="35">
        <f>ROUND(BaseUnits*Inputs!P71,0)</f>
        <v/>
      </c>
      <c r="Q45" s="35">
        <f>ROUND(BaseUnits*Inputs!Q71,0)</f>
        <v/>
      </c>
      <c r="R45" s="35">
        <f>ROUND(BaseUnits*Inputs!R71,0)</f>
        <v/>
      </c>
      <c r="S45" s="35">
        <f>ROUND(BaseUnits*Inputs!S71,0)</f>
        <v/>
      </c>
      <c r="T45" s="35">
        <f>ROUND(BaseUnits*Inputs!T71,0)</f>
        <v/>
      </c>
      <c r="U45" s="35">
        <f>ROUND(BaseUnits*Inputs!U71,0)</f>
        <v/>
      </c>
      <c r="V45" s="35">
        <f>ROUND(BaseUnits*Inputs!V71,0)</f>
        <v/>
      </c>
      <c r="W45" s="35">
        <f>ROUND(BaseUnits*Inputs!W71,0)</f>
        <v/>
      </c>
      <c r="X45" s="35">
        <f>ROUND(BaseUnits*Inputs!X71,0)</f>
        <v/>
      </c>
      <c r="Y45" s="35">
        <f>ROUND(BaseUnits*Inputs!Y71,0)</f>
        <v/>
      </c>
      <c r="Z45" s="35">
        <f>ROUND(BaseUnits*Inputs!Z71,0)</f>
        <v/>
      </c>
      <c r="AA45" s="35">
        <f>ROUND(BaseUnits*Inputs!AA71,0)</f>
        <v/>
      </c>
      <c r="AB45" s="35">
        <f>ROUND(BaseUnits*Inputs!AB71,0)</f>
        <v/>
      </c>
      <c r="AC45" s="35">
        <f>ROUND(BaseUnits*Inputs!AC71,0)</f>
        <v/>
      </c>
      <c r="AD45" s="35">
        <f>ROUND(BaseUnits*Inputs!AD71,0)</f>
        <v/>
      </c>
      <c r="AE45" s="35">
        <f>ROUND(BaseUnits*Inputs!AE71,0)</f>
        <v/>
      </c>
      <c r="AF45" s="36">
        <f>SUM(F45:AE45)</f>
        <v/>
      </c>
    </row>
    <row r="46">
      <c r="B46" s="37" t="inlineStr">
        <is>
          <t>Selling Price</t>
        </is>
      </c>
      <c r="F46" s="38">
        <f>Price</f>
        <v/>
      </c>
      <c r="G46" s="38">
        <f>Price</f>
        <v/>
      </c>
      <c r="H46" s="38">
        <f>Price</f>
        <v/>
      </c>
      <c r="I46" s="38">
        <f>Price</f>
        <v/>
      </c>
      <c r="J46" s="38">
        <f>Price</f>
        <v/>
      </c>
      <c r="K46" s="38">
        <f>Price</f>
        <v/>
      </c>
      <c r="L46" s="38">
        <f>Price</f>
        <v/>
      </c>
      <c r="M46" s="38">
        <f>Price</f>
        <v/>
      </c>
      <c r="N46" s="38">
        <f>Price</f>
        <v/>
      </c>
      <c r="O46" s="38">
        <f>Price</f>
        <v/>
      </c>
      <c r="P46" s="38">
        <f>Price</f>
        <v/>
      </c>
      <c r="Q46" s="38">
        <f>Price</f>
        <v/>
      </c>
      <c r="R46" s="38">
        <f>Price</f>
        <v/>
      </c>
      <c r="S46" s="38">
        <f>Price</f>
        <v/>
      </c>
      <c r="T46" s="38">
        <f>Price</f>
        <v/>
      </c>
      <c r="U46" s="38">
        <f>Price</f>
        <v/>
      </c>
      <c r="V46" s="38">
        <f>Price</f>
        <v/>
      </c>
      <c r="W46" s="38">
        <f>Price</f>
        <v/>
      </c>
      <c r="X46" s="38">
        <f>Price</f>
        <v/>
      </c>
      <c r="Y46" s="38">
        <f>Price</f>
        <v/>
      </c>
      <c r="Z46" s="38">
        <f>Price</f>
        <v/>
      </c>
      <c r="AA46" s="38">
        <f>Price</f>
        <v/>
      </c>
      <c r="AB46" s="38">
        <f>Price</f>
        <v/>
      </c>
      <c r="AC46" s="38">
        <f>Price</f>
        <v/>
      </c>
      <c r="AD46" s="38">
        <f>Price</f>
        <v/>
      </c>
      <c r="AE46" s="38">
        <f>Price</f>
        <v/>
      </c>
      <c r="AF46" s="39">
        <f>Price</f>
        <v/>
      </c>
    </row>
    <row r="47">
      <c r="B47" s="13" t="inlineStr">
        <is>
          <t>Revenue</t>
        </is>
      </c>
      <c r="F47" s="40">
        <f>F45*F46</f>
        <v/>
      </c>
      <c r="G47" s="40">
        <f>G45*G46</f>
        <v/>
      </c>
      <c r="H47" s="40">
        <f>H45*H46</f>
        <v/>
      </c>
      <c r="I47" s="40">
        <f>I45*I46</f>
        <v/>
      </c>
      <c r="J47" s="40">
        <f>J45*J46</f>
        <v/>
      </c>
      <c r="K47" s="40">
        <f>K45*K46</f>
        <v/>
      </c>
      <c r="L47" s="40">
        <f>L45*L46</f>
        <v/>
      </c>
      <c r="M47" s="40">
        <f>M45*M46</f>
        <v/>
      </c>
      <c r="N47" s="40">
        <f>N45*N46</f>
        <v/>
      </c>
      <c r="O47" s="40">
        <f>O45*O46</f>
        <v/>
      </c>
      <c r="P47" s="40">
        <f>P45*P46</f>
        <v/>
      </c>
      <c r="Q47" s="40">
        <f>Q45*Q46</f>
        <v/>
      </c>
      <c r="R47" s="40">
        <f>R45*R46</f>
        <v/>
      </c>
      <c r="S47" s="40">
        <f>S45*S46</f>
        <v/>
      </c>
      <c r="T47" s="40">
        <f>T45*T46</f>
        <v/>
      </c>
      <c r="U47" s="40">
        <f>U45*U46</f>
        <v/>
      </c>
      <c r="V47" s="40">
        <f>V45*V46</f>
        <v/>
      </c>
      <c r="W47" s="40">
        <f>W45*W46</f>
        <v/>
      </c>
      <c r="X47" s="40">
        <f>X45*X46</f>
        <v/>
      </c>
      <c r="Y47" s="40">
        <f>Y45*Y46</f>
        <v/>
      </c>
      <c r="Z47" s="40">
        <f>Z45*Z46</f>
        <v/>
      </c>
      <c r="AA47" s="40">
        <f>AA45*AA46</f>
        <v/>
      </c>
      <c r="AB47" s="40">
        <f>AB45*AB46</f>
        <v/>
      </c>
      <c r="AC47" s="40">
        <f>AC45*AC46</f>
        <v/>
      </c>
      <c r="AD47" s="40">
        <f>AD45*AD46</f>
        <v/>
      </c>
      <c r="AE47" s="40">
        <f>AE45*AE46</f>
        <v/>
      </c>
      <c r="AF47" s="41">
        <f>SUM(F47:AE47)</f>
        <v/>
      </c>
    </row>
    <row r="48">
      <c r="B48" s="37" t="inlineStr">
        <is>
          <t>Cost Price</t>
        </is>
      </c>
      <c r="F48" s="38">
        <f>Cost</f>
        <v/>
      </c>
      <c r="G48" s="38">
        <f>Cost</f>
        <v/>
      </c>
      <c r="H48" s="38">
        <f>Cost</f>
        <v/>
      </c>
      <c r="I48" s="38">
        <f>Cost</f>
        <v/>
      </c>
      <c r="J48" s="38">
        <f>Cost</f>
        <v/>
      </c>
      <c r="K48" s="38">
        <f>Cost</f>
        <v/>
      </c>
      <c r="L48" s="38">
        <f>Cost</f>
        <v/>
      </c>
      <c r="M48" s="38">
        <f>Cost</f>
        <v/>
      </c>
      <c r="N48" s="38">
        <f>Cost</f>
        <v/>
      </c>
      <c r="O48" s="38">
        <f>Cost</f>
        <v/>
      </c>
      <c r="P48" s="38">
        <f>Cost</f>
        <v/>
      </c>
      <c r="Q48" s="38">
        <f>Cost</f>
        <v/>
      </c>
      <c r="R48" s="38">
        <f>Cost</f>
        <v/>
      </c>
      <c r="S48" s="38">
        <f>Cost</f>
        <v/>
      </c>
      <c r="T48" s="38">
        <f>Cost</f>
        <v/>
      </c>
      <c r="U48" s="38">
        <f>Cost</f>
        <v/>
      </c>
      <c r="V48" s="38">
        <f>Cost</f>
        <v/>
      </c>
      <c r="W48" s="38">
        <f>Cost</f>
        <v/>
      </c>
      <c r="X48" s="38">
        <f>Cost</f>
        <v/>
      </c>
      <c r="Y48" s="38">
        <f>Cost</f>
        <v/>
      </c>
      <c r="Z48" s="38">
        <f>Cost</f>
        <v/>
      </c>
      <c r="AA48" s="38">
        <f>Cost</f>
        <v/>
      </c>
      <c r="AB48" s="38">
        <f>Cost</f>
        <v/>
      </c>
      <c r="AC48" s="38">
        <f>Cost</f>
        <v/>
      </c>
      <c r="AD48" s="38">
        <f>Cost</f>
        <v/>
      </c>
      <c r="AE48" s="38">
        <f>Cost</f>
        <v/>
      </c>
      <c r="AF48" s="39">
        <f>Cost</f>
        <v/>
      </c>
    </row>
    <row r="49">
      <c r="B49" s="13" t="inlineStr">
        <is>
          <t>Raw COGS</t>
        </is>
      </c>
      <c r="F49" s="40">
        <f>F45*F48</f>
        <v/>
      </c>
      <c r="G49" s="40">
        <f>G45*G48</f>
        <v/>
      </c>
      <c r="H49" s="40">
        <f>H45*H48</f>
        <v/>
      </c>
      <c r="I49" s="40">
        <f>I45*I48</f>
        <v/>
      </c>
      <c r="J49" s="40">
        <f>J45*J48</f>
        <v/>
      </c>
      <c r="K49" s="40">
        <f>K45*K48</f>
        <v/>
      </c>
      <c r="L49" s="40">
        <f>L45*L48</f>
        <v/>
      </c>
      <c r="M49" s="40">
        <f>M45*M48</f>
        <v/>
      </c>
      <c r="N49" s="40">
        <f>N45*N48</f>
        <v/>
      </c>
      <c r="O49" s="40">
        <f>O45*O48</f>
        <v/>
      </c>
      <c r="P49" s="40">
        <f>P45*P48</f>
        <v/>
      </c>
      <c r="Q49" s="40">
        <f>Q45*Q48</f>
        <v/>
      </c>
      <c r="R49" s="40">
        <f>R45*R48</f>
        <v/>
      </c>
      <c r="S49" s="40">
        <f>S45*S48</f>
        <v/>
      </c>
      <c r="T49" s="40">
        <f>T45*T48</f>
        <v/>
      </c>
      <c r="U49" s="40">
        <f>U45*U48</f>
        <v/>
      </c>
      <c r="V49" s="40">
        <f>V45*V48</f>
        <v/>
      </c>
      <c r="W49" s="40">
        <f>W45*W48</f>
        <v/>
      </c>
      <c r="X49" s="40">
        <f>X45*X48</f>
        <v/>
      </c>
      <c r="Y49" s="40">
        <f>Y45*Y48</f>
        <v/>
      </c>
      <c r="Z49" s="40">
        <f>Z45*Z48</f>
        <v/>
      </c>
      <c r="AA49" s="40">
        <f>AA45*AA48</f>
        <v/>
      </c>
      <c r="AB49" s="40">
        <f>AB45*AB48</f>
        <v/>
      </c>
      <c r="AC49" s="40">
        <f>AC45*AC48</f>
        <v/>
      </c>
      <c r="AD49" s="40">
        <f>AD45*AD48</f>
        <v/>
      </c>
      <c r="AE49" s="40">
        <f>AE45*AE48</f>
        <v/>
      </c>
      <c r="AF49" s="41">
        <f>SUM(F49:AE49)</f>
        <v/>
      </c>
    </row>
    <row r="50">
      <c r="B50" s="37" t="inlineStr">
        <is>
          <t>— Demo Spend</t>
        </is>
      </c>
      <c r="F50" s="40">
        <f>Inputs!F65*DemoCost</f>
        <v/>
      </c>
      <c r="G50" s="40">
        <f>Inputs!G65*DemoCost</f>
        <v/>
      </c>
      <c r="H50" s="40">
        <f>Inputs!H65*DemoCost</f>
        <v/>
      </c>
      <c r="I50" s="40">
        <f>Inputs!I65*DemoCost</f>
        <v/>
      </c>
      <c r="J50" s="40">
        <f>Inputs!J65*DemoCost</f>
        <v/>
      </c>
      <c r="K50" s="40">
        <f>Inputs!K65*DemoCost</f>
        <v/>
      </c>
      <c r="L50" s="40">
        <f>Inputs!L65*DemoCost</f>
        <v/>
      </c>
      <c r="M50" s="40">
        <f>Inputs!M65*DemoCost</f>
        <v/>
      </c>
      <c r="N50" s="40">
        <f>Inputs!N65*DemoCost</f>
        <v/>
      </c>
      <c r="O50" s="40">
        <f>Inputs!O65*DemoCost</f>
        <v/>
      </c>
      <c r="P50" s="40">
        <f>Inputs!P65*DemoCost</f>
        <v/>
      </c>
      <c r="Q50" s="40">
        <f>Inputs!Q65*DemoCost</f>
        <v/>
      </c>
      <c r="R50" s="40">
        <f>Inputs!R65*DemoCost</f>
        <v/>
      </c>
      <c r="S50" s="40">
        <f>Inputs!S65*DemoCost</f>
        <v/>
      </c>
      <c r="T50" s="40">
        <f>Inputs!T65*DemoCost</f>
        <v/>
      </c>
      <c r="U50" s="40">
        <f>Inputs!U65*DemoCost</f>
        <v/>
      </c>
      <c r="V50" s="40">
        <f>Inputs!V65*DemoCost</f>
        <v/>
      </c>
      <c r="W50" s="40">
        <f>Inputs!W65*DemoCost</f>
        <v/>
      </c>
      <c r="X50" s="40">
        <f>Inputs!X65*DemoCost</f>
        <v/>
      </c>
      <c r="Y50" s="40">
        <f>Inputs!Y65*DemoCost</f>
        <v/>
      </c>
      <c r="Z50" s="40">
        <f>Inputs!Z65*DemoCost</f>
        <v/>
      </c>
      <c r="AA50" s="40">
        <f>Inputs!AA65*DemoCost</f>
        <v/>
      </c>
      <c r="AB50" s="40">
        <f>Inputs!AB65*DemoCost</f>
        <v/>
      </c>
      <c r="AC50" s="40">
        <f>Inputs!AC65*DemoCost</f>
        <v/>
      </c>
      <c r="AD50" s="40">
        <f>Inputs!AD65*DemoCost</f>
        <v/>
      </c>
      <c r="AE50" s="40">
        <f>Inputs!AE65*DemoCost</f>
        <v/>
      </c>
      <c r="AF50" s="41">
        <f>SUM(F50:AE50)</f>
        <v/>
      </c>
    </row>
    <row r="51">
      <c r="B51" s="37" t="inlineStr">
        <is>
          <t>— End Cap Spend</t>
        </is>
      </c>
      <c r="F51" s="40">
        <f>Inputs!F66*EndCapCost</f>
        <v/>
      </c>
      <c r="G51" s="40">
        <f>Inputs!G66*EndCapCost</f>
        <v/>
      </c>
      <c r="H51" s="40">
        <f>Inputs!H66*EndCapCost</f>
        <v/>
      </c>
      <c r="I51" s="40">
        <f>Inputs!I66*EndCapCost</f>
        <v/>
      </c>
      <c r="J51" s="40">
        <f>Inputs!J66*EndCapCost</f>
        <v/>
      </c>
      <c r="K51" s="40">
        <f>Inputs!K66*EndCapCost</f>
        <v/>
      </c>
      <c r="L51" s="40">
        <f>Inputs!L66*EndCapCost</f>
        <v/>
      </c>
      <c r="M51" s="40">
        <f>Inputs!M66*EndCapCost</f>
        <v/>
      </c>
      <c r="N51" s="40">
        <f>Inputs!N66*EndCapCost</f>
        <v/>
      </c>
      <c r="O51" s="40">
        <f>Inputs!O66*EndCapCost</f>
        <v/>
      </c>
      <c r="P51" s="40">
        <f>Inputs!P66*EndCapCost</f>
        <v/>
      </c>
      <c r="Q51" s="40">
        <f>Inputs!Q66*EndCapCost</f>
        <v/>
      </c>
      <c r="R51" s="40">
        <f>Inputs!R66*EndCapCost</f>
        <v/>
      </c>
      <c r="S51" s="40">
        <f>Inputs!S66*EndCapCost</f>
        <v/>
      </c>
      <c r="T51" s="40">
        <f>Inputs!T66*EndCapCost</f>
        <v/>
      </c>
      <c r="U51" s="40">
        <f>Inputs!U66*EndCapCost</f>
        <v/>
      </c>
      <c r="V51" s="40">
        <f>Inputs!V66*EndCapCost</f>
        <v/>
      </c>
      <c r="W51" s="40">
        <f>Inputs!W66*EndCapCost</f>
        <v/>
      </c>
      <c r="X51" s="40">
        <f>Inputs!X66*EndCapCost</f>
        <v/>
      </c>
      <c r="Y51" s="40">
        <f>Inputs!Y66*EndCapCost</f>
        <v/>
      </c>
      <c r="Z51" s="40">
        <f>Inputs!Z66*EndCapCost</f>
        <v/>
      </c>
      <c r="AA51" s="40">
        <f>Inputs!AA66*EndCapCost</f>
        <v/>
      </c>
      <c r="AB51" s="40">
        <f>Inputs!AB66*EndCapCost</f>
        <v/>
      </c>
      <c r="AC51" s="40">
        <f>Inputs!AC66*EndCapCost</f>
        <v/>
      </c>
      <c r="AD51" s="40">
        <f>Inputs!AD66*EndCapCost</f>
        <v/>
      </c>
      <c r="AE51" s="40">
        <f>Inputs!AE66*EndCapCost</f>
        <v/>
      </c>
      <c r="AF51" s="41">
        <f>SUM(F51:AE51)</f>
        <v/>
      </c>
    </row>
    <row r="52">
      <c r="B52" s="37" t="inlineStr">
        <is>
          <t>— Fence Spend</t>
        </is>
      </c>
      <c r="F52" s="40">
        <f>Inputs!F67*FenceCost</f>
        <v/>
      </c>
      <c r="G52" s="40">
        <f>Inputs!G67*FenceCost</f>
        <v/>
      </c>
      <c r="H52" s="40">
        <f>Inputs!H67*FenceCost</f>
        <v/>
      </c>
      <c r="I52" s="40">
        <f>Inputs!I67*FenceCost</f>
        <v/>
      </c>
      <c r="J52" s="40">
        <f>Inputs!J67*FenceCost</f>
        <v/>
      </c>
      <c r="K52" s="40">
        <f>Inputs!K67*FenceCost</f>
        <v/>
      </c>
      <c r="L52" s="40">
        <f>Inputs!L67*FenceCost</f>
        <v/>
      </c>
      <c r="M52" s="40">
        <f>Inputs!M67*FenceCost</f>
        <v/>
      </c>
      <c r="N52" s="40">
        <f>Inputs!N67*FenceCost</f>
        <v/>
      </c>
      <c r="O52" s="40">
        <f>Inputs!O67*FenceCost</f>
        <v/>
      </c>
      <c r="P52" s="40">
        <f>Inputs!P67*FenceCost</f>
        <v/>
      </c>
      <c r="Q52" s="40">
        <f>Inputs!Q67*FenceCost</f>
        <v/>
      </c>
      <c r="R52" s="40">
        <f>Inputs!R67*FenceCost</f>
        <v/>
      </c>
      <c r="S52" s="40">
        <f>Inputs!S67*FenceCost</f>
        <v/>
      </c>
      <c r="T52" s="40">
        <f>Inputs!T67*FenceCost</f>
        <v/>
      </c>
      <c r="U52" s="40">
        <f>Inputs!U67*FenceCost</f>
        <v/>
      </c>
      <c r="V52" s="40">
        <f>Inputs!V67*FenceCost</f>
        <v/>
      </c>
      <c r="W52" s="40">
        <f>Inputs!W67*FenceCost</f>
        <v/>
      </c>
      <c r="X52" s="40">
        <f>Inputs!X67*FenceCost</f>
        <v/>
      </c>
      <c r="Y52" s="40">
        <f>Inputs!Y67*FenceCost</f>
        <v/>
      </c>
      <c r="Z52" s="40">
        <f>Inputs!Z67*FenceCost</f>
        <v/>
      </c>
      <c r="AA52" s="40">
        <f>Inputs!AA67*FenceCost</f>
        <v/>
      </c>
      <c r="AB52" s="40">
        <f>Inputs!AB67*FenceCost</f>
        <v/>
      </c>
      <c r="AC52" s="40">
        <f>Inputs!AC67*FenceCost</f>
        <v/>
      </c>
      <c r="AD52" s="40">
        <f>Inputs!AD67*FenceCost</f>
        <v/>
      </c>
      <c r="AE52" s="40">
        <f>Inputs!AE67*FenceCost</f>
        <v/>
      </c>
      <c r="AF52" s="41">
        <f>SUM(F52:AE52)</f>
        <v/>
      </c>
    </row>
    <row r="53">
      <c r="B53" s="37" t="inlineStr">
        <is>
          <t>— TPD Spend</t>
        </is>
      </c>
      <c r="F53" s="40">
        <f>Inputs!F68*F45*F46*TPDPct</f>
        <v/>
      </c>
      <c r="G53" s="40">
        <f>Inputs!G68*G45*G46*TPDPct</f>
        <v/>
      </c>
      <c r="H53" s="40">
        <f>Inputs!H68*H45*H46*TPDPct</f>
        <v/>
      </c>
      <c r="I53" s="40">
        <f>Inputs!I68*I45*I46*TPDPct</f>
        <v/>
      </c>
      <c r="J53" s="40">
        <f>Inputs!J68*J45*J46*TPDPct</f>
        <v/>
      </c>
      <c r="K53" s="40">
        <f>Inputs!K68*K45*K46*TPDPct</f>
        <v/>
      </c>
      <c r="L53" s="40">
        <f>Inputs!L68*L45*L46*TPDPct</f>
        <v/>
      </c>
      <c r="M53" s="40">
        <f>Inputs!M68*M45*M46*TPDPct</f>
        <v/>
      </c>
      <c r="N53" s="40">
        <f>Inputs!N68*N45*N46*TPDPct</f>
        <v/>
      </c>
      <c r="O53" s="40">
        <f>Inputs!O68*O45*O46*TPDPct</f>
        <v/>
      </c>
      <c r="P53" s="40">
        <f>Inputs!P68*P45*P46*TPDPct</f>
        <v/>
      </c>
      <c r="Q53" s="40">
        <f>Inputs!Q68*Q45*Q46*TPDPct</f>
        <v/>
      </c>
      <c r="R53" s="40">
        <f>Inputs!R68*R45*R46*TPDPct</f>
        <v/>
      </c>
      <c r="S53" s="40">
        <f>Inputs!S68*S45*S46*TPDPct</f>
        <v/>
      </c>
      <c r="T53" s="40">
        <f>Inputs!T68*T45*T46*TPDPct</f>
        <v/>
      </c>
      <c r="U53" s="40">
        <f>Inputs!U68*U45*U46*TPDPct</f>
        <v/>
      </c>
      <c r="V53" s="40">
        <f>Inputs!V68*V45*V46*TPDPct</f>
        <v/>
      </c>
      <c r="W53" s="40">
        <f>Inputs!W68*W45*W46*TPDPct</f>
        <v/>
      </c>
      <c r="X53" s="40">
        <f>Inputs!X68*X45*X46*TPDPct</f>
        <v/>
      </c>
      <c r="Y53" s="40">
        <f>Inputs!Y68*Y45*Y46*TPDPct</f>
        <v/>
      </c>
      <c r="Z53" s="40">
        <f>Inputs!Z68*Z45*Z46*TPDPct</f>
        <v/>
      </c>
      <c r="AA53" s="40">
        <f>Inputs!AA68*AA45*AA46*TPDPct</f>
        <v/>
      </c>
      <c r="AB53" s="40">
        <f>Inputs!AB68*AB45*AB46*TPDPct</f>
        <v/>
      </c>
      <c r="AC53" s="40">
        <f>Inputs!AC68*AC45*AC46*TPDPct</f>
        <v/>
      </c>
      <c r="AD53" s="40">
        <f>Inputs!AD68*AD45*AD46*TPDPct</f>
        <v/>
      </c>
      <c r="AE53" s="40">
        <f>Inputs!AE68*AE45*AE46*TPDPct</f>
        <v/>
      </c>
      <c r="AF53" s="41">
        <f>SUM(F53:AE53)</f>
        <v/>
      </c>
    </row>
    <row r="54">
      <c r="B54" s="37" t="inlineStr">
        <is>
          <t>— Markdown Spend</t>
        </is>
      </c>
      <c r="F54" s="40">
        <f>Inputs!F69*F45*F46*MdPct</f>
        <v/>
      </c>
      <c r="G54" s="40">
        <f>Inputs!G69*G45*G46*MdPct</f>
        <v/>
      </c>
      <c r="H54" s="40">
        <f>Inputs!H69*H45*H46*MdPct</f>
        <v/>
      </c>
      <c r="I54" s="40">
        <f>Inputs!I69*I45*I46*MdPct</f>
        <v/>
      </c>
      <c r="J54" s="40">
        <f>Inputs!J69*J45*J46*MdPct</f>
        <v/>
      </c>
      <c r="K54" s="40">
        <f>Inputs!K69*K45*K46*MdPct</f>
        <v/>
      </c>
      <c r="L54" s="40">
        <f>Inputs!L69*L45*L46*MdPct</f>
        <v/>
      </c>
      <c r="M54" s="40">
        <f>Inputs!M69*M45*M46*MdPct</f>
        <v/>
      </c>
      <c r="N54" s="40">
        <f>Inputs!N69*N45*N46*MdPct</f>
        <v/>
      </c>
      <c r="O54" s="40">
        <f>Inputs!O69*O45*O46*MdPct</f>
        <v/>
      </c>
      <c r="P54" s="40">
        <f>Inputs!P69*P45*P46*MdPct</f>
        <v/>
      </c>
      <c r="Q54" s="40">
        <f>Inputs!Q69*Q45*Q46*MdPct</f>
        <v/>
      </c>
      <c r="R54" s="40">
        <f>Inputs!R69*R45*R46*MdPct</f>
        <v/>
      </c>
      <c r="S54" s="40">
        <f>Inputs!S69*S45*S46*MdPct</f>
        <v/>
      </c>
      <c r="T54" s="40">
        <f>Inputs!T69*T45*T46*MdPct</f>
        <v/>
      </c>
      <c r="U54" s="40">
        <f>Inputs!U69*U45*U46*MdPct</f>
        <v/>
      </c>
      <c r="V54" s="40">
        <f>Inputs!V69*V45*V46*MdPct</f>
        <v/>
      </c>
      <c r="W54" s="40">
        <f>Inputs!W69*W45*W46*MdPct</f>
        <v/>
      </c>
      <c r="X54" s="40">
        <f>Inputs!X69*X45*X46*MdPct</f>
        <v/>
      </c>
      <c r="Y54" s="40">
        <f>Inputs!Y69*Y45*Y46*MdPct</f>
        <v/>
      </c>
      <c r="Z54" s="40">
        <f>Inputs!Z69*Z45*Z46*MdPct</f>
        <v/>
      </c>
      <c r="AA54" s="40">
        <f>Inputs!AA69*AA45*AA46*MdPct</f>
        <v/>
      </c>
      <c r="AB54" s="40">
        <f>Inputs!AB69*AB45*AB46*MdPct</f>
        <v/>
      </c>
      <c r="AC54" s="40">
        <f>Inputs!AC69*AC45*AC46*MdPct</f>
        <v/>
      </c>
      <c r="AD54" s="40">
        <f>Inputs!AD69*AD45*AD46*MdPct</f>
        <v/>
      </c>
      <c r="AE54" s="40">
        <f>Inputs!AE69*AE45*AE46*MdPct</f>
        <v/>
      </c>
      <c r="AF54" s="41">
        <f>SUM(F54:AE54)</f>
        <v/>
      </c>
    </row>
    <row r="55">
      <c r="B55" s="37" t="inlineStr">
        <is>
          <t>— Advertising Spend</t>
        </is>
      </c>
      <c r="F55" s="40">
        <f>Inputs!F70*AdvertCost</f>
        <v/>
      </c>
      <c r="G55" s="40">
        <f>Inputs!G70*AdvertCost</f>
        <v/>
      </c>
      <c r="H55" s="40">
        <f>Inputs!H70*AdvertCost</f>
        <v/>
      </c>
      <c r="I55" s="40">
        <f>Inputs!I70*AdvertCost</f>
        <v/>
      </c>
      <c r="J55" s="40">
        <f>Inputs!J70*AdvertCost</f>
        <v/>
      </c>
      <c r="K55" s="40">
        <f>Inputs!K70*AdvertCost</f>
        <v/>
      </c>
      <c r="L55" s="40">
        <f>Inputs!L70*AdvertCost</f>
        <v/>
      </c>
      <c r="M55" s="40">
        <f>Inputs!M70*AdvertCost</f>
        <v/>
      </c>
      <c r="N55" s="40">
        <f>Inputs!N70*AdvertCost</f>
        <v/>
      </c>
      <c r="O55" s="40">
        <f>Inputs!O70*AdvertCost</f>
        <v/>
      </c>
      <c r="P55" s="40">
        <f>Inputs!P70*AdvertCost</f>
        <v/>
      </c>
      <c r="Q55" s="40">
        <f>Inputs!Q70*AdvertCost</f>
        <v/>
      </c>
      <c r="R55" s="40">
        <f>Inputs!R70*AdvertCost</f>
        <v/>
      </c>
      <c r="S55" s="40">
        <f>Inputs!S70*AdvertCost</f>
        <v/>
      </c>
      <c r="T55" s="40">
        <f>Inputs!T70*AdvertCost</f>
        <v/>
      </c>
      <c r="U55" s="40">
        <f>Inputs!U70*AdvertCost</f>
        <v/>
      </c>
      <c r="V55" s="40">
        <f>Inputs!V70*AdvertCost</f>
        <v/>
      </c>
      <c r="W55" s="40">
        <f>Inputs!W70*AdvertCost</f>
        <v/>
      </c>
      <c r="X55" s="40">
        <f>Inputs!X70*AdvertCost</f>
        <v/>
      </c>
      <c r="Y55" s="40">
        <f>Inputs!Y70*AdvertCost</f>
        <v/>
      </c>
      <c r="Z55" s="40">
        <f>Inputs!Z70*AdvertCost</f>
        <v/>
      </c>
      <c r="AA55" s="40">
        <f>Inputs!AA70*AdvertCost</f>
        <v/>
      </c>
      <c r="AB55" s="40">
        <f>Inputs!AB70*AdvertCost</f>
        <v/>
      </c>
      <c r="AC55" s="40">
        <f>Inputs!AC70*AdvertCost</f>
        <v/>
      </c>
      <c r="AD55" s="40">
        <f>Inputs!AD70*AdvertCost</f>
        <v/>
      </c>
      <c r="AE55" s="40">
        <f>Inputs!AE70*AdvertCost</f>
        <v/>
      </c>
      <c r="AF55" s="41">
        <f>SUM(F55:AE55)</f>
        <v/>
      </c>
    </row>
    <row r="56">
      <c r="B56" s="13" t="inlineStr">
        <is>
          <t>Total Promo Spend</t>
        </is>
      </c>
      <c r="F56" s="40">
        <f>SUM(F50:F55)</f>
        <v/>
      </c>
      <c r="G56" s="40">
        <f>SUM(G50:G55)</f>
        <v/>
      </c>
      <c r="H56" s="40">
        <f>SUM(H50:H55)</f>
        <v/>
      </c>
      <c r="I56" s="40">
        <f>SUM(I50:I55)</f>
        <v/>
      </c>
      <c r="J56" s="40">
        <f>SUM(J50:J55)</f>
        <v/>
      </c>
      <c r="K56" s="40">
        <f>SUM(K50:K55)</f>
        <v/>
      </c>
      <c r="L56" s="40">
        <f>SUM(L50:L55)</f>
        <v/>
      </c>
      <c r="M56" s="40">
        <f>SUM(M50:M55)</f>
        <v/>
      </c>
      <c r="N56" s="40">
        <f>SUM(N50:N55)</f>
        <v/>
      </c>
      <c r="O56" s="40">
        <f>SUM(O50:O55)</f>
        <v/>
      </c>
      <c r="P56" s="40">
        <f>SUM(P50:P55)</f>
        <v/>
      </c>
      <c r="Q56" s="40">
        <f>SUM(Q50:Q55)</f>
        <v/>
      </c>
      <c r="R56" s="40">
        <f>SUM(R50:R55)</f>
        <v/>
      </c>
      <c r="S56" s="40">
        <f>SUM(S50:S55)</f>
        <v/>
      </c>
      <c r="T56" s="40">
        <f>SUM(T50:T55)</f>
        <v/>
      </c>
      <c r="U56" s="40">
        <f>SUM(U50:U55)</f>
        <v/>
      </c>
      <c r="V56" s="40">
        <f>SUM(V50:V55)</f>
        <v/>
      </c>
      <c r="W56" s="40">
        <f>SUM(W50:W55)</f>
        <v/>
      </c>
      <c r="X56" s="40">
        <f>SUM(X50:X55)</f>
        <v/>
      </c>
      <c r="Y56" s="40">
        <f>SUM(Y50:Y55)</f>
        <v/>
      </c>
      <c r="Z56" s="40">
        <f>SUM(Z50:Z55)</f>
        <v/>
      </c>
      <c r="AA56" s="40">
        <f>SUM(AA50:AA55)</f>
        <v/>
      </c>
      <c r="AB56" s="40">
        <f>SUM(AB50:AB55)</f>
        <v/>
      </c>
      <c r="AC56" s="40">
        <f>SUM(AC50:AC55)</f>
        <v/>
      </c>
      <c r="AD56" s="40">
        <f>SUM(AD50:AD55)</f>
        <v/>
      </c>
      <c r="AE56" s="40">
        <f>SUM(AE50:AE55)</f>
        <v/>
      </c>
      <c r="AF56" s="41">
        <f>SUM(F56:AE56)</f>
        <v/>
      </c>
    </row>
    <row r="57">
      <c r="B57" s="42" t="inlineStr">
        <is>
          <t>Gross Profit</t>
        </is>
      </c>
      <c r="F57" s="40">
        <f>F47-F49</f>
        <v/>
      </c>
      <c r="G57" s="40">
        <f>G47-G49</f>
        <v/>
      </c>
      <c r="H57" s="40">
        <f>H47-H49</f>
        <v/>
      </c>
      <c r="I57" s="40">
        <f>I47-I49</f>
        <v/>
      </c>
      <c r="J57" s="40">
        <f>J47-J49</f>
        <v/>
      </c>
      <c r="K57" s="40">
        <f>K47-K49</f>
        <v/>
      </c>
      <c r="L57" s="40">
        <f>L47-L49</f>
        <v/>
      </c>
      <c r="M57" s="40">
        <f>M47-M49</f>
        <v/>
      </c>
      <c r="N57" s="40">
        <f>N47-N49</f>
        <v/>
      </c>
      <c r="O57" s="40">
        <f>O47-O49</f>
        <v/>
      </c>
      <c r="P57" s="40">
        <f>P47-P49</f>
        <v/>
      </c>
      <c r="Q57" s="40">
        <f>Q47-Q49</f>
        <v/>
      </c>
      <c r="R57" s="40">
        <f>R47-R49</f>
        <v/>
      </c>
      <c r="S57" s="40">
        <f>S47-S49</f>
        <v/>
      </c>
      <c r="T57" s="40">
        <f>T47-T49</f>
        <v/>
      </c>
      <c r="U57" s="40">
        <f>U47-U49</f>
        <v/>
      </c>
      <c r="V57" s="40">
        <f>V47-V49</f>
        <v/>
      </c>
      <c r="W57" s="40">
        <f>W47-W49</f>
        <v/>
      </c>
      <c r="X57" s="40">
        <f>X47-X49</f>
        <v/>
      </c>
      <c r="Y57" s="40">
        <f>Y47-Y49</f>
        <v/>
      </c>
      <c r="Z57" s="40">
        <f>Z47-Z49</f>
        <v/>
      </c>
      <c r="AA57" s="40">
        <f>AA47-AA49</f>
        <v/>
      </c>
      <c r="AB57" s="40">
        <f>AB47-AB49</f>
        <v/>
      </c>
      <c r="AC57" s="40">
        <f>AC47-AC49</f>
        <v/>
      </c>
      <c r="AD57" s="40">
        <f>AD47-AD49</f>
        <v/>
      </c>
      <c r="AE57" s="40">
        <f>AE47-AE49</f>
        <v/>
      </c>
      <c r="AF57" s="41">
        <f>SUM(F57:AE57)</f>
        <v/>
      </c>
    </row>
    <row r="58">
      <c r="B58" s="42" t="inlineStr">
        <is>
          <t>Net Profit (after promo)</t>
        </is>
      </c>
      <c r="F58" s="40">
        <f>F57-F56</f>
        <v/>
      </c>
      <c r="G58" s="40">
        <f>G57-G56</f>
        <v/>
      </c>
      <c r="H58" s="40">
        <f>H57-H56</f>
        <v/>
      </c>
      <c r="I58" s="40">
        <f>I57-I56</f>
        <v/>
      </c>
      <c r="J58" s="40">
        <f>J57-J56</f>
        <v/>
      </c>
      <c r="K58" s="40">
        <f>K57-K56</f>
        <v/>
      </c>
      <c r="L58" s="40">
        <f>L57-L56</f>
        <v/>
      </c>
      <c r="M58" s="40">
        <f>M57-M56</f>
        <v/>
      </c>
      <c r="N58" s="40">
        <f>N57-N56</f>
        <v/>
      </c>
      <c r="O58" s="40">
        <f>O57-O56</f>
        <v/>
      </c>
      <c r="P58" s="40">
        <f>P57-P56</f>
        <v/>
      </c>
      <c r="Q58" s="40">
        <f>Q57-Q56</f>
        <v/>
      </c>
      <c r="R58" s="40">
        <f>R57-R56</f>
        <v/>
      </c>
      <c r="S58" s="40">
        <f>S57-S56</f>
        <v/>
      </c>
      <c r="T58" s="40">
        <f>T57-T56</f>
        <v/>
      </c>
      <c r="U58" s="40">
        <f>U57-U56</f>
        <v/>
      </c>
      <c r="V58" s="40">
        <f>V57-V56</f>
        <v/>
      </c>
      <c r="W58" s="40">
        <f>W57-W56</f>
        <v/>
      </c>
      <c r="X58" s="40">
        <f>X57-X56</f>
        <v/>
      </c>
      <c r="Y58" s="40">
        <f>Y57-Y56</f>
        <v/>
      </c>
      <c r="Z58" s="40">
        <f>Z57-Z56</f>
        <v/>
      </c>
      <c r="AA58" s="40">
        <f>AA57-AA56</f>
        <v/>
      </c>
      <c r="AB58" s="40">
        <f>AB57-AB56</f>
        <v/>
      </c>
      <c r="AC58" s="40">
        <f>AC57-AC56</f>
        <v/>
      </c>
      <c r="AD58" s="40">
        <f>AD57-AD56</f>
        <v/>
      </c>
      <c r="AE58" s="40">
        <f>AE57-AE56</f>
        <v/>
      </c>
      <c r="AF58" s="41">
        <f>SUM(F58:AE58)</f>
        <v/>
      </c>
    </row>
  </sheetData>
  <mergeCells count="4">
    <mergeCell ref="B23:AF23"/>
    <mergeCell ref="B4:AF4"/>
    <mergeCell ref="B42:AF42"/>
    <mergeCell ref="B2:A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6" customWidth="1" min="2" max="2"/>
    <col width="22" customWidth="1" min="3" max="3"/>
    <col width="22" customWidth="1" min="4" max="4"/>
    <col width="22" customWidth="1" min="5" max="5"/>
  </cols>
  <sheetData>
    <row r="2" ht="32" customHeight="1">
      <c r="B2" s="9" t="inlineStr">
        <is>
          <t>ROI SUMMARY — Bee Propolis Scenario Comparison</t>
        </is>
      </c>
    </row>
    <row r="3">
      <c r="B3" s="43">
        <f>"Test window: W1 ("&amp;TEXT(StartDate,"dd-mmm-yyyy")&amp;")  →  W"&amp;Period&amp;" ("&amp;TEXT(StartDate+7*(Period-1),"dd-mmm-yyyy")&amp;")"</f>
        <v/>
      </c>
    </row>
    <row r="5" ht="24" customHeight="1">
      <c r="B5" s="44" t="inlineStr">
        <is>
          <t>Metric</t>
        </is>
      </c>
      <c r="C5" s="45" t="inlineStr">
        <is>
          <t>BEST</t>
        </is>
      </c>
      <c r="D5" s="45" t="inlineStr">
        <is>
          <t>IDEAL</t>
        </is>
      </c>
      <c r="E5" s="45" t="inlineStr">
        <is>
          <t>WORST</t>
        </is>
      </c>
    </row>
    <row r="6" ht="22" customHeight="1">
      <c r="B6" s="46" t="inlineStr">
        <is>
          <t>Units Sold</t>
        </is>
      </c>
      <c r="C6" s="47">
        <f>Forecast!AF7</f>
        <v/>
      </c>
      <c r="D6" s="47">
        <f>Forecast!AF26</f>
        <v/>
      </c>
      <c r="E6" s="47">
        <f>Forecast!AF45</f>
        <v/>
      </c>
    </row>
    <row r="7" ht="22" customHeight="1">
      <c r="B7" s="46" t="inlineStr">
        <is>
          <t>Revenue</t>
        </is>
      </c>
      <c r="C7" s="48">
        <f>Forecast!AF9</f>
        <v/>
      </c>
      <c r="D7" s="48">
        <f>Forecast!AF28</f>
        <v/>
      </c>
      <c r="E7" s="48">
        <f>Forecast!AF47</f>
        <v/>
      </c>
    </row>
    <row r="8" ht="22" customHeight="1">
      <c r="B8" s="46" t="inlineStr">
        <is>
          <t>Raw COGS</t>
        </is>
      </c>
      <c r="C8" s="48">
        <f>Forecast!AF11</f>
        <v/>
      </c>
      <c r="D8" s="48">
        <f>Forecast!AF30</f>
        <v/>
      </c>
      <c r="E8" s="48">
        <f>Forecast!AF49</f>
        <v/>
      </c>
    </row>
    <row r="9" ht="26" customHeight="1">
      <c r="B9" s="49" t="inlineStr">
        <is>
          <t>Gross Profit</t>
        </is>
      </c>
      <c r="C9" s="50">
        <f>Forecast!AF19</f>
        <v/>
      </c>
      <c r="D9" s="50">
        <f>Forecast!AF38</f>
        <v/>
      </c>
      <c r="E9" s="50">
        <f>Forecast!AF57</f>
        <v/>
      </c>
    </row>
    <row r="10" ht="26" customHeight="1">
      <c r="B10" s="49" t="inlineStr">
        <is>
          <t>Gross Margin %</t>
        </is>
      </c>
      <c r="C10" s="51">
        <f>IFERROR(Forecast!AF19/Forecast!AF9,0)</f>
        <v/>
      </c>
      <c r="D10" s="51">
        <f>IFERROR(Forecast!AF38/Forecast!AF28,0)</f>
        <v/>
      </c>
      <c r="E10" s="51">
        <f>IFERROR(Forecast!AF57/Forecast!AF47,0)</f>
        <v/>
      </c>
    </row>
    <row r="11" ht="22" customHeight="1">
      <c r="B11" s="46" t="inlineStr">
        <is>
          <t>Demo Spend</t>
        </is>
      </c>
      <c r="C11" s="48">
        <f>Forecast!AF12</f>
        <v/>
      </c>
      <c r="D11" s="48">
        <f>Forecast!AF31</f>
        <v/>
      </c>
      <c r="E11" s="48">
        <f>Forecast!AF50</f>
        <v/>
      </c>
    </row>
    <row r="12" ht="22" customHeight="1">
      <c r="B12" s="46" t="inlineStr">
        <is>
          <t>End Cap Spend</t>
        </is>
      </c>
      <c r="C12" s="48">
        <f>Forecast!AF13</f>
        <v/>
      </c>
      <c r="D12" s="48">
        <f>Forecast!AF32</f>
        <v/>
      </c>
      <c r="E12" s="48">
        <f>Forecast!AF51</f>
        <v/>
      </c>
    </row>
    <row r="13" ht="22" customHeight="1">
      <c r="B13" s="46" t="inlineStr">
        <is>
          <t>Fence Spend</t>
        </is>
      </c>
      <c r="C13" s="48">
        <f>Forecast!AF14</f>
        <v/>
      </c>
      <c r="D13" s="48">
        <f>Forecast!AF33</f>
        <v/>
      </c>
      <c r="E13" s="48">
        <f>Forecast!AF52</f>
        <v/>
      </c>
    </row>
    <row r="14" ht="22" customHeight="1">
      <c r="B14" s="46" t="inlineStr">
        <is>
          <t>TPD Spend</t>
        </is>
      </c>
      <c r="C14" s="48">
        <f>Forecast!AF15</f>
        <v/>
      </c>
      <c r="D14" s="48">
        <f>Forecast!AF34</f>
        <v/>
      </c>
      <c r="E14" s="48">
        <f>Forecast!AF53</f>
        <v/>
      </c>
    </row>
    <row r="15" ht="22" customHeight="1">
      <c r="B15" s="46" t="inlineStr">
        <is>
          <t>Markdown Spend</t>
        </is>
      </c>
      <c r="C15" s="48">
        <f>Forecast!AF16</f>
        <v/>
      </c>
      <c r="D15" s="48">
        <f>Forecast!AF35</f>
        <v/>
      </c>
      <c r="E15" s="48">
        <f>Forecast!AF54</f>
        <v/>
      </c>
    </row>
    <row r="16" ht="22" customHeight="1">
      <c r="B16" s="46" t="inlineStr">
        <is>
          <t>Advertising Spend</t>
        </is>
      </c>
      <c r="C16" s="48">
        <f>Forecast!AF17</f>
        <v/>
      </c>
      <c r="D16" s="48">
        <f>Forecast!AF36</f>
        <v/>
      </c>
      <c r="E16" s="48">
        <f>Forecast!AF55</f>
        <v/>
      </c>
    </row>
    <row r="17" ht="26" customHeight="1">
      <c r="B17" s="49" t="inlineStr">
        <is>
          <t>Total Promo Spend</t>
        </is>
      </c>
      <c r="C17" s="50">
        <f>Forecast!AF18</f>
        <v/>
      </c>
      <c r="D17" s="50">
        <f>Forecast!AF37</f>
        <v/>
      </c>
      <c r="E17" s="50">
        <f>Forecast!AF56</f>
        <v/>
      </c>
    </row>
    <row r="18" ht="26" customHeight="1">
      <c r="B18" s="49" t="inlineStr">
        <is>
          <t>Net Profit</t>
        </is>
      </c>
      <c r="C18" s="50">
        <f>Forecast!AF20</f>
        <v/>
      </c>
      <c r="D18" s="50">
        <f>Forecast!AF39</f>
        <v/>
      </c>
      <c r="E18" s="50">
        <f>Forecast!AF58</f>
        <v/>
      </c>
    </row>
    <row r="19" ht="26" customHeight="1">
      <c r="B19" s="49" t="inlineStr">
        <is>
          <t>Net Margin %</t>
        </is>
      </c>
      <c r="C19" s="51">
        <f>IFERROR(Forecast!AF20/Forecast!AF9,0)</f>
        <v/>
      </c>
      <c r="D19" s="51">
        <f>IFERROR(Forecast!AF39/Forecast!AF28,0)</f>
        <v/>
      </c>
      <c r="E19" s="51">
        <f>IFERROR(Forecast!AF58/Forecast!AF47,0)</f>
        <v/>
      </c>
    </row>
    <row r="20" ht="26" customHeight="1">
      <c r="B20" s="49" t="inlineStr">
        <is>
          <t>ROI on Promo Spend</t>
        </is>
      </c>
      <c r="C20" s="51">
        <f>IFERROR(Forecast!AF20/Forecast!AF18,0)</f>
        <v/>
      </c>
      <c r="D20" s="51">
        <f>IFERROR(Forecast!AF39/Forecast!AF37,0)</f>
        <v/>
      </c>
      <c r="E20" s="51">
        <f>IFERROR(Forecast!AF58/Forecast!AF56,0)</f>
        <v/>
      </c>
    </row>
    <row r="21" ht="22" customHeight="1">
      <c r="B21" s="46" t="inlineStr">
        <is>
          <t>Avg Units / WH / Week</t>
        </is>
      </c>
      <c r="C21" s="47">
        <f>IFERROR(Forecast!AF7/WHs/Period,0)</f>
        <v/>
      </c>
      <c r="D21" s="47">
        <f>IFERROR(Forecast!AF26/WHs/Period,0)</f>
        <v/>
      </c>
      <c r="E21" s="47">
        <f>IFERROR(Forecast!AF45/WHs/Period,0)</f>
        <v/>
      </c>
    </row>
    <row r="24" ht="22" customHeight="1">
      <c r="B24" s="12" t="inlineStr">
        <is>
          <t>Why each scenario?</t>
        </is>
      </c>
    </row>
    <row r="25" ht="38" customHeight="1">
      <c r="B25" s="52" t="inlineStr">
        <is>
          <t>BEST</t>
        </is>
      </c>
      <c r="C25" s="15" t="inlineStr">
        <is>
          <t>Two demo weekends with TPD. Demo lifts ~3x in-week. No end cap, no markdown.</t>
        </is>
      </c>
    </row>
    <row r="26" ht="38" customHeight="1">
      <c r="B26" s="52" t="inlineStr">
        <is>
          <t>IDEAL</t>
        </is>
      </c>
      <c r="C26" s="15" t="inlineStr">
        <is>
          <t>Demo + end cap + TPD stacked for two weeks. Combined velocity ~3.6x base.</t>
        </is>
      </c>
    </row>
    <row r="27" ht="38" customHeight="1">
      <c r="B27" s="52" t="inlineStr">
        <is>
          <t>WORST</t>
        </is>
      </c>
      <c r="C27" s="15" t="inlineStr">
        <is>
          <t>Promo plan as IDEAL but residual inventory clears at 50% off over Wks 18-20.</t>
        </is>
      </c>
    </row>
  </sheetData>
  <mergeCells count="6">
    <mergeCell ref="C27:E27"/>
    <mergeCell ref="C26:E26"/>
    <mergeCell ref="B24:E24"/>
    <mergeCell ref="B3:E3"/>
    <mergeCell ref="B2:E2"/>
    <mergeCell ref="C25:E25"/>
  </mergeCells>
  <conditionalFormatting sqref="C18:E18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C20:E20">
    <cfRule type="cellIs" priority="3" operator="lessThan" dxfId="0">
      <formula>0</formula>
    </cfRule>
    <cfRule type="cellIs" priority="4" operator="greaterThanOr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R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2" customWidth="1" min="3" max="3"/>
    <col width="32" customWidth="1" min="4" max="4"/>
    <col width="12" customWidth="1" min="5" max="5"/>
    <col width="9" customWidth="1" min="6" max="6"/>
    <col width="9" customWidth="1" min="7" max="7"/>
    <col width="9" customWidth="1" min="8" max="8"/>
    <col width="8" customWidth="1" min="9" max="9"/>
    <col width="11" customWidth="1" min="10" max="10"/>
    <col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8" customWidth="1" min="16" max="16"/>
    <col width="8" customWidth="1" min="17" max="17"/>
    <col width="40" customWidth="1" min="18" max="18"/>
  </cols>
  <sheetData>
    <row r="2" ht="32" customHeight="1">
      <c r="B2" s="9" t="inlineStr">
        <is>
          <t>PORTFOLIO — D93 Pitch SKUs (Annual Y1 Roll-Up)</t>
        </is>
      </c>
    </row>
    <row r="3" ht="30" customHeight="1">
      <c r="B3" s="53" t="inlineStr">
        <is>
          <t>Bee Propolis pre-filled at indicative annual numbers. For SKUs 2-7, paste SP / Cost / Y1 Units / Promo Spend from Asana into the yellow cells. Bottom row blends across SKUs.</t>
        </is>
      </c>
    </row>
    <row r="5">
      <c r="B5" s="29" t="inlineStr">
        <is>
          <t>#</t>
        </is>
      </c>
      <c r="C5" s="54" t="inlineStr">
        <is>
          <t>Code</t>
        </is>
      </c>
      <c r="D5" s="54" t="inlineStr">
        <is>
          <t>SKU</t>
        </is>
      </c>
      <c r="E5" s="54" t="inlineStr">
        <is>
          <t>Pack</t>
        </is>
      </c>
      <c r="F5" s="29" t="inlineStr">
        <is>
          <t>SP £</t>
        </is>
      </c>
      <c r="G5" s="29" t="inlineStr">
        <is>
          <t>Cost £</t>
        </is>
      </c>
      <c r="H5" s="29" t="inlineStr">
        <is>
          <t>GM/u £</t>
        </is>
      </c>
      <c r="I5" s="29" t="inlineStr">
        <is>
          <t>GM %</t>
        </is>
      </c>
      <c r="J5" s="29" t="inlineStr">
        <is>
          <t>Y1 Units</t>
        </is>
      </c>
      <c r="K5" s="29" t="inlineStr">
        <is>
          <t>Revenue £</t>
        </is>
      </c>
      <c r="L5" s="29" t="inlineStr">
        <is>
          <t>COGS £</t>
        </is>
      </c>
      <c r="M5" s="29" t="inlineStr">
        <is>
          <t>GP £</t>
        </is>
      </c>
      <c r="N5" s="29" t="inlineStr">
        <is>
          <t>Promo £</t>
        </is>
      </c>
      <c r="O5" s="29" t="inlineStr">
        <is>
          <t>Net Profit £</t>
        </is>
      </c>
      <c r="P5" s="29" t="inlineStr">
        <is>
          <t>Net %</t>
        </is>
      </c>
      <c r="Q5" s="29" t="inlineStr">
        <is>
          <t>ROI %</t>
        </is>
      </c>
      <c r="R5" s="54" t="inlineStr">
        <is>
          <t>Rationale / status</t>
        </is>
      </c>
    </row>
    <row r="6" ht="20" customHeight="1">
      <c r="B6" s="55" t="n">
        <v>1</v>
      </c>
      <c r="C6" s="56" t="inlineStr">
        <is>
          <t>UK-D93-#1</t>
        </is>
      </c>
      <c r="D6" s="56" t="inlineStr">
        <is>
          <t>Bee Propolis Spray 30ml x2</t>
        </is>
      </c>
      <c r="E6" s="57" t="inlineStr">
        <is>
          <t>30ml x 2</t>
        </is>
      </c>
      <c r="F6" s="18" t="n">
        <v>15.99</v>
      </c>
      <c r="G6" s="18" t="n">
        <v>7.29</v>
      </c>
      <c r="H6" s="38">
        <f>IFERROR(F6-G6,0)</f>
        <v/>
      </c>
      <c r="I6" s="58">
        <f>IFERROR((F6-G6)/F6,0)</f>
        <v/>
      </c>
      <c r="J6" s="17" t="n">
        <v>17000</v>
      </c>
      <c r="K6" s="40">
        <f>IFERROR(J6*F6,0)</f>
        <v/>
      </c>
      <c r="L6" s="40">
        <f>IFERROR(J6*G6,0)</f>
        <v/>
      </c>
      <c r="M6" s="41">
        <f>IFERROR(K6-L6,0)</f>
        <v/>
      </c>
      <c r="N6" s="23" t="n">
        <v>25000</v>
      </c>
      <c r="O6" s="41">
        <f>IFERROR(M6-N6,0)</f>
        <v/>
      </c>
      <c r="P6" s="58">
        <f>IFERROR(O6/K6,0)</f>
        <v/>
      </c>
      <c r="Q6" s="58">
        <f>IFERROR(O6/N6,0)</f>
        <v/>
      </c>
      <c r="R6" s="57" t="inlineStr">
        <is>
          <t>Lead pitch — strong GP%, supported by demo + TPD.</t>
        </is>
      </c>
    </row>
    <row r="7" ht="20" customHeight="1">
      <c r="B7" s="55" t="n">
        <v>2</v>
      </c>
      <c r="C7" s="56" t="inlineStr">
        <is>
          <t>UK-D93-#2</t>
        </is>
      </c>
      <c r="D7" s="56" t="inlineStr">
        <is>
          <t>Mag 8-in-1 90's/120's</t>
        </is>
      </c>
      <c r="E7" s="57" t="n"/>
      <c r="F7" s="18" t="n"/>
      <c r="G7" s="18" t="n"/>
      <c r="H7" s="38">
        <f>IFERROR(F7-G7,0)</f>
        <v/>
      </c>
      <c r="I7" s="58">
        <f>IFERROR((F7-G7)/F7,0)</f>
        <v/>
      </c>
      <c r="J7" s="17" t="n"/>
      <c r="K7" s="40">
        <f>IFERROR(J7*F7,0)</f>
        <v/>
      </c>
      <c r="L7" s="40">
        <f>IFERROR(J7*G7,0)</f>
        <v/>
      </c>
      <c r="M7" s="41">
        <f>IFERROR(K7-L7,0)</f>
        <v/>
      </c>
      <c r="N7" s="23" t="n"/>
      <c r="O7" s="41">
        <f>IFERROR(M7-N7,0)</f>
        <v/>
      </c>
      <c r="P7" s="58">
        <f>IFERROR(O7/K7,0)</f>
        <v/>
      </c>
      <c r="Q7" s="58">
        <f>IFERROR(O7/N7,0)</f>
        <v/>
      </c>
      <c r="R7" s="57" t="n"/>
    </row>
    <row r="8" ht="20" customHeight="1">
      <c r="B8" s="55" t="n">
        <v>3</v>
      </c>
      <c r="C8" s="56" t="inlineStr">
        <is>
          <t>UK-D93-#3</t>
        </is>
      </c>
      <c r="D8" s="56" t="inlineStr">
        <is>
          <t>O1 450g</t>
        </is>
      </c>
      <c r="E8" s="57" t="n"/>
      <c r="F8" s="18" t="n"/>
      <c r="G8" s="18" t="n"/>
      <c r="H8" s="38">
        <f>IFERROR(F8-G8,0)</f>
        <v/>
      </c>
      <c r="I8" s="58">
        <f>IFERROR((F8-G8)/F8,0)</f>
        <v/>
      </c>
      <c r="J8" s="17" t="n"/>
      <c r="K8" s="40">
        <f>IFERROR(J8*F8,0)</f>
        <v/>
      </c>
      <c r="L8" s="40">
        <f>IFERROR(J8*G8,0)</f>
        <v/>
      </c>
      <c r="M8" s="41">
        <f>IFERROR(K8-L8,0)</f>
        <v/>
      </c>
      <c r="N8" s="23" t="n"/>
      <c r="O8" s="41">
        <f>IFERROR(M8-N8,0)</f>
        <v/>
      </c>
      <c r="P8" s="58">
        <f>IFERROR(O8/K8,0)</f>
        <v/>
      </c>
      <c r="Q8" s="58">
        <f>IFERROR(O8/N8,0)</f>
        <v/>
      </c>
      <c r="R8" s="57" t="n"/>
    </row>
    <row r="9" ht="20" customHeight="1">
      <c r="B9" s="55" t="n">
        <v>4</v>
      </c>
      <c r="C9" s="56" t="inlineStr">
        <is>
          <t>UK-D93-#4</t>
        </is>
      </c>
      <c r="D9" s="56" t="inlineStr">
        <is>
          <t>Belli Bliss Raspberry, 450g</t>
        </is>
      </c>
      <c r="E9" s="57" t="n"/>
      <c r="F9" s="18" t="n"/>
      <c r="G9" s="18" t="n"/>
      <c r="H9" s="38">
        <f>IFERROR(F9-G9,0)</f>
        <v/>
      </c>
      <c r="I9" s="58">
        <f>IFERROR((F9-G9)/F9,0)</f>
        <v/>
      </c>
      <c r="J9" s="17" t="n"/>
      <c r="K9" s="40">
        <f>IFERROR(J9*F9,0)</f>
        <v/>
      </c>
      <c r="L9" s="40">
        <f>IFERROR(J9*G9,0)</f>
        <v/>
      </c>
      <c r="M9" s="41">
        <f>IFERROR(K9-L9,0)</f>
        <v/>
      </c>
      <c r="N9" s="23" t="n"/>
      <c r="O9" s="41">
        <f>IFERROR(M9-N9,0)</f>
        <v/>
      </c>
      <c r="P9" s="58">
        <f>IFERROR(O9/K9,0)</f>
        <v/>
      </c>
      <c r="Q9" s="58">
        <f>IFERROR(O9/N9,0)</f>
        <v/>
      </c>
      <c r="R9" s="57" t="n"/>
    </row>
    <row r="10" ht="20" customHeight="1">
      <c r="B10" s="55" t="n">
        <v>5</v>
      </c>
      <c r="C10" s="56" t="inlineStr">
        <is>
          <t>UK-D93-#5</t>
        </is>
      </c>
      <c r="D10" s="56" t="inlineStr">
        <is>
          <t>Daily Boost</t>
        </is>
      </c>
      <c r="E10" s="57" t="n"/>
      <c r="F10" s="18" t="n"/>
      <c r="G10" s="18" t="n"/>
      <c r="H10" s="38">
        <f>IFERROR(F10-G10,0)</f>
        <v/>
      </c>
      <c r="I10" s="58">
        <f>IFERROR((F10-G10)/F10,0)</f>
        <v/>
      </c>
      <c r="J10" s="17" t="n"/>
      <c r="K10" s="40">
        <f>IFERROR(J10*F10,0)</f>
        <v/>
      </c>
      <c r="L10" s="40">
        <f>IFERROR(J10*G10,0)</f>
        <v/>
      </c>
      <c r="M10" s="41">
        <f>IFERROR(K10-L10,0)</f>
        <v/>
      </c>
      <c r="N10" s="23" t="n"/>
      <c r="O10" s="41">
        <f>IFERROR(M10-N10,0)</f>
        <v/>
      </c>
      <c r="P10" s="58">
        <f>IFERROR(O10/K10,0)</f>
        <v/>
      </c>
      <c r="Q10" s="58">
        <f>IFERROR(O10/N10,0)</f>
        <v/>
      </c>
      <c r="R10" s="57" t="n"/>
    </row>
    <row r="11" ht="20" customHeight="1">
      <c r="B11" s="55" t="n">
        <v>6</v>
      </c>
      <c r="C11" s="56" t="inlineStr">
        <is>
          <t>UK-D93-#6</t>
        </is>
      </c>
      <c r="D11" s="56" t="inlineStr">
        <is>
          <t>Berberine 90's/120's</t>
        </is>
      </c>
      <c r="E11" s="57" t="n"/>
      <c r="F11" s="18" t="n"/>
      <c r="G11" s="18" t="n"/>
      <c r="H11" s="38">
        <f>IFERROR(F11-G11,0)</f>
        <v/>
      </c>
      <c r="I11" s="58">
        <f>IFERROR((F11-G11)/F11,0)</f>
        <v/>
      </c>
      <c r="J11" s="17" t="n"/>
      <c r="K11" s="40">
        <f>IFERROR(J11*F11,0)</f>
        <v/>
      </c>
      <c r="L11" s="40">
        <f>IFERROR(J11*G11,0)</f>
        <v/>
      </c>
      <c r="M11" s="41">
        <f>IFERROR(K11-L11,0)</f>
        <v/>
      </c>
      <c r="N11" s="23" t="n"/>
      <c r="O11" s="41">
        <f>IFERROR(M11-N11,0)</f>
        <v/>
      </c>
      <c r="P11" s="58">
        <f>IFERROR(O11/K11,0)</f>
        <v/>
      </c>
      <c r="Q11" s="58">
        <f>IFERROR(O11/N11,0)</f>
        <v/>
      </c>
      <c r="R11" s="57" t="n"/>
    </row>
    <row r="12" ht="20" customHeight="1">
      <c r="B12" s="55" t="n">
        <v>7</v>
      </c>
      <c r="C12" s="56" t="inlineStr">
        <is>
          <t>UK-D93-#7</t>
        </is>
      </c>
      <c r="D12" s="56" t="inlineStr">
        <is>
          <t>L-theanine Capsules 90's/120's</t>
        </is>
      </c>
      <c r="E12" s="57" t="n"/>
      <c r="F12" s="18" t="n"/>
      <c r="G12" s="18" t="n"/>
      <c r="H12" s="38">
        <f>IFERROR(F12-G12,0)</f>
        <v/>
      </c>
      <c r="I12" s="58">
        <f>IFERROR((F12-G12)/F12,0)</f>
        <v/>
      </c>
      <c r="J12" s="17" t="n"/>
      <c r="K12" s="40">
        <f>IFERROR(J12*F12,0)</f>
        <v/>
      </c>
      <c r="L12" s="40">
        <f>IFERROR(J12*G12,0)</f>
        <v/>
      </c>
      <c r="M12" s="41">
        <f>IFERROR(K12-L12,0)</f>
        <v/>
      </c>
      <c r="N12" s="23" t="n"/>
      <c r="O12" s="41">
        <f>IFERROR(M12-N12,0)</f>
        <v/>
      </c>
      <c r="P12" s="58">
        <f>IFERROR(O12/K12,0)</f>
        <v/>
      </c>
      <c r="Q12" s="58">
        <f>IFERROR(O12/N12,0)</f>
        <v/>
      </c>
      <c r="R12" s="57" t="n"/>
    </row>
    <row r="13" ht="26" customHeight="1">
      <c r="B13" s="59" t="inlineStr"/>
      <c r="C13" s="59" t="inlineStr"/>
      <c r="D13" s="60" t="inlineStr">
        <is>
          <t>PORTFOLIO TOTAL / BLENDED</t>
        </is>
      </c>
      <c r="E13" s="59" t="inlineStr"/>
      <c r="F13" s="59" t="inlineStr"/>
      <c r="G13" s="59" t="inlineStr"/>
      <c r="H13" s="59" t="inlineStr"/>
      <c r="I13" s="61">
        <f>IFERROR(SUM(M6:M12)/SUM(K6:K12),0)</f>
        <v/>
      </c>
      <c r="J13" s="62">
        <f>SUM(J6:J12)</f>
        <v/>
      </c>
      <c r="K13" s="63">
        <f>SUM(K6:K12)</f>
        <v/>
      </c>
      <c r="L13" s="63">
        <f>SUM(L6:L12)</f>
        <v/>
      </c>
      <c r="M13" s="63">
        <f>SUM(M6:M12)</f>
        <v/>
      </c>
      <c r="N13" s="63">
        <f>SUM(N6:N12)</f>
        <v/>
      </c>
      <c r="O13" s="63">
        <f>SUM(O6:O12)</f>
        <v/>
      </c>
      <c r="P13" s="61">
        <f>IFERROR(O13/K13,0)</f>
        <v/>
      </c>
      <c r="Q13" s="61">
        <f>IFERROR(O13/N13,0)</f>
        <v/>
      </c>
      <c r="R13" s="60" t="inlineStr">
        <is>
          <t>Blended across SKUs</t>
        </is>
      </c>
    </row>
    <row r="15" ht="32" customHeight="1">
      <c r="B15" s="15" t="inlineStr">
        <is>
          <t>Blended GM% and Net% are revenue-weighted (Σ GP ÷ Σ Rev, Σ Net ÷ Σ Rev). Blended ROI is Σ Net Profit ÷ Σ Promo Spend. Yellow cells are inputs — fill in from Asana for rows 2-7.</t>
        </is>
      </c>
    </row>
  </sheetData>
  <mergeCells count="3">
    <mergeCell ref="B2:R2"/>
    <mergeCell ref="B15:R15"/>
    <mergeCell ref="B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2026-05-26T22:15:50Z</dcterms:created>
  <dcterms:modified xsi:type="dcterms:W3CDTF">2026-05-26T22:15:50Z</dcterms:modified>
</cp:coreProperties>
</file>