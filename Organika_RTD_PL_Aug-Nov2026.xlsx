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comments/comment2.xml" ContentType="application/vnd.openxmlformats-officedocument.spreadsheetml.comments+xml"/>
  <Override PartName="/xl/worksheets/sheet10.xml" ContentType="application/vnd.openxmlformats-officedocument.spreadsheetml.worksheet+xml"/>
  <Override PartName="/xl/comments/comment3.xml" ContentType="application/vnd.openxmlformats-officedocument.spreadsheetml.comments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Executive Summary" sheetId="2" state="visible" r:id="rId2"/>
    <sheet name="Business Case" sheetId="3" state="visible" r:id="rId3"/>
    <sheet name="Assumptions" sheetId="4" state="visible" r:id="rId4"/>
    <sheet name="Dashboard" sheetId="5" state="visible" r:id="rId5"/>
    <sheet name="Scenarios" sheetId="6" state="visible" r:id="rId6"/>
    <sheet name="Blended" sheetId="7" state="visible" r:id="rId7"/>
    <sheet name="TTL ORGANIKA RTD" sheetId="8" state="visible" r:id="rId8"/>
    <sheet name="Lime Lemon" sheetId="9" state="visible" r:id="rId9"/>
    <sheet name="Passion Fruit Pineapple" sheetId="10" state="visible" r:id="rId10"/>
    <sheet name="Raspberry" sheetId="11" state="visible" r:id="rId11"/>
    <sheet name="Cost Build-up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_);(#,##0\);\-"/>
    <numFmt numFmtId="165" formatCode="\$#,##0_);&quot;($&quot;#,##0\);\-"/>
    <numFmt numFmtId="166" formatCode="0.0%"/>
    <numFmt numFmtId="167" formatCode="\$#,##0.00_);&quot;($&quot;#,##0.00\);\-"/>
    <numFmt numFmtId="168" formatCode="#,##0.0"/>
  </numFmts>
  <fonts count="20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color rgb="FF595959"/>
      <sz val="9"/>
    </font>
    <font>
      <name val="Arial"/>
      <b val="1"/>
      <color rgb="FFFFFFFF"/>
      <sz val="10"/>
    </font>
    <font>
      <name val="Arial"/>
      <color rgb="FF595959"/>
      <sz val="8"/>
    </font>
    <font>
      <name val="Arial"/>
      <b val="1"/>
      <color rgb="FFFFFFFF"/>
      <sz val="11"/>
    </font>
    <font>
      <name val="Arial"/>
      <color rgb="FF000000"/>
      <sz val="10"/>
    </font>
    <font>
      <name val="Arial"/>
      <color rgb="FF0000FF"/>
      <sz val="10"/>
    </font>
    <font>
      <name val="Arial"/>
      <b val="1"/>
      <color rgb="FFFFFFFF"/>
      <sz val="9"/>
    </font>
    <font>
      <name val="Arial"/>
      <b val="1"/>
      <color rgb="FF000000"/>
      <sz val="10"/>
    </font>
    <font>
      <name val="Arial"/>
      <b val="1"/>
      <color rgb="FF0000FF"/>
      <sz val="10"/>
    </font>
    <font>
      <name val="Arial"/>
      <b val="1"/>
      <color rgb="FF000000"/>
      <sz val="9"/>
    </font>
    <font>
      <name val="Arial"/>
      <color rgb="FF1D1D1F"/>
      <sz val="10"/>
    </font>
    <font>
      <name val="Arial"/>
      <b val="1"/>
      <color rgb="FFFFFFFF"/>
      <sz val="22"/>
    </font>
    <font>
      <name val="Arial"/>
      <color rgb="FF595959"/>
      <sz val="10"/>
    </font>
    <font>
      <name val="Arial"/>
      <b val="1"/>
      <color rgb="FF1D1D1F"/>
      <sz val="12"/>
    </font>
    <font>
      <name val="Arial"/>
      <b val="1"/>
      <color rgb="FFFFFFFF"/>
      <sz val="26"/>
    </font>
    <font>
      <name val="Arial"/>
      <b val="1"/>
      <color rgb="FF1D1D1F"/>
      <sz val="13"/>
    </font>
    <font>
      <name val="Arial"/>
      <b val="1"/>
      <color rgb="FF1D1D1F"/>
      <sz val="10"/>
    </font>
    <font>
      <name val="Arial"/>
      <b val="1"/>
      <color rgb="FF000000"/>
      <sz val="11"/>
    </font>
  </fonts>
  <fills count="12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AF2FB"/>
      </patternFill>
    </fill>
    <fill>
      <patternFill patternType="solid">
        <fgColor rgb="FFFFF2CC"/>
      </patternFill>
    </fill>
    <fill>
      <patternFill patternType="solid">
        <fgColor rgb="FFF3F3F6"/>
      </patternFill>
    </fill>
    <fill>
      <patternFill patternType="solid">
        <fgColor rgb="FF0A2540"/>
      </patternFill>
    </fill>
    <fill>
      <patternFill patternType="solid">
        <fgColor rgb="FF0071E3"/>
      </patternFill>
    </fill>
    <fill>
      <patternFill patternType="solid">
        <fgColor rgb="FF34C759"/>
      </patternFill>
    </fill>
    <fill>
      <patternFill patternType="solid">
        <fgColor rgb="FFFF9500"/>
      </patternFill>
    </fill>
    <fill>
      <patternFill patternType="solid">
        <fgColor rgb="FFF5F5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3" fillId="7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8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bottom"/>
    </xf>
    <xf numFmtId="0" fontId="14" fillId="0" borderId="0" applyAlignment="1" pivotButton="0" quotePrefix="0" xfId="0">
      <alignment horizontal="left" vertical="top" wrapText="1"/>
    </xf>
    <xf numFmtId="0" fontId="16" fillId="9" borderId="0" applyAlignment="1" pivotButton="0" quotePrefix="0" xfId="0">
      <alignment horizontal="center" vertical="center"/>
    </xf>
    <xf numFmtId="0" fontId="16" fillId="10" borderId="0" applyAlignment="1" pivotButton="0" quotePrefix="0" xfId="0">
      <alignment horizontal="center" vertical="center"/>
    </xf>
    <xf numFmtId="0" fontId="18" fillId="11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166" fontId="9" fillId="4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7" fontId="9" fillId="4" borderId="0" applyAlignment="1" pivotButton="0" quotePrefix="0" xfId="0">
      <alignment horizontal="right" vertical="center"/>
    </xf>
    <xf numFmtId="0" fontId="3" fillId="3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165" fontId="7" fillId="5" borderId="0" applyAlignment="1" pivotButton="0" quotePrefix="0" xfId="0">
      <alignment horizontal="right" vertical="center"/>
    </xf>
    <xf numFmtId="167" fontId="4" fillId="0" borderId="0" pivotButton="0" quotePrefix="0" xfId="0"/>
    <xf numFmtId="0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right" vertical="center"/>
    </xf>
    <xf numFmtId="166" fontId="6" fillId="4" borderId="0" applyAlignment="1" pivotButton="0" quotePrefix="0" xfId="0">
      <alignment horizontal="right" vertical="center"/>
    </xf>
    <xf numFmtId="168" fontId="6" fillId="0" borderId="0" applyAlignment="1" pivotButton="0" quotePrefix="0" xfId="0">
      <alignment horizontal="right" vertical="center"/>
    </xf>
    <xf numFmtId="164" fontId="7" fillId="5" borderId="0" applyAlignment="1" pivotButton="0" quotePrefix="0" xfId="0">
      <alignment horizontal="right" vertical="center"/>
    </xf>
    <xf numFmtId="166" fontId="7" fillId="5" borderId="0" applyAlignment="1" pivotButton="0" quotePrefix="0" xfId="0">
      <alignment horizontal="right" vertical="center"/>
    </xf>
    <xf numFmtId="167" fontId="7" fillId="5" borderId="0" applyAlignment="1" pivotButton="0" quotePrefix="0" xfId="0">
      <alignment horizontal="right" vertical="center"/>
    </xf>
    <xf numFmtId="0" fontId="7" fillId="5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8" fillId="3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167" fontId="12" fillId="6" borderId="0" applyAlignment="1" pivotButton="0" quotePrefix="0" xfId="0">
      <alignment horizontal="right" vertical="center"/>
    </xf>
    <xf numFmtId="166" fontId="12" fillId="6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6" fillId="0" borderId="0" pivotButton="0" quotePrefix="0" xfId="0"/>
    <xf numFmtId="0" fontId="9" fillId="0" borderId="0" pivotButton="0" quotePrefix="0" xfId="0"/>
    <xf numFmtId="0" fontId="10" fillId="5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7" fontId="9" fillId="0" borderId="0" applyAlignment="1" pivotButton="0" quotePrefix="0" xfId="0">
      <alignment horizontal="right" vertical="center"/>
    </xf>
    <xf numFmtId="0" fontId="0" fillId="4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CAAP by SKU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'Dashboard'!$A$17:$A$19</f>
            </numRef>
          </cat>
          <val>
            <numRef>
              <f>'Dashboard'!$G$17:$G$19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P&amp;L bridge — per case</a:t>
            </a:r>
          </a:p>
        </rich>
      </tx>
    </title>
    <plotArea>
      <barChart>
        <barDir val="col"/>
        <grouping val="stacked"/>
        <ser>
          <idx val="0"/>
          <order val="0"/>
          <spPr>
            <a:noFill/>
            <a:ln>
              <a:prstDash val="solid"/>
            </a:ln>
          </spPr>
          <cat>
            <numRef>
              <f>'Business Case'!$H$5:$H$9</f>
            </numRef>
          </cat>
          <val>
            <numRef>
              <f>'Business Case'!$I$5:$I$9</f>
            </numRef>
          </val>
        </ser>
        <ser>
          <idx val="1"/>
          <order val="1"/>
          <spPr>
            <a:solidFill>
              <a:srgbClr val="F4B183"/>
            </a:solidFill>
            <a:ln>
              <a:prstDash val="solid"/>
            </a:ln>
          </spPr>
          <cat>
            <numRef>
              <f>'Business Case'!$H$5:$H$9</f>
            </numRef>
          </cat>
          <val>
            <numRef>
              <f>'Business Case'!$J$5:$J$9</f>
            </numRef>
          </val>
        </ser>
        <ser>
          <idx val="2"/>
          <order val="2"/>
          <spPr>
            <a:solidFill>
              <a:srgbClr val="4472C4"/>
            </a:solidFill>
            <a:ln>
              <a:prstDash val="solid"/>
            </a:ln>
          </spPr>
          <cat>
            <numRef>
              <f>'Business Case'!$H$5:$H$9</f>
            </numRef>
          </cat>
          <val>
            <numRef>
              <f>'Business Case'!$K$5:$K$9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GP % by channel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'Dashboard'!$A$24:$A$34</f>
            </numRef>
          </cat>
          <val>
            <numRef>
              <f>'Dashboard'!$E$24:$E$34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Volume (cases) by channel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'Dashboard'!$A$24:$A$34</f>
            </numRef>
          </cat>
          <val>
            <numRef>
              <f>'Dashboard'!$B$24:$B$34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Model</author>
  </authors>
  <commentList>
    <comment ref="M9" authorId="0" shapeId="0">
      <text>
        <t>Sum of the 3 SKU tabs</t>
      </text>
    </comment>
  </commentList>
</comments>
</file>

<file path=xl/comments/comment2.xml><?xml version="1.0" encoding="utf-8"?>
<comments xmlns="http://schemas.openxmlformats.org/spreadsheetml/2006/main">
  <authors>
    <author>Model</author>
  </authors>
  <commentList>
    <comment ref="M9" authorId="0" shapeId="0">
      <text>
        <t>= Assumptions total cases × channel mix% (edit on Assumptions)</t>
      </text>
    </comment>
  </commentList>
</comments>
</file>

<file path=xl/comments/comment3.xml><?xml version="1.0" encoding="utf-8"?>
<comments xmlns="http://schemas.openxmlformats.org/spreadsheetml/2006/main">
  <authors>
    <author>Model</author>
  </authors>
  <commentList>
    <comment ref="M9" authorId="0" shapeId="0">
      <text>
        <t>= Assumptions total cases × channel mix% (edit on Assumptions)</t>
      </text>
    </comment>
  </commentList>
</comments>
</file>

<file path=xl/comments/comment4.xml><?xml version="1.0" encoding="utf-8"?>
<comments xmlns="http://schemas.openxmlformats.org/spreadsheetml/2006/main">
  <authors>
    <author>Model</author>
  </authors>
  <commentList>
    <comment ref="M9" authorId="0" shapeId="0">
      <text>
        <t>= Assumptions total cases × channel mix% (edit on Assumptions)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52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36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53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tabColor rgb="FF0A2540"/>
    <outlinePr summaryBelow="1" summaryRight="1"/>
    <pageSetUpPr fitToPage="1"/>
  </sheetPr>
  <dimension ref="A1:H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4" customHeight="1">
      <c r="A1" s="1" t="inlineStr">
        <is>
          <t>Organika RTD — Sparkling Electrolytes</t>
        </is>
      </c>
    </row>
    <row r="2" ht="24" customHeight="1"/>
    <row r="3" ht="24" customHeight="1"/>
    <row r="4">
      <c r="A4" s="2" t="inlineStr">
        <is>
          <t xml:space="preserve">   Launch business case  ·  Aug 1 – Nov 1, 2026  ·  CDN $  ·  v1.1</t>
        </is>
      </c>
    </row>
    <row r="6" ht="22" customHeight="1">
      <c r="A6" s="3" t="inlineStr">
        <is>
          <t>Everything updates automatically. You only do three things 👇</t>
        </is>
      </c>
    </row>
    <row r="8" ht="20" customHeight="1">
      <c r="A8" s="4" t="inlineStr">
        <is>
          <t>1</t>
        </is>
      </c>
      <c r="B8" s="5" t="inlineStr">
        <is>
          <t>Set your price</t>
        </is>
      </c>
    </row>
    <row r="9" ht="30" customHeight="1">
      <c r="B9" s="6" t="inlineStr">
        <is>
          <t>On the Assumptions tab, type one Master price (top-right) — every channel uses it. Want different prices per channel? Just type over any channel cell.</t>
        </is>
      </c>
    </row>
    <row r="11" ht="20" customHeight="1">
      <c r="A11" s="7" t="inlineStr">
        <is>
          <t>2</t>
        </is>
      </c>
      <c r="B11" s="5" t="inlineStr">
        <is>
          <t>Set your channel mix</t>
        </is>
      </c>
    </row>
    <row r="12" ht="30" customHeight="1">
      <c r="B12" s="6" t="inlineStr">
        <is>
          <t>On Assumptions, enter the % of cases each channel sells. The green check confirms it totals 100%.</t>
        </is>
      </c>
    </row>
    <row r="14" ht="20" customHeight="1">
      <c r="A14" s="8" t="inlineStr">
        <is>
          <t>3</t>
        </is>
      </c>
      <c r="B14" s="5" t="inlineStr">
        <is>
          <t>Read the answer</t>
        </is>
      </c>
    </row>
    <row r="15" ht="30" customHeight="1">
      <c r="B15" s="6" t="inlineStr">
        <is>
          <t>Open Executive Summary: your margin, a clear go / no-go verdict, the price you'd need to hit target, and best / base / worst.</t>
        </is>
      </c>
    </row>
    <row r="17" ht="18" customHeight="1">
      <c r="A17" s="9" t="inlineStr">
        <is>
          <t xml:space="preserve">  WHAT'S INSIDE</t>
        </is>
      </c>
    </row>
    <row r="18">
      <c r="B18" s="10" t="inlineStr">
        <is>
          <t>📋 Executive Summary  —  the one-screen answer — margin, verdict, scenarios</t>
        </is>
      </c>
    </row>
    <row r="19">
      <c r="B19" s="10" t="inlineStr">
        <is>
          <t>💰 Business Case  —  break-even, ROI, payback, inventory, cannibalization, waterfall</t>
        </is>
      </c>
    </row>
    <row r="20">
      <c r="B20" s="10" t="inlineStr">
        <is>
          <t>🎛️  Assumptions  —  the only place you type — price, mix, targets</t>
        </is>
      </c>
    </row>
    <row r="21">
      <c r="B21" s="10" t="inlineStr">
        <is>
          <t>📊 Dashboard  —  P&amp;L with by-channel / by-SKU tables and charts</t>
        </is>
      </c>
    </row>
    <row r="22">
      <c r="B22" s="10" t="inlineStr">
        <is>
          <t>🧪 Scenarios  —  trial any CP × MSRP; sensitivity heatmaps</t>
        </is>
      </c>
    </row>
    <row r="23">
      <c r="B23" s="10" t="inlineStr">
        <is>
          <t>⚖️  Blended  —  volume-weighted P&amp;L across all channels</t>
        </is>
      </c>
    </row>
    <row r="24">
      <c r="B24" s="10" t="inlineStr">
        <is>
          <t>📑 TTL + 3 flavour tabs  —  the detailed per-SKU P&amp;Ls</t>
        </is>
      </c>
    </row>
    <row r="25">
      <c r="B25" s="10" t="inlineStr">
        <is>
          <t>🏭 Cost Build-up  —  bottom-up cost from the Bevmax quote</t>
        </is>
      </c>
    </row>
    <row r="27" ht="18" customHeight="1">
      <c r="A27" s="9" t="inlineStr">
        <is>
          <t xml:space="preserve">  THE NUMBERS BEHIND IT</t>
        </is>
      </c>
    </row>
    <row r="28">
      <c r="B28" s="10" t="inlineStr">
        <is>
          <t>1 case = 24 cans = 6 × 4-pack (355 ml).  Production run 40,500 cans (13,500 / flavour).</t>
        </is>
      </c>
    </row>
    <row r="29">
      <c r="B29" s="10" t="inlineStr">
        <is>
          <t>Bevmax landed cost $1.21 / can = $29.10 / case.  Fully-loaded COGS $32.12 / case.</t>
        </is>
      </c>
    </row>
    <row r="30">
      <c r="B30" s="10" t="inlineStr">
        <is>
          <t>Run = 1,687.5 cases vs sell-in plan 1,500 → ~188 cases surplus inventory.</t>
        </is>
      </c>
    </row>
    <row r="31">
      <c r="B31" s="10" t="inlineStr">
        <is>
          <t>Source: Bevmax quote OG2026-05-21 v15 · FOB Airdrie AB, excl. GST · elliott.zhong@organika.com</t>
        </is>
      </c>
    </row>
  </sheetData>
  <mergeCells count="26">
    <mergeCell ref="B9:H9"/>
    <mergeCell ref="B24:H24"/>
    <mergeCell ref="B30:H30"/>
    <mergeCell ref="B15:H15"/>
    <mergeCell ref="B20:H20"/>
    <mergeCell ref="A1:H3"/>
    <mergeCell ref="A6:H6"/>
    <mergeCell ref="C11:H11"/>
    <mergeCell ref="C8:H8"/>
    <mergeCell ref="B25:H25"/>
    <mergeCell ref="A27:H27"/>
    <mergeCell ref="A14:A15"/>
    <mergeCell ref="B31:H31"/>
    <mergeCell ref="B22:H22"/>
    <mergeCell ref="A8:A9"/>
    <mergeCell ref="B18:H18"/>
    <mergeCell ref="B21:H21"/>
    <mergeCell ref="B12:H12"/>
    <mergeCell ref="B23:H23"/>
    <mergeCell ref="A17:H17"/>
    <mergeCell ref="A4:H4"/>
    <mergeCell ref="C14:H14"/>
    <mergeCell ref="B29:H29"/>
    <mergeCell ref="B19:H19"/>
    <mergeCell ref="A11:A12"/>
    <mergeCell ref="B28:H28"/>
  </mergeCells>
  <printOptions horizontalCentered="1"/>
  <pageMargins left="0.75" right="0.75" top="1" bottom="1" header="0.5" footer="0.5"/>
  <pageSetup orientation="landscape" fitToHeight="0" fitToWidth="1"/>
  <headerFooter>
    <oddHeader/>
    <oddFooter>&amp;C&amp;8 &amp;F  |  &amp;A  | 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G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7.75" customHeight="1">
      <c r="A1" s="11" t="inlineStr">
        <is>
          <t>ORGANIKA RTD — EXECUTIVE SUMMARY</t>
        </is>
      </c>
    </row>
    <row r="2">
      <c r="A2" s="12" t="inlineStr">
        <is>
          <t>CDN $ | Aug 1 – Nov 1, 2026 | 3 SKUs × 11 channels | blended = volume-weighted</t>
        </is>
      </c>
    </row>
    <row r="4">
      <c r="A4" s="13" t="inlineStr">
        <is>
          <t>RECOMMENDATION</t>
        </is>
      </c>
    </row>
    <row r="5" ht="22" customHeight="1">
      <c r="A5" s="14">
        <f>IF('TTL ORGANIKA RTD'!M17&gt;=Assumptions!C10,"✅ PASS — blended GP% "&amp;TEXT('TTL ORGANIKA RTD'!M17,"0.0%")&amp;" meets the "&amp;TEXT(Assumptions!C10,"0%")&amp;" target",IF('TTL ORGANIKA RTD'!M17&gt;=Assumptions!C9,"🟡 OK — GP% "&amp;TEXT('TTL ORGANIKA RTD'!M17,"0.0%")&amp;" clears the "&amp;TEXT(Assumptions!C9,"0%")&amp;" minimum (under target)","❌ BELOW MIN — GP% "&amp;TEXT('TTL ORGANIKA RTD'!M17,"0.0%")&amp;" under "&amp;TEXT(Assumptions!C9,"0%")))</f>
        <v/>
      </c>
    </row>
    <row r="7">
      <c r="A7" s="13" t="inlineStr">
        <is>
          <t>PERIOD TOTALS</t>
        </is>
      </c>
      <c r="D7" s="13" t="inlineStr">
        <is>
          <t>BLENDED — PER CASE</t>
        </is>
      </c>
    </row>
    <row r="8">
      <c r="A8" s="15" t="inlineStr">
        <is>
          <t>Physical cases</t>
        </is>
      </c>
      <c r="B8" s="16">
        <f>'TTL ORGANIKA RTD'!M9</f>
        <v/>
      </c>
      <c r="D8" s="15" t="inlineStr">
        <is>
          <t>Net sales / case</t>
        </is>
      </c>
      <c r="E8" s="17">
        <f>'TTL ORGANIKA RTD'!M28</f>
        <v/>
      </c>
    </row>
    <row r="9">
      <c r="A9" s="15" t="inlineStr">
        <is>
          <t>Gross revenue</t>
        </is>
      </c>
      <c r="B9" s="18">
        <f>'TTL ORGANIKA RTD'!M10</f>
        <v/>
      </c>
      <c r="D9" s="15" t="inlineStr">
        <is>
          <t>COGS / case</t>
        </is>
      </c>
      <c r="E9" s="17">
        <f>'TTL ORGANIKA RTD'!M31</f>
        <v/>
      </c>
    </row>
    <row r="10">
      <c r="A10" s="15" t="inlineStr">
        <is>
          <t>Net sales</t>
        </is>
      </c>
      <c r="B10" s="18">
        <f>'TTL ORGANIKA RTD'!M12</f>
        <v/>
      </c>
      <c r="D10" s="15" t="inlineStr">
        <is>
          <t>Gross profit / case</t>
        </is>
      </c>
      <c r="E10" s="17">
        <f>'TTL ORGANIKA RTD'!M32</f>
        <v/>
      </c>
    </row>
    <row r="11">
      <c r="A11" s="15" t="inlineStr">
        <is>
          <t>Cost of sales</t>
        </is>
      </c>
      <c r="B11" s="18">
        <f>'TTL ORGANIKA RTD'!M15</f>
        <v/>
      </c>
      <c r="D11" s="19" t="inlineStr">
        <is>
          <t>Blended GP %</t>
        </is>
      </c>
      <c r="E11" s="20">
        <f>'TTL ORGANIKA RTD'!M33</f>
        <v/>
      </c>
    </row>
    <row r="12">
      <c r="A12" s="15" t="inlineStr">
        <is>
          <t>Gross profit</t>
        </is>
      </c>
      <c r="B12" s="18">
        <f>'TTL ORGANIKA RTD'!M16</f>
        <v/>
      </c>
      <c r="D12" s="15" t="inlineStr">
        <is>
          <t>A&amp;P / case</t>
        </is>
      </c>
      <c r="E12" s="17">
        <f>'TTL ORGANIKA RTD'!M34</f>
        <v/>
      </c>
    </row>
    <row r="13">
      <c r="A13" s="19" t="inlineStr">
        <is>
          <t>Blended GP %</t>
        </is>
      </c>
      <c r="B13" s="20">
        <f>'TTL ORGANIKA RTD'!M17</f>
        <v/>
      </c>
      <c r="D13" s="15" t="inlineStr">
        <is>
          <t>CAAP / case</t>
        </is>
      </c>
      <c r="E13" s="17">
        <f>'TTL ORGANIKA RTD'!M35</f>
        <v/>
      </c>
    </row>
    <row r="14">
      <c r="A14" s="15" t="inlineStr">
        <is>
          <t>A&amp;P</t>
        </is>
      </c>
      <c r="B14" s="18">
        <f>'TTL ORGANIKA RTD'!M22</f>
        <v/>
      </c>
    </row>
    <row r="15">
      <c r="A15" s="15" t="inlineStr">
        <is>
          <t>CAAP</t>
        </is>
      </c>
      <c r="B15" s="18">
        <f>'TTL ORGANIKA RTD'!M24</f>
        <v/>
      </c>
    </row>
    <row r="17">
      <c r="A17" s="13" t="inlineStr">
        <is>
          <t>MARGIN GATE  &amp;  PRICE-TO-HIT-MARGIN</t>
        </is>
      </c>
    </row>
    <row r="18">
      <c r="A18" s="15" t="inlineStr">
        <is>
          <t>Minimum GM%</t>
        </is>
      </c>
      <c r="B18" s="21">
        <f>Assumptions!C9</f>
        <v/>
      </c>
      <c r="D18" s="15" t="inlineStr">
        <is>
          <t>CP /case to hit min GM%</t>
        </is>
      </c>
      <c r="E18" s="17">
        <f>'Cost Build-up'!$D$46/(1-Assumptions!C9)</f>
        <v/>
      </c>
    </row>
    <row r="19">
      <c r="A19" s="15" t="inlineStr">
        <is>
          <t>Target GM%</t>
        </is>
      </c>
      <c r="B19" s="21">
        <f>Assumptions!C10</f>
        <v/>
      </c>
      <c r="D19" s="15" t="inlineStr">
        <is>
          <t>CP /case to hit target GM%</t>
        </is>
      </c>
      <c r="E19" s="17">
        <f>'Cost Build-up'!$D$46/(1-Assumptions!C10)</f>
        <v/>
      </c>
    </row>
    <row r="20">
      <c r="A20" s="19" t="inlineStr">
        <is>
          <t>Blended GP% (live)</t>
        </is>
      </c>
      <c r="B20" s="20">
        <f>'TTL ORGANIKA RTD'!M17</f>
        <v/>
      </c>
      <c r="D20" s="19" t="inlineStr">
        <is>
          <t>COGS /case (fully loaded)</t>
        </is>
      </c>
      <c r="E20" s="22">
        <f>'Cost Build-up'!$D$46</f>
        <v/>
      </c>
    </row>
    <row r="22">
      <c r="A22" s="13" t="inlineStr">
        <is>
          <t>PRICE SCENARIOS  (from Scenarios tab)</t>
        </is>
      </c>
    </row>
    <row r="23">
      <c r="A23" s="23" t="inlineStr">
        <is>
          <t>Scenario</t>
        </is>
      </c>
      <c r="B23" s="24" t="inlineStr">
        <is>
          <t>Conservative</t>
        </is>
      </c>
      <c r="C23" s="24" t="inlineStr">
        <is>
          <t>Base</t>
        </is>
      </c>
      <c r="D23" s="24" t="inlineStr">
        <is>
          <t>Stretch</t>
        </is>
      </c>
    </row>
    <row r="24">
      <c r="A24" s="15" t="inlineStr">
        <is>
          <t>Organika GP %</t>
        </is>
      </c>
      <c r="B24" s="21">
        <f>Scenarios!B14</f>
        <v/>
      </c>
      <c r="C24" s="21">
        <f>Scenarios!C14</f>
        <v/>
      </c>
      <c r="D24" s="21">
        <f>Scenarios!D14</f>
        <v/>
      </c>
    </row>
    <row r="25">
      <c r="A25" s="15" t="inlineStr">
        <is>
          <t>GP $/case</t>
        </is>
      </c>
      <c r="B25" s="17">
        <f>Scenarios!B13</f>
        <v/>
      </c>
      <c r="C25" s="17">
        <f>Scenarios!C13</f>
        <v/>
      </c>
      <c r="D25" s="17">
        <f>Scenarios!D13</f>
        <v/>
      </c>
    </row>
    <row r="26">
      <c r="A26" s="15" t="inlineStr">
        <is>
          <t>Retailer margin %</t>
        </is>
      </c>
      <c r="B26" s="21">
        <f>Scenarios!B15</f>
        <v/>
      </c>
      <c r="C26" s="21">
        <f>Scenarios!C15</f>
        <v/>
      </c>
      <c r="D26" s="21">
        <f>Scenarios!D15</f>
        <v/>
      </c>
    </row>
  </sheetData>
  <mergeCells count="8">
    <mergeCell ref="A1:G1"/>
    <mergeCell ref="D7:E7"/>
    <mergeCell ref="A7:B7"/>
    <mergeCell ref="A17:G17"/>
    <mergeCell ref="A22:G22"/>
    <mergeCell ref="A4:G4"/>
    <mergeCell ref="A2:G2"/>
    <mergeCell ref="A5:G5"/>
  </mergeCells>
  <conditionalFormatting sqref="A5">
    <cfRule type="expression" priority="1" dxfId="0">
      <formula>ISNUMBER(SEARCH("PASS",A5))</formula>
    </cfRule>
    <cfRule type="expression" priority="2" dxfId="1">
      <formula>ISNUMBER(SEARCH("OK",A5))</formula>
    </cfRule>
    <cfRule type="expression" priority="3" dxfId="2">
      <formula>ISNUMBER(SEARCH("BELOW",A5))</formula>
    </cfRule>
  </conditionalFormatting>
  <conditionalFormatting sqref="B8:E26">
    <cfRule type="cellIs" priority="1" operator="lessThan" dxfId="2">
      <formula>0</formula>
    </cfRule>
  </conditionalFormatting>
  <printOptions horizontalCentered="1"/>
  <pageMargins left="0.75" right="0.75" top="1" bottom="1" header="0.5" footer="0.5"/>
  <pageSetup orientation="landscape" fitToHeight="0" fitToWidth="1"/>
  <headerFooter>
    <oddHeader/>
    <oddFooter>&amp;C&amp;8 &amp;F  |  &amp;A  | 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ED7D31"/>
    <outlinePr summaryBelow="1" summaryRight="1"/>
    <pageSetUpPr fitToPage="1"/>
  </sheetPr>
  <dimension ref="A1:K5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9" customWidth="1" min="5" max="5"/>
    <col width="10" customWidth="1" min="6" max="6"/>
    <col width="10" customWidth="1" min="7" max="7"/>
    <col width="13" customWidth="1" min="8" max="8"/>
    <col width="9" customWidth="1" min="9" max="9"/>
    <col width="9" customWidth="1" min="10" max="10"/>
    <col width="9" customWidth="1" min="11" max="11"/>
  </cols>
  <sheetData>
    <row r="1" ht="27.75" customHeight="1">
      <c r="A1" s="11" t="inlineStr">
        <is>
          <t>ORGANIKA RTD — BUSINESS CASE (break-even, ROI, risk)</t>
        </is>
      </c>
    </row>
    <row r="2">
      <c r="A2" s="12" t="inlineStr">
        <is>
          <t>CDN $ | Aug 1 – Nov 1, 2026 | pulls from TTL + Cost Build-up | 🟡 edit yellow</t>
        </is>
      </c>
    </row>
    <row r="4">
      <c r="A4" s="13" t="inlineStr">
        <is>
          <t>DISCRETIONARY LAUNCH SPEND  (not already in COGS)</t>
        </is>
      </c>
      <c r="H4" s="25" t="inlineStr">
        <is>
          <t>P&amp;L bridge / case</t>
        </is>
      </c>
    </row>
    <row r="5">
      <c r="A5" s="15" t="inlineStr">
        <is>
          <t>Slotting / listing fees</t>
        </is>
      </c>
      <c r="B5" s="26" t="n">
        <v>10000</v>
      </c>
      <c r="H5" s="25" t="inlineStr">
        <is>
          <t>Gross Rev</t>
        </is>
      </c>
      <c r="I5" s="27" t="n">
        <v>0</v>
      </c>
      <c r="J5" s="27" t="n">
        <v>0</v>
      </c>
      <c r="K5" s="27">
        <f>'TTL ORGANIKA RTD'!M26</f>
        <v/>
      </c>
    </row>
    <row r="6">
      <c r="A6" s="15" t="inlineStr">
        <is>
          <t>Fixed launch marketing (beyond A&amp;P %)</t>
        </is>
      </c>
      <c r="B6" s="26" t="n">
        <v>15000</v>
      </c>
      <c r="H6" s="25" t="inlineStr">
        <is>
          <t>Discounts</t>
        </is>
      </c>
      <c r="I6" s="27">
        <f>'TTL ORGANIKA RTD'!M28</f>
        <v/>
      </c>
      <c r="J6" s="27">
        <f>'TTL ORGANIKA RTD'!M27</f>
        <v/>
      </c>
      <c r="K6" s="27" t="n">
        <v>0</v>
      </c>
    </row>
    <row r="7">
      <c r="A7" s="15" t="inlineStr">
        <is>
          <t>Other one-time (not in COGS)</t>
        </is>
      </c>
      <c r="B7" s="26" t="n">
        <v>0</v>
      </c>
      <c r="H7" s="25" t="inlineStr">
        <is>
          <t>COGS</t>
        </is>
      </c>
      <c r="I7" s="27">
        <f>'TTL ORGANIKA RTD'!M32</f>
        <v/>
      </c>
      <c r="J7" s="27">
        <f>'TTL ORGANIKA RTD'!M31</f>
        <v/>
      </c>
      <c r="K7" s="27" t="n">
        <v>0</v>
      </c>
    </row>
    <row r="8">
      <c r="A8" s="28" t="inlineStr">
        <is>
          <t>Total launch spend</t>
        </is>
      </c>
      <c r="B8" s="29">
        <f>SUM(B5:B7)</f>
        <v/>
      </c>
      <c r="H8" s="25" t="inlineStr">
        <is>
          <t>A&amp;P</t>
        </is>
      </c>
      <c r="I8" s="27">
        <f>'TTL ORGANIKA RTD'!M35</f>
        <v/>
      </c>
      <c r="J8" s="27">
        <f>'TTL ORGANIKA RTD'!M34</f>
        <v/>
      </c>
      <c r="K8" s="27" t="n">
        <v>0</v>
      </c>
    </row>
    <row r="9">
      <c r="C9" s="30" t="inlineStr">
        <is>
          <t>Bevmax setup &amp; allergen are already inside COGS — not added here.</t>
        </is>
      </c>
      <c r="H9" s="25" t="inlineStr">
        <is>
          <t>CAAP</t>
        </is>
      </c>
      <c r="I9" s="27" t="n">
        <v>0</v>
      </c>
      <c r="J9" s="27" t="n">
        <v>0</v>
      </c>
      <c r="K9" s="27">
        <f>'TTL ORGANIKA RTD'!M35</f>
        <v/>
      </c>
    </row>
    <row r="11">
      <c r="A11" s="13" t="inlineStr">
        <is>
          <t>BREAK-EVEN · ROI · PAYBACK</t>
        </is>
      </c>
    </row>
    <row r="12">
      <c r="A12" s="15" t="inlineStr">
        <is>
          <t>Blended CAAP / case (contribution)</t>
        </is>
      </c>
      <c r="B12" s="17">
        <f>'TTL ORGANIKA RTD'!M35</f>
        <v/>
      </c>
    </row>
    <row r="13">
      <c r="A13" s="15" t="inlineStr">
        <is>
          <t>Break-even cases (cover launch spend)</t>
        </is>
      </c>
      <c r="B13" s="31">
        <f>IFERROR(B8/B12,"-")</f>
        <v/>
      </c>
    </row>
    <row r="14">
      <c r="A14" s="15" t="inlineStr">
        <is>
          <t>Plan cases (period)</t>
        </is>
      </c>
      <c r="B14" s="16">
        <f>'TTL ORGANIKA RTD'!M9</f>
        <v/>
      </c>
    </row>
    <row r="15">
      <c r="A15" s="15" t="inlineStr">
        <is>
          <t>Margin of safety (cases)</t>
        </is>
      </c>
      <c r="B15" s="16">
        <f>B14-B13</f>
        <v/>
      </c>
    </row>
    <row r="16">
      <c r="A16" s="15" t="inlineStr">
        <is>
          <t>Margin of safety (%)</t>
        </is>
      </c>
      <c r="B16" s="32">
        <f>IFERROR(B15/B14,"-")</f>
        <v/>
      </c>
    </row>
    <row r="17">
      <c r="A17" s="15" t="inlineStr">
        <is>
          <t>Total CAAP (period)</t>
        </is>
      </c>
      <c r="B17" s="18">
        <f>'TTL ORGANIKA RTD'!M24</f>
        <v/>
      </c>
    </row>
    <row r="18">
      <c r="A18" s="28" t="inlineStr">
        <is>
          <t>Launch profit (CAAP − launch spend)</t>
        </is>
      </c>
      <c r="B18" s="29">
        <f>B17-B8</f>
        <v/>
      </c>
    </row>
    <row r="19">
      <c r="A19" s="15" t="inlineStr">
        <is>
          <t>ROI on launch spend</t>
        </is>
      </c>
      <c r="B19" s="32">
        <f>IFERROR(B18/B8,"-")</f>
        <v/>
      </c>
    </row>
    <row r="21">
      <c r="A21" s="13" t="inlineStr">
        <is>
          <t>PRODUCTION RUN &amp; INVENTORY (sell-through)</t>
        </is>
      </c>
    </row>
    <row r="22">
      <c r="A22" s="15" t="inlineStr">
        <is>
          <t>Run cost — cash to produce</t>
        </is>
      </c>
      <c r="B22" s="18">
        <f>'Cost Build-up'!D26</f>
        <v/>
      </c>
      <c r="C22" s="30" t="inlineStr">
        <is>
          <t>Bevmax run subtotal</t>
        </is>
      </c>
    </row>
    <row r="23">
      <c r="A23" s="15" t="inlineStr">
        <is>
          <t>Deposit required (50%, 4 wks pre-prod)</t>
        </is>
      </c>
      <c r="B23" s="26" t="n">
        <v>24552.87</v>
      </c>
    </row>
    <row r="24">
      <c r="A24" s="15" t="inlineStr">
        <is>
          <t>Cans produced</t>
        </is>
      </c>
      <c r="B24" s="16">
        <f>'Cost Build-up'!D6</f>
        <v/>
      </c>
    </row>
    <row r="25">
      <c r="A25" s="15" t="inlineStr">
        <is>
          <t>Cases produced</t>
        </is>
      </c>
      <c r="B25" s="33">
        <f>'Cost Build-up'!D11</f>
        <v/>
      </c>
    </row>
    <row r="26">
      <c r="A26" s="15" t="inlineStr">
        <is>
          <t>Cases sold (plan)</t>
        </is>
      </c>
      <c r="B26" s="16">
        <f>'TTL ORGANIKA RTD'!M9</f>
        <v/>
      </c>
    </row>
    <row r="27">
      <c r="A27" s="15" t="inlineStr">
        <is>
          <t>Sell-through %</t>
        </is>
      </c>
      <c r="B27" s="32">
        <f>IFERROR(B26/B25,"-")</f>
        <v/>
      </c>
    </row>
    <row r="28">
      <c r="A28" s="15" t="inlineStr">
        <is>
          <t>Ending inventory (cases)</t>
        </is>
      </c>
      <c r="B28" s="33">
        <f>B25-B26</f>
        <v/>
      </c>
      <c r="E28" s="15" t="inlineStr">
        <is>
          <t>Months stored</t>
        </is>
      </c>
      <c r="F28" s="34" t="n">
        <v>6</v>
      </c>
    </row>
    <row r="29">
      <c r="A29" s="15" t="inlineStr">
        <is>
          <t>Ending inventory value @ COGS</t>
        </is>
      </c>
      <c r="B29" s="18">
        <f>B28*'Cost Build-up'!$D$46</f>
        <v/>
      </c>
      <c r="E29" s="15" t="inlineStr">
        <is>
          <t>Free months</t>
        </is>
      </c>
      <c r="F29" s="34" t="n">
        <v>3</v>
      </c>
    </row>
    <row r="30">
      <c r="A30" s="15" t="inlineStr">
        <is>
          <t>Est. surplus warehousing cost</t>
        </is>
      </c>
      <c r="B30" s="18">
        <f>MAX(0,(F28-F29))*ROUNDUP(B28/F30,0)*F31</f>
        <v/>
      </c>
      <c r="E30" s="15" t="inlineStr">
        <is>
          <t>Cases / pallet</t>
        </is>
      </c>
      <c r="F30" s="34" t="n">
        <v>60</v>
      </c>
    </row>
    <row r="31">
      <c r="E31" s="15" t="inlineStr">
        <is>
          <t>Warehousing $/pallet/mo</t>
        </is>
      </c>
      <c r="F31" s="26" t="n">
        <v>100</v>
      </c>
    </row>
    <row r="33">
      <c r="A33" s="13" t="inlineStr">
        <is>
          <t>CATEGORY BENCHMARK &amp; CANNIBALIZATION</t>
        </is>
      </c>
    </row>
    <row r="34">
      <c r="A34" s="15" t="inlineStr">
        <is>
          <t>Category average GM% (benchmark)</t>
        </is>
      </c>
      <c r="B34" s="35" t="n">
        <v>0.55</v>
      </c>
    </row>
    <row r="35">
      <c r="A35" s="15" t="inlineStr">
        <is>
          <t>Our blended GP%</t>
        </is>
      </c>
      <c r="B35" s="21">
        <f>'TTL ORGANIKA RTD'!M17</f>
        <v/>
      </c>
    </row>
    <row r="36">
      <c r="A36" s="15" t="inlineStr">
        <is>
          <t>vs category (pts)</t>
        </is>
      </c>
      <c r="B36" s="32">
        <f>B35-B34</f>
        <v/>
      </c>
    </row>
    <row r="37">
      <c r="A37" s="15" t="inlineStr">
        <is>
          <t>Cannibalization rate (% of our volume)</t>
        </is>
      </c>
      <c r="B37" s="35" t="n">
        <v>0.2</v>
      </c>
    </row>
    <row r="38">
      <c r="A38" s="15" t="inlineStr">
        <is>
          <t>Existing-SKU CAAP / case (lost)</t>
        </is>
      </c>
      <c r="B38" s="36" t="n">
        <v>20</v>
      </c>
    </row>
    <row r="39">
      <c r="A39" s="15" t="inlineStr">
        <is>
          <t>Cannibalized cases</t>
        </is>
      </c>
      <c r="B39" s="16">
        <f>B14*B37</f>
        <v/>
      </c>
    </row>
    <row r="40">
      <c r="A40" s="15" t="inlineStr">
        <is>
          <t>Lost CAAP (cannibalized)</t>
        </is>
      </c>
      <c r="B40" s="18">
        <f>B39*B38</f>
        <v/>
      </c>
    </row>
    <row r="41">
      <c r="A41" s="28" t="inlineStr">
        <is>
          <t>Net incremental CAAP (after cannib.)</t>
        </is>
      </c>
      <c r="B41" s="29">
        <f>B18-B40</f>
        <v/>
      </c>
    </row>
    <row r="43">
      <c r="A43" s="13" t="inlineStr">
        <is>
          <t>BEST / BASE / WORST CASE</t>
        </is>
      </c>
    </row>
    <row r="44">
      <c r="A44" s="23" t="inlineStr">
        <is>
          <t>Driver</t>
        </is>
      </c>
      <c r="B44" s="24" t="inlineStr">
        <is>
          <t>Worst</t>
        </is>
      </c>
      <c r="C44" s="24" t="inlineStr">
        <is>
          <t>Base</t>
        </is>
      </c>
      <c r="D44" s="24" t="inlineStr">
        <is>
          <t>Best</t>
        </is>
      </c>
    </row>
    <row r="45">
      <c r="A45" s="15" t="inlineStr">
        <is>
          <t>CP / case (wholesale)</t>
        </is>
      </c>
      <c r="B45" s="36" t="n">
        <v>60</v>
      </c>
      <c r="C45" s="36" t="n">
        <v>72</v>
      </c>
      <c r="D45" s="36" t="n">
        <v>84</v>
      </c>
      <c r="E45" s="15" t="inlineStr">
        <is>
          <t>Worst COGS +%</t>
        </is>
      </c>
      <c r="G45" s="35" t="n">
        <v>0.15</v>
      </c>
    </row>
    <row r="46">
      <c r="A46" s="15" t="inlineStr">
        <is>
          <t>COGS / case</t>
        </is>
      </c>
      <c r="B46" s="17">
        <f>'Cost Build-up'!$D$46*(1+G45)</f>
        <v/>
      </c>
      <c r="C46" s="17">
        <f>'Cost Build-up'!$D$46</f>
        <v/>
      </c>
      <c r="D46" s="17">
        <f>'Cost Build-up'!$D$46*(1-G46)</f>
        <v/>
      </c>
      <c r="E46" s="15" t="inlineStr">
        <is>
          <t>Best COGS −%</t>
        </is>
      </c>
      <c r="G46" s="35" t="n">
        <v>0.1</v>
      </c>
    </row>
    <row r="47">
      <c r="A47" s="15" t="inlineStr">
        <is>
          <t>A&amp;P % of net</t>
        </is>
      </c>
      <c r="B47" s="21">
        <f>'TTL ORGANIKA RTD'!M22/'TTL ORGANIKA RTD'!M12</f>
        <v/>
      </c>
      <c r="C47" s="21">
        <f>'TTL ORGANIKA RTD'!M22/'TTL ORGANIKA RTD'!M12</f>
        <v/>
      </c>
      <c r="D47" s="21">
        <f>'TTL ORGANIKA RTD'!M22/'TTL ORGANIKA RTD'!M12</f>
        <v/>
      </c>
      <c r="E47" s="15" t="inlineStr">
        <is>
          <t>Worst vol −%</t>
        </is>
      </c>
      <c r="G47" s="35" t="n">
        <v>0.25</v>
      </c>
    </row>
    <row r="48">
      <c r="A48" s="15" t="inlineStr">
        <is>
          <t>Volume (cases)</t>
        </is>
      </c>
      <c r="B48" s="16">
        <f>B14*(1-G47)</f>
        <v/>
      </c>
      <c r="C48" s="16">
        <f>B14</f>
        <v/>
      </c>
      <c r="D48" s="16">
        <f>B14*(1+G48)</f>
        <v/>
      </c>
      <c r="E48" s="15" t="inlineStr">
        <is>
          <t>Best vol +%</t>
        </is>
      </c>
      <c r="G48" s="35" t="n">
        <v>0.2</v>
      </c>
    </row>
    <row r="49">
      <c r="A49" s="15" t="inlineStr">
        <is>
          <t>CAAP / case</t>
        </is>
      </c>
      <c r="B49" s="17">
        <f>B45-B46-B45*B47</f>
        <v/>
      </c>
      <c r="C49" s="17">
        <f>C45-C46-C45*C47</f>
        <v/>
      </c>
      <c r="D49" s="17">
        <f>D45-D46-D45*D47</f>
        <v/>
      </c>
    </row>
    <row r="50">
      <c r="A50" s="28" t="inlineStr">
        <is>
          <t>Total CAAP</t>
        </is>
      </c>
      <c r="B50" s="29">
        <f>B49*B48</f>
        <v/>
      </c>
      <c r="C50" s="29">
        <f>C49*C48</f>
        <v/>
      </c>
      <c r="D50" s="29">
        <f>D49*D48</f>
        <v/>
      </c>
    </row>
    <row r="51">
      <c r="A51" s="15" t="inlineStr">
        <is>
          <t>GP %</t>
        </is>
      </c>
      <c r="B51" s="32">
        <f>IFERROR((B45-B46)/B45,"-")</f>
        <v/>
      </c>
      <c r="C51" s="32">
        <f>IFERROR((C45-C46)/C45,"-")</f>
        <v/>
      </c>
      <c r="D51" s="32">
        <f>IFERROR((D45-D46)/D45,"-")</f>
        <v/>
      </c>
    </row>
  </sheetData>
  <mergeCells count="7">
    <mergeCell ref="A1:G1"/>
    <mergeCell ref="A21:G21"/>
    <mergeCell ref="A4:G4"/>
    <mergeCell ref="A2:G2"/>
    <mergeCell ref="A43:G43"/>
    <mergeCell ref="A33:G33"/>
    <mergeCell ref="A11:G11"/>
  </mergeCells>
  <conditionalFormatting sqref="B36">
    <cfRule type="expression" priority="1" dxfId="0">
      <formula>B36&gt;=0</formula>
    </cfRule>
    <cfRule type="expression" priority="2" dxfId="2">
      <formula>B36&lt;0</formula>
    </cfRule>
  </conditionalFormatting>
  <printOptions horizontalCentered="1"/>
  <pageMargins left="0.75" right="0.75" top="1" bottom="1" header="0.5" footer="0.5"/>
  <pageSetup orientation="landscape" fitToHeight="0" fitToWidth="1"/>
  <headerFooter>
    <oddHeader/>
    <oddFooter>&amp;C&amp;8 &amp;F  |  &amp;A  | 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I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1" customWidth="1" min="4" max="4"/>
    <col width="11" customWidth="1" min="5" max="5"/>
    <col width="10" customWidth="1" min="6" max="6"/>
    <col width="12" customWidth="1" min="7" max="7"/>
    <col width="13" customWidth="1" min="8" max="8"/>
    <col width="14" customWidth="1" min="9" max="9"/>
  </cols>
  <sheetData>
    <row r="1" ht="27.75" customHeight="1">
      <c r="A1" s="11" t="inlineStr">
        <is>
          <t>ORGANIKA RTD — ASSUMPTIONS (control panel)</t>
        </is>
      </c>
    </row>
    <row r="2">
      <c r="A2" s="12" t="inlineStr">
        <is>
          <t>🟡 Type in yellow cells. Start with the Master price (top-right) — that's all you need. CDN $ per case (24 cans).</t>
        </is>
      </c>
    </row>
    <row r="4">
      <c r="A4" s="13" t="inlineStr">
        <is>
          <t>GLOBAL</t>
        </is>
      </c>
      <c r="E4" s="13" t="inlineStr">
        <is>
          <t>▶  QUICK START — one price for every channel</t>
        </is>
      </c>
    </row>
    <row r="5">
      <c r="A5" s="15" t="inlineStr">
        <is>
          <t>Period start</t>
        </is>
      </c>
      <c r="C5" s="37" t="inlineStr">
        <is>
          <t>Aug 1, 2026</t>
        </is>
      </c>
      <c r="E5" s="38" t="inlineStr">
        <is>
          <t>Master CP  ($/case)</t>
        </is>
      </c>
      <c r="G5" s="36" t="n">
        <v>72</v>
      </c>
    </row>
    <row r="6">
      <c r="A6" s="15" t="inlineStr">
        <is>
          <t>Period end</t>
        </is>
      </c>
      <c r="C6" s="37" t="inlineStr">
        <is>
          <t>Nov 1, 2026</t>
        </is>
      </c>
      <c r="E6" s="38" t="inlineStr">
        <is>
          <t>Master MSRP  ($/case)</t>
        </is>
      </c>
      <c r="G6" s="36" t="n">
        <v>108</v>
      </c>
    </row>
    <row r="7">
      <c r="A7" s="15" t="inlineStr">
        <is>
          <t>Cans per case</t>
        </is>
      </c>
      <c r="C7" s="34" t="n">
        <v>24</v>
      </c>
      <c r="E7" s="38" t="inlineStr">
        <is>
          <t>Master discount  (%)</t>
        </is>
      </c>
      <c r="G7" s="35" t="n">
        <v>0</v>
      </c>
    </row>
    <row r="8">
      <c r="A8" s="15" t="inlineStr">
        <is>
          <t>Four-packs per case</t>
        </is>
      </c>
      <c r="C8" s="34" t="n">
        <v>6</v>
      </c>
      <c r="E8" s="38" t="inlineStr">
        <is>
          <t>Master A&amp;P  (% of net)</t>
        </is>
      </c>
      <c r="G8" s="35" t="n">
        <v>0.08</v>
      </c>
    </row>
    <row r="9">
      <c r="A9" s="15" t="inlineStr">
        <is>
          <t>Minimum GM% (gate)</t>
        </is>
      </c>
      <c r="C9" s="35" t="n">
        <v>0.5</v>
      </c>
      <c r="E9" s="30" t="inlineStr">
        <is>
          <t>↳ Channels inherit these. Type over any single channel below to override it.</t>
        </is>
      </c>
    </row>
    <row r="10">
      <c r="A10" s="15" t="inlineStr">
        <is>
          <t>Target GM%</t>
        </is>
      </c>
      <c r="C10" s="35" t="n">
        <v>0.6</v>
      </c>
    </row>
    <row r="11">
      <c r="A11" s="15" t="inlineStr">
        <is>
          <t>A&amp;P split — Consumer %</t>
        </is>
      </c>
      <c r="C11" s="35" t="n">
        <v>0.5</v>
      </c>
      <c r="D11" s="39" t="inlineStr">
        <is>
          <t>sum →</t>
        </is>
      </c>
      <c r="E11" s="21">
        <f>C11+C12+C13</f>
        <v/>
      </c>
    </row>
    <row r="12">
      <c r="A12" s="15" t="inlineStr">
        <is>
          <t>A&amp;P split — Trade %</t>
        </is>
      </c>
      <c r="C12" s="35" t="n">
        <v>0.3</v>
      </c>
    </row>
    <row r="13">
      <c r="A13" s="15" t="inlineStr">
        <is>
          <t>A&amp;P split — Sales %</t>
        </is>
      </c>
      <c r="C13" s="35" t="n">
        <v>0.2</v>
      </c>
    </row>
    <row r="15">
      <c r="A15" s="13" t="inlineStr">
        <is>
          <t>VOLUME — total cases per flavour (whole period)</t>
        </is>
      </c>
    </row>
    <row r="16">
      <c r="A16" s="15" t="inlineStr">
        <is>
          <t>Lime Lemon</t>
        </is>
      </c>
      <c r="C16" s="34" t="n">
        <v>500</v>
      </c>
    </row>
    <row r="17">
      <c r="A17" s="15" t="inlineStr">
        <is>
          <t>Passion Fruit Pineapple</t>
        </is>
      </c>
      <c r="C17" s="34" t="n">
        <v>500</v>
      </c>
    </row>
    <row r="18">
      <c r="A18" s="15" t="inlineStr">
        <is>
          <t>Raspberry</t>
        </is>
      </c>
      <c r="C18" s="34" t="n">
        <v>500</v>
      </c>
    </row>
    <row r="19">
      <c r="A19" s="28" t="inlineStr">
        <is>
          <t>TOTAL cases</t>
        </is>
      </c>
      <c r="C19" s="31">
        <f>SUM(C16:C18)</f>
        <v/>
      </c>
    </row>
    <row r="21">
      <c r="A21" s="13" t="inlineStr">
        <is>
          <t>CHANNEL MIX  &amp;  (optional) per-channel price overrides</t>
        </is>
      </c>
    </row>
    <row r="22" ht="28" customHeight="1">
      <c r="A22" s="40" t="inlineStr">
        <is>
          <t>Channel</t>
        </is>
      </c>
      <c r="B22" s="41" t="inlineStr">
        <is>
          <t>CP $/case</t>
        </is>
      </c>
      <c r="C22" s="41" t="inlineStr">
        <is>
          <t>MSRP $/case</t>
        </is>
      </c>
      <c r="D22" s="41" t="inlineStr">
        <is>
          <t>Disc %</t>
        </is>
      </c>
      <c r="E22" s="41" t="inlineStr">
        <is>
          <t>A&amp;P % net</t>
        </is>
      </c>
      <c r="F22" s="41" t="inlineStr">
        <is>
          <t>Mix %  🟡</t>
        </is>
      </c>
      <c r="G22" s="41" t="inlineStr">
        <is>
          <t>CP /4-pack</t>
        </is>
      </c>
      <c r="H22" s="41" t="inlineStr">
        <is>
          <t>Cust margin %</t>
        </is>
      </c>
      <c r="I22" s="41" t="inlineStr">
        <is>
          <t>Cases (all SKUs)</t>
        </is>
      </c>
    </row>
    <row r="23">
      <c r="A23" s="15" t="inlineStr">
        <is>
          <t>Shopify</t>
        </is>
      </c>
      <c r="B23" s="42">
        <f>$G$5</f>
        <v/>
      </c>
      <c r="C23" s="42">
        <f>$G$6</f>
        <v/>
      </c>
      <c r="D23" s="43">
        <f>$G$7</f>
        <v/>
      </c>
      <c r="E23" s="43">
        <f>$G$8</f>
        <v/>
      </c>
      <c r="F23" s="35" t="n">
        <v>0.12</v>
      </c>
      <c r="G23" s="17">
        <f>B23/$C$8</f>
        <v/>
      </c>
      <c r="H23" s="21">
        <f>IFERROR((C23-B23)/C23,"-")</f>
        <v/>
      </c>
      <c r="I23" s="16">
        <f>F23*$C$19</f>
        <v/>
      </c>
    </row>
    <row r="24">
      <c r="A24" s="15" t="inlineStr">
        <is>
          <t>Amazon</t>
        </is>
      </c>
      <c r="B24" s="42">
        <f>$G$5</f>
        <v/>
      </c>
      <c r="C24" s="42">
        <f>$G$6</f>
        <v/>
      </c>
      <c r="D24" s="43">
        <f>$G$7</f>
        <v/>
      </c>
      <c r="E24" s="43">
        <f>$G$8</f>
        <v/>
      </c>
      <c r="F24" s="35" t="n">
        <v>0.1</v>
      </c>
      <c r="G24" s="17">
        <f>B24/$C$8</f>
        <v/>
      </c>
      <c r="H24" s="21">
        <f>IFERROR((C24-B24)/C24,"-")</f>
        <v/>
      </c>
      <c r="I24" s="16">
        <f>F24*$C$19</f>
        <v/>
      </c>
    </row>
    <row r="25">
      <c r="A25" s="15" t="inlineStr">
        <is>
          <t>On-premise</t>
        </is>
      </c>
      <c r="B25" s="42">
        <f>$G$5</f>
        <v/>
      </c>
      <c r="C25" s="42">
        <f>$G$6</f>
        <v/>
      </c>
      <c r="D25" s="43">
        <f>$G$7</f>
        <v/>
      </c>
      <c r="E25" s="43">
        <f>$G$8</f>
        <v/>
      </c>
      <c r="F25" s="35" t="n">
        <v>0.06</v>
      </c>
      <c r="G25" s="17">
        <f>B25/$C$8</f>
        <v/>
      </c>
      <c r="H25" s="21">
        <f>IFERROR((C25-B25)/C25,"-")</f>
        <v/>
      </c>
      <c r="I25" s="16">
        <f>F25*$C$19</f>
        <v/>
      </c>
    </row>
    <row r="26">
      <c r="A26" s="15" t="inlineStr">
        <is>
          <t>Retail</t>
        </is>
      </c>
      <c r="B26" s="42">
        <f>$G$5</f>
        <v/>
      </c>
      <c r="C26" s="42">
        <f>$G$6</f>
        <v/>
      </c>
      <c r="D26" s="43">
        <f>$G$7</f>
        <v/>
      </c>
      <c r="E26" s="43">
        <f>$G$8</f>
        <v/>
      </c>
      <c r="F26" s="35" t="n">
        <v>0.18</v>
      </c>
      <c r="G26" s="17">
        <f>B26/$C$8</f>
        <v/>
      </c>
      <c r="H26" s="21">
        <f>IFERROR((C26-B26)/C26,"-")</f>
        <v/>
      </c>
      <c r="I26" s="16">
        <f>F26*$C$19</f>
        <v/>
      </c>
    </row>
    <row r="27">
      <c r="A27" s="15" t="inlineStr">
        <is>
          <t>Distributor</t>
        </is>
      </c>
      <c r="B27" s="42">
        <f>$G$5</f>
        <v/>
      </c>
      <c r="C27" s="42">
        <f>$G$6</f>
        <v/>
      </c>
      <c r="D27" s="43">
        <f>$G$7</f>
        <v/>
      </c>
      <c r="E27" s="43">
        <f>$G$8</f>
        <v/>
      </c>
      <c r="F27" s="35" t="n">
        <v>0.2</v>
      </c>
      <c r="G27" s="17">
        <f>B27/$C$8</f>
        <v/>
      </c>
      <c r="H27" s="21">
        <f>IFERROR((C27-B27)/C27,"-")</f>
        <v/>
      </c>
      <c r="I27" s="16">
        <f>F27*$C$19</f>
        <v/>
      </c>
    </row>
    <row r="28">
      <c r="A28" s="15" t="inlineStr">
        <is>
          <t>Corporate Office</t>
        </is>
      </c>
      <c r="B28" s="42">
        <f>$G$5</f>
        <v/>
      </c>
      <c r="C28" s="42">
        <f>$G$6</f>
        <v/>
      </c>
      <c r="D28" s="43">
        <f>$G$7</f>
        <v/>
      </c>
      <c r="E28" s="43">
        <f>$G$8</f>
        <v/>
      </c>
      <c r="F28" s="35" t="n">
        <v>0.02</v>
      </c>
      <c r="G28" s="17">
        <f>B28/$C$8</f>
        <v/>
      </c>
      <c r="H28" s="21">
        <f>IFERROR((C28-B28)/C28,"-")</f>
        <v/>
      </c>
      <c r="I28" s="16">
        <f>F28*$C$19</f>
        <v/>
      </c>
    </row>
    <row r="29">
      <c r="A29" s="15" t="inlineStr">
        <is>
          <t>Purity Life</t>
        </is>
      </c>
      <c r="B29" s="42">
        <f>$G$5</f>
        <v/>
      </c>
      <c r="C29" s="42">
        <f>$G$6</f>
        <v/>
      </c>
      <c r="D29" s="43">
        <f>$G$7</f>
        <v/>
      </c>
      <c r="E29" s="43">
        <f>$G$8</f>
        <v/>
      </c>
      <c r="F29" s="35" t="n">
        <v>0.08</v>
      </c>
      <c r="G29" s="17">
        <f>B29/$C$8</f>
        <v/>
      </c>
      <c r="H29" s="21">
        <f>IFERROR((C29-B29)/C29,"-")</f>
        <v/>
      </c>
      <c r="I29" s="16">
        <f>F29*$C$19</f>
        <v/>
      </c>
    </row>
    <row r="30">
      <c r="A30" s="15" t="inlineStr">
        <is>
          <t>Natural &amp; Specialty Direct</t>
        </is>
      </c>
      <c r="B30" s="42">
        <f>$G$5</f>
        <v/>
      </c>
      <c r="C30" s="42">
        <f>$G$6</f>
        <v/>
      </c>
      <c r="D30" s="43">
        <f>$G$7</f>
        <v/>
      </c>
      <c r="E30" s="43">
        <f>$G$8</f>
        <v/>
      </c>
      <c r="F30" s="35" t="n">
        <v>0.1</v>
      </c>
      <c r="G30" s="17">
        <f>B30/$C$8</f>
        <v/>
      </c>
      <c r="H30" s="21">
        <f>IFERROR((C30-B30)/C30,"-")</f>
        <v/>
      </c>
      <c r="I30" s="16">
        <f>F30*$C$19</f>
        <v/>
      </c>
    </row>
    <row r="31">
      <c r="A31" s="15" t="inlineStr">
        <is>
          <t>FDM Direct</t>
        </is>
      </c>
      <c r="B31" s="42">
        <f>$G$5</f>
        <v/>
      </c>
      <c r="C31" s="42">
        <f>$G$6</f>
        <v/>
      </c>
      <c r="D31" s="43">
        <f>$G$7</f>
        <v/>
      </c>
      <c r="E31" s="43">
        <f>$G$8</f>
        <v/>
      </c>
      <c r="F31" s="35" t="n">
        <v>0.08</v>
      </c>
      <c r="G31" s="17">
        <f>B31/$C$8</f>
        <v/>
      </c>
      <c r="H31" s="21">
        <f>IFERROR((C31-B31)/C31,"-")</f>
        <v/>
      </c>
      <c r="I31" s="16">
        <f>F31*$C$19</f>
        <v/>
      </c>
    </row>
    <row r="32">
      <c r="A32" s="15" t="inlineStr">
        <is>
          <t>Convenience</t>
        </is>
      </c>
      <c r="B32" s="42">
        <f>$G$5</f>
        <v/>
      </c>
      <c r="C32" s="42">
        <f>$G$6</f>
        <v/>
      </c>
      <c r="D32" s="43">
        <f>$G$7</f>
        <v/>
      </c>
      <c r="E32" s="43">
        <f>$G$8</f>
        <v/>
      </c>
      <c r="F32" s="35" t="n">
        <v>0.04</v>
      </c>
      <c r="G32" s="17">
        <f>B32/$C$8</f>
        <v/>
      </c>
      <c r="H32" s="21">
        <f>IFERROR((C32-B32)/C32,"-")</f>
        <v/>
      </c>
      <c r="I32" s="16">
        <f>F32*$C$19</f>
        <v/>
      </c>
    </row>
    <row r="33">
      <c r="A33" s="15" t="inlineStr">
        <is>
          <t>Fitness Centre</t>
        </is>
      </c>
      <c r="B33" s="42">
        <f>$G$5</f>
        <v/>
      </c>
      <c r="C33" s="42">
        <f>$G$6</f>
        <v/>
      </c>
      <c r="D33" s="43">
        <f>$G$7</f>
        <v/>
      </c>
      <c r="E33" s="43">
        <f>$G$8</f>
        <v/>
      </c>
      <c r="F33" s="35" t="n">
        <v>0.02</v>
      </c>
      <c r="G33" s="17">
        <f>B33/$C$8</f>
        <v/>
      </c>
      <c r="H33" s="21">
        <f>IFERROR((C33-B33)/C33,"-")</f>
        <v/>
      </c>
      <c r="I33" s="16">
        <f>F33*$C$19</f>
        <v/>
      </c>
    </row>
    <row r="34">
      <c r="A34" s="28" t="inlineStr">
        <is>
          <t>TOTAL</t>
        </is>
      </c>
      <c r="F34" s="44">
        <f>SUM(F23:F33)</f>
        <v/>
      </c>
      <c r="I34" s="31">
        <f>SUM(I23:I33)</f>
        <v/>
      </c>
    </row>
    <row r="36">
      <c r="A36" s="13" t="inlineStr">
        <is>
          <t>CHECKS</t>
        </is>
      </c>
    </row>
    <row r="37">
      <c r="A37" s="15" t="inlineStr">
        <is>
          <t>Channel mix sums to 100%</t>
        </is>
      </c>
      <c r="C37" s="45">
        <f>IF(ABS(F34-1)&lt;0.005,"✓ 100%","✗ "&amp;TEXT(F34,"0.0%"))</f>
        <v/>
      </c>
    </row>
    <row r="38">
      <c r="A38" s="15" t="inlineStr">
        <is>
          <t>Blended GP% (live)</t>
        </is>
      </c>
      <c r="C38" s="44">
        <f>'TTL ORGANIKA RTD'!M17</f>
        <v/>
      </c>
    </row>
    <row r="39">
      <c r="A39" s="15" t="inlineStr">
        <is>
          <t>GP% ≥ minimum?</t>
        </is>
      </c>
      <c r="C39" s="45">
        <f>IF(C38&gt;=C9,"✓ ≥ "&amp;TEXT(C9,"0%"),"✗ below min")</f>
        <v/>
      </c>
    </row>
    <row r="40">
      <c r="A40" s="15" t="inlineStr">
        <is>
          <t>GP% ≥ target?</t>
        </is>
      </c>
      <c r="C40" s="45">
        <f>IF(C38&gt;=C10,"✓ ≥ "&amp;TEXT(C10,"0%"),"– below target")</f>
        <v/>
      </c>
    </row>
    <row r="41">
      <c r="A41" s="15" t="inlineStr">
        <is>
          <t>Total CAAP &gt; 0?</t>
        </is>
      </c>
      <c r="C41" s="45">
        <f>IF('TTL ORGANIKA RTD'!M24&gt;0,"✓","✗")</f>
        <v/>
      </c>
    </row>
  </sheetData>
  <mergeCells count="12">
    <mergeCell ref="A15:I15"/>
    <mergeCell ref="E6:F6"/>
    <mergeCell ref="A2:I2"/>
    <mergeCell ref="E4:I4"/>
    <mergeCell ref="E7:F7"/>
    <mergeCell ref="A36:I36"/>
    <mergeCell ref="A1:I1"/>
    <mergeCell ref="E5:F5"/>
    <mergeCell ref="A4:C4"/>
    <mergeCell ref="E8:F8"/>
    <mergeCell ref="A21:I21"/>
    <mergeCell ref="E9:I9"/>
  </mergeCells>
  <conditionalFormatting sqref="H23:H33">
    <cfRule type="colorScale" priority="1">
      <colorScale>
        <cfvo type="num" val="0"/>
        <cfvo type="num" val="0.3"/>
        <cfvo type="num" val="0.5"/>
        <color rgb="00F8696B"/>
        <color rgb="00FFEB84"/>
        <color rgb="0063BE7B"/>
      </colorScale>
    </cfRule>
  </conditionalFormatting>
  <conditionalFormatting sqref="C37:C41">
    <cfRule type="expression" priority="2" dxfId="0">
      <formula>ISNUMBER(SEARCH("✓",C37))</formula>
    </cfRule>
    <cfRule type="expression" priority="3" dxfId="2">
      <formula>ISNUMBER(SEARCH("✗",C37))</formula>
    </cfRule>
  </conditionalFormatting>
  <dataValidations count="2">
    <dataValidation sqref="C9 C10 C11:C13 D23:D33 E23:E33 F23:F33 G7 G8" showDropDown="0" showInputMessage="0" showErrorMessage="0" allowBlank="1" type="decimal" operator="between">
      <formula1>0</formula1>
      <formula2>1</formula2>
    </dataValidation>
    <dataValidation sqref="B23:B33 C16:C18 C23:C33 G5 G6" showDropDown="0" showInputMessage="0" showErrorMessage="0" allowBlank="1" type="decimal" operator="greaterThan">
      <formula1>0</formula1>
    </dataValidation>
  </dataValidations>
  <printOptions horizontalCentered="1"/>
  <pageMargins left="0.75" right="0.75" top="1" bottom="1" header="0.5" footer="0.5"/>
  <pageSetup orientation="landscape" fitToHeight="0" fitToWidth="1"/>
  <headerFooter>
    <oddHeader/>
    <oddFooter>&amp;C&amp;8 &amp;F  |  &amp;A  | 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G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6" customWidth="1" min="4" max="4"/>
    <col width="13" customWidth="1" min="5" max="5"/>
    <col width="14" customWidth="1" min="6" max="6"/>
    <col width="14" customWidth="1" min="7" max="7"/>
  </cols>
  <sheetData>
    <row r="1" ht="27.75" customHeight="1">
      <c r="A1" s="11" t="inlineStr">
        <is>
          <t>ORGANIKA RTD — DASHBOARD</t>
        </is>
      </c>
    </row>
    <row r="2">
      <c r="A2" s="12" t="inlineStr">
        <is>
          <t>CDN $ | 6×4×355 ml (24 cans/case) | Aug 1 – Nov 1, 2026 | 3 SKUs × 11 channels</t>
        </is>
      </c>
    </row>
    <row r="3" ht="6" customHeight="1"/>
    <row r="4">
      <c r="A4" s="46" t="inlineStr">
        <is>
          <t>TOTAL P&amp;L — ALL SKUs × ALL CHANNELS</t>
        </is>
      </c>
      <c r="D4" s="46" t="inlineStr">
        <is>
          <t>BLENDED — PER CASE</t>
        </is>
      </c>
    </row>
    <row r="5">
      <c r="A5" s="15" t="inlineStr">
        <is>
          <t>Physical Cases</t>
        </is>
      </c>
      <c r="B5" s="16">
        <f>'TTL ORGANIKA RTD'!M9</f>
        <v/>
      </c>
      <c r="D5" s="15" t="inlineStr">
        <is>
          <t>Gross Rev / case</t>
        </is>
      </c>
      <c r="E5" s="17">
        <f>'TTL ORGANIKA RTD'!M26</f>
        <v/>
      </c>
    </row>
    <row r="6">
      <c r="A6" s="15" t="inlineStr">
        <is>
          <t>Gross Revenue</t>
        </is>
      </c>
      <c r="B6" s="18">
        <f>'TTL ORGANIKA RTD'!M10</f>
        <v/>
      </c>
      <c r="D6" s="15" t="inlineStr">
        <is>
          <t>Discounts / case</t>
        </is>
      </c>
      <c r="E6" s="17">
        <f>'TTL ORGANIKA RTD'!M27</f>
        <v/>
      </c>
    </row>
    <row r="7">
      <c r="A7" s="15" t="inlineStr">
        <is>
          <t>Discounts</t>
        </is>
      </c>
      <c r="B7" s="18">
        <f>'TTL ORGANIKA RTD'!M11</f>
        <v/>
      </c>
      <c r="D7" s="15" t="inlineStr">
        <is>
          <t>Net Sales / case</t>
        </is>
      </c>
      <c r="E7" s="17">
        <f>'TTL ORGANIKA RTD'!M28</f>
        <v/>
      </c>
    </row>
    <row r="8">
      <c r="A8" s="15" t="inlineStr">
        <is>
          <t>Net Sales</t>
        </is>
      </c>
      <c r="B8" s="18">
        <f>'TTL ORGANIKA RTD'!M12</f>
        <v/>
      </c>
      <c r="D8" s="15" t="inlineStr">
        <is>
          <t>COGS / case</t>
        </is>
      </c>
      <c r="E8" s="17">
        <f>'TTL ORGANIKA RTD'!M31</f>
        <v/>
      </c>
    </row>
    <row r="9">
      <c r="A9" s="15" t="inlineStr">
        <is>
          <t>Cost of Sales</t>
        </is>
      </c>
      <c r="B9" s="18">
        <f>'TTL ORGANIKA RTD'!M15</f>
        <v/>
      </c>
      <c r="D9" s="15" t="inlineStr">
        <is>
          <t>Gross Profit / case</t>
        </is>
      </c>
      <c r="E9" s="17">
        <f>'TTL ORGANIKA RTD'!M32</f>
        <v/>
      </c>
    </row>
    <row r="10">
      <c r="A10" s="15" t="inlineStr">
        <is>
          <t>Gross Profit</t>
        </is>
      </c>
      <c r="B10" s="18">
        <f>'TTL ORGANIKA RTD'!M16</f>
        <v/>
      </c>
      <c r="D10" s="19" t="inlineStr">
        <is>
          <t>GP %</t>
        </is>
      </c>
      <c r="E10" s="32">
        <f>'TTL ORGANIKA RTD'!M33</f>
        <v/>
      </c>
    </row>
    <row r="11">
      <c r="A11" s="19" t="inlineStr">
        <is>
          <t>GP %</t>
        </is>
      </c>
      <c r="B11" s="32">
        <f>'TTL ORGANIKA RTD'!M17</f>
        <v/>
      </c>
      <c r="D11" s="15" t="inlineStr">
        <is>
          <t>A&amp;P / case</t>
        </is>
      </c>
      <c r="E11" s="17">
        <f>'TTL ORGANIKA RTD'!M34</f>
        <v/>
      </c>
    </row>
    <row r="12">
      <c r="A12" s="15" t="inlineStr">
        <is>
          <t>A&amp;P</t>
        </is>
      </c>
      <c r="B12" s="18">
        <f>'TTL ORGANIKA RTD'!M22</f>
        <v/>
      </c>
      <c r="D12" s="15" t="inlineStr">
        <is>
          <t>CAAP / case</t>
        </is>
      </c>
      <c r="E12" s="17">
        <f>'TTL ORGANIKA RTD'!M35</f>
        <v/>
      </c>
    </row>
    <row r="13">
      <c r="A13" s="15" t="inlineStr">
        <is>
          <t>CAAP</t>
        </is>
      </c>
      <c r="B13" s="18">
        <f>'TTL ORGANIKA RTD'!M24</f>
        <v/>
      </c>
    </row>
    <row r="15">
      <c r="A15" s="46" t="inlineStr">
        <is>
          <t>BY SKU</t>
        </is>
      </c>
    </row>
    <row r="16">
      <c r="A16" s="47" t="inlineStr">
        <is>
          <t>SKU</t>
        </is>
      </c>
      <c r="B16" s="24" t="inlineStr">
        <is>
          <t>Cases</t>
        </is>
      </c>
      <c r="C16" s="24" t="inlineStr">
        <is>
          <t>Net Sales</t>
        </is>
      </c>
      <c r="D16" s="24" t="inlineStr">
        <is>
          <t>Gross Profit</t>
        </is>
      </c>
      <c r="E16" s="24" t="inlineStr">
        <is>
          <t>GP %</t>
        </is>
      </c>
      <c r="F16" s="24" t="inlineStr">
        <is>
          <t>A&amp;P</t>
        </is>
      </c>
      <c r="G16" s="24" t="inlineStr">
        <is>
          <t>CAAP</t>
        </is>
      </c>
    </row>
    <row r="17">
      <c r="A17" s="48" t="inlineStr">
        <is>
          <t>Lime Lemon</t>
        </is>
      </c>
      <c r="B17" s="16">
        <f>'Lime Lemon'!M9</f>
        <v/>
      </c>
      <c r="C17" s="18">
        <f>'Lime Lemon'!M12</f>
        <v/>
      </c>
      <c r="D17" s="18">
        <f>'Lime Lemon'!M16</f>
        <v/>
      </c>
      <c r="E17" s="21">
        <f>'Lime Lemon'!M17</f>
        <v/>
      </c>
      <c r="F17" s="18">
        <f>'Lime Lemon'!M22</f>
        <v/>
      </c>
      <c r="G17" s="18">
        <f>'Lime Lemon'!M24</f>
        <v/>
      </c>
    </row>
    <row r="18">
      <c r="A18" s="48" t="inlineStr">
        <is>
          <t>Passion Fruit Pineapple</t>
        </is>
      </c>
      <c r="B18" s="16">
        <f>'Passion Fruit Pineapple'!M9</f>
        <v/>
      </c>
      <c r="C18" s="18">
        <f>'Passion Fruit Pineapple'!M12</f>
        <v/>
      </c>
      <c r="D18" s="18">
        <f>'Passion Fruit Pineapple'!M16</f>
        <v/>
      </c>
      <c r="E18" s="21">
        <f>'Passion Fruit Pineapple'!M17</f>
        <v/>
      </c>
      <c r="F18" s="18">
        <f>'Passion Fruit Pineapple'!M22</f>
        <v/>
      </c>
      <c r="G18" s="18">
        <f>'Passion Fruit Pineapple'!M24</f>
        <v/>
      </c>
    </row>
    <row r="19">
      <c r="A19" s="48" t="inlineStr">
        <is>
          <t>Raspberry</t>
        </is>
      </c>
      <c r="B19" s="16">
        <f>'Raspberry'!M9</f>
        <v/>
      </c>
      <c r="C19" s="18">
        <f>'Raspberry'!M12</f>
        <v/>
      </c>
      <c r="D19" s="18">
        <f>'Raspberry'!M16</f>
        <v/>
      </c>
      <c r="E19" s="21">
        <f>'Raspberry'!M17</f>
        <v/>
      </c>
      <c r="F19" s="18">
        <f>'Raspberry'!M22</f>
        <v/>
      </c>
      <c r="G19" s="18">
        <f>'Raspberry'!M24</f>
        <v/>
      </c>
    </row>
    <row r="20">
      <c r="A20" s="49" t="inlineStr">
        <is>
          <t>TOTAL</t>
        </is>
      </c>
      <c r="B20" s="31">
        <f>'TTL ORGANIKA RTD'!M9</f>
        <v/>
      </c>
      <c r="C20" s="29">
        <f>'TTL ORGANIKA RTD'!M12</f>
        <v/>
      </c>
      <c r="D20" s="29">
        <f>'TTL ORGANIKA RTD'!M16</f>
        <v/>
      </c>
      <c r="E20" s="44">
        <f>'TTL ORGANIKA RTD'!M17</f>
        <v/>
      </c>
      <c r="F20" s="29">
        <f>'TTL ORGANIKA RTD'!M22</f>
        <v/>
      </c>
      <c r="G20" s="29">
        <f>'TTL ORGANIKA RTD'!M24</f>
        <v/>
      </c>
    </row>
    <row r="22">
      <c r="A22" s="46" t="inlineStr">
        <is>
          <t>BY CHANNEL</t>
        </is>
      </c>
    </row>
    <row r="23">
      <c r="A23" s="47" t="inlineStr">
        <is>
          <t>Channel</t>
        </is>
      </c>
      <c r="B23" s="24" t="inlineStr">
        <is>
          <t>Cases</t>
        </is>
      </c>
      <c r="C23" s="24" t="inlineStr">
        <is>
          <t>Net Sales</t>
        </is>
      </c>
      <c r="D23" s="24" t="inlineStr">
        <is>
          <t>Gross Profit</t>
        </is>
      </c>
      <c r="E23" s="24" t="inlineStr">
        <is>
          <t>GP %</t>
        </is>
      </c>
      <c r="F23" s="24" t="inlineStr">
        <is>
          <t>A&amp;P</t>
        </is>
      </c>
      <c r="G23" s="24" t="inlineStr">
        <is>
          <t>CAAP</t>
        </is>
      </c>
    </row>
    <row r="24">
      <c r="A24" s="15" t="inlineStr">
        <is>
          <t>Shopify</t>
        </is>
      </c>
      <c r="B24" s="16">
        <f>'TTL ORGANIKA RTD'!B9</f>
        <v/>
      </c>
      <c r="C24" s="18">
        <f>'TTL ORGANIKA RTD'!B12</f>
        <v/>
      </c>
      <c r="D24" s="18">
        <f>'TTL ORGANIKA RTD'!B16</f>
        <v/>
      </c>
      <c r="E24" s="21">
        <f>'TTL ORGANIKA RTD'!B17</f>
        <v/>
      </c>
      <c r="F24" s="18">
        <f>'TTL ORGANIKA RTD'!B22</f>
        <v/>
      </c>
      <c r="G24" s="18">
        <f>'TTL ORGANIKA RTD'!B24</f>
        <v/>
      </c>
    </row>
    <row r="25">
      <c r="A25" s="15" t="inlineStr">
        <is>
          <t>Amazon</t>
        </is>
      </c>
      <c r="B25" s="16">
        <f>'TTL ORGANIKA RTD'!C9</f>
        <v/>
      </c>
      <c r="C25" s="18">
        <f>'TTL ORGANIKA RTD'!C12</f>
        <v/>
      </c>
      <c r="D25" s="18">
        <f>'TTL ORGANIKA RTD'!C16</f>
        <v/>
      </c>
      <c r="E25" s="21">
        <f>'TTL ORGANIKA RTD'!C17</f>
        <v/>
      </c>
      <c r="F25" s="18">
        <f>'TTL ORGANIKA RTD'!C22</f>
        <v/>
      </c>
      <c r="G25" s="18">
        <f>'TTL ORGANIKA RTD'!C24</f>
        <v/>
      </c>
    </row>
    <row r="26">
      <c r="A26" s="15" t="inlineStr">
        <is>
          <t>On-premise</t>
        </is>
      </c>
      <c r="B26" s="16">
        <f>'TTL ORGANIKA RTD'!D9</f>
        <v/>
      </c>
      <c r="C26" s="18">
        <f>'TTL ORGANIKA RTD'!D12</f>
        <v/>
      </c>
      <c r="D26" s="18">
        <f>'TTL ORGANIKA RTD'!D16</f>
        <v/>
      </c>
      <c r="E26" s="21">
        <f>'TTL ORGANIKA RTD'!D17</f>
        <v/>
      </c>
      <c r="F26" s="18">
        <f>'TTL ORGANIKA RTD'!D22</f>
        <v/>
      </c>
      <c r="G26" s="18">
        <f>'TTL ORGANIKA RTD'!D24</f>
        <v/>
      </c>
    </row>
    <row r="27">
      <c r="A27" s="15" t="inlineStr">
        <is>
          <t>Retail</t>
        </is>
      </c>
      <c r="B27" s="16">
        <f>'TTL ORGANIKA RTD'!E9</f>
        <v/>
      </c>
      <c r="C27" s="18">
        <f>'TTL ORGANIKA RTD'!E12</f>
        <v/>
      </c>
      <c r="D27" s="18">
        <f>'TTL ORGANIKA RTD'!E16</f>
        <v/>
      </c>
      <c r="E27" s="21">
        <f>'TTL ORGANIKA RTD'!E17</f>
        <v/>
      </c>
      <c r="F27" s="18">
        <f>'TTL ORGANIKA RTD'!E22</f>
        <v/>
      </c>
      <c r="G27" s="18">
        <f>'TTL ORGANIKA RTD'!E24</f>
        <v/>
      </c>
    </row>
    <row r="28">
      <c r="A28" s="15" t="inlineStr">
        <is>
          <t>Distributor</t>
        </is>
      </c>
      <c r="B28" s="16">
        <f>'TTL ORGANIKA RTD'!F9</f>
        <v/>
      </c>
      <c r="C28" s="18">
        <f>'TTL ORGANIKA RTD'!F12</f>
        <v/>
      </c>
      <c r="D28" s="18">
        <f>'TTL ORGANIKA RTD'!F16</f>
        <v/>
      </c>
      <c r="E28" s="21">
        <f>'TTL ORGANIKA RTD'!F17</f>
        <v/>
      </c>
      <c r="F28" s="18">
        <f>'TTL ORGANIKA RTD'!F22</f>
        <v/>
      </c>
      <c r="G28" s="18">
        <f>'TTL ORGANIKA RTD'!F24</f>
        <v/>
      </c>
    </row>
    <row r="29">
      <c r="A29" s="15" t="inlineStr">
        <is>
          <t>Corporate Office</t>
        </is>
      </c>
      <c r="B29" s="16">
        <f>'TTL ORGANIKA RTD'!G9</f>
        <v/>
      </c>
      <c r="C29" s="18">
        <f>'TTL ORGANIKA RTD'!G12</f>
        <v/>
      </c>
      <c r="D29" s="18">
        <f>'TTL ORGANIKA RTD'!G16</f>
        <v/>
      </c>
      <c r="E29" s="21">
        <f>'TTL ORGANIKA RTD'!G17</f>
        <v/>
      </c>
      <c r="F29" s="18">
        <f>'TTL ORGANIKA RTD'!G22</f>
        <v/>
      </c>
      <c r="G29" s="18">
        <f>'TTL ORGANIKA RTD'!G24</f>
        <v/>
      </c>
    </row>
    <row r="30">
      <c r="A30" s="15" t="inlineStr">
        <is>
          <t>Purity Life</t>
        </is>
      </c>
      <c r="B30" s="16">
        <f>'TTL ORGANIKA RTD'!H9</f>
        <v/>
      </c>
      <c r="C30" s="18">
        <f>'TTL ORGANIKA RTD'!H12</f>
        <v/>
      </c>
      <c r="D30" s="18">
        <f>'TTL ORGANIKA RTD'!H16</f>
        <v/>
      </c>
      <c r="E30" s="21">
        <f>'TTL ORGANIKA RTD'!H17</f>
        <v/>
      </c>
      <c r="F30" s="18">
        <f>'TTL ORGANIKA RTD'!H22</f>
        <v/>
      </c>
      <c r="G30" s="18">
        <f>'TTL ORGANIKA RTD'!H24</f>
        <v/>
      </c>
    </row>
    <row r="31">
      <c r="A31" s="15" t="inlineStr">
        <is>
          <t>Natural &amp; Specialty Direct</t>
        </is>
      </c>
      <c r="B31" s="16">
        <f>'TTL ORGANIKA RTD'!I9</f>
        <v/>
      </c>
      <c r="C31" s="18">
        <f>'TTL ORGANIKA RTD'!I12</f>
        <v/>
      </c>
      <c r="D31" s="18">
        <f>'TTL ORGANIKA RTD'!I16</f>
        <v/>
      </c>
      <c r="E31" s="21">
        <f>'TTL ORGANIKA RTD'!I17</f>
        <v/>
      </c>
      <c r="F31" s="18">
        <f>'TTL ORGANIKA RTD'!I22</f>
        <v/>
      </c>
      <c r="G31" s="18">
        <f>'TTL ORGANIKA RTD'!I24</f>
        <v/>
      </c>
    </row>
    <row r="32">
      <c r="A32" s="15" t="inlineStr">
        <is>
          <t>FDM Direct</t>
        </is>
      </c>
      <c r="B32" s="16">
        <f>'TTL ORGANIKA RTD'!J9</f>
        <v/>
      </c>
      <c r="C32" s="18">
        <f>'TTL ORGANIKA RTD'!J12</f>
        <v/>
      </c>
      <c r="D32" s="18">
        <f>'TTL ORGANIKA RTD'!J16</f>
        <v/>
      </c>
      <c r="E32" s="21">
        <f>'TTL ORGANIKA RTD'!J17</f>
        <v/>
      </c>
      <c r="F32" s="18">
        <f>'TTL ORGANIKA RTD'!J22</f>
        <v/>
      </c>
      <c r="G32" s="18">
        <f>'TTL ORGANIKA RTD'!J24</f>
        <v/>
      </c>
    </row>
    <row r="33">
      <c r="A33" s="15" t="inlineStr">
        <is>
          <t>Convenience</t>
        </is>
      </c>
      <c r="B33" s="16">
        <f>'TTL ORGANIKA RTD'!K9</f>
        <v/>
      </c>
      <c r="C33" s="18">
        <f>'TTL ORGANIKA RTD'!K12</f>
        <v/>
      </c>
      <c r="D33" s="18">
        <f>'TTL ORGANIKA RTD'!K16</f>
        <v/>
      </c>
      <c r="E33" s="21">
        <f>'TTL ORGANIKA RTD'!K17</f>
        <v/>
      </c>
      <c r="F33" s="18">
        <f>'TTL ORGANIKA RTD'!K22</f>
        <v/>
      </c>
      <c r="G33" s="18">
        <f>'TTL ORGANIKA RTD'!K24</f>
        <v/>
      </c>
    </row>
    <row r="34">
      <c r="A34" s="15" t="inlineStr">
        <is>
          <t>Fitness Centre</t>
        </is>
      </c>
      <c r="B34" s="16">
        <f>'TTL ORGANIKA RTD'!L9</f>
        <v/>
      </c>
      <c r="C34" s="18">
        <f>'TTL ORGANIKA RTD'!L12</f>
        <v/>
      </c>
      <c r="D34" s="18">
        <f>'TTL ORGANIKA RTD'!L16</f>
        <v/>
      </c>
      <c r="E34" s="21">
        <f>'TTL ORGANIKA RTD'!L17</f>
        <v/>
      </c>
      <c r="F34" s="18">
        <f>'TTL ORGANIKA RTD'!L22</f>
        <v/>
      </c>
      <c r="G34" s="18">
        <f>'TTL ORGANIKA RTD'!L24</f>
        <v/>
      </c>
    </row>
    <row r="35">
      <c r="A35" s="49" t="inlineStr">
        <is>
          <t>TOTAL</t>
        </is>
      </c>
      <c r="B35" s="31">
        <f>'TTL ORGANIKA RTD'!M9</f>
        <v/>
      </c>
      <c r="C35" s="29">
        <f>'TTL ORGANIKA RTD'!M12</f>
        <v/>
      </c>
      <c r="D35" s="29">
        <f>'TTL ORGANIKA RTD'!M16</f>
        <v/>
      </c>
      <c r="E35" s="44">
        <f>'TTL ORGANIKA RTD'!M17</f>
        <v/>
      </c>
      <c r="F35" s="29">
        <f>'TTL ORGANIKA RTD'!M22</f>
        <v/>
      </c>
      <c r="G35" s="29">
        <f>'TTL ORGANIKA RTD'!M24</f>
        <v/>
      </c>
    </row>
  </sheetData>
  <mergeCells count="6">
    <mergeCell ref="A4:B4"/>
    <mergeCell ref="A1:G1"/>
    <mergeCell ref="A22:G22"/>
    <mergeCell ref="A2:G2"/>
    <mergeCell ref="D4:E4"/>
    <mergeCell ref="A15:G15"/>
  </mergeCells>
  <conditionalFormatting sqref="B8:G35">
    <cfRule type="cellIs" priority="1" operator="lessThan" dxfId="2">
      <formula>0</formula>
    </cfRule>
  </conditionalFormatting>
  <printOptions horizontalCentered="1"/>
  <pageMargins left="0.75" right="0.75" top="1" bottom="1" header="0.5" footer="0.5"/>
  <pageSetup orientation="landscape" fitToHeight="0" fitToWidth="1"/>
  <headerFooter>
    <oddHeader/>
    <oddFooter>&amp;C&amp;8 &amp;F  |  &amp;A  | 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ED7D31"/>
    <outlinePr summaryBelow="1" summaryRight="1"/>
    <pageSetUpPr fitToPage="1"/>
  </sheetPr>
  <dimension ref="A1:H4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7.75" customHeight="1">
      <c r="A1" s="11" t="inlineStr">
        <is>
          <t>ORGANIKA RTD — SCENARIOS &amp; PRICE SENSITIVITY</t>
        </is>
      </c>
    </row>
    <row r="2">
      <c r="A2" s="12" t="inlineStr">
        <is>
          <t>CDN $ per case (24 cans = 6 × 4-pack) | 🟡 yellow = edit | COGS pulled live from Cost Build-up ($D$46)</t>
        </is>
      </c>
    </row>
    <row r="4">
      <c r="A4" s="13" t="inlineStr">
        <is>
          <t>SCENARIO COMPARISON  (CP = wholesale price, MSRP = shelf price)</t>
        </is>
      </c>
    </row>
    <row r="5">
      <c r="A5" s="15" t="inlineStr">
        <is>
          <t>Scenario</t>
        </is>
      </c>
      <c r="B5" s="50" t="inlineStr">
        <is>
          <t>Conservative</t>
        </is>
      </c>
      <c r="C5" s="50" t="inlineStr">
        <is>
          <t>Base</t>
        </is>
      </c>
      <c r="D5" s="50" t="inlineStr">
        <is>
          <t>Stretch</t>
        </is>
      </c>
      <c r="E5" s="50" t="inlineStr">
        <is>
          <t>Scenario 4</t>
        </is>
      </c>
      <c r="F5" s="50" t="inlineStr">
        <is>
          <t>Scenario 5</t>
        </is>
      </c>
    </row>
    <row r="6">
      <c r="A6" s="15" t="inlineStr">
        <is>
          <t>CP — wholesale ($/case)</t>
        </is>
      </c>
      <c r="B6" s="36" t="n">
        <v>54</v>
      </c>
      <c r="C6" s="36" t="n">
        <v>60</v>
      </c>
      <c r="D6" s="36" t="n">
        <v>66</v>
      </c>
      <c r="E6" s="36" t="n"/>
      <c r="F6" s="36" t="n"/>
    </row>
    <row r="7">
      <c r="A7" s="15" t="inlineStr">
        <is>
          <t>MSRP — retail ($/case)</t>
        </is>
      </c>
      <c r="B7" s="36" t="n">
        <v>84</v>
      </c>
      <c r="C7" s="36" t="n">
        <v>96</v>
      </c>
      <c r="D7" s="36" t="n">
        <v>108</v>
      </c>
      <c r="E7" s="36" t="n"/>
      <c r="F7" s="36" t="n"/>
    </row>
    <row r="8">
      <c r="A8" s="15" t="inlineStr">
        <is>
          <t>Promo / discount (% off CP)</t>
        </is>
      </c>
      <c r="B8" s="35" t="n">
        <v>0</v>
      </c>
      <c r="C8" s="35" t="n">
        <v>0</v>
      </c>
      <c r="D8" s="35" t="n">
        <v>0</v>
      </c>
      <c r="E8" s="35" t="n"/>
      <c r="F8" s="35" t="n"/>
    </row>
    <row r="9">
      <c r="A9" s="15" t="inlineStr">
        <is>
          <t>Volume (cases)</t>
        </is>
      </c>
      <c r="B9" s="34" t="n">
        <v>500</v>
      </c>
      <c r="C9" s="34" t="n">
        <v>500</v>
      </c>
      <c r="D9" s="34" t="n">
        <v>500</v>
      </c>
      <c r="E9" s="34" t="n"/>
      <c r="F9" s="34" t="n"/>
    </row>
    <row r="10">
      <c r="A10" s="15" t="inlineStr">
        <is>
          <t>A&amp;P ($/case)</t>
        </is>
      </c>
      <c r="B10" s="36" t="n">
        <v>0</v>
      </c>
      <c r="C10" s="36" t="n">
        <v>0</v>
      </c>
      <c r="D10" s="36" t="n">
        <v>0</v>
      </c>
      <c r="E10" s="36" t="n"/>
      <c r="F10" s="36" t="n"/>
    </row>
    <row r="11">
      <c r="A11" s="15" t="inlineStr">
        <is>
          <t>Net price ($/case)</t>
        </is>
      </c>
      <c r="B11" s="17">
        <f>B6*(1-B8)</f>
        <v/>
      </c>
      <c r="C11" s="17">
        <f>C6*(1-C8)</f>
        <v/>
      </c>
      <c r="D11" s="17">
        <f>D6*(1-D8)</f>
        <v/>
      </c>
      <c r="E11" s="17">
        <f>E6*(1-E8)</f>
        <v/>
      </c>
      <c r="F11" s="17">
        <f>F6*(1-F8)</f>
        <v/>
      </c>
    </row>
    <row r="12">
      <c r="A12" s="15" t="inlineStr">
        <is>
          <t>COGS ($/case)</t>
        </is>
      </c>
      <c r="B12" s="17">
        <f>'Cost Build-up'!$D$46</f>
        <v/>
      </c>
      <c r="C12" s="17">
        <f>'Cost Build-up'!$D$46</f>
        <v/>
      </c>
      <c r="D12" s="17">
        <f>'Cost Build-up'!$D$46</f>
        <v/>
      </c>
      <c r="E12" s="17">
        <f>'Cost Build-up'!$D$46</f>
        <v/>
      </c>
      <c r="F12" s="17">
        <f>'Cost Build-up'!$D$46</f>
        <v/>
      </c>
    </row>
    <row r="13">
      <c r="A13" s="15" t="inlineStr">
        <is>
          <t>Organika GP ($/case)</t>
        </is>
      </c>
      <c r="B13" s="17">
        <f>B11-B12</f>
        <v/>
      </c>
      <c r="C13" s="17">
        <f>C11-C12</f>
        <v/>
      </c>
      <c r="D13" s="17">
        <f>D11-D12</f>
        <v/>
      </c>
      <c r="E13" s="17">
        <f>E11-E12</f>
        <v/>
      </c>
      <c r="F13" s="17">
        <f>F11-F12</f>
        <v/>
      </c>
    </row>
    <row r="14">
      <c r="A14" s="51" t="inlineStr">
        <is>
          <t>Organika GP %</t>
        </is>
      </c>
      <c r="B14" s="32">
        <f>IFERROR(B13/B11,"-")</f>
        <v/>
      </c>
      <c r="C14" s="32">
        <f>IFERROR(C13/C11,"-")</f>
        <v/>
      </c>
      <c r="D14" s="32">
        <f>IFERROR(D13/D11,"-")</f>
        <v/>
      </c>
      <c r="E14" s="32">
        <f>IFERROR(E13/E11,"-")</f>
        <v/>
      </c>
      <c r="F14" s="32">
        <f>IFERROR(F13/F11,"-")</f>
        <v/>
      </c>
    </row>
    <row r="15">
      <c r="A15" s="51" t="inlineStr">
        <is>
          <t>Customer margin %</t>
        </is>
      </c>
      <c r="B15" s="32">
        <f>IFERROR((B7-B6)/B7,"-")</f>
        <v/>
      </c>
      <c r="C15" s="32">
        <f>IFERROR((C7-C6)/C7,"-")</f>
        <v/>
      </c>
      <c r="D15" s="32">
        <f>IFERROR((D7-D6)/D7,"-")</f>
        <v/>
      </c>
      <c r="E15" s="32">
        <f>IFERROR((E7-E6)/E7,"-")</f>
        <v/>
      </c>
      <c r="F15" s="32">
        <f>IFERROR((F7-F6)/F7,"-")</f>
        <v/>
      </c>
    </row>
    <row r="16">
      <c r="A16" s="15" t="inlineStr">
        <is>
          <t>CAAP ($/case)</t>
        </is>
      </c>
      <c r="B16" s="17">
        <f>B13-B10</f>
        <v/>
      </c>
      <c r="C16" s="17">
        <f>C13-C10</f>
        <v/>
      </c>
      <c r="D16" s="17">
        <f>D13-D10</f>
        <v/>
      </c>
      <c r="E16" s="17">
        <f>E13-E10</f>
        <v/>
      </c>
      <c r="F16" s="17">
        <f>F13-F10</f>
        <v/>
      </c>
    </row>
    <row r="17">
      <c r="A17" s="25" t="inlineStr">
        <is>
          <t>— per-pack &amp; period —</t>
        </is>
      </c>
    </row>
    <row r="18">
      <c r="A18" s="15" t="inlineStr">
        <is>
          <t>CP / 4-pack</t>
        </is>
      </c>
      <c r="B18" s="17">
        <f>B6/6</f>
        <v/>
      </c>
      <c r="C18" s="17">
        <f>C6/6</f>
        <v/>
      </c>
      <c r="D18" s="17">
        <f>D6/6</f>
        <v/>
      </c>
      <c r="E18" s="17">
        <f>E6/6</f>
        <v/>
      </c>
      <c r="F18" s="17">
        <f>F6/6</f>
        <v/>
      </c>
    </row>
    <row r="19">
      <c r="A19" s="15" t="inlineStr">
        <is>
          <t>MSRP / 4-pack</t>
        </is>
      </c>
      <c r="B19" s="17">
        <f>B7/6</f>
        <v/>
      </c>
      <c r="C19" s="17">
        <f>C7/6</f>
        <v/>
      </c>
      <c r="D19" s="17">
        <f>D7/6</f>
        <v/>
      </c>
      <c r="E19" s="17">
        <f>E7/6</f>
        <v/>
      </c>
      <c r="F19" s="17">
        <f>F7/6</f>
        <v/>
      </c>
    </row>
    <row r="20">
      <c r="A20" s="15" t="inlineStr">
        <is>
          <t>Net sales — period ($)</t>
        </is>
      </c>
      <c r="B20" s="18">
        <f>B11*B9</f>
        <v/>
      </c>
      <c r="C20" s="18">
        <f>C11*C9</f>
        <v/>
      </c>
      <c r="D20" s="18">
        <f>D11*D9</f>
        <v/>
      </c>
      <c r="E20" s="18">
        <f>E11*E9</f>
        <v/>
      </c>
      <c r="F20" s="18">
        <f>F11*F9</f>
        <v/>
      </c>
    </row>
    <row r="21">
      <c r="A21" s="15" t="inlineStr">
        <is>
          <t>Gross profit — period ($)</t>
        </is>
      </c>
      <c r="B21" s="18">
        <f>B13*B9</f>
        <v/>
      </c>
      <c r="C21" s="18">
        <f>C13*C9</f>
        <v/>
      </c>
      <c r="D21" s="18">
        <f>D13*D9</f>
        <v/>
      </c>
      <c r="E21" s="18">
        <f>E13*E9</f>
        <v/>
      </c>
      <c r="F21" s="18">
        <f>F13*F9</f>
        <v/>
      </c>
    </row>
    <row r="22">
      <c r="A22" s="15" t="inlineStr">
        <is>
          <t>CAAP — period ($)</t>
        </is>
      </c>
      <c r="B22" s="18">
        <f>B16*B9</f>
        <v/>
      </c>
      <c r="C22" s="18">
        <f>C16*C9</f>
        <v/>
      </c>
      <c r="D22" s="18">
        <f>D16*D9</f>
        <v/>
      </c>
      <c r="E22" s="18">
        <f>E16*E9</f>
        <v/>
      </c>
      <c r="F22" s="18">
        <f>F16*F9</f>
        <v/>
      </c>
    </row>
    <row r="24">
      <c r="A24" s="13" t="inlineStr">
        <is>
          <t>PRICE SENSITIVITY — Organika margin as CP varies</t>
        </is>
      </c>
    </row>
    <row r="25">
      <c r="A25" s="52" t="inlineStr">
        <is>
          <t>CP start ($/case)</t>
        </is>
      </c>
      <c r="B25" s="36" t="n">
        <v>48</v>
      </c>
      <c r="C25" s="52" t="inlineStr">
        <is>
          <t>step ($)</t>
        </is>
      </c>
      <c r="D25" s="36" t="n">
        <v>4</v>
      </c>
      <c r="E25" s="52" t="inlineStr">
        <is>
          <t>ref MSRP ($/case)</t>
        </is>
      </c>
      <c r="F25" s="36" t="n">
        <v>96</v>
      </c>
      <c r="G25" s="52" t="inlineStr">
        <is>
          <t>promo %</t>
        </is>
      </c>
      <c r="H25" s="35" t="n">
        <v>0</v>
      </c>
    </row>
    <row r="26">
      <c r="A26" s="41" t="inlineStr">
        <is>
          <t>CP /case</t>
        </is>
      </c>
      <c r="B26" s="41" t="inlineStr">
        <is>
          <t>CP /4-pack</t>
        </is>
      </c>
      <c r="C26" s="41" t="inlineStr">
        <is>
          <t>Net /case</t>
        </is>
      </c>
      <c r="D26" s="41" t="inlineStr">
        <is>
          <t>COGS /case</t>
        </is>
      </c>
      <c r="E26" s="41" t="inlineStr">
        <is>
          <t>GP /case</t>
        </is>
      </c>
      <c r="F26" s="41" t="inlineStr">
        <is>
          <t>GP %</t>
        </is>
      </c>
      <c r="G26" s="41" t="inlineStr">
        <is>
          <t>Cust margin %</t>
        </is>
      </c>
    </row>
    <row r="27">
      <c r="A27" s="17">
        <f>$B$25+0*$D$25</f>
        <v/>
      </c>
      <c r="B27" s="17">
        <f>A27/6</f>
        <v/>
      </c>
      <c r="C27" s="17">
        <f>A27*(1-$H$25)</f>
        <v/>
      </c>
      <c r="D27" s="17">
        <f>'Cost Build-up'!$D$46</f>
        <v/>
      </c>
      <c r="E27" s="17">
        <f>C27-D27</f>
        <v/>
      </c>
      <c r="F27" s="21">
        <f>IFERROR(E27/C27,"-")</f>
        <v/>
      </c>
      <c r="G27" s="21">
        <f>IFERROR(($F$25-A27)/$F$25,"-")</f>
        <v/>
      </c>
    </row>
    <row r="28">
      <c r="A28" s="17">
        <f>$B$25+1*$D$25</f>
        <v/>
      </c>
      <c r="B28" s="17">
        <f>A28/6</f>
        <v/>
      </c>
      <c r="C28" s="17">
        <f>A28*(1-$H$25)</f>
        <v/>
      </c>
      <c r="D28" s="17">
        <f>'Cost Build-up'!$D$46</f>
        <v/>
      </c>
      <c r="E28" s="17">
        <f>C28-D28</f>
        <v/>
      </c>
      <c r="F28" s="21">
        <f>IFERROR(E28/C28,"-")</f>
        <v/>
      </c>
      <c r="G28" s="21">
        <f>IFERROR(($F$25-A28)/$F$25,"-")</f>
        <v/>
      </c>
    </row>
    <row r="29">
      <c r="A29" s="17">
        <f>$B$25+2*$D$25</f>
        <v/>
      </c>
      <c r="B29" s="17">
        <f>A29/6</f>
        <v/>
      </c>
      <c r="C29" s="17">
        <f>A29*(1-$H$25)</f>
        <v/>
      </c>
      <c r="D29" s="17">
        <f>'Cost Build-up'!$D$46</f>
        <v/>
      </c>
      <c r="E29" s="17">
        <f>C29-D29</f>
        <v/>
      </c>
      <c r="F29" s="21">
        <f>IFERROR(E29/C29,"-")</f>
        <v/>
      </c>
      <c r="G29" s="21">
        <f>IFERROR(($F$25-A29)/$F$25,"-")</f>
        <v/>
      </c>
    </row>
    <row r="30">
      <c r="A30" s="17">
        <f>$B$25+3*$D$25</f>
        <v/>
      </c>
      <c r="B30" s="17">
        <f>A30/6</f>
        <v/>
      </c>
      <c r="C30" s="17">
        <f>A30*(1-$H$25)</f>
        <v/>
      </c>
      <c r="D30" s="17">
        <f>'Cost Build-up'!$D$46</f>
        <v/>
      </c>
      <c r="E30" s="17">
        <f>C30-D30</f>
        <v/>
      </c>
      <c r="F30" s="21">
        <f>IFERROR(E30/C30,"-")</f>
        <v/>
      </c>
      <c r="G30" s="21">
        <f>IFERROR(($F$25-A30)/$F$25,"-")</f>
        <v/>
      </c>
    </row>
    <row r="31">
      <c r="A31" s="17">
        <f>$B$25+4*$D$25</f>
        <v/>
      </c>
      <c r="B31" s="17">
        <f>A31/6</f>
        <v/>
      </c>
      <c r="C31" s="17">
        <f>A31*(1-$H$25)</f>
        <v/>
      </c>
      <c r="D31" s="17">
        <f>'Cost Build-up'!$D$46</f>
        <v/>
      </c>
      <c r="E31" s="17">
        <f>C31-D31</f>
        <v/>
      </c>
      <c r="F31" s="21">
        <f>IFERROR(E31/C31,"-")</f>
        <v/>
      </c>
      <c r="G31" s="21">
        <f>IFERROR(($F$25-A31)/$F$25,"-")</f>
        <v/>
      </c>
    </row>
    <row r="32">
      <c r="A32" s="17">
        <f>$B$25+5*$D$25</f>
        <v/>
      </c>
      <c r="B32" s="17">
        <f>A32/6</f>
        <v/>
      </c>
      <c r="C32" s="17">
        <f>A32*(1-$H$25)</f>
        <v/>
      </c>
      <c r="D32" s="17">
        <f>'Cost Build-up'!$D$46</f>
        <v/>
      </c>
      <c r="E32" s="17">
        <f>C32-D32</f>
        <v/>
      </c>
      <c r="F32" s="21">
        <f>IFERROR(E32/C32,"-")</f>
        <v/>
      </c>
      <c r="G32" s="21">
        <f>IFERROR(($F$25-A32)/$F$25,"-")</f>
        <v/>
      </c>
    </row>
    <row r="33">
      <c r="A33" s="17">
        <f>$B$25+6*$D$25</f>
        <v/>
      </c>
      <c r="B33" s="17">
        <f>A33/6</f>
        <v/>
      </c>
      <c r="C33" s="17">
        <f>A33*(1-$H$25)</f>
        <v/>
      </c>
      <c r="D33" s="17">
        <f>'Cost Build-up'!$D$46</f>
        <v/>
      </c>
      <c r="E33" s="17">
        <f>C33-D33</f>
        <v/>
      </c>
      <c r="F33" s="21">
        <f>IFERROR(E33/C33,"-")</f>
        <v/>
      </c>
      <c r="G33" s="21">
        <f>IFERROR(($F$25-A33)/$F$25,"-")</f>
        <v/>
      </c>
    </row>
    <row r="34">
      <c r="A34" s="17">
        <f>$B$25+7*$D$25</f>
        <v/>
      </c>
      <c r="B34" s="17">
        <f>A34/6</f>
        <v/>
      </c>
      <c r="C34" s="17">
        <f>A34*(1-$H$25)</f>
        <v/>
      </c>
      <c r="D34" s="17">
        <f>'Cost Build-up'!$D$46</f>
        <v/>
      </c>
      <c r="E34" s="17">
        <f>C34-D34</f>
        <v/>
      </c>
      <c r="F34" s="21">
        <f>IFERROR(E34/C34,"-")</f>
        <v/>
      </c>
      <c r="G34" s="21">
        <f>IFERROR(($F$25-A34)/$F$25,"-")</f>
        <v/>
      </c>
    </row>
    <row r="35">
      <c r="A35" s="17">
        <f>$B$25+8*$D$25</f>
        <v/>
      </c>
      <c r="B35" s="17">
        <f>A35/6</f>
        <v/>
      </c>
      <c r="C35" s="17">
        <f>A35*(1-$H$25)</f>
        <v/>
      </c>
      <c r="D35" s="17">
        <f>'Cost Build-up'!$D$46</f>
        <v/>
      </c>
      <c r="E35" s="17">
        <f>C35-D35</f>
        <v/>
      </c>
      <c r="F35" s="21">
        <f>IFERROR(E35/C35,"-")</f>
        <v/>
      </c>
      <c r="G35" s="21">
        <f>IFERROR(($F$25-A35)/$F$25,"-")</f>
        <v/>
      </c>
    </row>
    <row r="36">
      <c r="A36" s="17">
        <f>$B$25+9*$D$25</f>
        <v/>
      </c>
      <c r="B36" s="17">
        <f>A36/6</f>
        <v/>
      </c>
      <c r="C36" s="17">
        <f>A36*(1-$H$25)</f>
        <v/>
      </c>
      <c r="D36" s="17">
        <f>'Cost Build-up'!$D$46</f>
        <v/>
      </c>
      <c r="E36" s="17">
        <f>C36-D36</f>
        <v/>
      </c>
      <c r="F36" s="21">
        <f>IFERROR(E36/C36,"-")</f>
        <v/>
      </c>
      <c r="G36" s="21">
        <f>IFERROR(($F$25-A36)/$F$25,"-")</f>
        <v/>
      </c>
    </row>
    <row r="39">
      <c r="A39" s="13" t="inlineStr">
        <is>
          <t>CUSTOMER (RETAILER) MARGIN %  —  CP (down) × MSRP (across)</t>
        </is>
      </c>
    </row>
    <row r="40">
      <c r="A40" s="53" t="inlineStr">
        <is>
          <t>CP ↓  /  MSRP →</t>
        </is>
      </c>
      <c r="B40" s="36" t="n">
        <v>84</v>
      </c>
      <c r="C40" s="36" t="n">
        <v>90</v>
      </c>
      <c r="D40" s="36" t="n">
        <v>96</v>
      </c>
      <c r="E40" s="36" t="n">
        <v>102</v>
      </c>
      <c r="F40" s="36" t="n">
        <v>108</v>
      </c>
      <c r="G40" s="36" t="n">
        <v>114</v>
      </c>
      <c r="H40" s="36" t="n">
        <v>120</v>
      </c>
    </row>
    <row r="41">
      <c r="A41" s="17">
        <f>$B$25+0*$D$25</f>
        <v/>
      </c>
      <c r="B41" s="21">
        <f>IFERROR((B$40-$A41)/B$40,"-")</f>
        <v/>
      </c>
      <c r="C41" s="21">
        <f>IFERROR((C$40-$A41)/C$40,"-")</f>
        <v/>
      </c>
      <c r="D41" s="21">
        <f>IFERROR((D$40-$A41)/D$40,"-")</f>
        <v/>
      </c>
      <c r="E41" s="21">
        <f>IFERROR((E$40-$A41)/E$40,"-")</f>
        <v/>
      </c>
      <c r="F41" s="21">
        <f>IFERROR((F$40-$A41)/F$40,"-")</f>
        <v/>
      </c>
      <c r="G41" s="21">
        <f>IFERROR((G$40-$A41)/G$40,"-")</f>
        <v/>
      </c>
      <c r="H41" s="21">
        <f>IFERROR((H$40-$A41)/H$40,"-")</f>
        <v/>
      </c>
    </row>
    <row r="42">
      <c r="A42" s="17">
        <f>$B$25+1*$D$25</f>
        <v/>
      </c>
      <c r="B42" s="21">
        <f>IFERROR((B$40-$A42)/B$40,"-")</f>
        <v/>
      </c>
      <c r="C42" s="21">
        <f>IFERROR((C$40-$A42)/C$40,"-")</f>
        <v/>
      </c>
      <c r="D42" s="21">
        <f>IFERROR((D$40-$A42)/D$40,"-")</f>
        <v/>
      </c>
      <c r="E42" s="21">
        <f>IFERROR((E$40-$A42)/E$40,"-")</f>
        <v/>
      </c>
      <c r="F42" s="21">
        <f>IFERROR((F$40-$A42)/F$40,"-")</f>
        <v/>
      </c>
      <c r="G42" s="21">
        <f>IFERROR((G$40-$A42)/G$40,"-")</f>
        <v/>
      </c>
      <c r="H42" s="21">
        <f>IFERROR((H$40-$A42)/H$40,"-")</f>
        <v/>
      </c>
    </row>
    <row r="43">
      <c r="A43" s="17">
        <f>$B$25+2*$D$25</f>
        <v/>
      </c>
      <c r="B43" s="21">
        <f>IFERROR((B$40-$A43)/B$40,"-")</f>
        <v/>
      </c>
      <c r="C43" s="21">
        <f>IFERROR((C$40-$A43)/C$40,"-")</f>
        <v/>
      </c>
      <c r="D43" s="21">
        <f>IFERROR((D$40-$A43)/D$40,"-")</f>
        <v/>
      </c>
      <c r="E43" s="21">
        <f>IFERROR((E$40-$A43)/E$40,"-")</f>
        <v/>
      </c>
      <c r="F43" s="21">
        <f>IFERROR((F$40-$A43)/F$40,"-")</f>
        <v/>
      </c>
      <c r="G43" s="21">
        <f>IFERROR((G$40-$A43)/G$40,"-")</f>
        <v/>
      </c>
      <c r="H43" s="21">
        <f>IFERROR((H$40-$A43)/H$40,"-")</f>
        <v/>
      </c>
    </row>
    <row r="44">
      <c r="A44" s="17">
        <f>$B$25+3*$D$25</f>
        <v/>
      </c>
      <c r="B44" s="21">
        <f>IFERROR((B$40-$A44)/B$40,"-")</f>
        <v/>
      </c>
      <c r="C44" s="21">
        <f>IFERROR((C$40-$A44)/C$40,"-")</f>
        <v/>
      </c>
      <c r="D44" s="21">
        <f>IFERROR((D$40-$A44)/D$40,"-")</f>
        <v/>
      </c>
      <c r="E44" s="21">
        <f>IFERROR((E$40-$A44)/E$40,"-")</f>
        <v/>
      </c>
      <c r="F44" s="21">
        <f>IFERROR((F$40-$A44)/F$40,"-")</f>
        <v/>
      </c>
      <c r="G44" s="21">
        <f>IFERROR((G$40-$A44)/G$40,"-")</f>
        <v/>
      </c>
      <c r="H44" s="21">
        <f>IFERROR((H$40-$A44)/H$40,"-")</f>
        <v/>
      </c>
    </row>
    <row r="45">
      <c r="A45" s="17">
        <f>$B$25+4*$D$25</f>
        <v/>
      </c>
      <c r="B45" s="21">
        <f>IFERROR((B$40-$A45)/B$40,"-")</f>
        <v/>
      </c>
      <c r="C45" s="21">
        <f>IFERROR((C$40-$A45)/C$40,"-")</f>
        <v/>
      </c>
      <c r="D45" s="21">
        <f>IFERROR((D$40-$A45)/D$40,"-")</f>
        <v/>
      </c>
      <c r="E45" s="21">
        <f>IFERROR((E$40-$A45)/E$40,"-")</f>
        <v/>
      </c>
      <c r="F45" s="21">
        <f>IFERROR((F$40-$A45)/F$40,"-")</f>
        <v/>
      </c>
      <c r="G45" s="21">
        <f>IFERROR((G$40-$A45)/G$40,"-")</f>
        <v/>
      </c>
      <c r="H45" s="21">
        <f>IFERROR((H$40-$A45)/H$40,"-")</f>
        <v/>
      </c>
    </row>
    <row r="46">
      <c r="A46" s="17">
        <f>$B$25+5*$D$25</f>
        <v/>
      </c>
      <c r="B46" s="21">
        <f>IFERROR((B$40-$A46)/B$40,"-")</f>
        <v/>
      </c>
      <c r="C46" s="21">
        <f>IFERROR((C$40-$A46)/C$40,"-")</f>
        <v/>
      </c>
      <c r="D46" s="21">
        <f>IFERROR((D$40-$A46)/D$40,"-")</f>
        <v/>
      </c>
      <c r="E46" s="21">
        <f>IFERROR((E$40-$A46)/E$40,"-")</f>
        <v/>
      </c>
      <c r="F46" s="21">
        <f>IFERROR((F$40-$A46)/F$40,"-")</f>
        <v/>
      </c>
      <c r="G46" s="21">
        <f>IFERROR((G$40-$A46)/G$40,"-")</f>
        <v/>
      </c>
      <c r="H46" s="21">
        <f>IFERROR((H$40-$A46)/H$40,"-")</f>
        <v/>
      </c>
    </row>
    <row r="47">
      <c r="A47" s="17">
        <f>$B$25+6*$D$25</f>
        <v/>
      </c>
      <c r="B47" s="21">
        <f>IFERROR((B$40-$A47)/B$40,"-")</f>
        <v/>
      </c>
      <c r="C47" s="21">
        <f>IFERROR((C$40-$A47)/C$40,"-")</f>
        <v/>
      </c>
      <c r="D47" s="21">
        <f>IFERROR((D$40-$A47)/D$40,"-")</f>
        <v/>
      </c>
      <c r="E47" s="21">
        <f>IFERROR((E$40-$A47)/E$40,"-")</f>
        <v/>
      </c>
      <c r="F47" s="21">
        <f>IFERROR((F$40-$A47)/F$40,"-")</f>
        <v/>
      </c>
      <c r="G47" s="21">
        <f>IFERROR((G$40-$A47)/G$40,"-")</f>
        <v/>
      </c>
      <c r="H47" s="21">
        <f>IFERROR((H$40-$A47)/H$40,"-")</f>
        <v/>
      </c>
    </row>
    <row r="48">
      <c r="A48" s="17">
        <f>$B$25+7*$D$25</f>
        <v/>
      </c>
      <c r="B48" s="21">
        <f>IFERROR((B$40-$A48)/B$40,"-")</f>
        <v/>
      </c>
      <c r="C48" s="21">
        <f>IFERROR((C$40-$A48)/C$40,"-")</f>
        <v/>
      </c>
      <c r="D48" s="21">
        <f>IFERROR((D$40-$A48)/D$40,"-")</f>
        <v/>
      </c>
      <c r="E48" s="21">
        <f>IFERROR((E$40-$A48)/E$40,"-")</f>
        <v/>
      </c>
      <c r="F48" s="21">
        <f>IFERROR((F$40-$A48)/F$40,"-")</f>
        <v/>
      </c>
      <c r="G48" s="21">
        <f>IFERROR((G$40-$A48)/G$40,"-")</f>
        <v/>
      </c>
      <c r="H48" s="21">
        <f>IFERROR((H$40-$A48)/H$40,"-")</f>
        <v/>
      </c>
    </row>
  </sheetData>
  <mergeCells count="5">
    <mergeCell ref="A39:H39"/>
    <mergeCell ref="A2:H2"/>
    <mergeCell ref="A24:G24"/>
    <mergeCell ref="A4:F4"/>
    <mergeCell ref="A1:H1"/>
  </mergeCells>
  <conditionalFormatting sqref="B14:F14">
    <cfRule type="colorScale" priority="1">
      <colorScale>
        <cfvo type="num" val="0"/>
        <cfvo type="num" val="0.35"/>
        <cfvo type="num" val="0.7"/>
        <color rgb="00F8696B"/>
        <color rgb="00FFEB84"/>
        <color rgb="0063BE7B"/>
      </colorScale>
    </cfRule>
  </conditionalFormatting>
  <conditionalFormatting sqref="B15:F15">
    <cfRule type="colorScale" priority="2">
      <colorScale>
        <cfvo type="num" val="0"/>
        <cfvo type="num" val="0.35"/>
        <cfvo type="num" val="0.7"/>
        <color rgb="00F8696B"/>
        <color rgb="00FFEB84"/>
        <color rgb="0063BE7B"/>
      </colorScale>
    </cfRule>
  </conditionalFormatting>
  <conditionalFormatting sqref="F27:F36">
    <cfRule type="colorScale" priority="3">
      <colorScale>
        <cfvo type="num" val="0"/>
        <cfvo type="num" val="0.35"/>
        <cfvo type="num" val="0.7"/>
        <color rgb="00F8696B"/>
        <color rgb="00FFEB84"/>
        <color rgb="0063BE7B"/>
      </colorScale>
    </cfRule>
  </conditionalFormatting>
  <conditionalFormatting sqref="G27:G36">
    <cfRule type="colorScale" priority="4">
      <colorScale>
        <cfvo type="num" val="0"/>
        <cfvo type="num" val="0.35"/>
        <cfvo type="num" val="0.7"/>
        <color rgb="00F8696B"/>
        <color rgb="00FFEB84"/>
        <color rgb="0063BE7B"/>
      </colorScale>
    </cfRule>
  </conditionalFormatting>
  <conditionalFormatting sqref="B41:H48">
    <cfRule type="colorScale" priority="5">
      <colorScale>
        <cfvo type="num" val="0"/>
        <cfvo type="num" val="0.3"/>
        <cfvo type="num" val="0.5"/>
        <color rgb="00F8696B"/>
        <color rgb="00FFEB84"/>
        <color rgb="0063BE7B"/>
      </colorScale>
    </cfRule>
  </conditionalFormatting>
  <printOptions horizontalCentered="1"/>
  <pageMargins left="0.75" right="0.75" top="1" bottom="1" header="0.5" footer="0.5"/>
  <pageSetup orientation="landscape" fitToHeight="0" fitToWidth="1"/>
  <headerFooter>
    <oddHeader/>
    <oddFooter>&amp;C&amp;8 &amp;F  |  &amp;A  | 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E2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7.75" customHeight="1">
      <c r="A1" s="11" t="inlineStr">
        <is>
          <t>ORGANIKA RTD — BLENDED (all channels)</t>
        </is>
      </c>
    </row>
    <row r="2">
      <c r="A2" s="12" t="inlineStr">
        <is>
          <t>CDN $ | Volume-weighted average across all 11 channels | per case = 24 cans | Aug 1 – Nov 1, 2026</t>
        </is>
      </c>
    </row>
    <row r="4" ht="28" customHeight="1">
      <c r="A4" s="47" t="inlineStr">
        <is>
          <t>CDN $</t>
        </is>
      </c>
      <c r="B4" s="54" t="inlineStr">
        <is>
          <t>Lime Lemon</t>
        </is>
      </c>
      <c r="C4" s="54" t="inlineStr">
        <is>
          <t>Passion Fruit Pineapple</t>
        </is>
      </c>
      <c r="D4" s="54" t="inlineStr">
        <is>
          <t>Raspberry</t>
        </is>
      </c>
      <c r="E4" s="55" t="inlineStr">
        <is>
          <t>TOTAL</t>
        </is>
      </c>
    </row>
    <row r="6">
      <c r="A6" s="13" t="inlineStr">
        <is>
          <t>PERIOD TOTALS (Aug 1 – Nov 1)</t>
        </is>
      </c>
    </row>
    <row r="7">
      <c r="A7" s="15" t="inlineStr">
        <is>
          <t>Physical Cases</t>
        </is>
      </c>
      <c r="B7" s="16">
        <f>'Lime Lemon'!M9</f>
        <v/>
      </c>
      <c r="C7" s="16">
        <f>'Passion Fruit Pineapple'!M9</f>
        <v/>
      </c>
      <c r="D7" s="16">
        <f>'Raspberry'!M9</f>
        <v/>
      </c>
      <c r="E7" s="16">
        <f>'TTL ORGANIKA RTD'!M9</f>
        <v/>
      </c>
    </row>
    <row r="8">
      <c r="A8" s="15" t="inlineStr">
        <is>
          <t>Gross Revenue</t>
        </is>
      </c>
      <c r="B8" s="18">
        <f>'Lime Lemon'!M10</f>
        <v/>
      </c>
      <c r="C8" s="18">
        <f>'Passion Fruit Pineapple'!M10</f>
        <v/>
      </c>
      <c r="D8" s="18">
        <f>'Raspberry'!M10</f>
        <v/>
      </c>
      <c r="E8" s="18">
        <f>'TTL ORGANIKA RTD'!M10</f>
        <v/>
      </c>
    </row>
    <row r="9">
      <c r="A9" s="15" t="inlineStr">
        <is>
          <t>Discounts</t>
        </is>
      </c>
      <c r="B9" s="18">
        <f>'Lime Lemon'!M11</f>
        <v/>
      </c>
      <c r="C9" s="18">
        <f>'Passion Fruit Pineapple'!M11</f>
        <v/>
      </c>
      <c r="D9" s="18">
        <f>'Raspberry'!M11</f>
        <v/>
      </c>
      <c r="E9" s="18">
        <f>'TTL ORGANIKA RTD'!M11</f>
        <v/>
      </c>
    </row>
    <row r="10">
      <c r="A10" s="15" t="inlineStr">
        <is>
          <t>Net Sales</t>
        </is>
      </c>
      <c r="B10" s="18">
        <f>'Lime Lemon'!M12</f>
        <v/>
      </c>
      <c r="C10" s="18">
        <f>'Passion Fruit Pineapple'!M12</f>
        <v/>
      </c>
      <c r="D10" s="18">
        <f>'Raspberry'!M12</f>
        <v/>
      </c>
      <c r="E10" s="18">
        <f>'TTL ORGANIKA RTD'!M12</f>
        <v/>
      </c>
    </row>
    <row r="11">
      <c r="A11" s="15" t="inlineStr">
        <is>
          <t xml:space="preserve">    COGS Direct</t>
        </is>
      </c>
      <c r="B11" s="18">
        <f>'Lime Lemon'!M13</f>
        <v/>
      </c>
      <c r="C11" s="18">
        <f>'Passion Fruit Pineapple'!M13</f>
        <v/>
      </c>
      <c r="D11" s="18">
        <f>'Raspberry'!M13</f>
        <v/>
      </c>
      <c r="E11" s="18">
        <f>'TTL ORGANIKA RTD'!M13</f>
        <v/>
      </c>
    </row>
    <row r="12">
      <c r="A12" s="15" t="inlineStr">
        <is>
          <t xml:space="preserve">    COGS Indirect</t>
        </is>
      </c>
      <c r="B12" s="18">
        <f>'Lime Lemon'!M14</f>
        <v/>
      </c>
      <c r="C12" s="18">
        <f>'Passion Fruit Pineapple'!M14</f>
        <v/>
      </c>
      <c r="D12" s="18">
        <f>'Raspberry'!M14</f>
        <v/>
      </c>
      <c r="E12" s="18">
        <f>'TTL ORGANIKA RTD'!M14</f>
        <v/>
      </c>
    </row>
    <row r="13">
      <c r="A13" s="15" t="inlineStr">
        <is>
          <t>Cost of Sales</t>
        </is>
      </c>
      <c r="B13" s="18">
        <f>'Lime Lemon'!M15</f>
        <v/>
      </c>
      <c r="C13" s="18">
        <f>'Passion Fruit Pineapple'!M15</f>
        <v/>
      </c>
      <c r="D13" s="18">
        <f>'Raspberry'!M15</f>
        <v/>
      </c>
      <c r="E13" s="18">
        <f>'TTL ORGANIKA RTD'!M15</f>
        <v/>
      </c>
    </row>
    <row r="14">
      <c r="A14" s="15" t="inlineStr">
        <is>
          <t>Gross Profit</t>
        </is>
      </c>
      <c r="B14" s="18">
        <f>'Lime Lemon'!M16</f>
        <v/>
      </c>
      <c r="C14" s="18">
        <f>'Passion Fruit Pineapple'!M16</f>
        <v/>
      </c>
      <c r="D14" s="18">
        <f>'Raspberry'!M16</f>
        <v/>
      </c>
      <c r="E14" s="18">
        <f>'TTL ORGANIKA RTD'!M16</f>
        <v/>
      </c>
    </row>
    <row r="15">
      <c r="A15" s="19" t="inlineStr">
        <is>
          <t>GP %</t>
        </is>
      </c>
      <c r="B15" s="32">
        <f>'Lime Lemon'!M17</f>
        <v/>
      </c>
      <c r="C15" s="32">
        <f>'Passion Fruit Pineapple'!M17</f>
        <v/>
      </c>
      <c r="D15" s="32">
        <f>'Raspberry'!M17</f>
        <v/>
      </c>
      <c r="E15" s="32">
        <f>'TTL ORGANIKA RTD'!M17</f>
        <v/>
      </c>
    </row>
    <row r="16">
      <c r="A16" s="15" t="inlineStr">
        <is>
          <t>A&amp;P</t>
        </is>
      </c>
      <c r="B16" s="18">
        <f>'Lime Lemon'!M22</f>
        <v/>
      </c>
      <c r="C16" s="18">
        <f>'Passion Fruit Pineapple'!M22</f>
        <v/>
      </c>
      <c r="D16" s="18">
        <f>'Raspberry'!M22</f>
        <v/>
      </c>
      <c r="E16" s="18">
        <f>'TTL ORGANIKA RTD'!M22</f>
        <v/>
      </c>
    </row>
    <row r="17">
      <c r="A17" s="15" t="inlineStr">
        <is>
          <t>Contrib After A&amp;P (CAAP)</t>
        </is>
      </c>
      <c r="B17" s="18">
        <f>'Lime Lemon'!M24</f>
        <v/>
      </c>
      <c r="C17" s="18">
        <f>'Passion Fruit Pineapple'!M24</f>
        <v/>
      </c>
      <c r="D17" s="18">
        <f>'Raspberry'!M24</f>
        <v/>
      </c>
      <c r="E17" s="18">
        <f>'TTL ORGANIKA RTD'!M24</f>
        <v/>
      </c>
    </row>
    <row r="19">
      <c r="A19" s="13" t="inlineStr">
        <is>
          <t>BLENDED PER CASE (avg across channels)</t>
        </is>
      </c>
    </row>
    <row r="20">
      <c r="A20" s="15" t="inlineStr">
        <is>
          <t>Gross Rev / case</t>
        </is>
      </c>
      <c r="B20" s="17">
        <f>'Lime Lemon'!M26</f>
        <v/>
      </c>
      <c r="C20" s="17">
        <f>'Passion Fruit Pineapple'!M26</f>
        <v/>
      </c>
      <c r="D20" s="17">
        <f>'Raspberry'!M26</f>
        <v/>
      </c>
      <c r="E20" s="17">
        <f>'TTL ORGANIKA RTD'!M26</f>
        <v/>
      </c>
    </row>
    <row r="21">
      <c r="A21" s="15" t="inlineStr">
        <is>
          <t>Discounts / case</t>
        </is>
      </c>
      <c r="B21" s="17">
        <f>'Lime Lemon'!M27</f>
        <v/>
      </c>
      <c r="C21" s="17">
        <f>'Passion Fruit Pineapple'!M27</f>
        <v/>
      </c>
      <c r="D21" s="17">
        <f>'Raspberry'!M27</f>
        <v/>
      </c>
      <c r="E21" s="17">
        <f>'TTL ORGANIKA RTD'!M27</f>
        <v/>
      </c>
    </row>
    <row r="22">
      <c r="A22" s="15" t="inlineStr">
        <is>
          <t>Net Sales / case</t>
        </is>
      </c>
      <c r="B22" s="17">
        <f>'Lime Lemon'!M28</f>
        <v/>
      </c>
      <c r="C22" s="17">
        <f>'Passion Fruit Pineapple'!M28</f>
        <v/>
      </c>
      <c r="D22" s="17">
        <f>'Raspberry'!M28</f>
        <v/>
      </c>
      <c r="E22" s="17">
        <f>'TTL ORGANIKA RTD'!M28</f>
        <v/>
      </c>
    </row>
    <row r="23">
      <c r="A23" s="15" t="inlineStr">
        <is>
          <t>COGS / case</t>
        </is>
      </c>
      <c r="B23" s="17">
        <f>'Lime Lemon'!M31</f>
        <v/>
      </c>
      <c r="C23" s="17">
        <f>'Passion Fruit Pineapple'!M31</f>
        <v/>
      </c>
      <c r="D23" s="17">
        <f>'Raspberry'!M31</f>
        <v/>
      </c>
      <c r="E23" s="17">
        <f>'TTL ORGANIKA RTD'!M31</f>
        <v/>
      </c>
    </row>
    <row r="24">
      <c r="A24" s="15" t="inlineStr">
        <is>
          <t>Gross Profit / case</t>
        </is>
      </c>
      <c r="B24" s="17">
        <f>'Lime Lemon'!M32</f>
        <v/>
      </c>
      <c r="C24" s="17">
        <f>'Passion Fruit Pineapple'!M32</f>
        <v/>
      </c>
      <c r="D24" s="17">
        <f>'Raspberry'!M32</f>
        <v/>
      </c>
      <c r="E24" s="17">
        <f>'TTL ORGANIKA RTD'!M32</f>
        <v/>
      </c>
    </row>
    <row r="25">
      <c r="A25" s="19" t="inlineStr">
        <is>
          <t>GP %</t>
        </is>
      </c>
      <c r="B25" s="32">
        <f>'Lime Lemon'!M33</f>
        <v/>
      </c>
      <c r="C25" s="32">
        <f>'Passion Fruit Pineapple'!M33</f>
        <v/>
      </c>
      <c r="D25" s="32">
        <f>'Raspberry'!M33</f>
        <v/>
      </c>
      <c r="E25" s="32">
        <f>'TTL ORGANIKA RTD'!M33</f>
        <v/>
      </c>
    </row>
    <row r="26">
      <c r="A26" s="15" t="inlineStr">
        <is>
          <t>A&amp;P / case</t>
        </is>
      </c>
      <c r="B26" s="17">
        <f>'Lime Lemon'!M34</f>
        <v/>
      </c>
      <c r="C26" s="17">
        <f>'Passion Fruit Pineapple'!M34</f>
        <v/>
      </c>
      <c r="D26" s="17">
        <f>'Raspberry'!M34</f>
        <v/>
      </c>
      <c r="E26" s="17">
        <f>'TTL ORGANIKA RTD'!M34</f>
        <v/>
      </c>
    </row>
    <row r="27">
      <c r="A27" s="15" t="inlineStr">
        <is>
          <t>CAAP / case</t>
        </is>
      </c>
      <c r="B27" s="17">
        <f>'Lime Lemon'!M35</f>
        <v/>
      </c>
      <c r="C27" s="17">
        <f>'Passion Fruit Pineapple'!M35</f>
        <v/>
      </c>
      <c r="D27" s="17">
        <f>'Raspberry'!M35</f>
        <v/>
      </c>
      <c r="E27" s="17">
        <f>'TTL ORGANIKA RTD'!M35</f>
        <v/>
      </c>
    </row>
  </sheetData>
  <mergeCells count="4">
    <mergeCell ref="A2:E2"/>
    <mergeCell ref="A6:E6"/>
    <mergeCell ref="A1:E1"/>
    <mergeCell ref="A19:E19"/>
  </mergeCells>
  <conditionalFormatting sqref="B7:E27">
    <cfRule type="cellIs" priority="1" operator="lessThan" dxfId="2">
      <formula>0</formula>
    </cfRule>
  </conditionalFormatting>
  <printOptions horizontalCentered="1"/>
  <pageMargins left="0.75" right="0.75" top="1" bottom="1" header="0.5" footer="0.5"/>
  <pageSetup orientation="landscape" fitToHeight="0" fitToWidth="1"/>
  <headerFooter>
    <oddHeader/>
    <oddFooter>&amp;C&amp;8 &amp;F  |  &amp;A  | 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FF1F3864"/>
    <outlinePr summaryBelow="1" summaryRight="1"/>
    <pageSetUpPr fitToPage="1"/>
  </sheetPr>
  <dimension ref="A1:M35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27.75" customHeight="1">
      <c r="A1" s="11" t="inlineStr">
        <is>
          <t>ORGANIKA RTD — TOTAL (3 SKUs)</t>
        </is>
      </c>
    </row>
    <row r="2" ht="15" customHeight="1">
      <c r="A2" s="12" t="inlineStr">
        <is>
          <t>CDN $ | Per case of 24 cans (6×4×355 ml) | Period: Aug 1 – Nov 1, 2026</t>
        </is>
      </c>
    </row>
    <row r="3" ht="7.5" customHeight="1"/>
    <row r="4" ht="45" customHeight="1">
      <c r="A4" s="56" t="inlineStr">
        <is>
          <t>CDN $</t>
        </is>
      </c>
      <c r="B4" s="54" t="inlineStr">
        <is>
          <t>Shopify</t>
        </is>
      </c>
      <c r="C4" s="54" t="inlineStr">
        <is>
          <t>Amazon</t>
        </is>
      </c>
      <c r="D4" s="54" t="inlineStr">
        <is>
          <t>On-premise</t>
        </is>
      </c>
      <c r="E4" s="54" t="inlineStr">
        <is>
          <t>Retail</t>
        </is>
      </c>
      <c r="F4" s="54" t="inlineStr">
        <is>
          <t>Distributor</t>
        </is>
      </c>
      <c r="G4" s="54" t="inlineStr">
        <is>
          <t>Corporate Office</t>
        </is>
      </c>
      <c r="H4" s="54" t="inlineStr">
        <is>
          <t>Purity Life</t>
        </is>
      </c>
      <c r="I4" s="54" t="inlineStr">
        <is>
          <t>Natural &amp; Specialty Direct</t>
        </is>
      </c>
      <c r="J4" s="54" t="inlineStr">
        <is>
          <t>FDM Direct</t>
        </is>
      </c>
      <c r="K4" s="54" t="inlineStr">
        <is>
          <t>Convenience</t>
        </is>
      </c>
      <c r="L4" s="54" t="inlineStr">
        <is>
          <t>Fitness Centre</t>
        </is>
      </c>
      <c r="M4" s="55" t="inlineStr">
        <is>
          <t>Total</t>
        </is>
      </c>
    </row>
    <row r="5" ht="6" customHeight="1"/>
    <row r="6" ht="13.5" customHeight="1">
      <c r="A6" s="30" t="inlineStr">
        <is>
          <t>⚫ Roll-up of the three SKU tabs — all formulas</t>
        </is>
      </c>
    </row>
    <row r="7" ht="7.5" customHeight="1"/>
    <row r="8" ht="15" customHeight="1">
      <c r="A8" s="13" t="inlineStr">
        <is>
          <t>Organika RTD — All SKUs (Lime Lemon + Passion Fruit Pineapple + Raspberry)</t>
        </is>
      </c>
    </row>
    <row r="9" ht="15" customHeight="1">
      <c r="A9" s="15" t="inlineStr">
        <is>
          <t>Physical Cases</t>
        </is>
      </c>
      <c r="B9" s="16">
        <f>'Lime Lemon'!B9+'Passion Fruit Pineapple'!B9+'Raspberry'!B9</f>
        <v/>
      </c>
      <c r="C9" s="16">
        <f>'Lime Lemon'!C9+'Passion Fruit Pineapple'!C9+'Raspberry'!C9</f>
        <v/>
      </c>
      <c r="D9" s="16">
        <f>'Lime Lemon'!D9+'Passion Fruit Pineapple'!D9+'Raspberry'!D9</f>
        <v/>
      </c>
      <c r="E9" s="16">
        <f>'Lime Lemon'!E9+'Passion Fruit Pineapple'!E9+'Raspberry'!E9</f>
        <v/>
      </c>
      <c r="F9" s="16">
        <f>'Lime Lemon'!F9+'Passion Fruit Pineapple'!F9+'Raspberry'!F9</f>
        <v/>
      </c>
      <c r="G9" s="16">
        <f>'Lime Lemon'!G9+'Passion Fruit Pineapple'!G9+'Raspberry'!G9</f>
        <v/>
      </c>
      <c r="H9" s="16">
        <f>'Lime Lemon'!H9+'Passion Fruit Pineapple'!H9+'Raspberry'!H9</f>
        <v/>
      </c>
      <c r="I9" s="16">
        <f>'Lime Lemon'!I9+'Passion Fruit Pineapple'!I9+'Raspberry'!I9</f>
        <v/>
      </c>
      <c r="J9" s="16">
        <f>'Lime Lemon'!J9+'Passion Fruit Pineapple'!J9+'Raspberry'!J9</f>
        <v/>
      </c>
      <c r="K9" s="16">
        <f>'Lime Lemon'!K9+'Passion Fruit Pineapple'!K9+'Raspberry'!K9</f>
        <v/>
      </c>
      <c r="L9" s="16">
        <f>'Lime Lemon'!L9+'Passion Fruit Pineapple'!L9+'Raspberry'!L9</f>
        <v/>
      </c>
      <c r="M9" s="16">
        <f>SUM(B9:L9)</f>
        <v/>
      </c>
    </row>
    <row r="10" ht="15" customHeight="1">
      <c r="A10" s="15" t="inlineStr">
        <is>
          <t>Gross Revenue</t>
        </is>
      </c>
      <c r="B10" s="18">
        <f>'Lime Lemon'!B10+'Passion Fruit Pineapple'!B10+'Raspberry'!B10</f>
        <v/>
      </c>
      <c r="C10" s="18">
        <f>'Lime Lemon'!C10+'Passion Fruit Pineapple'!C10+'Raspberry'!C10</f>
        <v/>
      </c>
      <c r="D10" s="18">
        <f>'Lime Lemon'!D10+'Passion Fruit Pineapple'!D10+'Raspberry'!D10</f>
        <v/>
      </c>
      <c r="E10" s="18">
        <f>'Lime Lemon'!E10+'Passion Fruit Pineapple'!E10+'Raspberry'!E10</f>
        <v/>
      </c>
      <c r="F10" s="18">
        <f>'Lime Lemon'!F10+'Passion Fruit Pineapple'!F10+'Raspberry'!F10</f>
        <v/>
      </c>
      <c r="G10" s="18">
        <f>'Lime Lemon'!G10+'Passion Fruit Pineapple'!G10+'Raspberry'!G10</f>
        <v/>
      </c>
      <c r="H10" s="18">
        <f>'Lime Lemon'!H10+'Passion Fruit Pineapple'!H10+'Raspberry'!H10</f>
        <v/>
      </c>
      <c r="I10" s="18">
        <f>'Lime Lemon'!I10+'Passion Fruit Pineapple'!I10+'Raspberry'!I10</f>
        <v/>
      </c>
      <c r="J10" s="18">
        <f>'Lime Lemon'!J10+'Passion Fruit Pineapple'!J10+'Raspberry'!J10</f>
        <v/>
      </c>
      <c r="K10" s="18">
        <f>'Lime Lemon'!K10+'Passion Fruit Pineapple'!K10+'Raspberry'!K10</f>
        <v/>
      </c>
      <c r="L10" s="18">
        <f>'Lime Lemon'!L10+'Passion Fruit Pineapple'!L10+'Raspberry'!L10</f>
        <v/>
      </c>
      <c r="M10" s="18">
        <f>SUM(B10:L10)</f>
        <v/>
      </c>
    </row>
    <row r="11" ht="15" customHeight="1">
      <c r="A11" s="15" t="inlineStr">
        <is>
          <t>Discounts</t>
        </is>
      </c>
      <c r="B11" s="18">
        <f>'Lime Lemon'!B11+'Passion Fruit Pineapple'!B11+'Raspberry'!B11</f>
        <v/>
      </c>
      <c r="C11" s="18">
        <f>'Lime Lemon'!C11+'Passion Fruit Pineapple'!C11+'Raspberry'!C11</f>
        <v/>
      </c>
      <c r="D11" s="18">
        <f>'Lime Lemon'!D11+'Passion Fruit Pineapple'!D11+'Raspberry'!D11</f>
        <v/>
      </c>
      <c r="E11" s="18">
        <f>'Lime Lemon'!E11+'Passion Fruit Pineapple'!E11+'Raspberry'!E11</f>
        <v/>
      </c>
      <c r="F11" s="18">
        <f>'Lime Lemon'!F11+'Passion Fruit Pineapple'!F11+'Raspberry'!F11</f>
        <v/>
      </c>
      <c r="G11" s="18">
        <f>'Lime Lemon'!G11+'Passion Fruit Pineapple'!G11+'Raspberry'!G11</f>
        <v/>
      </c>
      <c r="H11" s="18">
        <f>'Lime Lemon'!H11+'Passion Fruit Pineapple'!H11+'Raspberry'!H11</f>
        <v/>
      </c>
      <c r="I11" s="18">
        <f>'Lime Lemon'!I11+'Passion Fruit Pineapple'!I11+'Raspberry'!I11</f>
        <v/>
      </c>
      <c r="J11" s="18">
        <f>'Lime Lemon'!J11+'Passion Fruit Pineapple'!J11+'Raspberry'!J11</f>
        <v/>
      </c>
      <c r="K11" s="18">
        <f>'Lime Lemon'!K11+'Passion Fruit Pineapple'!K11+'Raspberry'!K11</f>
        <v/>
      </c>
      <c r="L11" s="18">
        <f>'Lime Lemon'!L11+'Passion Fruit Pineapple'!L11+'Raspberry'!L11</f>
        <v/>
      </c>
      <c r="M11" s="18">
        <f>SUM(B11:L11)</f>
        <v/>
      </c>
    </row>
    <row r="12" ht="15" customHeight="1">
      <c r="A12" s="15" t="inlineStr">
        <is>
          <t>Net Sales</t>
        </is>
      </c>
      <c r="B12" s="18">
        <f>'Lime Lemon'!B12+'Passion Fruit Pineapple'!B12+'Raspberry'!B12</f>
        <v/>
      </c>
      <c r="C12" s="18">
        <f>'Lime Lemon'!C12+'Passion Fruit Pineapple'!C12+'Raspberry'!C12</f>
        <v/>
      </c>
      <c r="D12" s="18">
        <f>'Lime Lemon'!D12+'Passion Fruit Pineapple'!D12+'Raspberry'!D12</f>
        <v/>
      </c>
      <c r="E12" s="18">
        <f>'Lime Lemon'!E12+'Passion Fruit Pineapple'!E12+'Raspberry'!E12</f>
        <v/>
      </c>
      <c r="F12" s="18">
        <f>'Lime Lemon'!F12+'Passion Fruit Pineapple'!F12+'Raspberry'!F12</f>
        <v/>
      </c>
      <c r="G12" s="18">
        <f>'Lime Lemon'!G12+'Passion Fruit Pineapple'!G12+'Raspberry'!G12</f>
        <v/>
      </c>
      <c r="H12" s="18">
        <f>'Lime Lemon'!H12+'Passion Fruit Pineapple'!H12+'Raspberry'!H12</f>
        <v/>
      </c>
      <c r="I12" s="18">
        <f>'Lime Lemon'!I12+'Passion Fruit Pineapple'!I12+'Raspberry'!I12</f>
        <v/>
      </c>
      <c r="J12" s="18">
        <f>'Lime Lemon'!J12+'Passion Fruit Pineapple'!J12+'Raspberry'!J12</f>
        <v/>
      </c>
      <c r="K12" s="18">
        <f>'Lime Lemon'!K12+'Passion Fruit Pineapple'!K12+'Raspberry'!K12</f>
        <v/>
      </c>
      <c r="L12" s="18">
        <f>'Lime Lemon'!L12+'Passion Fruit Pineapple'!L12+'Raspberry'!L12</f>
        <v/>
      </c>
      <c r="M12" s="18">
        <f>SUM(B12:L12)</f>
        <v/>
      </c>
    </row>
    <row r="13" ht="15" customHeight="1">
      <c r="A13" s="15" t="inlineStr">
        <is>
          <t xml:space="preserve">    COGS Direct</t>
        </is>
      </c>
      <c r="B13" s="18">
        <f>'Lime Lemon'!B13+'Passion Fruit Pineapple'!B13+'Raspberry'!B13</f>
        <v/>
      </c>
      <c r="C13" s="18">
        <f>'Lime Lemon'!C13+'Passion Fruit Pineapple'!C13+'Raspberry'!C13</f>
        <v/>
      </c>
      <c r="D13" s="18">
        <f>'Lime Lemon'!D13+'Passion Fruit Pineapple'!D13+'Raspberry'!D13</f>
        <v/>
      </c>
      <c r="E13" s="18">
        <f>'Lime Lemon'!E13+'Passion Fruit Pineapple'!E13+'Raspberry'!E13</f>
        <v/>
      </c>
      <c r="F13" s="18">
        <f>'Lime Lemon'!F13+'Passion Fruit Pineapple'!F13+'Raspberry'!F13</f>
        <v/>
      </c>
      <c r="G13" s="18">
        <f>'Lime Lemon'!G13+'Passion Fruit Pineapple'!G13+'Raspberry'!G13</f>
        <v/>
      </c>
      <c r="H13" s="18">
        <f>'Lime Lemon'!H13+'Passion Fruit Pineapple'!H13+'Raspberry'!H13</f>
        <v/>
      </c>
      <c r="I13" s="18">
        <f>'Lime Lemon'!I13+'Passion Fruit Pineapple'!I13+'Raspberry'!I13</f>
        <v/>
      </c>
      <c r="J13" s="18">
        <f>'Lime Lemon'!J13+'Passion Fruit Pineapple'!J13+'Raspberry'!J13</f>
        <v/>
      </c>
      <c r="K13" s="18">
        <f>'Lime Lemon'!K13+'Passion Fruit Pineapple'!K13+'Raspberry'!K13</f>
        <v/>
      </c>
      <c r="L13" s="18">
        <f>'Lime Lemon'!L13+'Passion Fruit Pineapple'!L13+'Raspberry'!L13</f>
        <v/>
      </c>
      <c r="M13" s="18">
        <f>SUM(B13:L13)</f>
        <v/>
      </c>
    </row>
    <row r="14" ht="15" customHeight="1">
      <c r="A14" s="15" t="inlineStr">
        <is>
          <t xml:space="preserve">    COGS Indirect</t>
        </is>
      </c>
      <c r="B14" s="18">
        <f>'Lime Lemon'!B14+'Passion Fruit Pineapple'!B14+'Raspberry'!B14</f>
        <v/>
      </c>
      <c r="C14" s="18">
        <f>'Lime Lemon'!C14+'Passion Fruit Pineapple'!C14+'Raspberry'!C14</f>
        <v/>
      </c>
      <c r="D14" s="18">
        <f>'Lime Lemon'!D14+'Passion Fruit Pineapple'!D14+'Raspberry'!D14</f>
        <v/>
      </c>
      <c r="E14" s="18">
        <f>'Lime Lemon'!E14+'Passion Fruit Pineapple'!E14+'Raspberry'!E14</f>
        <v/>
      </c>
      <c r="F14" s="18">
        <f>'Lime Lemon'!F14+'Passion Fruit Pineapple'!F14+'Raspberry'!F14</f>
        <v/>
      </c>
      <c r="G14" s="18">
        <f>'Lime Lemon'!G14+'Passion Fruit Pineapple'!G14+'Raspberry'!G14</f>
        <v/>
      </c>
      <c r="H14" s="18">
        <f>'Lime Lemon'!H14+'Passion Fruit Pineapple'!H14+'Raspberry'!H14</f>
        <v/>
      </c>
      <c r="I14" s="18">
        <f>'Lime Lemon'!I14+'Passion Fruit Pineapple'!I14+'Raspberry'!I14</f>
        <v/>
      </c>
      <c r="J14" s="18">
        <f>'Lime Lemon'!J14+'Passion Fruit Pineapple'!J14+'Raspberry'!J14</f>
        <v/>
      </c>
      <c r="K14" s="18">
        <f>'Lime Lemon'!K14+'Passion Fruit Pineapple'!K14+'Raspberry'!K14</f>
        <v/>
      </c>
      <c r="L14" s="18">
        <f>'Lime Lemon'!L14+'Passion Fruit Pineapple'!L14+'Raspberry'!L14</f>
        <v/>
      </c>
      <c r="M14" s="18">
        <f>SUM(B14:L14)</f>
        <v/>
      </c>
    </row>
    <row r="15" ht="15" customHeight="1">
      <c r="A15" s="15" t="inlineStr">
        <is>
          <t>Cost of Sales</t>
        </is>
      </c>
      <c r="B15" s="18">
        <f>'Lime Lemon'!B15+'Passion Fruit Pineapple'!B15+'Raspberry'!B15</f>
        <v/>
      </c>
      <c r="C15" s="18">
        <f>'Lime Lemon'!C15+'Passion Fruit Pineapple'!C15+'Raspberry'!C15</f>
        <v/>
      </c>
      <c r="D15" s="18">
        <f>'Lime Lemon'!D15+'Passion Fruit Pineapple'!D15+'Raspberry'!D15</f>
        <v/>
      </c>
      <c r="E15" s="18">
        <f>'Lime Lemon'!E15+'Passion Fruit Pineapple'!E15+'Raspberry'!E15</f>
        <v/>
      </c>
      <c r="F15" s="18">
        <f>'Lime Lemon'!F15+'Passion Fruit Pineapple'!F15+'Raspberry'!F15</f>
        <v/>
      </c>
      <c r="G15" s="18">
        <f>'Lime Lemon'!G15+'Passion Fruit Pineapple'!G15+'Raspberry'!G15</f>
        <v/>
      </c>
      <c r="H15" s="18">
        <f>'Lime Lemon'!H15+'Passion Fruit Pineapple'!H15+'Raspberry'!H15</f>
        <v/>
      </c>
      <c r="I15" s="18">
        <f>'Lime Lemon'!I15+'Passion Fruit Pineapple'!I15+'Raspberry'!I15</f>
        <v/>
      </c>
      <c r="J15" s="18">
        <f>'Lime Lemon'!J15+'Passion Fruit Pineapple'!J15+'Raspberry'!J15</f>
        <v/>
      </c>
      <c r="K15" s="18">
        <f>'Lime Lemon'!K15+'Passion Fruit Pineapple'!K15+'Raspberry'!K15</f>
        <v/>
      </c>
      <c r="L15" s="18">
        <f>'Lime Lemon'!L15+'Passion Fruit Pineapple'!L15+'Raspberry'!L15</f>
        <v/>
      </c>
      <c r="M15" s="18">
        <f>SUM(B15:L15)</f>
        <v/>
      </c>
    </row>
    <row r="16" ht="15" customHeight="1">
      <c r="A16" s="15" t="inlineStr">
        <is>
          <t>Gross Profit</t>
        </is>
      </c>
      <c r="B16" s="18">
        <f>'Lime Lemon'!B16+'Passion Fruit Pineapple'!B16+'Raspberry'!B16</f>
        <v/>
      </c>
      <c r="C16" s="18">
        <f>'Lime Lemon'!C16+'Passion Fruit Pineapple'!C16+'Raspberry'!C16</f>
        <v/>
      </c>
      <c r="D16" s="18">
        <f>'Lime Lemon'!D16+'Passion Fruit Pineapple'!D16+'Raspberry'!D16</f>
        <v/>
      </c>
      <c r="E16" s="18">
        <f>'Lime Lemon'!E16+'Passion Fruit Pineapple'!E16+'Raspberry'!E16</f>
        <v/>
      </c>
      <c r="F16" s="18">
        <f>'Lime Lemon'!F16+'Passion Fruit Pineapple'!F16+'Raspberry'!F16</f>
        <v/>
      </c>
      <c r="G16" s="18">
        <f>'Lime Lemon'!G16+'Passion Fruit Pineapple'!G16+'Raspberry'!G16</f>
        <v/>
      </c>
      <c r="H16" s="18">
        <f>'Lime Lemon'!H16+'Passion Fruit Pineapple'!H16+'Raspberry'!H16</f>
        <v/>
      </c>
      <c r="I16" s="18">
        <f>'Lime Lemon'!I16+'Passion Fruit Pineapple'!I16+'Raspberry'!I16</f>
        <v/>
      </c>
      <c r="J16" s="18">
        <f>'Lime Lemon'!J16+'Passion Fruit Pineapple'!J16+'Raspberry'!J16</f>
        <v/>
      </c>
      <c r="K16" s="18">
        <f>'Lime Lemon'!K16+'Passion Fruit Pineapple'!K16+'Raspberry'!K16</f>
        <v/>
      </c>
      <c r="L16" s="18">
        <f>'Lime Lemon'!L16+'Passion Fruit Pineapple'!L16+'Raspberry'!L16</f>
        <v/>
      </c>
      <c r="M16" s="18">
        <f>SUM(B16:L16)</f>
        <v/>
      </c>
    </row>
    <row r="17" ht="15" customHeight="1">
      <c r="A17" s="19" t="inlineStr">
        <is>
          <t>GP %</t>
        </is>
      </c>
      <c r="B17" s="32">
        <f>IFERROR(B16/B12,"-")</f>
        <v/>
      </c>
      <c r="C17" s="32">
        <f>IFERROR(C16/C12,"-")</f>
        <v/>
      </c>
      <c r="D17" s="32">
        <f>IFERROR(D16/D12,"-")</f>
        <v/>
      </c>
      <c r="E17" s="32">
        <f>IFERROR(E16/E12,"-")</f>
        <v/>
      </c>
      <c r="F17" s="32">
        <f>IFERROR(F16/F12,"-")</f>
        <v/>
      </c>
      <c r="G17" s="32">
        <f>IFERROR(G16/G12,"-")</f>
        <v/>
      </c>
      <c r="H17" s="32">
        <f>IFERROR(H16/H12,"-")</f>
        <v/>
      </c>
      <c r="I17" s="32">
        <f>IFERROR(I16/I12,"-")</f>
        <v/>
      </c>
      <c r="J17" s="32">
        <f>IFERROR(J16/J12,"-")</f>
        <v/>
      </c>
      <c r="K17" s="32">
        <f>IFERROR(K16/K12,"-")</f>
        <v/>
      </c>
      <c r="L17" s="32">
        <f>IFERROR(L16/L12,"-")</f>
        <v/>
      </c>
      <c r="M17" s="32">
        <f>IFERROR(M16/M12,"-")</f>
        <v/>
      </c>
    </row>
    <row r="18" ht="6" customHeight="1"/>
    <row r="19" ht="15" customHeight="1">
      <c r="A19" s="15" t="inlineStr">
        <is>
          <t xml:space="preserve">    A&amp;P Consumer</t>
        </is>
      </c>
      <c r="B19" s="18">
        <f>'Lime Lemon'!B19+'Passion Fruit Pineapple'!B19+'Raspberry'!B19</f>
        <v/>
      </c>
      <c r="C19" s="18">
        <f>'Lime Lemon'!C19+'Passion Fruit Pineapple'!C19+'Raspberry'!C19</f>
        <v/>
      </c>
      <c r="D19" s="18">
        <f>'Lime Lemon'!D19+'Passion Fruit Pineapple'!D19+'Raspberry'!D19</f>
        <v/>
      </c>
      <c r="E19" s="18">
        <f>'Lime Lemon'!E19+'Passion Fruit Pineapple'!E19+'Raspberry'!E19</f>
        <v/>
      </c>
      <c r="F19" s="18">
        <f>'Lime Lemon'!F19+'Passion Fruit Pineapple'!F19+'Raspberry'!F19</f>
        <v/>
      </c>
      <c r="G19" s="18">
        <f>'Lime Lemon'!G19+'Passion Fruit Pineapple'!G19+'Raspberry'!G19</f>
        <v/>
      </c>
      <c r="H19" s="18">
        <f>'Lime Lemon'!H19+'Passion Fruit Pineapple'!H19+'Raspberry'!H19</f>
        <v/>
      </c>
      <c r="I19" s="18">
        <f>'Lime Lemon'!I19+'Passion Fruit Pineapple'!I19+'Raspberry'!I19</f>
        <v/>
      </c>
      <c r="J19" s="18">
        <f>'Lime Lemon'!J19+'Passion Fruit Pineapple'!J19+'Raspberry'!J19</f>
        <v/>
      </c>
      <c r="K19" s="18">
        <f>'Lime Lemon'!K19+'Passion Fruit Pineapple'!K19+'Raspberry'!K19</f>
        <v/>
      </c>
      <c r="L19" s="18">
        <f>'Lime Lemon'!L19+'Passion Fruit Pineapple'!L19+'Raspberry'!L19</f>
        <v/>
      </c>
      <c r="M19" s="18">
        <f>SUM(B19:L19)</f>
        <v/>
      </c>
    </row>
    <row r="20" ht="15" customHeight="1">
      <c r="A20" s="15" t="inlineStr">
        <is>
          <t xml:space="preserve">    A&amp;P Trade</t>
        </is>
      </c>
      <c r="B20" s="18">
        <f>'Lime Lemon'!B20+'Passion Fruit Pineapple'!B20+'Raspberry'!B20</f>
        <v/>
      </c>
      <c r="C20" s="18">
        <f>'Lime Lemon'!C20+'Passion Fruit Pineapple'!C20+'Raspberry'!C20</f>
        <v/>
      </c>
      <c r="D20" s="18">
        <f>'Lime Lemon'!D20+'Passion Fruit Pineapple'!D20+'Raspberry'!D20</f>
        <v/>
      </c>
      <c r="E20" s="18">
        <f>'Lime Lemon'!E20+'Passion Fruit Pineapple'!E20+'Raspberry'!E20</f>
        <v/>
      </c>
      <c r="F20" s="18">
        <f>'Lime Lemon'!F20+'Passion Fruit Pineapple'!F20+'Raspberry'!F20</f>
        <v/>
      </c>
      <c r="G20" s="18">
        <f>'Lime Lemon'!G20+'Passion Fruit Pineapple'!G20+'Raspberry'!G20</f>
        <v/>
      </c>
      <c r="H20" s="18">
        <f>'Lime Lemon'!H20+'Passion Fruit Pineapple'!H20+'Raspberry'!H20</f>
        <v/>
      </c>
      <c r="I20" s="18">
        <f>'Lime Lemon'!I20+'Passion Fruit Pineapple'!I20+'Raspberry'!I20</f>
        <v/>
      </c>
      <c r="J20" s="18">
        <f>'Lime Lemon'!J20+'Passion Fruit Pineapple'!J20+'Raspberry'!J20</f>
        <v/>
      </c>
      <c r="K20" s="18">
        <f>'Lime Lemon'!K20+'Passion Fruit Pineapple'!K20+'Raspberry'!K20</f>
        <v/>
      </c>
      <c r="L20" s="18">
        <f>'Lime Lemon'!L20+'Passion Fruit Pineapple'!L20+'Raspberry'!L20</f>
        <v/>
      </c>
      <c r="M20" s="18">
        <f>SUM(B20:L20)</f>
        <v/>
      </c>
    </row>
    <row r="21" ht="15" customHeight="1">
      <c r="A21" s="15" t="inlineStr">
        <is>
          <t xml:space="preserve">    A&amp;P Sales</t>
        </is>
      </c>
      <c r="B21" s="18">
        <f>'Lime Lemon'!B21+'Passion Fruit Pineapple'!B21+'Raspberry'!B21</f>
        <v/>
      </c>
      <c r="C21" s="18">
        <f>'Lime Lemon'!C21+'Passion Fruit Pineapple'!C21+'Raspberry'!C21</f>
        <v/>
      </c>
      <c r="D21" s="18">
        <f>'Lime Lemon'!D21+'Passion Fruit Pineapple'!D21+'Raspberry'!D21</f>
        <v/>
      </c>
      <c r="E21" s="18">
        <f>'Lime Lemon'!E21+'Passion Fruit Pineapple'!E21+'Raspberry'!E21</f>
        <v/>
      </c>
      <c r="F21" s="18">
        <f>'Lime Lemon'!F21+'Passion Fruit Pineapple'!F21+'Raspberry'!F21</f>
        <v/>
      </c>
      <c r="G21" s="18">
        <f>'Lime Lemon'!G21+'Passion Fruit Pineapple'!G21+'Raspberry'!G21</f>
        <v/>
      </c>
      <c r="H21" s="18">
        <f>'Lime Lemon'!H21+'Passion Fruit Pineapple'!H21+'Raspberry'!H21</f>
        <v/>
      </c>
      <c r="I21" s="18">
        <f>'Lime Lemon'!I21+'Passion Fruit Pineapple'!I21+'Raspberry'!I21</f>
        <v/>
      </c>
      <c r="J21" s="18">
        <f>'Lime Lemon'!J21+'Passion Fruit Pineapple'!J21+'Raspberry'!J21</f>
        <v/>
      </c>
      <c r="K21" s="18">
        <f>'Lime Lemon'!K21+'Passion Fruit Pineapple'!K21+'Raspberry'!K21</f>
        <v/>
      </c>
      <c r="L21" s="18">
        <f>'Lime Lemon'!L21+'Passion Fruit Pineapple'!L21+'Raspberry'!L21</f>
        <v/>
      </c>
      <c r="M21" s="18">
        <f>SUM(B21:L21)</f>
        <v/>
      </c>
    </row>
    <row r="22" ht="15" customHeight="1">
      <c r="A22" s="15" t="inlineStr">
        <is>
          <t>A&amp;P</t>
        </is>
      </c>
      <c r="B22" s="18">
        <f>'Lime Lemon'!B22+'Passion Fruit Pineapple'!B22+'Raspberry'!B22</f>
        <v/>
      </c>
      <c r="C22" s="18">
        <f>'Lime Lemon'!C22+'Passion Fruit Pineapple'!C22+'Raspberry'!C22</f>
        <v/>
      </c>
      <c r="D22" s="18">
        <f>'Lime Lemon'!D22+'Passion Fruit Pineapple'!D22+'Raspberry'!D22</f>
        <v/>
      </c>
      <c r="E22" s="18">
        <f>'Lime Lemon'!E22+'Passion Fruit Pineapple'!E22+'Raspberry'!E22</f>
        <v/>
      </c>
      <c r="F22" s="18">
        <f>'Lime Lemon'!F22+'Passion Fruit Pineapple'!F22+'Raspberry'!F22</f>
        <v/>
      </c>
      <c r="G22" s="18">
        <f>'Lime Lemon'!G22+'Passion Fruit Pineapple'!G22+'Raspberry'!G22</f>
        <v/>
      </c>
      <c r="H22" s="18">
        <f>'Lime Lemon'!H22+'Passion Fruit Pineapple'!H22+'Raspberry'!H22</f>
        <v/>
      </c>
      <c r="I22" s="18">
        <f>'Lime Lemon'!I22+'Passion Fruit Pineapple'!I22+'Raspberry'!I22</f>
        <v/>
      </c>
      <c r="J22" s="18">
        <f>'Lime Lemon'!J22+'Passion Fruit Pineapple'!J22+'Raspberry'!J22</f>
        <v/>
      </c>
      <c r="K22" s="18">
        <f>'Lime Lemon'!K22+'Passion Fruit Pineapple'!K22+'Raspberry'!K22</f>
        <v/>
      </c>
      <c r="L22" s="18">
        <f>'Lime Lemon'!L22+'Passion Fruit Pineapple'!L22+'Raspberry'!L22</f>
        <v/>
      </c>
      <c r="M22" s="18">
        <f>SUM(B22:L22)</f>
        <v/>
      </c>
    </row>
    <row r="23" ht="6" customHeight="1"/>
    <row r="24" ht="15" customHeight="1">
      <c r="A24" s="15" t="inlineStr">
        <is>
          <t>Contrib After A&amp;P (CAAP)</t>
        </is>
      </c>
      <c r="B24" s="18">
        <f>'Lime Lemon'!B24+'Passion Fruit Pineapple'!B24+'Raspberry'!B24</f>
        <v/>
      </c>
      <c r="C24" s="18">
        <f>'Lime Lemon'!C24+'Passion Fruit Pineapple'!C24+'Raspberry'!C24</f>
        <v/>
      </c>
      <c r="D24" s="18">
        <f>'Lime Lemon'!D24+'Passion Fruit Pineapple'!D24+'Raspberry'!D24</f>
        <v/>
      </c>
      <c r="E24" s="18">
        <f>'Lime Lemon'!E24+'Passion Fruit Pineapple'!E24+'Raspberry'!E24</f>
        <v/>
      </c>
      <c r="F24" s="18">
        <f>'Lime Lemon'!F24+'Passion Fruit Pineapple'!F24+'Raspberry'!F24</f>
        <v/>
      </c>
      <c r="G24" s="18">
        <f>'Lime Lemon'!G24+'Passion Fruit Pineapple'!G24+'Raspberry'!G24</f>
        <v/>
      </c>
      <c r="H24" s="18">
        <f>'Lime Lemon'!H24+'Passion Fruit Pineapple'!H24+'Raspberry'!H24</f>
        <v/>
      </c>
      <c r="I24" s="18">
        <f>'Lime Lemon'!I24+'Passion Fruit Pineapple'!I24+'Raspberry'!I24</f>
        <v/>
      </c>
      <c r="J24" s="18">
        <f>'Lime Lemon'!J24+'Passion Fruit Pineapple'!J24+'Raspberry'!J24</f>
        <v/>
      </c>
      <c r="K24" s="18">
        <f>'Lime Lemon'!K24+'Passion Fruit Pineapple'!K24+'Raspberry'!K24</f>
        <v/>
      </c>
      <c r="L24" s="18">
        <f>'Lime Lemon'!L24+'Passion Fruit Pineapple'!L24+'Raspberry'!L24</f>
        <v/>
      </c>
      <c r="M24" s="18">
        <f>SUM(B24:L24)</f>
        <v/>
      </c>
    </row>
    <row r="25" ht="6" customHeight="1"/>
    <row r="26" ht="15" customHeight="1">
      <c r="A26" s="15" t="inlineStr">
        <is>
          <t>Gross Rev - per case</t>
        </is>
      </c>
      <c r="B26" s="17">
        <f>IFERROR(B10/B9,"-")</f>
        <v/>
      </c>
      <c r="C26" s="17">
        <f>IFERROR(C10/C9,"-")</f>
        <v/>
      </c>
      <c r="D26" s="17">
        <f>IFERROR(D10/D9,"-")</f>
        <v/>
      </c>
      <c r="E26" s="17">
        <f>IFERROR(E10/E9,"-")</f>
        <v/>
      </c>
      <c r="F26" s="17">
        <f>IFERROR(F10/F9,"-")</f>
        <v/>
      </c>
      <c r="G26" s="17">
        <f>IFERROR(G10/G9,"-")</f>
        <v/>
      </c>
      <c r="H26" s="17">
        <f>IFERROR(H10/H9,"-")</f>
        <v/>
      </c>
      <c r="I26" s="17">
        <f>IFERROR(I10/I9,"-")</f>
        <v/>
      </c>
      <c r="J26" s="17">
        <f>IFERROR(J10/J9,"-")</f>
        <v/>
      </c>
      <c r="K26" s="17">
        <f>IFERROR(K10/K9,"-")</f>
        <v/>
      </c>
      <c r="L26" s="17">
        <f>IFERROR(L10/L9,"-")</f>
        <v/>
      </c>
      <c r="M26" s="17">
        <f>IFERROR(M10/M9,"-")</f>
        <v/>
      </c>
    </row>
    <row r="27" ht="15" customHeight="1">
      <c r="A27" s="15" t="inlineStr">
        <is>
          <t>Discounts - per case</t>
        </is>
      </c>
      <c r="B27" s="17">
        <f>IFERROR(B11/B9,"-")</f>
        <v/>
      </c>
      <c r="C27" s="17">
        <f>IFERROR(C11/C9,"-")</f>
        <v/>
      </c>
      <c r="D27" s="17">
        <f>IFERROR(D11/D9,"-")</f>
        <v/>
      </c>
      <c r="E27" s="17">
        <f>IFERROR(E11/E9,"-")</f>
        <v/>
      </c>
      <c r="F27" s="17">
        <f>IFERROR(F11/F9,"-")</f>
        <v/>
      </c>
      <c r="G27" s="17">
        <f>IFERROR(G11/G9,"-")</f>
        <v/>
      </c>
      <c r="H27" s="17">
        <f>IFERROR(H11/H9,"-")</f>
        <v/>
      </c>
      <c r="I27" s="17">
        <f>IFERROR(I11/I9,"-")</f>
        <v/>
      </c>
      <c r="J27" s="17">
        <f>IFERROR(J11/J9,"-")</f>
        <v/>
      </c>
      <c r="K27" s="17">
        <f>IFERROR(K11/K9,"-")</f>
        <v/>
      </c>
      <c r="L27" s="17">
        <f>IFERROR(L11/L9,"-")</f>
        <v/>
      </c>
      <c r="M27" s="17">
        <f>IFERROR(M11/M9,"-")</f>
        <v/>
      </c>
    </row>
    <row r="28" ht="15" customHeight="1">
      <c r="A28" s="15" t="inlineStr">
        <is>
          <t>Net Sales - per case</t>
        </is>
      </c>
      <c r="B28" s="17">
        <f>IFERROR(B12/B9,"-")</f>
        <v/>
      </c>
      <c r="C28" s="17">
        <f>IFERROR(C12/C9,"-")</f>
        <v/>
      </c>
      <c r="D28" s="17">
        <f>IFERROR(D12/D9,"-")</f>
        <v/>
      </c>
      <c r="E28" s="17">
        <f>IFERROR(E12/E9,"-")</f>
        <v/>
      </c>
      <c r="F28" s="17">
        <f>IFERROR(F12/F9,"-")</f>
        <v/>
      </c>
      <c r="G28" s="17">
        <f>IFERROR(G12/G9,"-")</f>
        <v/>
      </c>
      <c r="H28" s="17">
        <f>IFERROR(H12/H9,"-")</f>
        <v/>
      </c>
      <c r="I28" s="17">
        <f>IFERROR(I12/I9,"-")</f>
        <v/>
      </c>
      <c r="J28" s="17">
        <f>IFERROR(J12/J9,"-")</f>
        <v/>
      </c>
      <c r="K28" s="17">
        <f>IFERROR(K12/K9,"-")</f>
        <v/>
      </c>
      <c r="L28" s="17">
        <f>IFERROR(L12/L9,"-")</f>
        <v/>
      </c>
      <c r="M28" s="17">
        <f>IFERROR(M12/M9,"-")</f>
        <v/>
      </c>
    </row>
    <row r="29" ht="15" customHeight="1">
      <c r="A29" s="15" t="inlineStr">
        <is>
          <t xml:space="preserve">    COGS Direct - per case</t>
        </is>
      </c>
      <c r="B29" s="17">
        <f>IFERROR(B13/B9,"-")</f>
        <v/>
      </c>
      <c r="C29" s="17">
        <f>IFERROR(C13/C9,"-")</f>
        <v/>
      </c>
      <c r="D29" s="17">
        <f>IFERROR(D13/D9,"-")</f>
        <v/>
      </c>
      <c r="E29" s="17">
        <f>IFERROR(E13/E9,"-")</f>
        <v/>
      </c>
      <c r="F29" s="17">
        <f>IFERROR(F13/F9,"-")</f>
        <v/>
      </c>
      <c r="G29" s="17">
        <f>IFERROR(G13/G9,"-")</f>
        <v/>
      </c>
      <c r="H29" s="17">
        <f>IFERROR(H13/H9,"-")</f>
        <v/>
      </c>
      <c r="I29" s="17">
        <f>IFERROR(I13/I9,"-")</f>
        <v/>
      </c>
      <c r="J29" s="17">
        <f>IFERROR(J13/J9,"-")</f>
        <v/>
      </c>
      <c r="K29" s="17">
        <f>IFERROR(K13/K9,"-")</f>
        <v/>
      </c>
      <c r="L29" s="17">
        <f>IFERROR(L13/L9,"-")</f>
        <v/>
      </c>
      <c r="M29" s="17">
        <f>IFERROR(M13/M9,"-")</f>
        <v/>
      </c>
    </row>
    <row r="30" ht="15" customHeight="1">
      <c r="A30" s="15" t="inlineStr">
        <is>
          <t xml:space="preserve">    COGS Indirect - per case</t>
        </is>
      </c>
      <c r="B30" s="17">
        <f>IFERROR(B14/B9,"-")</f>
        <v/>
      </c>
      <c r="C30" s="17">
        <f>IFERROR(C14/C9,"-")</f>
        <v/>
      </c>
      <c r="D30" s="17">
        <f>IFERROR(D14/D9,"-")</f>
        <v/>
      </c>
      <c r="E30" s="17">
        <f>IFERROR(E14/E9,"-")</f>
        <v/>
      </c>
      <c r="F30" s="17">
        <f>IFERROR(F14/F9,"-")</f>
        <v/>
      </c>
      <c r="G30" s="17">
        <f>IFERROR(G14/G9,"-")</f>
        <v/>
      </c>
      <c r="H30" s="17">
        <f>IFERROR(H14/H9,"-")</f>
        <v/>
      </c>
      <c r="I30" s="17">
        <f>IFERROR(I14/I9,"-")</f>
        <v/>
      </c>
      <c r="J30" s="17">
        <f>IFERROR(J14/J9,"-")</f>
        <v/>
      </c>
      <c r="K30" s="17">
        <f>IFERROR(K14/K9,"-")</f>
        <v/>
      </c>
      <c r="L30" s="17">
        <f>IFERROR(L14/L9,"-")</f>
        <v/>
      </c>
      <c r="M30" s="17">
        <f>IFERROR(M14/M9,"-")</f>
        <v/>
      </c>
    </row>
    <row r="31" ht="15" customHeight="1">
      <c r="A31" s="15" t="inlineStr">
        <is>
          <t>Cost of Sales - per case</t>
        </is>
      </c>
      <c r="B31" s="17">
        <f>IFERROR(B15/B9,"-")</f>
        <v/>
      </c>
      <c r="C31" s="17">
        <f>IFERROR(C15/C9,"-")</f>
        <v/>
      </c>
      <c r="D31" s="17">
        <f>IFERROR(D15/D9,"-")</f>
        <v/>
      </c>
      <c r="E31" s="17">
        <f>IFERROR(E15/E9,"-")</f>
        <v/>
      </c>
      <c r="F31" s="17">
        <f>IFERROR(F15/F9,"-")</f>
        <v/>
      </c>
      <c r="G31" s="17">
        <f>IFERROR(G15/G9,"-")</f>
        <v/>
      </c>
      <c r="H31" s="17">
        <f>IFERROR(H15/H9,"-")</f>
        <v/>
      </c>
      <c r="I31" s="17">
        <f>IFERROR(I15/I9,"-")</f>
        <v/>
      </c>
      <c r="J31" s="17">
        <f>IFERROR(J15/J9,"-")</f>
        <v/>
      </c>
      <c r="K31" s="17">
        <f>IFERROR(K15/K9,"-")</f>
        <v/>
      </c>
      <c r="L31" s="17">
        <f>IFERROR(L15/L9,"-")</f>
        <v/>
      </c>
      <c r="M31" s="17">
        <f>IFERROR(M15/M9,"-")</f>
        <v/>
      </c>
    </row>
    <row r="32" ht="15" customHeight="1">
      <c r="A32" s="15" t="inlineStr">
        <is>
          <t>Gross Profit - per case</t>
        </is>
      </c>
      <c r="B32" s="17">
        <f>IFERROR(B16/B9,"-")</f>
        <v/>
      </c>
      <c r="C32" s="17">
        <f>IFERROR(C16/C9,"-")</f>
        <v/>
      </c>
      <c r="D32" s="17">
        <f>IFERROR(D16/D9,"-")</f>
        <v/>
      </c>
      <c r="E32" s="17">
        <f>IFERROR(E16/E9,"-")</f>
        <v/>
      </c>
      <c r="F32" s="17">
        <f>IFERROR(F16/F9,"-")</f>
        <v/>
      </c>
      <c r="G32" s="17">
        <f>IFERROR(G16/G9,"-")</f>
        <v/>
      </c>
      <c r="H32" s="17">
        <f>IFERROR(H16/H9,"-")</f>
        <v/>
      </c>
      <c r="I32" s="17">
        <f>IFERROR(I16/I9,"-")</f>
        <v/>
      </c>
      <c r="J32" s="17">
        <f>IFERROR(J16/J9,"-")</f>
        <v/>
      </c>
      <c r="K32" s="17">
        <f>IFERROR(K16/K9,"-")</f>
        <v/>
      </c>
      <c r="L32" s="17">
        <f>IFERROR(L16/L9,"-")</f>
        <v/>
      </c>
      <c r="M32" s="17">
        <f>IFERROR(M16/M9,"-")</f>
        <v/>
      </c>
    </row>
    <row r="33" ht="15" customHeight="1">
      <c r="A33" s="19" t="inlineStr">
        <is>
          <t>GP %</t>
        </is>
      </c>
      <c r="B33" s="32">
        <f>IFERROR(B32/B28,"-")</f>
        <v/>
      </c>
      <c r="C33" s="32">
        <f>IFERROR(C32/C28,"-")</f>
        <v/>
      </c>
      <c r="D33" s="32">
        <f>IFERROR(D32/D28,"-")</f>
        <v/>
      </c>
      <c r="E33" s="32">
        <f>IFERROR(E32/E28,"-")</f>
        <v/>
      </c>
      <c r="F33" s="32">
        <f>IFERROR(F32/F28,"-")</f>
        <v/>
      </c>
      <c r="G33" s="32">
        <f>IFERROR(G32/G28,"-")</f>
        <v/>
      </c>
      <c r="H33" s="32">
        <f>IFERROR(H32/H28,"-")</f>
        <v/>
      </c>
      <c r="I33" s="32">
        <f>IFERROR(I32/I28,"-")</f>
        <v/>
      </c>
      <c r="J33" s="32">
        <f>IFERROR(J32/J28,"-")</f>
        <v/>
      </c>
      <c r="K33" s="32">
        <f>IFERROR(K32/K28,"-")</f>
        <v/>
      </c>
      <c r="L33" s="32">
        <f>IFERROR(L32/L28,"-")</f>
        <v/>
      </c>
      <c r="M33" s="32">
        <f>IFERROR(M32/M28,"-")</f>
        <v/>
      </c>
    </row>
    <row r="34" ht="15" customHeight="1">
      <c r="A34" s="15" t="inlineStr">
        <is>
          <t>A&amp;P - per case</t>
        </is>
      </c>
      <c r="B34" s="17">
        <f>IFERROR(B22/B9,"-")</f>
        <v/>
      </c>
      <c r="C34" s="17">
        <f>IFERROR(C22/C9,"-")</f>
        <v/>
      </c>
      <c r="D34" s="17">
        <f>IFERROR(D22/D9,"-")</f>
        <v/>
      </c>
      <c r="E34" s="17">
        <f>IFERROR(E22/E9,"-")</f>
        <v/>
      </c>
      <c r="F34" s="17">
        <f>IFERROR(F22/F9,"-")</f>
        <v/>
      </c>
      <c r="G34" s="17">
        <f>IFERROR(G22/G9,"-")</f>
        <v/>
      </c>
      <c r="H34" s="17">
        <f>IFERROR(H22/H9,"-")</f>
        <v/>
      </c>
      <c r="I34" s="17">
        <f>IFERROR(I22/I9,"-")</f>
        <v/>
      </c>
      <c r="J34" s="17">
        <f>IFERROR(J22/J9,"-")</f>
        <v/>
      </c>
      <c r="K34" s="17">
        <f>IFERROR(K22/K9,"-")</f>
        <v/>
      </c>
      <c r="L34" s="17">
        <f>IFERROR(L22/L9,"-")</f>
        <v/>
      </c>
      <c r="M34" s="17">
        <f>IFERROR(M22/M9,"-")</f>
        <v/>
      </c>
    </row>
    <row r="35" ht="15" customHeight="1">
      <c r="A35" s="15" t="inlineStr">
        <is>
          <t>CAAP - per case</t>
        </is>
      </c>
      <c r="B35" s="17">
        <f>IFERROR(B32-B34,0)</f>
        <v/>
      </c>
      <c r="C35" s="17">
        <f>IFERROR(C32-C34,0)</f>
        <v/>
      </c>
      <c r="D35" s="17">
        <f>IFERROR(D32-D34,0)</f>
        <v/>
      </c>
      <c r="E35" s="17">
        <f>IFERROR(E32-E34,0)</f>
        <v/>
      </c>
      <c r="F35" s="17">
        <f>IFERROR(F32-F34,0)</f>
        <v/>
      </c>
      <c r="G35" s="17">
        <f>IFERROR(G32-G34,0)</f>
        <v/>
      </c>
      <c r="H35" s="17">
        <f>IFERROR(H32-H34,0)</f>
        <v/>
      </c>
      <c r="I35" s="17">
        <f>IFERROR(I32-I34,0)</f>
        <v/>
      </c>
      <c r="J35" s="17">
        <f>IFERROR(J32-J34,0)</f>
        <v/>
      </c>
      <c r="K35" s="17">
        <f>IFERROR(K32-K34,0)</f>
        <v/>
      </c>
      <c r="L35" s="17">
        <f>IFERROR(L32-L34,0)</f>
        <v/>
      </c>
      <c r="M35" s="17">
        <f>IFERROR(M32-M34,0)</f>
        <v/>
      </c>
    </row>
  </sheetData>
  <mergeCells count="4">
    <mergeCell ref="A8:M8"/>
    <mergeCell ref="A2:M2"/>
    <mergeCell ref="A6:M6"/>
    <mergeCell ref="A1:M1"/>
  </mergeCells>
  <printOptions horizontalCentered="1"/>
  <pageMargins left="0.75" right="0.75" top="1" bottom="1" header="0.5" footer="0.5"/>
  <pageSetup orientation="landscape" fitToHeight="0" fitToWidth="1"/>
  <headerFooter>
    <oddHeader/>
    <oddFooter>&amp;C&amp;8 &amp;F  |  &amp;A  | 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M35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27.75" customHeight="1">
      <c r="A1" s="11" t="inlineStr">
        <is>
          <t>ORGANIKA RTD — LIME LEMON</t>
        </is>
      </c>
    </row>
    <row r="2" ht="15" customHeight="1">
      <c r="A2" s="12" t="inlineStr">
        <is>
          <t>CDN $ | Per case of 24 cans (6×4×355 ml) | Period: Aug 1 – Nov 1, 2026</t>
        </is>
      </c>
    </row>
    <row r="3" ht="7.5" customHeight="1"/>
    <row r="4" ht="45" customHeight="1">
      <c r="A4" s="56" t="inlineStr">
        <is>
          <t>CDN $</t>
        </is>
      </c>
      <c r="B4" s="54" t="inlineStr">
        <is>
          <t>Shopify</t>
        </is>
      </c>
      <c r="C4" s="54" t="inlineStr">
        <is>
          <t>Amazon</t>
        </is>
      </c>
      <c r="D4" s="54" t="inlineStr">
        <is>
          <t>On-premise</t>
        </is>
      </c>
      <c r="E4" s="54" t="inlineStr">
        <is>
          <t>Retail</t>
        </is>
      </c>
      <c r="F4" s="54" t="inlineStr">
        <is>
          <t>Distributor</t>
        </is>
      </c>
      <c r="G4" s="54" t="inlineStr">
        <is>
          <t>Corporate Office</t>
        </is>
      </c>
      <c r="H4" s="54" t="inlineStr">
        <is>
          <t>Purity Life</t>
        </is>
      </c>
      <c r="I4" s="54" t="inlineStr">
        <is>
          <t>Natural &amp; Specialty Direct</t>
        </is>
      </c>
      <c r="J4" s="54" t="inlineStr">
        <is>
          <t>FDM Direct</t>
        </is>
      </c>
      <c r="K4" s="54" t="inlineStr">
        <is>
          <t>Convenience</t>
        </is>
      </c>
      <c r="L4" s="54" t="inlineStr">
        <is>
          <t>Fitness Centre</t>
        </is>
      </c>
      <c r="M4" s="55" t="inlineStr">
        <is>
          <t>Total</t>
        </is>
      </c>
    </row>
    <row r="5" ht="6" customHeight="1"/>
    <row r="6" ht="13.5" customHeight="1">
      <c r="A6" s="30" t="inlineStr">
        <is>
          <t>⚫ All values are formulas — edit inputs on the 🟡 Assumptions tab (pricing, mix, A&amp;P)</t>
        </is>
      </c>
    </row>
    <row r="7" ht="7.5" customHeight="1"/>
    <row r="8" ht="15" customHeight="1">
      <c r="A8" s="13" t="inlineStr">
        <is>
          <t>Organika RTD — Lime Lemon (6×4×355 ml)</t>
        </is>
      </c>
    </row>
    <row r="9" ht="15" customHeight="1">
      <c r="A9" s="15" t="inlineStr">
        <is>
          <t>Physical Cases</t>
        </is>
      </c>
      <c r="B9" s="16">
        <f>Assumptions!$C$16*Assumptions!$F$23</f>
        <v/>
      </c>
      <c r="C9" s="16">
        <f>Assumptions!$C$16*Assumptions!$F$24</f>
        <v/>
      </c>
      <c r="D9" s="16">
        <f>Assumptions!$C$16*Assumptions!$F$25</f>
        <v/>
      </c>
      <c r="E9" s="16">
        <f>Assumptions!$C$16*Assumptions!$F$26</f>
        <v/>
      </c>
      <c r="F9" s="16">
        <f>Assumptions!$C$16*Assumptions!$F$27</f>
        <v/>
      </c>
      <c r="G9" s="16">
        <f>Assumptions!$C$16*Assumptions!$F$28</f>
        <v/>
      </c>
      <c r="H9" s="16">
        <f>Assumptions!$C$16*Assumptions!$F$29</f>
        <v/>
      </c>
      <c r="I9" s="16">
        <f>Assumptions!$C$16*Assumptions!$F$30</f>
        <v/>
      </c>
      <c r="J9" s="16">
        <f>Assumptions!$C$16*Assumptions!$F$31</f>
        <v/>
      </c>
      <c r="K9" s="16">
        <f>Assumptions!$C$16*Assumptions!$F$32</f>
        <v/>
      </c>
      <c r="L9" s="16">
        <f>Assumptions!$C$16*Assumptions!$F$33</f>
        <v/>
      </c>
      <c r="M9" s="16">
        <f>SUM(B9:L9)</f>
        <v/>
      </c>
    </row>
    <row r="10" ht="15" customHeight="1">
      <c r="A10" s="15" t="inlineStr">
        <is>
          <t>Gross Revenue</t>
        </is>
      </c>
      <c r="B10" s="18">
        <f>B26*B9</f>
        <v/>
      </c>
      <c r="C10" s="18">
        <f>C26*C9</f>
        <v/>
      </c>
      <c r="D10" s="18">
        <f>D26*D9</f>
        <v/>
      </c>
      <c r="E10" s="18">
        <f>E26*E9</f>
        <v/>
      </c>
      <c r="F10" s="18">
        <f>F26*F9</f>
        <v/>
      </c>
      <c r="G10" s="18">
        <f>G26*G9</f>
        <v/>
      </c>
      <c r="H10" s="18">
        <f>H26*H9</f>
        <v/>
      </c>
      <c r="I10" s="18">
        <f>I26*I9</f>
        <v/>
      </c>
      <c r="J10" s="18">
        <f>J26*J9</f>
        <v/>
      </c>
      <c r="K10" s="18">
        <f>K26*K9</f>
        <v/>
      </c>
      <c r="L10" s="18">
        <f>L26*L9</f>
        <v/>
      </c>
      <c r="M10" s="18">
        <f>SUM(B10:L10)</f>
        <v/>
      </c>
    </row>
    <row r="11" ht="15" customHeight="1">
      <c r="A11" s="15" t="inlineStr">
        <is>
          <t>Discounts</t>
        </is>
      </c>
      <c r="B11" s="18">
        <f>B27*B9</f>
        <v/>
      </c>
      <c r="C11" s="18">
        <f>C27*C9</f>
        <v/>
      </c>
      <c r="D11" s="18">
        <f>D27*D9</f>
        <v/>
      </c>
      <c r="E11" s="18">
        <f>E27*E9</f>
        <v/>
      </c>
      <c r="F11" s="18">
        <f>F27*F9</f>
        <v/>
      </c>
      <c r="G11" s="18">
        <f>G27*G9</f>
        <v/>
      </c>
      <c r="H11" s="18">
        <f>H27*H9</f>
        <v/>
      </c>
      <c r="I11" s="18">
        <f>I27*I9</f>
        <v/>
      </c>
      <c r="J11" s="18">
        <f>J27*J9</f>
        <v/>
      </c>
      <c r="K11" s="18">
        <f>K27*K9</f>
        <v/>
      </c>
      <c r="L11" s="18">
        <f>L27*L9</f>
        <v/>
      </c>
      <c r="M11" s="18">
        <f>SUM(B11:L11)</f>
        <v/>
      </c>
    </row>
    <row r="12" ht="15" customHeight="1">
      <c r="A12" s="15" t="inlineStr">
        <is>
          <t>Net Sales</t>
        </is>
      </c>
      <c r="B12" s="18">
        <f>B10-B11</f>
        <v/>
      </c>
      <c r="C12" s="18">
        <f>C10-C11</f>
        <v/>
      </c>
      <c r="D12" s="18">
        <f>D10-D11</f>
        <v/>
      </c>
      <c r="E12" s="18">
        <f>E10-E11</f>
        <v/>
      </c>
      <c r="F12" s="18">
        <f>F10-F11</f>
        <v/>
      </c>
      <c r="G12" s="18">
        <f>G10-G11</f>
        <v/>
      </c>
      <c r="H12" s="18">
        <f>H10-H11</f>
        <v/>
      </c>
      <c r="I12" s="18">
        <f>I10-I11</f>
        <v/>
      </c>
      <c r="J12" s="18">
        <f>J10-J11</f>
        <v/>
      </c>
      <c r="K12" s="18">
        <f>K10-K11</f>
        <v/>
      </c>
      <c r="L12" s="18">
        <f>L10-L11</f>
        <v/>
      </c>
      <c r="M12" s="18">
        <f>M10-M11</f>
        <v/>
      </c>
    </row>
    <row r="13" ht="15" customHeight="1">
      <c r="A13" s="15" t="inlineStr">
        <is>
          <t xml:space="preserve">    COGS Direct</t>
        </is>
      </c>
      <c r="B13" s="18">
        <f>B29*B9</f>
        <v/>
      </c>
      <c r="C13" s="18">
        <f>C29*C9</f>
        <v/>
      </c>
      <c r="D13" s="18">
        <f>D29*D9</f>
        <v/>
      </c>
      <c r="E13" s="18">
        <f>E29*E9</f>
        <v/>
      </c>
      <c r="F13" s="18">
        <f>F29*F9</f>
        <v/>
      </c>
      <c r="G13" s="18">
        <f>G29*G9</f>
        <v/>
      </c>
      <c r="H13" s="18">
        <f>H29*H9</f>
        <v/>
      </c>
      <c r="I13" s="18">
        <f>I29*I9</f>
        <v/>
      </c>
      <c r="J13" s="18">
        <f>J29*J9</f>
        <v/>
      </c>
      <c r="K13" s="18">
        <f>K29*K9</f>
        <v/>
      </c>
      <c r="L13" s="18">
        <f>L29*L9</f>
        <v/>
      </c>
      <c r="M13" s="18">
        <f>SUM(B13:L13)</f>
        <v/>
      </c>
    </row>
    <row r="14" ht="15" customHeight="1">
      <c r="A14" s="15" t="inlineStr">
        <is>
          <t xml:space="preserve">    COGS Indirect</t>
        </is>
      </c>
      <c r="B14" s="18">
        <f>B30*B9</f>
        <v/>
      </c>
      <c r="C14" s="18">
        <f>C30*C9</f>
        <v/>
      </c>
      <c r="D14" s="18">
        <f>D30*D9</f>
        <v/>
      </c>
      <c r="E14" s="18">
        <f>E30*E9</f>
        <v/>
      </c>
      <c r="F14" s="18">
        <f>F30*F9</f>
        <v/>
      </c>
      <c r="G14" s="18">
        <f>G30*G9</f>
        <v/>
      </c>
      <c r="H14" s="18">
        <f>H30*H9</f>
        <v/>
      </c>
      <c r="I14" s="18">
        <f>I30*I9</f>
        <v/>
      </c>
      <c r="J14" s="18">
        <f>J30*J9</f>
        <v/>
      </c>
      <c r="K14" s="18">
        <f>K30*K9</f>
        <v/>
      </c>
      <c r="L14" s="18">
        <f>L30*L9</f>
        <v/>
      </c>
      <c r="M14" s="18">
        <f>SUM(B14:L14)</f>
        <v/>
      </c>
    </row>
    <row r="15" ht="15" customHeight="1">
      <c r="A15" s="15" t="inlineStr">
        <is>
          <t>Cost of Sales</t>
        </is>
      </c>
      <c r="B15" s="18">
        <f>B13+B14</f>
        <v/>
      </c>
      <c r="C15" s="18">
        <f>C13+C14</f>
        <v/>
      </c>
      <c r="D15" s="18">
        <f>D13+D14</f>
        <v/>
      </c>
      <c r="E15" s="18">
        <f>E13+E14</f>
        <v/>
      </c>
      <c r="F15" s="18">
        <f>F13+F14</f>
        <v/>
      </c>
      <c r="G15" s="18">
        <f>G13+G14</f>
        <v/>
      </c>
      <c r="H15" s="18">
        <f>H13+H14</f>
        <v/>
      </c>
      <c r="I15" s="18">
        <f>I13+I14</f>
        <v/>
      </c>
      <c r="J15" s="18">
        <f>J13+J14</f>
        <v/>
      </c>
      <c r="K15" s="18">
        <f>K13+K14</f>
        <v/>
      </c>
      <c r="L15" s="18">
        <f>L13+L14</f>
        <v/>
      </c>
      <c r="M15" s="18">
        <f>M13+M14</f>
        <v/>
      </c>
    </row>
    <row r="16" ht="15" customHeight="1">
      <c r="A16" s="15" t="inlineStr">
        <is>
          <t>Gross Profit</t>
        </is>
      </c>
      <c r="B16" s="18">
        <f>B12-B15</f>
        <v/>
      </c>
      <c r="C16" s="18">
        <f>C12-C15</f>
        <v/>
      </c>
      <c r="D16" s="18">
        <f>D12-D15</f>
        <v/>
      </c>
      <c r="E16" s="18">
        <f>E12-E15</f>
        <v/>
      </c>
      <c r="F16" s="18">
        <f>F12-F15</f>
        <v/>
      </c>
      <c r="G16" s="18">
        <f>G12-G15</f>
        <v/>
      </c>
      <c r="H16" s="18">
        <f>H12-H15</f>
        <v/>
      </c>
      <c r="I16" s="18">
        <f>I12-I15</f>
        <v/>
      </c>
      <c r="J16" s="18">
        <f>J12-J15</f>
        <v/>
      </c>
      <c r="K16" s="18">
        <f>K12-K15</f>
        <v/>
      </c>
      <c r="L16" s="18">
        <f>L12-L15</f>
        <v/>
      </c>
      <c r="M16" s="18">
        <f>M12-M15</f>
        <v/>
      </c>
    </row>
    <row r="17" ht="15" customHeight="1">
      <c r="A17" s="19" t="inlineStr">
        <is>
          <t>GP %</t>
        </is>
      </c>
      <c r="B17" s="32">
        <f>IFERROR(B16/B12,"-")</f>
        <v/>
      </c>
      <c r="C17" s="32">
        <f>IFERROR(C16/C12,"-")</f>
        <v/>
      </c>
      <c r="D17" s="32">
        <f>IFERROR(D16/D12,"-")</f>
        <v/>
      </c>
      <c r="E17" s="32">
        <f>IFERROR(E16/E12,"-")</f>
        <v/>
      </c>
      <c r="F17" s="32">
        <f>IFERROR(F16/F12,"-")</f>
        <v/>
      </c>
      <c r="G17" s="32">
        <f>IFERROR(G16/G12,"-")</f>
        <v/>
      </c>
      <c r="H17" s="32">
        <f>IFERROR(H16/H12,"-")</f>
        <v/>
      </c>
      <c r="I17" s="32">
        <f>IFERROR(I16/I12,"-")</f>
        <v/>
      </c>
      <c r="J17" s="32">
        <f>IFERROR(J16/J12,"-")</f>
        <v/>
      </c>
      <c r="K17" s="32">
        <f>IFERROR(K16/K12,"-")</f>
        <v/>
      </c>
      <c r="L17" s="32">
        <f>IFERROR(L16/L12,"-")</f>
        <v/>
      </c>
      <c r="M17" s="32">
        <f>IFERROR(M16/M12,"-")</f>
        <v/>
      </c>
    </row>
    <row r="18" ht="6" customHeight="1"/>
    <row r="19" ht="15" customHeight="1">
      <c r="A19" s="15" t="inlineStr">
        <is>
          <t xml:space="preserve">    A&amp;P Consumer</t>
        </is>
      </c>
      <c r="B19" s="18">
        <f>B22*Assumptions!$C$11</f>
        <v/>
      </c>
      <c r="C19" s="18">
        <f>C22*Assumptions!$C$11</f>
        <v/>
      </c>
      <c r="D19" s="18">
        <f>D22*Assumptions!$C$11</f>
        <v/>
      </c>
      <c r="E19" s="18">
        <f>E22*Assumptions!$C$11</f>
        <v/>
      </c>
      <c r="F19" s="18">
        <f>F22*Assumptions!$C$11</f>
        <v/>
      </c>
      <c r="G19" s="18">
        <f>G22*Assumptions!$C$11</f>
        <v/>
      </c>
      <c r="H19" s="18">
        <f>H22*Assumptions!$C$11</f>
        <v/>
      </c>
      <c r="I19" s="18">
        <f>I22*Assumptions!$C$11</f>
        <v/>
      </c>
      <c r="J19" s="18">
        <f>J22*Assumptions!$C$11</f>
        <v/>
      </c>
      <c r="K19" s="18">
        <f>K22*Assumptions!$C$11</f>
        <v/>
      </c>
      <c r="L19" s="18">
        <f>L22*Assumptions!$C$11</f>
        <v/>
      </c>
      <c r="M19" s="18">
        <f>SUM(B19:L19)</f>
        <v/>
      </c>
    </row>
    <row r="20" ht="15" customHeight="1">
      <c r="A20" s="15" t="inlineStr">
        <is>
          <t xml:space="preserve">    A&amp;P Trade</t>
        </is>
      </c>
      <c r="B20" s="18">
        <f>B22*Assumptions!$C$12</f>
        <v/>
      </c>
      <c r="C20" s="18">
        <f>C22*Assumptions!$C$12</f>
        <v/>
      </c>
      <c r="D20" s="18">
        <f>D22*Assumptions!$C$12</f>
        <v/>
      </c>
      <c r="E20" s="18">
        <f>E22*Assumptions!$C$12</f>
        <v/>
      </c>
      <c r="F20" s="18">
        <f>F22*Assumptions!$C$12</f>
        <v/>
      </c>
      <c r="G20" s="18">
        <f>G22*Assumptions!$C$12</f>
        <v/>
      </c>
      <c r="H20" s="18">
        <f>H22*Assumptions!$C$12</f>
        <v/>
      </c>
      <c r="I20" s="18">
        <f>I22*Assumptions!$C$12</f>
        <v/>
      </c>
      <c r="J20" s="18">
        <f>J22*Assumptions!$C$12</f>
        <v/>
      </c>
      <c r="K20" s="18">
        <f>K22*Assumptions!$C$12</f>
        <v/>
      </c>
      <c r="L20" s="18">
        <f>L22*Assumptions!$C$12</f>
        <v/>
      </c>
      <c r="M20" s="18">
        <f>SUM(B20:L20)</f>
        <v/>
      </c>
    </row>
    <row r="21" ht="15" customHeight="1">
      <c r="A21" s="15" t="inlineStr">
        <is>
          <t xml:space="preserve">    A&amp;P Sales</t>
        </is>
      </c>
      <c r="B21" s="18">
        <f>B22*Assumptions!$C$13</f>
        <v/>
      </c>
      <c r="C21" s="18">
        <f>C22*Assumptions!$C$13</f>
        <v/>
      </c>
      <c r="D21" s="18">
        <f>D22*Assumptions!$C$13</f>
        <v/>
      </c>
      <c r="E21" s="18">
        <f>E22*Assumptions!$C$13</f>
        <v/>
      </c>
      <c r="F21" s="18">
        <f>F22*Assumptions!$C$13</f>
        <v/>
      </c>
      <c r="G21" s="18">
        <f>G22*Assumptions!$C$13</f>
        <v/>
      </c>
      <c r="H21" s="18">
        <f>H22*Assumptions!$C$13</f>
        <v/>
      </c>
      <c r="I21" s="18">
        <f>I22*Assumptions!$C$13</f>
        <v/>
      </c>
      <c r="J21" s="18">
        <f>J22*Assumptions!$C$13</f>
        <v/>
      </c>
      <c r="K21" s="18">
        <f>K22*Assumptions!$C$13</f>
        <v/>
      </c>
      <c r="L21" s="18">
        <f>L22*Assumptions!$C$13</f>
        <v/>
      </c>
      <c r="M21" s="18">
        <f>SUM(B21:L21)</f>
        <v/>
      </c>
    </row>
    <row r="22" ht="15" customHeight="1">
      <c r="A22" s="15" t="inlineStr">
        <is>
          <t>A&amp;P</t>
        </is>
      </c>
      <c r="B22" s="18">
        <f>B12*Assumptions!$E$23</f>
        <v/>
      </c>
      <c r="C22" s="18">
        <f>C12*Assumptions!$E$24</f>
        <v/>
      </c>
      <c r="D22" s="18">
        <f>D12*Assumptions!$E$25</f>
        <v/>
      </c>
      <c r="E22" s="18">
        <f>E12*Assumptions!$E$26</f>
        <v/>
      </c>
      <c r="F22" s="18">
        <f>F12*Assumptions!$E$27</f>
        <v/>
      </c>
      <c r="G22" s="18">
        <f>G12*Assumptions!$E$28</f>
        <v/>
      </c>
      <c r="H22" s="18">
        <f>H12*Assumptions!$E$29</f>
        <v/>
      </c>
      <c r="I22" s="18">
        <f>I12*Assumptions!$E$30</f>
        <v/>
      </c>
      <c r="J22" s="18">
        <f>J12*Assumptions!$E$31</f>
        <v/>
      </c>
      <c r="K22" s="18">
        <f>K12*Assumptions!$E$32</f>
        <v/>
      </c>
      <c r="L22" s="18">
        <f>L12*Assumptions!$E$33</f>
        <v/>
      </c>
      <c r="M22" s="18">
        <f>M19+M20+M21</f>
        <v/>
      </c>
    </row>
    <row r="23" ht="6" customHeight="1"/>
    <row r="24" ht="15" customHeight="1">
      <c r="A24" s="15" t="inlineStr">
        <is>
          <t>Contrib After A&amp;P (CAAP)</t>
        </is>
      </c>
      <c r="B24" s="18">
        <f>B16-B22</f>
        <v/>
      </c>
      <c r="C24" s="18">
        <f>C16-C22</f>
        <v/>
      </c>
      <c r="D24" s="18">
        <f>D16-D22</f>
        <v/>
      </c>
      <c r="E24" s="18">
        <f>E16-E22</f>
        <v/>
      </c>
      <c r="F24" s="18">
        <f>F16-F22</f>
        <v/>
      </c>
      <c r="G24" s="18">
        <f>G16-G22</f>
        <v/>
      </c>
      <c r="H24" s="18">
        <f>H16-H22</f>
        <v/>
      </c>
      <c r="I24" s="18">
        <f>I16-I22</f>
        <v/>
      </c>
      <c r="J24" s="18">
        <f>J16-J22</f>
        <v/>
      </c>
      <c r="K24" s="18">
        <f>K16-K22</f>
        <v/>
      </c>
      <c r="L24" s="18">
        <f>L16-L22</f>
        <v/>
      </c>
      <c r="M24" s="18">
        <f>M16-M22</f>
        <v/>
      </c>
    </row>
    <row r="25" ht="6" customHeight="1"/>
    <row r="26" ht="15" customHeight="1">
      <c r="A26" s="15" t="inlineStr">
        <is>
          <t>Gross Rev - per case</t>
        </is>
      </c>
      <c r="B26" s="17">
        <f>Assumptions!$B$23</f>
        <v/>
      </c>
      <c r="C26" s="17">
        <f>Assumptions!$B$24</f>
        <v/>
      </c>
      <c r="D26" s="17">
        <f>Assumptions!$B$25</f>
        <v/>
      </c>
      <c r="E26" s="17">
        <f>Assumptions!$B$26</f>
        <v/>
      </c>
      <c r="F26" s="17">
        <f>Assumptions!$B$27</f>
        <v/>
      </c>
      <c r="G26" s="17">
        <f>Assumptions!$B$28</f>
        <v/>
      </c>
      <c r="H26" s="17">
        <f>Assumptions!$B$29</f>
        <v/>
      </c>
      <c r="I26" s="17">
        <f>Assumptions!$B$30</f>
        <v/>
      </c>
      <c r="J26" s="17">
        <f>Assumptions!$B$31</f>
        <v/>
      </c>
      <c r="K26" s="17">
        <f>Assumptions!$B$32</f>
        <v/>
      </c>
      <c r="L26" s="17">
        <f>Assumptions!$B$33</f>
        <v/>
      </c>
      <c r="M26" s="17">
        <f>IFERROR(M10/M9,"-")</f>
        <v/>
      </c>
    </row>
    <row r="27" ht="15" customHeight="1">
      <c r="A27" s="15" t="inlineStr">
        <is>
          <t>Discounts - per case</t>
        </is>
      </c>
      <c r="B27" s="17">
        <f>Assumptions!$B$23*Assumptions!$D$23</f>
        <v/>
      </c>
      <c r="C27" s="17">
        <f>Assumptions!$B$24*Assumptions!$D$24</f>
        <v/>
      </c>
      <c r="D27" s="17">
        <f>Assumptions!$B$25*Assumptions!$D$25</f>
        <v/>
      </c>
      <c r="E27" s="17">
        <f>Assumptions!$B$26*Assumptions!$D$26</f>
        <v/>
      </c>
      <c r="F27" s="17">
        <f>Assumptions!$B$27*Assumptions!$D$27</f>
        <v/>
      </c>
      <c r="G27" s="17">
        <f>Assumptions!$B$28*Assumptions!$D$28</f>
        <v/>
      </c>
      <c r="H27" s="17">
        <f>Assumptions!$B$29*Assumptions!$D$29</f>
        <v/>
      </c>
      <c r="I27" s="17">
        <f>Assumptions!$B$30*Assumptions!$D$30</f>
        <v/>
      </c>
      <c r="J27" s="17">
        <f>Assumptions!$B$31*Assumptions!$D$31</f>
        <v/>
      </c>
      <c r="K27" s="17">
        <f>Assumptions!$B$32*Assumptions!$D$32</f>
        <v/>
      </c>
      <c r="L27" s="17">
        <f>Assumptions!$B$33*Assumptions!$D$33</f>
        <v/>
      </c>
      <c r="M27" s="17">
        <f>IFERROR(M11/M9,"-")</f>
        <v/>
      </c>
    </row>
    <row r="28" ht="15" customHeight="1">
      <c r="A28" s="15" t="inlineStr">
        <is>
          <t>Net Sales - per case</t>
        </is>
      </c>
      <c r="B28" s="17">
        <f>B26-B27</f>
        <v/>
      </c>
      <c r="C28" s="17">
        <f>C26-C27</f>
        <v/>
      </c>
      <c r="D28" s="17">
        <f>D26-D27</f>
        <v/>
      </c>
      <c r="E28" s="17">
        <f>E26-E27</f>
        <v/>
      </c>
      <c r="F28" s="17">
        <f>F26-F27</f>
        <v/>
      </c>
      <c r="G28" s="17">
        <f>G26-G27</f>
        <v/>
      </c>
      <c r="H28" s="17">
        <f>H26-H27</f>
        <v/>
      </c>
      <c r="I28" s="17">
        <f>I26-I27</f>
        <v/>
      </c>
      <c r="J28" s="17">
        <f>J26-J27</f>
        <v/>
      </c>
      <c r="K28" s="17">
        <f>K26-K27</f>
        <v/>
      </c>
      <c r="L28" s="17">
        <f>L26-L27</f>
        <v/>
      </c>
      <c r="M28" s="17">
        <f>IFERROR(M12/M9,"-")</f>
        <v/>
      </c>
    </row>
    <row r="29" ht="15" customHeight="1">
      <c r="A29" s="15" t="inlineStr">
        <is>
          <t xml:space="preserve">    COGS Direct - per case</t>
        </is>
      </c>
      <c r="B29" s="17">
        <f>'Cost Build-up'!$D$44</f>
        <v/>
      </c>
      <c r="C29" s="17">
        <f>'Cost Build-up'!$D$44</f>
        <v/>
      </c>
      <c r="D29" s="17">
        <f>'Cost Build-up'!$D$44</f>
        <v/>
      </c>
      <c r="E29" s="17">
        <f>'Cost Build-up'!$D$44</f>
        <v/>
      </c>
      <c r="F29" s="17">
        <f>'Cost Build-up'!$D$44</f>
        <v/>
      </c>
      <c r="G29" s="17">
        <f>'Cost Build-up'!$D$44</f>
        <v/>
      </c>
      <c r="H29" s="17">
        <f>'Cost Build-up'!$D$44</f>
        <v/>
      </c>
      <c r="I29" s="17">
        <f>'Cost Build-up'!$D$44</f>
        <v/>
      </c>
      <c r="J29" s="17">
        <f>'Cost Build-up'!$D$44</f>
        <v/>
      </c>
      <c r="K29" s="17">
        <f>'Cost Build-up'!$D$44</f>
        <v/>
      </c>
      <c r="L29" s="17">
        <f>'Cost Build-up'!$D$44</f>
        <v/>
      </c>
      <c r="M29" s="17">
        <f>IFERROR(M13/M9,"-")</f>
        <v/>
      </c>
    </row>
    <row r="30" ht="15" customHeight="1">
      <c r="A30" s="15" t="inlineStr">
        <is>
          <t xml:space="preserve">    COGS Indirect - per case</t>
        </is>
      </c>
      <c r="B30" s="17">
        <f>'Cost Build-up'!$D$45</f>
        <v/>
      </c>
      <c r="C30" s="17">
        <f>'Cost Build-up'!$D$45</f>
        <v/>
      </c>
      <c r="D30" s="17">
        <f>'Cost Build-up'!$D$45</f>
        <v/>
      </c>
      <c r="E30" s="17">
        <f>'Cost Build-up'!$D$45</f>
        <v/>
      </c>
      <c r="F30" s="17">
        <f>'Cost Build-up'!$D$45</f>
        <v/>
      </c>
      <c r="G30" s="17">
        <f>'Cost Build-up'!$D$45</f>
        <v/>
      </c>
      <c r="H30" s="17">
        <f>'Cost Build-up'!$D$45</f>
        <v/>
      </c>
      <c r="I30" s="17">
        <f>'Cost Build-up'!$D$45</f>
        <v/>
      </c>
      <c r="J30" s="17">
        <f>'Cost Build-up'!$D$45</f>
        <v/>
      </c>
      <c r="K30" s="17">
        <f>'Cost Build-up'!$D$45</f>
        <v/>
      </c>
      <c r="L30" s="17">
        <f>'Cost Build-up'!$D$45</f>
        <v/>
      </c>
      <c r="M30" s="17">
        <f>IFERROR(M14/M9,"-")</f>
        <v/>
      </c>
    </row>
    <row r="31" ht="15" customHeight="1">
      <c r="A31" s="15" t="inlineStr">
        <is>
          <t>Cost of Sales - per case</t>
        </is>
      </c>
      <c r="B31" s="17">
        <f>B29+B30</f>
        <v/>
      </c>
      <c r="C31" s="17">
        <f>C29+C30</f>
        <v/>
      </c>
      <c r="D31" s="17">
        <f>D29+D30</f>
        <v/>
      </c>
      <c r="E31" s="17">
        <f>E29+E30</f>
        <v/>
      </c>
      <c r="F31" s="17">
        <f>F29+F30</f>
        <v/>
      </c>
      <c r="G31" s="17">
        <f>G29+G30</f>
        <v/>
      </c>
      <c r="H31" s="17">
        <f>H29+H30</f>
        <v/>
      </c>
      <c r="I31" s="17">
        <f>I29+I30</f>
        <v/>
      </c>
      <c r="J31" s="17">
        <f>J29+J30</f>
        <v/>
      </c>
      <c r="K31" s="17">
        <f>K29+K30</f>
        <v/>
      </c>
      <c r="L31" s="17">
        <f>L29+L30</f>
        <v/>
      </c>
      <c r="M31" s="17">
        <f>IFERROR(M15/M9,"-")</f>
        <v/>
      </c>
    </row>
    <row r="32" ht="15" customHeight="1">
      <c r="A32" s="15" t="inlineStr">
        <is>
          <t>Gross Profit - per case</t>
        </is>
      </c>
      <c r="B32" s="17">
        <f>B28-B31</f>
        <v/>
      </c>
      <c r="C32" s="17">
        <f>C28-C31</f>
        <v/>
      </c>
      <c r="D32" s="17">
        <f>D28-D31</f>
        <v/>
      </c>
      <c r="E32" s="17">
        <f>E28-E31</f>
        <v/>
      </c>
      <c r="F32" s="17">
        <f>F28-F31</f>
        <v/>
      </c>
      <c r="G32" s="17">
        <f>G28-G31</f>
        <v/>
      </c>
      <c r="H32" s="17">
        <f>H28-H31</f>
        <v/>
      </c>
      <c r="I32" s="17">
        <f>I28-I31</f>
        <v/>
      </c>
      <c r="J32" s="17">
        <f>J28-J31</f>
        <v/>
      </c>
      <c r="K32" s="17">
        <f>K28-K31</f>
        <v/>
      </c>
      <c r="L32" s="17">
        <f>L28-L31</f>
        <v/>
      </c>
      <c r="M32" s="17">
        <f>IFERROR(M16/M9,"-")</f>
        <v/>
      </c>
    </row>
    <row r="33" ht="15" customHeight="1">
      <c r="A33" s="19" t="inlineStr">
        <is>
          <t>GP %</t>
        </is>
      </c>
      <c r="B33" s="32">
        <f>IFERROR(B32/B28,"-")</f>
        <v/>
      </c>
      <c r="C33" s="32">
        <f>IFERROR(C32/C28,"-")</f>
        <v/>
      </c>
      <c r="D33" s="32">
        <f>IFERROR(D32/D28,"-")</f>
        <v/>
      </c>
      <c r="E33" s="32">
        <f>IFERROR(E32/E28,"-")</f>
        <v/>
      </c>
      <c r="F33" s="32">
        <f>IFERROR(F32/F28,"-")</f>
        <v/>
      </c>
      <c r="G33" s="32">
        <f>IFERROR(G32/G28,"-")</f>
        <v/>
      </c>
      <c r="H33" s="32">
        <f>IFERROR(H32/H28,"-")</f>
        <v/>
      </c>
      <c r="I33" s="32">
        <f>IFERROR(I32/I28,"-")</f>
        <v/>
      </c>
      <c r="J33" s="32">
        <f>IFERROR(J32/J28,"-")</f>
        <v/>
      </c>
      <c r="K33" s="32">
        <f>IFERROR(K32/K28,"-")</f>
        <v/>
      </c>
      <c r="L33" s="32">
        <f>IFERROR(L32/L28,"-")</f>
        <v/>
      </c>
      <c r="M33" s="32">
        <f>IFERROR(M32/M28,"-")</f>
        <v/>
      </c>
    </row>
    <row r="34" ht="15" customHeight="1">
      <c r="A34" s="15" t="inlineStr">
        <is>
          <t>A&amp;P - per case</t>
        </is>
      </c>
      <c r="B34" s="17">
        <f>IFERROR(B22/B9,"-")</f>
        <v/>
      </c>
      <c r="C34" s="17">
        <f>IFERROR(C22/C9,"-")</f>
        <v/>
      </c>
      <c r="D34" s="17">
        <f>IFERROR(D22/D9,"-")</f>
        <v/>
      </c>
      <c r="E34" s="17">
        <f>IFERROR(E22/E9,"-")</f>
        <v/>
      </c>
      <c r="F34" s="17">
        <f>IFERROR(F22/F9,"-")</f>
        <v/>
      </c>
      <c r="G34" s="17">
        <f>IFERROR(G22/G9,"-")</f>
        <v/>
      </c>
      <c r="H34" s="17">
        <f>IFERROR(H22/H9,"-")</f>
        <v/>
      </c>
      <c r="I34" s="17">
        <f>IFERROR(I22/I9,"-")</f>
        <v/>
      </c>
      <c r="J34" s="17">
        <f>IFERROR(J22/J9,"-")</f>
        <v/>
      </c>
      <c r="K34" s="17">
        <f>IFERROR(K22/K9,"-")</f>
        <v/>
      </c>
      <c r="L34" s="17">
        <f>IFERROR(L22/L9,"-")</f>
        <v/>
      </c>
      <c r="M34" s="17">
        <f>IFERROR(M22/M9,"-")</f>
        <v/>
      </c>
    </row>
    <row r="35" ht="15" customHeight="1">
      <c r="A35" s="15" t="inlineStr">
        <is>
          <t>CAAP - per case</t>
        </is>
      </c>
      <c r="B35" s="17">
        <f>B32-B34</f>
        <v/>
      </c>
      <c r="C35" s="17">
        <f>C32-C34</f>
        <v/>
      </c>
      <c r="D35" s="17">
        <f>D32-D34</f>
        <v/>
      </c>
      <c r="E35" s="17">
        <f>E32-E34</f>
        <v/>
      </c>
      <c r="F35" s="17">
        <f>F32-F34</f>
        <v/>
      </c>
      <c r="G35" s="17">
        <f>G32-G34</f>
        <v/>
      </c>
      <c r="H35" s="17">
        <f>H32-H34</f>
        <v/>
      </c>
      <c r="I35" s="17">
        <f>I32-I34</f>
        <v/>
      </c>
      <c r="J35" s="17">
        <f>J32-J34</f>
        <v/>
      </c>
      <c r="K35" s="17">
        <f>K32-K34</f>
        <v/>
      </c>
      <c r="L35" s="17">
        <f>L32-L34</f>
        <v/>
      </c>
      <c r="M35" s="17">
        <f>IFERROR(M32-M34,0)</f>
        <v/>
      </c>
    </row>
  </sheetData>
  <mergeCells count="4">
    <mergeCell ref="A8:M8"/>
    <mergeCell ref="A2:M2"/>
    <mergeCell ref="A6:M6"/>
    <mergeCell ref="A1:M1"/>
  </mergeCells>
  <printOptions horizontalCentered="1"/>
  <pageMargins left="0.75" right="0.75" top="1" bottom="1" header="0.5" footer="0.5"/>
  <pageSetup orientation="landscape" fitToHeight="0" fitToWidth="1"/>
  <headerFooter>
    <oddHeader/>
    <oddFooter>&amp;C&amp;8 &amp;F  |  &amp;A  | 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M35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27.75" customHeight="1">
      <c r="A1" s="11" t="inlineStr">
        <is>
          <t>ORGANIKA RTD — PASSION FRUIT PINEAPPLE</t>
        </is>
      </c>
    </row>
    <row r="2" ht="15" customHeight="1">
      <c r="A2" s="12" t="inlineStr">
        <is>
          <t>CDN $ | Per case of 24 cans (6×4×355 ml) | Period: Aug 1 – Nov 1, 2026</t>
        </is>
      </c>
    </row>
    <row r="3" ht="7.5" customHeight="1"/>
    <row r="4" ht="45" customHeight="1">
      <c r="A4" s="56" t="inlineStr">
        <is>
          <t>CDN $</t>
        </is>
      </c>
      <c r="B4" s="54" t="inlineStr">
        <is>
          <t>Shopify</t>
        </is>
      </c>
      <c r="C4" s="54" t="inlineStr">
        <is>
          <t>Amazon</t>
        </is>
      </c>
      <c r="D4" s="54" t="inlineStr">
        <is>
          <t>On-premise</t>
        </is>
      </c>
      <c r="E4" s="54" t="inlineStr">
        <is>
          <t>Retail</t>
        </is>
      </c>
      <c r="F4" s="54" t="inlineStr">
        <is>
          <t>Distributor</t>
        </is>
      </c>
      <c r="G4" s="54" t="inlineStr">
        <is>
          <t>Corporate Office</t>
        </is>
      </c>
      <c r="H4" s="54" t="inlineStr">
        <is>
          <t>Purity Life</t>
        </is>
      </c>
      <c r="I4" s="54" t="inlineStr">
        <is>
          <t>Natural &amp; Specialty Direct</t>
        </is>
      </c>
      <c r="J4" s="54" t="inlineStr">
        <is>
          <t>FDM Direct</t>
        </is>
      </c>
      <c r="K4" s="54" t="inlineStr">
        <is>
          <t>Convenience</t>
        </is>
      </c>
      <c r="L4" s="54" t="inlineStr">
        <is>
          <t>Fitness Centre</t>
        </is>
      </c>
      <c r="M4" s="55" t="inlineStr">
        <is>
          <t>Total</t>
        </is>
      </c>
    </row>
    <row r="5" ht="6" customHeight="1"/>
    <row r="6" ht="13.5" customHeight="1">
      <c r="A6" s="30" t="inlineStr">
        <is>
          <t>⚫ All values are formulas — edit inputs on the 🟡 Assumptions tab (pricing, mix, A&amp;P)</t>
        </is>
      </c>
    </row>
    <row r="7" ht="7.5" customHeight="1"/>
    <row r="8" ht="15" customHeight="1">
      <c r="A8" s="13" t="inlineStr">
        <is>
          <t>Organika RTD — Passion Fruit Pineapple (6×4×355 ml)</t>
        </is>
      </c>
    </row>
    <row r="9" ht="15" customHeight="1">
      <c r="A9" s="15" t="inlineStr">
        <is>
          <t>Physical Cases</t>
        </is>
      </c>
      <c r="B9" s="16">
        <f>Assumptions!$C$17*Assumptions!$F$23</f>
        <v/>
      </c>
      <c r="C9" s="16">
        <f>Assumptions!$C$17*Assumptions!$F$24</f>
        <v/>
      </c>
      <c r="D9" s="16">
        <f>Assumptions!$C$17*Assumptions!$F$25</f>
        <v/>
      </c>
      <c r="E9" s="16">
        <f>Assumptions!$C$17*Assumptions!$F$26</f>
        <v/>
      </c>
      <c r="F9" s="16">
        <f>Assumptions!$C$17*Assumptions!$F$27</f>
        <v/>
      </c>
      <c r="G9" s="16">
        <f>Assumptions!$C$17*Assumptions!$F$28</f>
        <v/>
      </c>
      <c r="H9" s="16">
        <f>Assumptions!$C$17*Assumptions!$F$29</f>
        <v/>
      </c>
      <c r="I9" s="16">
        <f>Assumptions!$C$17*Assumptions!$F$30</f>
        <v/>
      </c>
      <c r="J9" s="16">
        <f>Assumptions!$C$17*Assumptions!$F$31</f>
        <v/>
      </c>
      <c r="K9" s="16">
        <f>Assumptions!$C$17*Assumptions!$F$32</f>
        <v/>
      </c>
      <c r="L9" s="16">
        <f>Assumptions!$C$17*Assumptions!$F$33</f>
        <v/>
      </c>
      <c r="M9" s="16">
        <f>SUM(B9:L9)</f>
        <v/>
      </c>
    </row>
    <row r="10" ht="15" customHeight="1">
      <c r="A10" s="15" t="inlineStr">
        <is>
          <t>Gross Revenue</t>
        </is>
      </c>
      <c r="B10" s="18">
        <f>B26*B9</f>
        <v/>
      </c>
      <c r="C10" s="18">
        <f>C26*C9</f>
        <v/>
      </c>
      <c r="D10" s="18">
        <f>D26*D9</f>
        <v/>
      </c>
      <c r="E10" s="18">
        <f>E26*E9</f>
        <v/>
      </c>
      <c r="F10" s="18">
        <f>F26*F9</f>
        <v/>
      </c>
      <c r="G10" s="18">
        <f>G26*G9</f>
        <v/>
      </c>
      <c r="H10" s="18">
        <f>H26*H9</f>
        <v/>
      </c>
      <c r="I10" s="18">
        <f>I26*I9</f>
        <v/>
      </c>
      <c r="J10" s="18">
        <f>J26*J9</f>
        <v/>
      </c>
      <c r="K10" s="18">
        <f>K26*K9</f>
        <v/>
      </c>
      <c r="L10" s="18">
        <f>L26*L9</f>
        <v/>
      </c>
      <c r="M10" s="18">
        <f>SUM(B10:L10)</f>
        <v/>
      </c>
    </row>
    <row r="11" ht="15" customHeight="1">
      <c r="A11" s="15" t="inlineStr">
        <is>
          <t>Discounts</t>
        </is>
      </c>
      <c r="B11" s="18">
        <f>B27*B9</f>
        <v/>
      </c>
      <c r="C11" s="18">
        <f>C27*C9</f>
        <v/>
      </c>
      <c r="D11" s="18">
        <f>D27*D9</f>
        <v/>
      </c>
      <c r="E11" s="18">
        <f>E27*E9</f>
        <v/>
      </c>
      <c r="F11" s="18">
        <f>F27*F9</f>
        <v/>
      </c>
      <c r="G11" s="18">
        <f>G27*G9</f>
        <v/>
      </c>
      <c r="H11" s="18">
        <f>H27*H9</f>
        <v/>
      </c>
      <c r="I11" s="18">
        <f>I27*I9</f>
        <v/>
      </c>
      <c r="J11" s="18">
        <f>J27*J9</f>
        <v/>
      </c>
      <c r="K11" s="18">
        <f>K27*K9</f>
        <v/>
      </c>
      <c r="L11" s="18">
        <f>L27*L9</f>
        <v/>
      </c>
      <c r="M11" s="18">
        <f>SUM(B11:L11)</f>
        <v/>
      </c>
    </row>
    <row r="12" ht="15" customHeight="1">
      <c r="A12" s="15" t="inlineStr">
        <is>
          <t>Net Sales</t>
        </is>
      </c>
      <c r="B12" s="18">
        <f>B10-B11</f>
        <v/>
      </c>
      <c r="C12" s="18">
        <f>C10-C11</f>
        <v/>
      </c>
      <c r="D12" s="18">
        <f>D10-D11</f>
        <v/>
      </c>
      <c r="E12" s="18">
        <f>E10-E11</f>
        <v/>
      </c>
      <c r="F12" s="18">
        <f>F10-F11</f>
        <v/>
      </c>
      <c r="G12" s="18">
        <f>G10-G11</f>
        <v/>
      </c>
      <c r="H12" s="18">
        <f>H10-H11</f>
        <v/>
      </c>
      <c r="I12" s="18">
        <f>I10-I11</f>
        <v/>
      </c>
      <c r="J12" s="18">
        <f>J10-J11</f>
        <v/>
      </c>
      <c r="K12" s="18">
        <f>K10-K11</f>
        <v/>
      </c>
      <c r="L12" s="18">
        <f>L10-L11</f>
        <v/>
      </c>
      <c r="M12" s="18">
        <f>M10-M11</f>
        <v/>
      </c>
    </row>
    <row r="13" ht="15" customHeight="1">
      <c r="A13" s="15" t="inlineStr">
        <is>
          <t xml:space="preserve">    COGS Direct</t>
        </is>
      </c>
      <c r="B13" s="18">
        <f>B29*B9</f>
        <v/>
      </c>
      <c r="C13" s="18">
        <f>C29*C9</f>
        <v/>
      </c>
      <c r="D13" s="18">
        <f>D29*D9</f>
        <v/>
      </c>
      <c r="E13" s="18">
        <f>E29*E9</f>
        <v/>
      </c>
      <c r="F13" s="18">
        <f>F29*F9</f>
        <v/>
      </c>
      <c r="G13" s="18">
        <f>G29*G9</f>
        <v/>
      </c>
      <c r="H13" s="18">
        <f>H29*H9</f>
        <v/>
      </c>
      <c r="I13" s="18">
        <f>I29*I9</f>
        <v/>
      </c>
      <c r="J13" s="18">
        <f>J29*J9</f>
        <v/>
      </c>
      <c r="K13" s="18">
        <f>K29*K9</f>
        <v/>
      </c>
      <c r="L13" s="18">
        <f>L29*L9</f>
        <v/>
      </c>
      <c r="M13" s="18">
        <f>SUM(B13:L13)</f>
        <v/>
      </c>
    </row>
    <row r="14" ht="15" customHeight="1">
      <c r="A14" s="15" t="inlineStr">
        <is>
          <t xml:space="preserve">    COGS Indirect</t>
        </is>
      </c>
      <c r="B14" s="18">
        <f>B30*B9</f>
        <v/>
      </c>
      <c r="C14" s="18">
        <f>C30*C9</f>
        <v/>
      </c>
      <c r="D14" s="18">
        <f>D30*D9</f>
        <v/>
      </c>
      <c r="E14" s="18">
        <f>E30*E9</f>
        <v/>
      </c>
      <c r="F14" s="18">
        <f>F30*F9</f>
        <v/>
      </c>
      <c r="G14" s="18">
        <f>G30*G9</f>
        <v/>
      </c>
      <c r="H14" s="18">
        <f>H30*H9</f>
        <v/>
      </c>
      <c r="I14" s="18">
        <f>I30*I9</f>
        <v/>
      </c>
      <c r="J14" s="18">
        <f>J30*J9</f>
        <v/>
      </c>
      <c r="K14" s="18">
        <f>K30*K9</f>
        <v/>
      </c>
      <c r="L14" s="18">
        <f>L30*L9</f>
        <v/>
      </c>
      <c r="M14" s="18">
        <f>SUM(B14:L14)</f>
        <v/>
      </c>
    </row>
    <row r="15" ht="15" customHeight="1">
      <c r="A15" s="15" t="inlineStr">
        <is>
          <t>Cost of Sales</t>
        </is>
      </c>
      <c r="B15" s="18">
        <f>B13+B14</f>
        <v/>
      </c>
      <c r="C15" s="18">
        <f>C13+C14</f>
        <v/>
      </c>
      <c r="D15" s="18">
        <f>D13+D14</f>
        <v/>
      </c>
      <c r="E15" s="18">
        <f>E13+E14</f>
        <v/>
      </c>
      <c r="F15" s="18">
        <f>F13+F14</f>
        <v/>
      </c>
      <c r="G15" s="18">
        <f>G13+G14</f>
        <v/>
      </c>
      <c r="H15" s="18">
        <f>H13+H14</f>
        <v/>
      </c>
      <c r="I15" s="18">
        <f>I13+I14</f>
        <v/>
      </c>
      <c r="J15" s="18">
        <f>J13+J14</f>
        <v/>
      </c>
      <c r="K15" s="18">
        <f>K13+K14</f>
        <v/>
      </c>
      <c r="L15" s="18">
        <f>L13+L14</f>
        <v/>
      </c>
      <c r="M15" s="18">
        <f>M13+M14</f>
        <v/>
      </c>
    </row>
    <row r="16" ht="15" customHeight="1">
      <c r="A16" s="15" t="inlineStr">
        <is>
          <t>Gross Profit</t>
        </is>
      </c>
      <c r="B16" s="18">
        <f>B12-B15</f>
        <v/>
      </c>
      <c r="C16" s="18">
        <f>C12-C15</f>
        <v/>
      </c>
      <c r="D16" s="18">
        <f>D12-D15</f>
        <v/>
      </c>
      <c r="E16" s="18">
        <f>E12-E15</f>
        <v/>
      </c>
      <c r="F16" s="18">
        <f>F12-F15</f>
        <v/>
      </c>
      <c r="G16" s="18">
        <f>G12-G15</f>
        <v/>
      </c>
      <c r="H16" s="18">
        <f>H12-H15</f>
        <v/>
      </c>
      <c r="I16" s="18">
        <f>I12-I15</f>
        <v/>
      </c>
      <c r="J16" s="18">
        <f>J12-J15</f>
        <v/>
      </c>
      <c r="K16" s="18">
        <f>K12-K15</f>
        <v/>
      </c>
      <c r="L16" s="18">
        <f>L12-L15</f>
        <v/>
      </c>
      <c r="M16" s="18">
        <f>M12-M15</f>
        <v/>
      </c>
    </row>
    <row r="17" ht="15" customHeight="1">
      <c r="A17" s="19" t="inlineStr">
        <is>
          <t>GP %</t>
        </is>
      </c>
      <c r="B17" s="32">
        <f>IFERROR(B16/B12,"-")</f>
        <v/>
      </c>
      <c r="C17" s="32">
        <f>IFERROR(C16/C12,"-")</f>
        <v/>
      </c>
      <c r="D17" s="32">
        <f>IFERROR(D16/D12,"-")</f>
        <v/>
      </c>
      <c r="E17" s="32">
        <f>IFERROR(E16/E12,"-")</f>
        <v/>
      </c>
      <c r="F17" s="32">
        <f>IFERROR(F16/F12,"-")</f>
        <v/>
      </c>
      <c r="G17" s="32">
        <f>IFERROR(G16/G12,"-")</f>
        <v/>
      </c>
      <c r="H17" s="32">
        <f>IFERROR(H16/H12,"-")</f>
        <v/>
      </c>
      <c r="I17" s="32">
        <f>IFERROR(I16/I12,"-")</f>
        <v/>
      </c>
      <c r="J17" s="32">
        <f>IFERROR(J16/J12,"-")</f>
        <v/>
      </c>
      <c r="K17" s="32">
        <f>IFERROR(K16/K12,"-")</f>
        <v/>
      </c>
      <c r="L17" s="32">
        <f>IFERROR(L16/L12,"-")</f>
        <v/>
      </c>
      <c r="M17" s="32">
        <f>IFERROR(M16/M12,"-")</f>
        <v/>
      </c>
    </row>
    <row r="18" ht="6" customHeight="1"/>
    <row r="19" ht="15" customHeight="1">
      <c r="A19" s="15" t="inlineStr">
        <is>
          <t xml:space="preserve">    A&amp;P Consumer</t>
        </is>
      </c>
      <c r="B19" s="18">
        <f>B22*Assumptions!$C$11</f>
        <v/>
      </c>
      <c r="C19" s="18">
        <f>C22*Assumptions!$C$11</f>
        <v/>
      </c>
      <c r="D19" s="18">
        <f>D22*Assumptions!$C$11</f>
        <v/>
      </c>
      <c r="E19" s="18">
        <f>E22*Assumptions!$C$11</f>
        <v/>
      </c>
      <c r="F19" s="18">
        <f>F22*Assumptions!$C$11</f>
        <v/>
      </c>
      <c r="G19" s="18">
        <f>G22*Assumptions!$C$11</f>
        <v/>
      </c>
      <c r="H19" s="18">
        <f>H22*Assumptions!$C$11</f>
        <v/>
      </c>
      <c r="I19" s="18">
        <f>I22*Assumptions!$C$11</f>
        <v/>
      </c>
      <c r="J19" s="18">
        <f>J22*Assumptions!$C$11</f>
        <v/>
      </c>
      <c r="K19" s="18">
        <f>K22*Assumptions!$C$11</f>
        <v/>
      </c>
      <c r="L19" s="18">
        <f>L22*Assumptions!$C$11</f>
        <v/>
      </c>
      <c r="M19" s="18">
        <f>SUM(B19:L19)</f>
        <v/>
      </c>
    </row>
    <row r="20" ht="15" customHeight="1">
      <c r="A20" s="15" t="inlineStr">
        <is>
          <t xml:space="preserve">    A&amp;P Trade</t>
        </is>
      </c>
      <c r="B20" s="18">
        <f>B22*Assumptions!$C$12</f>
        <v/>
      </c>
      <c r="C20" s="18">
        <f>C22*Assumptions!$C$12</f>
        <v/>
      </c>
      <c r="D20" s="18">
        <f>D22*Assumptions!$C$12</f>
        <v/>
      </c>
      <c r="E20" s="18">
        <f>E22*Assumptions!$C$12</f>
        <v/>
      </c>
      <c r="F20" s="18">
        <f>F22*Assumptions!$C$12</f>
        <v/>
      </c>
      <c r="G20" s="18">
        <f>G22*Assumptions!$C$12</f>
        <v/>
      </c>
      <c r="H20" s="18">
        <f>H22*Assumptions!$C$12</f>
        <v/>
      </c>
      <c r="I20" s="18">
        <f>I22*Assumptions!$C$12</f>
        <v/>
      </c>
      <c r="J20" s="18">
        <f>J22*Assumptions!$C$12</f>
        <v/>
      </c>
      <c r="K20" s="18">
        <f>K22*Assumptions!$C$12</f>
        <v/>
      </c>
      <c r="L20" s="18">
        <f>L22*Assumptions!$C$12</f>
        <v/>
      </c>
      <c r="M20" s="18">
        <f>SUM(B20:L20)</f>
        <v/>
      </c>
    </row>
    <row r="21" ht="15" customHeight="1">
      <c r="A21" s="15" t="inlineStr">
        <is>
          <t xml:space="preserve">    A&amp;P Sales</t>
        </is>
      </c>
      <c r="B21" s="18">
        <f>B22*Assumptions!$C$13</f>
        <v/>
      </c>
      <c r="C21" s="18">
        <f>C22*Assumptions!$C$13</f>
        <v/>
      </c>
      <c r="D21" s="18">
        <f>D22*Assumptions!$C$13</f>
        <v/>
      </c>
      <c r="E21" s="18">
        <f>E22*Assumptions!$C$13</f>
        <v/>
      </c>
      <c r="F21" s="18">
        <f>F22*Assumptions!$C$13</f>
        <v/>
      </c>
      <c r="G21" s="18">
        <f>G22*Assumptions!$C$13</f>
        <v/>
      </c>
      <c r="H21" s="18">
        <f>H22*Assumptions!$C$13</f>
        <v/>
      </c>
      <c r="I21" s="18">
        <f>I22*Assumptions!$C$13</f>
        <v/>
      </c>
      <c r="J21" s="18">
        <f>J22*Assumptions!$C$13</f>
        <v/>
      </c>
      <c r="K21" s="18">
        <f>K22*Assumptions!$C$13</f>
        <v/>
      </c>
      <c r="L21" s="18">
        <f>L22*Assumptions!$C$13</f>
        <v/>
      </c>
      <c r="M21" s="18">
        <f>SUM(B21:L21)</f>
        <v/>
      </c>
    </row>
    <row r="22" ht="15" customHeight="1">
      <c r="A22" s="15" t="inlineStr">
        <is>
          <t>A&amp;P</t>
        </is>
      </c>
      <c r="B22" s="18">
        <f>B12*Assumptions!$E$23</f>
        <v/>
      </c>
      <c r="C22" s="18">
        <f>C12*Assumptions!$E$24</f>
        <v/>
      </c>
      <c r="D22" s="18">
        <f>D12*Assumptions!$E$25</f>
        <v/>
      </c>
      <c r="E22" s="18">
        <f>E12*Assumptions!$E$26</f>
        <v/>
      </c>
      <c r="F22" s="18">
        <f>F12*Assumptions!$E$27</f>
        <v/>
      </c>
      <c r="G22" s="18">
        <f>G12*Assumptions!$E$28</f>
        <v/>
      </c>
      <c r="H22" s="18">
        <f>H12*Assumptions!$E$29</f>
        <v/>
      </c>
      <c r="I22" s="18">
        <f>I12*Assumptions!$E$30</f>
        <v/>
      </c>
      <c r="J22" s="18">
        <f>J12*Assumptions!$E$31</f>
        <v/>
      </c>
      <c r="K22" s="18">
        <f>K12*Assumptions!$E$32</f>
        <v/>
      </c>
      <c r="L22" s="18">
        <f>L12*Assumptions!$E$33</f>
        <v/>
      </c>
      <c r="M22" s="18">
        <f>M19+M20+M21</f>
        <v/>
      </c>
    </row>
    <row r="23" ht="6" customHeight="1"/>
    <row r="24" ht="15" customHeight="1">
      <c r="A24" s="15" t="inlineStr">
        <is>
          <t>Contrib After A&amp;P (CAAP)</t>
        </is>
      </c>
      <c r="B24" s="18">
        <f>B16-B22</f>
        <v/>
      </c>
      <c r="C24" s="18">
        <f>C16-C22</f>
        <v/>
      </c>
      <c r="D24" s="18">
        <f>D16-D22</f>
        <v/>
      </c>
      <c r="E24" s="18">
        <f>E16-E22</f>
        <v/>
      </c>
      <c r="F24" s="18">
        <f>F16-F22</f>
        <v/>
      </c>
      <c r="G24" s="18">
        <f>G16-G22</f>
        <v/>
      </c>
      <c r="H24" s="18">
        <f>H16-H22</f>
        <v/>
      </c>
      <c r="I24" s="18">
        <f>I16-I22</f>
        <v/>
      </c>
      <c r="J24" s="18">
        <f>J16-J22</f>
        <v/>
      </c>
      <c r="K24" s="18">
        <f>K16-K22</f>
        <v/>
      </c>
      <c r="L24" s="18">
        <f>L16-L22</f>
        <v/>
      </c>
      <c r="M24" s="18">
        <f>M16-M22</f>
        <v/>
      </c>
    </row>
    <row r="25" ht="6" customHeight="1"/>
    <row r="26" ht="15" customHeight="1">
      <c r="A26" s="15" t="inlineStr">
        <is>
          <t>Gross Rev - per case</t>
        </is>
      </c>
      <c r="B26" s="17">
        <f>Assumptions!$B$23</f>
        <v/>
      </c>
      <c r="C26" s="17">
        <f>Assumptions!$B$24</f>
        <v/>
      </c>
      <c r="D26" s="17">
        <f>Assumptions!$B$25</f>
        <v/>
      </c>
      <c r="E26" s="17">
        <f>Assumptions!$B$26</f>
        <v/>
      </c>
      <c r="F26" s="17">
        <f>Assumptions!$B$27</f>
        <v/>
      </c>
      <c r="G26" s="17">
        <f>Assumptions!$B$28</f>
        <v/>
      </c>
      <c r="H26" s="17">
        <f>Assumptions!$B$29</f>
        <v/>
      </c>
      <c r="I26" s="17">
        <f>Assumptions!$B$30</f>
        <v/>
      </c>
      <c r="J26" s="17">
        <f>Assumptions!$B$31</f>
        <v/>
      </c>
      <c r="K26" s="17">
        <f>Assumptions!$B$32</f>
        <v/>
      </c>
      <c r="L26" s="17">
        <f>Assumptions!$B$33</f>
        <v/>
      </c>
      <c r="M26" s="17">
        <f>IFERROR(M10/M9,"-")</f>
        <v/>
      </c>
    </row>
    <row r="27" ht="15" customHeight="1">
      <c r="A27" s="15" t="inlineStr">
        <is>
          <t>Discounts - per case</t>
        </is>
      </c>
      <c r="B27" s="17">
        <f>Assumptions!$B$23*Assumptions!$D$23</f>
        <v/>
      </c>
      <c r="C27" s="17">
        <f>Assumptions!$B$24*Assumptions!$D$24</f>
        <v/>
      </c>
      <c r="D27" s="17">
        <f>Assumptions!$B$25*Assumptions!$D$25</f>
        <v/>
      </c>
      <c r="E27" s="17">
        <f>Assumptions!$B$26*Assumptions!$D$26</f>
        <v/>
      </c>
      <c r="F27" s="17">
        <f>Assumptions!$B$27*Assumptions!$D$27</f>
        <v/>
      </c>
      <c r="G27" s="17">
        <f>Assumptions!$B$28*Assumptions!$D$28</f>
        <v/>
      </c>
      <c r="H27" s="17">
        <f>Assumptions!$B$29*Assumptions!$D$29</f>
        <v/>
      </c>
      <c r="I27" s="17">
        <f>Assumptions!$B$30*Assumptions!$D$30</f>
        <v/>
      </c>
      <c r="J27" s="17">
        <f>Assumptions!$B$31*Assumptions!$D$31</f>
        <v/>
      </c>
      <c r="K27" s="17">
        <f>Assumptions!$B$32*Assumptions!$D$32</f>
        <v/>
      </c>
      <c r="L27" s="17">
        <f>Assumptions!$B$33*Assumptions!$D$33</f>
        <v/>
      </c>
      <c r="M27" s="17">
        <f>IFERROR(M11/M9,"-")</f>
        <v/>
      </c>
    </row>
    <row r="28" ht="15" customHeight="1">
      <c r="A28" s="15" t="inlineStr">
        <is>
          <t>Net Sales - per case</t>
        </is>
      </c>
      <c r="B28" s="17">
        <f>B26-B27</f>
        <v/>
      </c>
      <c r="C28" s="17">
        <f>C26-C27</f>
        <v/>
      </c>
      <c r="D28" s="17">
        <f>D26-D27</f>
        <v/>
      </c>
      <c r="E28" s="17">
        <f>E26-E27</f>
        <v/>
      </c>
      <c r="F28" s="17">
        <f>F26-F27</f>
        <v/>
      </c>
      <c r="G28" s="17">
        <f>G26-G27</f>
        <v/>
      </c>
      <c r="H28" s="17">
        <f>H26-H27</f>
        <v/>
      </c>
      <c r="I28" s="17">
        <f>I26-I27</f>
        <v/>
      </c>
      <c r="J28" s="17">
        <f>J26-J27</f>
        <v/>
      </c>
      <c r="K28" s="17">
        <f>K26-K27</f>
        <v/>
      </c>
      <c r="L28" s="17">
        <f>L26-L27</f>
        <v/>
      </c>
      <c r="M28" s="17">
        <f>IFERROR(M12/M9,"-")</f>
        <v/>
      </c>
    </row>
    <row r="29" ht="15" customHeight="1">
      <c r="A29" s="15" t="inlineStr">
        <is>
          <t xml:space="preserve">    COGS Direct - per case</t>
        </is>
      </c>
      <c r="B29" s="17">
        <f>'Cost Build-up'!$D$44</f>
        <v/>
      </c>
      <c r="C29" s="17">
        <f>'Cost Build-up'!$D$44</f>
        <v/>
      </c>
      <c r="D29" s="17">
        <f>'Cost Build-up'!$D$44</f>
        <v/>
      </c>
      <c r="E29" s="17">
        <f>'Cost Build-up'!$D$44</f>
        <v/>
      </c>
      <c r="F29" s="17">
        <f>'Cost Build-up'!$D$44</f>
        <v/>
      </c>
      <c r="G29" s="17">
        <f>'Cost Build-up'!$D$44</f>
        <v/>
      </c>
      <c r="H29" s="17">
        <f>'Cost Build-up'!$D$44</f>
        <v/>
      </c>
      <c r="I29" s="17">
        <f>'Cost Build-up'!$D$44</f>
        <v/>
      </c>
      <c r="J29" s="17">
        <f>'Cost Build-up'!$D$44</f>
        <v/>
      </c>
      <c r="K29" s="17">
        <f>'Cost Build-up'!$D$44</f>
        <v/>
      </c>
      <c r="L29" s="17">
        <f>'Cost Build-up'!$D$44</f>
        <v/>
      </c>
      <c r="M29" s="17">
        <f>IFERROR(M13/M9,"-")</f>
        <v/>
      </c>
    </row>
    <row r="30" ht="15" customHeight="1">
      <c r="A30" s="15" t="inlineStr">
        <is>
          <t xml:space="preserve">    COGS Indirect - per case</t>
        </is>
      </c>
      <c r="B30" s="17">
        <f>'Cost Build-up'!$D$45</f>
        <v/>
      </c>
      <c r="C30" s="17">
        <f>'Cost Build-up'!$D$45</f>
        <v/>
      </c>
      <c r="D30" s="17">
        <f>'Cost Build-up'!$D$45</f>
        <v/>
      </c>
      <c r="E30" s="17">
        <f>'Cost Build-up'!$D$45</f>
        <v/>
      </c>
      <c r="F30" s="17">
        <f>'Cost Build-up'!$D$45</f>
        <v/>
      </c>
      <c r="G30" s="17">
        <f>'Cost Build-up'!$D$45</f>
        <v/>
      </c>
      <c r="H30" s="17">
        <f>'Cost Build-up'!$D$45</f>
        <v/>
      </c>
      <c r="I30" s="17">
        <f>'Cost Build-up'!$D$45</f>
        <v/>
      </c>
      <c r="J30" s="17">
        <f>'Cost Build-up'!$D$45</f>
        <v/>
      </c>
      <c r="K30" s="17">
        <f>'Cost Build-up'!$D$45</f>
        <v/>
      </c>
      <c r="L30" s="17">
        <f>'Cost Build-up'!$D$45</f>
        <v/>
      </c>
      <c r="M30" s="17">
        <f>IFERROR(M14/M9,"-")</f>
        <v/>
      </c>
    </row>
    <row r="31" ht="15" customHeight="1">
      <c r="A31" s="15" t="inlineStr">
        <is>
          <t>Cost of Sales - per case</t>
        </is>
      </c>
      <c r="B31" s="17">
        <f>B29+B30</f>
        <v/>
      </c>
      <c r="C31" s="17">
        <f>C29+C30</f>
        <v/>
      </c>
      <c r="D31" s="17">
        <f>D29+D30</f>
        <v/>
      </c>
      <c r="E31" s="17">
        <f>E29+E30</f>
        <v/>
      </c>
      <c r="F31" s="17">
        <f>F29+F30</f>
        <v/>
      </c>
      <c r="G31" s="17">
        <f>G29+G30</f>
        <v/>
      </c>
      <c r="H31" s="17">
        <f>H29+H30</f>
        <v/>
      </c>
      <c r="I31" s="17">
        <f>I29+I30</f>
        <v/>
      </c>
      <c r="J31" s="17">
        <f>J29+J30</f>
        <v/>
      </c>
      <c r="K31" s="17">
        <f>K29+K30</f>
        <v/>
      </c>
      <c r="L31" s="17">
        <f>L29+L30</f>
        <v/>
      </c>
      <c r="M31" s="17">
        <f>IFERROR(M15/M9,"-")</f>
        <v/>
      </c>
    </row>
    <row r="32" ht="15" customHeight="1">
      <c r="A32" s="15" t="inlineStr">
        <is>
          <t>Gross Profit - per case</t>
        </is>
      </c>
      <c r="B32" s="17">
        <f>B28-B31</f>
        <v/>
      </c>
      <c r="C32" s="17">
        <f>C28-C31</f>
        <v/>
      </c>
      <c r="D32" s="17">
        <f>D28-D31</f>
        <v/>
      </c>
      <c r="E32" s="17">
        <f>E28-E31</f>
        <v/>
      </c>
      <c r="F32" s="17">
        <f>F28-F31</f>
        <v/>
      </c>
      <c r="G32" s="17">
        <f>G28-G31</f>
        <v/>
      </c>
      <c r="H32" s="17">
        <f>H28-H31</f>
        <v/>
      </c>
      <c r="I32" s="17">
        <f>I28-I31</f>
        <v/>
      </c>
      <c r="J32" s="17">
        <f>J28-J31</f>
        <v/>
      </c>
      <c r="K32" s="17">
        <f>K28-K31</f>
        <v/>
      </c>
      <c r="L32" s="17">
        <f>L28-L31</f>
        <v/>
      </c>
      <c r="M32" s="17">
        <f>IFERROR(M16/M9,"-")</f>
        <v/>
      </c>
    </row>
    <row r="33" ht="15" customHeight="1">
      <c r="A33" s="19" t="inlineStr">
        <is>
          <t>GP %</t>
        </is>
      </c>
      <c r="B33" s="32">
        <f>IFERROR(B32/B28,"-")</f>
        <v/>
      </c>
      <c r="C33" s="32">
        <f>IFERROR(C32/C28,"-")</f>
        <v/>
      </c>
      <c r="D33" s="32">
        <f>IFERROR(D32/D28,"-")</f>
        <v/>
      </c>
      <c r="E33" s="32">
        <f>IFERROR(E32/E28,"-")</f>
        <v/>
      </c>
      <c r="F33" s="32">
        <f>IFERROR(F32/F28,"-")</f>
        <v/>
      </c>
      <c r="G33" s="32">
        <f>IFERROR(G32/G28,"-")</f>
        <v/>
      </c>
      <c r="H33" s="32">
        <f>IFERROR(H32/H28,"-")</f>
        <v/>
      </c>
      <c r="I33" s="32">
        <f>IFERROR(I32/I28,"-")</f>
        <v/>
      </c>
      <c r="J33" s="32">
        <f>IFERROR(J32/J28,"-")</f>
        <v/>
      </c>
      <c r="K33" s="32">
        <f>IFERROR(K32/K28,"-")</f>
        <v/>
      </c>
      <c r="L33" s="32">
        <f>IFERROR(L32/L28,"-")</f>
        <v/>
      </c>
      <c r="M33" s="32">
        <f>IFERROR(M32/M28,"-")</f>
        <v/>
      </c>
    </row>
    <row r="34" ht="15" customHeight="1">
      <c r="A34" s="15" t="inlineStr">
        <is>
          <t>A&amp;P - per case</t>
        </is>
      </c>
      <c r="B34" s="17">
        <f>IFERROR(B22/B9,"-")</f>
        <v/>
      </c>
      <c r="C34" s="17">
        <f>IFERROR(C22/C9,"-")</f>
        <v/>
      </c>
      <c r="D34" s="17">
        <f>IFERROR(D22/D9,"-")</f>
        <v/>
      </c>
      <c r="E34" s="17">
        <f>IFERROR(E22/E9,"-")</f>
        <v/>
      </c>
      <c r="F34" s="17">
        <f>IFERROR(F22/F9,"-")</f>
        <v/>
      </c>
      <c r="G34" s="17">
        <f>IFERROR(G22/G9,"-")</f>
        <v/>
      </c>
      <c r="H34" s="17">
        <f>IFERROR(H22/H9,"-")</f>
        <v/>
      </c>
      <c r="I34" s="17">
        <f>IFERROR(I22/I9,"-")</f>
        <v/>
      </c>
      <c r="J34" s="17">
        <f>IFERROR(J22/J9,"-")</f>
        <v/>
      </c>
      <c r="K34" s="17">
        <f>IFERROR(K22/K9,"-")</f>
        <v/>
      </c>
      <c r="L34" s="17">
        <f>IFERROR(L22/L9,"-")</f>
        <v/>
      </c>
      <c r="M34" s="17">
        <f>IFERROR(M22/M9,"-")</f>
        <v/>
      </c>
    </row>
    <row r="35" ht="15" customHeight="1">
      <c r="A35" s="15" t="inlineStr">
        <is>
          <t>CAAP - per case</t>
        </is>
      </c>
      <c r="B35" s="17">
        <f>B32-B34</f>
        <v/>
      </c>
      <c r="C35" s="17">
        <f>C32-C34</f>
        <v/>
      </c>
      <c r="D35" s="17">
        <f>D32-D34</f>
        <v/>
      </c>
      <c r="E35" s="17">
        <f>E32-E34</f>
        <v/>
      </c>
      <c r="F35" s="17">
        <f>F32-F34</f>
        <v/>
      </c>
      <c r="G35" s="17">
        <f>G32-G34</f>
        <v/>
      </c>
      <c r="H35" s="17">
        <f>H32-H34</f>
        <v/>
      </c>
      <c r="I35" s="17">
        <f>I32-I34</f>
        <v/>
      </c>
      <c r="J35" s="17">
        <f>J32-J34</f>
        <v/>
      </c>
      <c r="K35" s="17">
        <f>K32-K34</f>
        <v/>
      </c>
      <c r="L35" s="17">
        <f>L32-L34</f>
        <v/>
      </c>
      <c r="M35" s="17">
        <f>IFERROR(M32-M34,0)</f>
        <v/>
      </c>
    </row>
  </sheetData>
  <mergeCells count="4">
    <mergeCell ref="A8:M8"/>
    <mergeCell ref="A2:M2"/>
    <mergeCell ref="A6:M6"/>
    <mergeCell ref="A1:M1"/>
  </mergeCells>
  <printOptions horizontalCentered="1"/>
  <pageMargins left="0.75" right="0.75" top="1" bottom="1" header="0.5" footer="0.5"/>
  <pageSetup orientation="landscape" fitToHeight="0" fitToWidth="1"/>
  <headerFooter>
    <oddHeader/>
    <oddFooter>&amp;C&amp;8 &amp;F  |  &amp;A  | 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M35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27.75" customHeight="1">
      <c r="A1" s="11" t="inlineStr">
        <is>
          <t>ORGANIKA RTD — RASPBERRY</t>
        </is>
      </c>
    </row>
    <row r="2" ht="15" customHeight="1">
      <c r="A2" s="12" t="inlineStr">
        <is>
          <t>CDN $ | Per case of 24 cans (6×4×355 ml) | Period: Aug 1 – Nov 1, 2026</t>
        </is>
      </c>
    </row>
    <row r="3" ht="7.5" customHeight="1"/>
    <row r="4" ht="45" customHeight="1">
      <c r="A4" s="56" t="inlineStr">
        <is>
          <t>CDN $</t>
        </is>
      </c>
      <c r="B4" s="54" t="inlineStr">
        <is>
          <t>Shopify</t>
        </is>
      </c>
      <c r="C4" s="54" t="inlineStr">
        <is>
          <t>Amazon</t>
        </is>
      </c>
      <c r="D4" s="54" t="inlineStr">
        <is>
          <t>On-premise</t>
        </is>
      </c>
      <c r="E4" s="54" t="inlineStr">
        <is>
          <t>Retail</t>
        </is>
      </c>
      <c r="F4" s="54" t="inlineStr">
        <is>
          <t>Distributor</t>
        </is>
      </c>
      <c r="G4" s="54" t="inlineStr">
        <is>
          <t>Corporate Office</t>
        </is>
      </c>
      <c r="H4" s="54" t="inlineStr">
        <is>
          <t>Purity Life</t>
        </is>
      </c>
      <c r="I4" s="54" t="inlineStr">
        <is>
          <t>Natural &amp; Specialty Direct</t>
        </is>
      </c>
      <c r="J4" s="54" t="inlineStr">
        <is>
          <t>FDM Direct</t>
        </is>
      </c>
      <c r="K4" s="54" t="inlineStr">
        <is>
          <t>Convenience</t>
        </is>
      </c>
      <c r="L4" s="54" t="inlineStr">
        <is>
          <t>Fitness Centre</t>
        </is>
      </c>
      <c r="M4" s="55" t="inlineStr">
        <is>
          <t>Total</t>
        </is>
      </c>
    </row>
    <row r="5" ht="6" customHeight="1"/>
    <row r="6" ht="13.5" customHeight="1">
      <c r="A6" s="30" t="inlineStr">
        <is>
          <t>⚫ All values are formulas — edit inputs on the 🟡 Assumptions tab (pricing, mix, A&amp;P)</t>
        </is>
      </c>
    </row>
    <row r="7" ht="7.5" customHeight="1"/>
    <row r="8" ht="15" customHeight="1">
      <c r="A8" s="13" t="inlineStr">
        <is>
          <t>Organika RTD — Raspberry (6×4×355 ml)</t>
        </is>
      </c>
    </row>
    <row r="9" ht="15" customHeight="1">
      <c r="A9" s="15" t="inlineStr">
        <is>
          <t>Physical Cases</t>
        </is>
      </c>
      <c r="B9" s="16">
        <f>Assumptions!$C$18*Assumptions!$F$23</f>
        <v/>
      </c>
      <c r="C9" s="16">
        <f>Assumptions!$C$18*Assumptions!$F$24</f>
        <v/>
      </c>
      <c r="D9" s="16">
        <f>Assumptions!$C$18*Assumptions!$F$25</f>
        <v/>
      </c>
      <c r="E9" s="16">
        <f>Assumptions!$C$18*Assumptions!$F$26</f>
        <v/>
      </c>
      <c r="F9" s="16">
        <f>Assumptions!$C$18*Assumptions!$F$27</f>
        <v/>
      </c>
      <c r="G9" s="16">
        <f>Assumptions!$C$18*Assumptions!$F$28</f>
        <v/>
      </c>
      <c r="H9" s="16">
        <f>Assumptions!$C$18*Assumptions!$F$29</f>
        <v/>
      </c>
      <c r="I9" s="16">
        <f>Assumptions!$C$18*Assumptions!$F$30</f>
        <v/>
      </c>
      <c r="J9" s="16">
        <f>Assumptions!$C$18*Assumptions!$F$31</f>
        <v/>
      </c>
      <c r="K9" s="16">
        <f>Assumptions!$C$18*Assumptions!$F$32</f>
        <v/>
      </c>
      <c r="L9" s="16">
        <f>Assumptions!$C$18*Assumptions!$F$33</f>
        <v/>
      </c>
      <c r="M9" s="16">
        <f>SUM(B9:L9)</f>
        <v/>
      </c>
    </row>
    <row r="10" ht="15" customHeight="1">
      <c r="A10" s="15" t="inlineStr">
        <is>
          <t>Gross Revenue</t>
        </is>
      </c>
      <c r="B10" s="18">
        <f>B26*B9</f>
        <v/>
      </c>
      <c r="C10" s="18">
        <f>C26*C9</f>
        <v/>
      </c>
      <c r="D10" s="18">
        <f>D26*D9</f>
        <v/>
      </c>
      <c r="E10" s="18">
        <f>E26*E9</f>
        <v/>
      </c>
      <c r="F10" s="18">
        <f>F26*F9</f>
        <v/>
      </c>
      <c r="G10" s="18">
        <f>G26*G9</f>
        <v/>
      </c>
      <c r="H10" s="18">
        <f>H26*H9</f>
        <v/>
      </c>
      <c r="I10" s="18">
        <f>I26*I9</f>
        <v/>
      </c>
      <c r="J10" s="18">
        <f>J26*J9</f>
        <v/>
      </c>
      <c r="K10" s="18">
        <f>K26*K9</f>
        <v/>
      </c>
      <c r="L10" s="18">
        <f>L26*L9</f>
        <v/>
      </c>
      <c r="M10" s="18">
        <f>SUM(B10:L10)</f>
        <v/>
      </c>
    </row>
    <row r="11" ht="15" customHeight="1">
      <c r="A11" s="15" t="inlineStr">
        <is>
          <t>Discounts</t>
        </is>
      </c>
      <c r="B11" s="18">
        <f>B27*B9</f>
        <v/>
      </c>
      <c r="C11" s="18">
        <f>C27*C9</f>
        <v/>
      </c>
      <c r="D11" s="18">
        <f>D27*D9</f>
        <v/>
      </c>
      <c r="E11" s="18">
        <f>E27*E9</f>
        <v/>
      </c>
      <c r="F11" s="18">
        <f>F27*F9</f>
        <v/>
      </c>
      <c r="G11" s="18">
        <f>G27*G9</f>
        <v/>
      </c>
      <c r="H11" s="18">
        <f>H27*H9</f>
        <v/>
      </c>
      <c r="I11" s="18">
        <f>I27*I9</f>
        <v/>
      </c>
      <c r="J11" s="18">
        <f>J27*J9</f>
        <v/>
      </c>
      <c r="K11" s="18">
        <f>K27*K9</f>
        <v/>
      </c>
      <c r="L11" s="18">
        <f>L27*L9</f>
        <v/>
      </c>
      <c r="M11" s="18">
        <f>SUM(B11:L11)</f>
        <v/>
      </c>
    </row>
    <row r="12" ht="15" customHeight="1">
      <c r="A12" s="15" t="inlineStr">
        <is>
          <t>Net Sales</t>
        </is>
      </c>
      <c r="B12" s="18">
        <f>B10-B11</f>
        <v/>
      </c>
      <c r="C12" s="18">
        <f>C10-C11</f>
        <v/>
      </c>
      <c r="D12" s="18">
        <f>D10-D11</f>
        <v/>
      </c>
      <c r="E12" s="18">
        <f>E10-E11</f>
        <v/>
      </c>
      <c r="F12" s="18">
        <f>F10-F11</f>
        <v/>
      </c>
      <c r="G12" s="18">
        <f>G10-G11</f>
        <v/>
      </c>
      <c r="H12" s="18">
        <f>H10-H11</f>
        <v/>
      </c>
      <c r="I12" s="18">
        <f>I10-I11</f>
        <v/>
      </c>
      <c r="J12" s="18">
        <f>J10-J11</f>
        <v/>
      </c>
      <c r="K12" s="18">
        <f>K10-K11</f>
        <v/>
      </c>
      <c r="L12" s="18">
        <f>L10-L11</f>
        <v/>
      </c>
      <c r="M12" s="18">
        <f>M10-M11</f>
        <v/>
      </c>
    </row>
    <row r="13" ht="15" customHeight="1">
      <c r="A13" s="15" t="inlineStr">
        <is>
          <t xml:space="preserve">    COGS Direct</t>
        </is>
      </c>
      <c r="B13" s="18">
        <f>B29*B9</f>
        <v/>
      </c>
      <c r="C13" s="18">
        <f>C29*C9</f>
        <v/>
      </c>
      <c r="D13" s="18">
        <f>D29*D9</f>
        <v/>
      </c>
      <c r="E13" s="18">
        <f>E29*E9</f>
        <v/>
      </c>
      <c r="F13" s="18">
        <f>F29*F9</f>
        <v/>
      </c>
      <c r="G13" s="18">
        <f>G29*G9</f>
        <v/>
      </c>
      <c r="H13" s="18">
        <f>H29*H9</f>
        <v/>
      </c>
      <c r="I13" s="18">
        <f>I29*I9</f>
        <v/>
      </c>
      <c r="J13" s="18">
        <f>J29*J9</f>
        <v/>
      </c>
      <c r="K13" s="18">
        <f>K29*K9</f>
        <v/>
      </c>
      <c r="L13" s="18">
        <f>L29*L9</f>
        <v/>
      </c>
      <c r="M13" s="18">
        <f>SUM(B13:L13)</f>
        <v/>
      </c>
    </row>
    <row r="14" ht="15" customHeight="1">
      <c r="A14" s="15" t="inlineStr">
        <is>
          <t xml:space="preserve">    COGS Indirect</t>
        </is>
      </c>
      <c r="B14" s="18">
        <f>B30*B9</f>
        <v/>
      </c>
      <c r="C14" s="18">
        <f>C30*C9</f>
        <v/>
      </c>
      <c r="D14" s="18">
        <f>D30*D9</f>
        <v/>
      </c>
      <c r="E14" s="18">
        <f>E30*E9</f>
        <v/>
      </c>
      <c r="F14" s="18">
        <f>F30*F9</f>
        <v/>
      </c>
      <c r="G14" s="18">
        <f>G30*G9</f>
        <v/>
      </c>
      <c r="H14" s="18">
        <f>H30*H9</f>
        <v/>
      </c>
      <c r="I14" s="18">
        <f>I30*I9</f>
        <v/>
      </c>
      <c r="J14" s="18">
        <f>J30*J9</f>
        <v/>
      </c>
      <c r="K14" s="18">
        <f>K30*K9</f>
        <v/>
      </c>
      <c r="L14" s="18">
        <f>L30*L9</f>
        <v/>
      </c>
      <c r="M14" s="18">
        <f>SUM(B14:L14)</f>
        <v/>
      </c>
    </row>
    <row r="15" ht="15" customHeight="1">
      <c r="A15" s="15" t="inlineStr">
        <is>
          <t>Cost of Sales</t>
        </is>
      </c>
      <c r="B15" s="18">
        <f>B13+B14</f>
        <v/>
      </c>
      <c r="C15" s="18">
        <f>C13+C14</f>
        <v/>
      </c>
      <c r="D15" s="18">
        <f>D13+D14</f>
        <v/>
      </c>
      <c r="E15" s="18">
        <f>E13+E14</f>
        <v/>
      </c>
      <c r="F15" s="18">
        <f>F13+F14</f>
        <v/>
      </c>
      <c r="G15" s="18">
        <f>G13+G14</f>
        <v/>
      </c>
      <c r="H15" s="18">
        <f>H13+H14</f>
        <v/>
      </c>
      <c r="I15" s="18">
        <f>I13+I14</f>
        <v/>
      </c>
      <c r="J15" s="18">
        <f>J13+J14</f>
        <v/>
      </c>
      <c r="K15" s="18">
        <f>K13+K14</f>
        <v/>
      </c>
      <c r="L15" s="18">
        <f>L13+L14</f>
        <v/>
      </c>
      <c r="M15" s="18">
        <f>M13+M14</f>
        <v/>
      </c>
    </row>
    <row r="16" ht="15" customHeight="1">
      <c r="A16" s="15" t="inlineStr">
        <is>
          <t>Gross Profit</t>
        </is>
      </c>
      <c r="B16" s="18">
        <f>B12-B15</f>
        <v/>
      </c>
      <c r="C16" s="18">
        <f>C12-C15</f>
        <v/>
      </c>
      <c r="D16" s="18">
        <f>D12-D15</f>
        <v/>
      </c>
      <c r="E16" s="18">
        <f>E12-E15</f>
        <v/>
      </c>
      <c r="F16" s="18">
        <f>F12-F15</f>
        <v/>
      </c>
      <c r="G16" s="18">
        <f>G12-G15</f>
        <v/>
      </c>
      <c r="H16" s="18">
        <f>H12-H15</f>
        <v/>
      </c>
      <c r="I16" s="18">
        <f>I12-I15</f>
        <v/>
      </c>
      <c r="J16" s="18">
        <f>J12-J15</f>
        <v/>
      </c>
      <c r="K16" s="18">
        <f>K12-K15</f>
        <v/>
      </c>
      <c r="L16" s="18">
        <f>L12-L15</f>
        <v/>
      </c>
      <c r="M16" s="18">
        <f>M12-M15</f>
        <v/>
      </c>
    </row>
    <row r="17" ht="15" customHeight="1">
      <c r="A17" s="19" t="inlineStr">
        <is>
          <t>GP %</t>
        </is>
      </c>
      <c r="B17" s="32">
        <f>IFERROR(B16/B12,"-")</f>
        <v/>
      </c>
      <c r="C17" s="32">
        <f>IFERROR(C16/C12,"-")</f>
        <v/>
      </c>
      <c r="D17" s="32">
        <f>IFERROR(D16/D12,"-")</f>
        <v/>
      </c>
      <c r="E17" s="32">
        <f>IFERROR(E16/E12,"-")</f>
        <v/>
      </c>
      <c r="F17" s="32">
        <f>IFERROR(F16/F12,"-")</f>
        <v/>
      </c>
      <c r="G17" s="32">
        <f>IFERROR(G16/G12,"-")</f>
        <v/>
      </c>
      <c r="H17" s="32">
        <f>IFERROR(H16/H12,"-")</f>
        <v/>
      </c>
      <c r="I17" s="32">
        <f>IFERROR(I16/I12,"-")</f>
        <v/>
      </c>
      <c r="J17" s="32">
        <f>IFERROR(J16/J12,"-")</f>
        <v/>
      </c>
      <c r="K17" s="32">
        <f>IFERROR(K16/K12,"-")</f>
        <v/>
      </c>
      <c r="L17" s="32">
        <f>IFERROR(L16/L12,"-")</f>
        <v/>
      </c>
      <c r="M17" s="32">
        <f>IFERROR(M16/M12,"-")</f>
        <v/>
      </c>
    </row>
    <row r="18" ht="6" customHeight="1"/>
    <row r="19" ht="15" customHeight="1">
      <c r="A19" s="15" t="inlineStr">
        <is>
          <t xml:space="preserve">    A&amp;P Consumer</t>
        </is>
      </c>
      <c r="B19" s="18">
        <f>B22*Assumptions!$C$11</f>
        <v/>
      </c>
      <c r="C19" s="18">
        <f>C22*Assumptions!$C$11</f>
        <v/>
      </c>
      <c r="D19" s="18">
        <f>D22*Assumptions!$C$11</f>
        <v/>
      </c>
      <c r="E19" s="18">
        <f>E22*Assumptions!$C$11</f>
        <v/>
      </c>
      <c r="F19" s="18">
        <f>F22*Assumptions!$C$11</f>
        <v/>
      </c>
      <c r="G19" s="18">
        <f>G22*Assumptions!$C$11</f>
        <v/>
      </c>
      <c r="H19" s="18">
        <f>H22*Assumptions!$C$11</f>
        <v/>
      </c>
      <c r="I19" s="18">
        <f>I22*Assumptions!$C$11</f>
        <v/>
      </c>
      <c r="J19" s="18">
        <f>J22*Assumptions!$C$11</f>
        <v/>
      </c>
      <c r="K19" s="18">
        <f>K22*Assumptions!$C$11</f>
        <v/>
      </c>
      <c r="L19" s="18">
        <f>L22*Assumptions!$C$11</f>
        <v/>
      </c>
      <c r="M19" s="18">
        <f>SUM(B19:L19)</f>
        <v/>
      </c>
    </row>
    <row r="20" ht="15" customHeight="1">
      <c r="A20" s="15" t="inlineStr">
        <is>
          <t xml:space="preserve">    A&amp;P Trade</t>
        </is>
      </c>
      <c r="B20" s="18">
        <f>B22*Assumptions!$C$12</f>
        <v/>
      </c>
      <c r="C20" s="18">
        <f>C22*Assumptions!$C$12</f>
        <v/>
      </c>
      <c r="D20" s="18">
        <f>D22*Assumptions!$C$12</f>
        <v/>
      </c>
      <c r="E20" s="18">
        <f>E22*Assumptions!$C$12</f>
        <v/>
      </c>
      <c r="F20" s="18">
        <f>F22*Assumptions!$C$12</f>
        <v/>
      </c>
      <c r="G20" s="18">
        <f>G22*Assumptions!$C$12</f>
        <v/>
      </c>
      <c r="H20" s="18">
        <f>H22*Assumptions!$C$12</f>
        <v/>
      </c>
      <c r="I20" s="18">
        <f>I22*Assumptions!$C$12</f>
        <v/>
      </c>
      <c r="J20" s="18">
        <f>J22*Assumptions!$C$12</f>
        <v/>
      </c>
      <c r="K20" s="18">
        <f>K22*Assumptions!$C$12</f>
        <v/>
      </c>
      <c r="L20" s="18">
        <f>L22*Assumptions!$C$12</f>
        <v/>
      </c>
      <c r="M20" s="18">
        <f>SUM(B20:L20)</f>
        <v/>
      </c>
    </row>
    <row r="21" ht="15" customHeight="1">
      <c r="A21" s="15" t="inlineStr">
        <is>
          <t xml:space="preserve">    A&amp;P Sales</t>
        </is>
      </c>
      <c r="B21" s="18">
        <f>B22*Assumptions!$C$13</f>
        <v/>
      </c>
      <c r="C21" s="18">
        <f>C22*Assumptions!$C$13</f>
        <v/>
      </c>
      <c r="D21" s="18">
        <f>D22*Assumptions!$C$13</f>
        <v/>
      </c>
      <c r="E21" s="18">
        <f>E22*Assumptions!$C$13</f>
        <v/>
      </c>
      <c r="F21" s="18">
        <f>F22*Assumptions!$C$13</f>
        <v/>
      </c>
      <c r="G21" s="18">
        <f>G22*Assumptions!$C$13</f>
        <v/>
      </c>
      <c r="H21" s="18">
        <f>H22*Assumptions!$C$13</f>
        <v/>
      </c>
      <c r="I21" s="18">
        <f>I22*Assumptions!$C$13</f>
        <v/>
      </c>
      <c r="J21" s="18">
        <f>J22*Assumptions!$C$13</f>
        <v/>
      </c>
      <c r="K21" s="18">
        <f>K22*Assumptions!$C$13</f>
        <v/>
      </c>
      <c r="L21" s="18">
        <f>L22*Assumptions!$C$13</f>
        <v/>
      </c>
      <c r="M21" s="18">
        <f>SUM(B21:L21)</f>
        <v/>
      </c>
    </row>
    <row r="22" ht="15" customHeight="1">
      <c r="A22" s="15" t="inlineStr">
        <is>
          <t>A&amp;P</t>
        </is>
      </c>
      <c r="B22" s="18">
        <f>B12*Assumptions!$E$23</f>
        <v/>
      </c>
      <c r="C22" s="18">
        <f>C12*Assumptions!$E$24</f>
        <v/>
      </c>
      <c r="D22" s="18">
        <f>D12*Assumptions!$E$25</f>
        <v/>
      </c>
      <c r="E22" s="18">
        <f>E12*Assumptions!$E$26</f>
        <v/>
      </c>
      <c r="F22" s="18">
        <f>F12*Assumptions!$E$27</f>
        <v/>
      </c>
      <c r="G22" s="18">
        <f>G12*Assumptions!$E$28</f>
        <v/>
      </c>
      <c r="H22" s="18">
        <f>H12*Assumptions!$E$29</f>
        <v/>
      </c>
      <c r="I22" s="18">
        <f>I12*Assumptions!$E$30</f>
        <v/>
      </c>
      <c r="J22" s="18">
        <f>J12*Assumptions!$E$31</f>
        <v/>
      </c>
      <c r="K22" s="18">
        <f>K12*Assumptions!$E$32</f>
        <v/>
      </c>
      <c r="L22" s="18">
        <f>L12*Assumptions!$E$33</f>
        <v/>
      </c>
      <c r="M22" s="18">
        <f>M19+M20+M21</f>
        <v/>
      </c>
    </row>
    <row r="23" ht="6" customHeight="1"/>
    <row r="24" ht="15" customHeight="1">
      <c r="A24" s="15" t="inlineStr">
        <is>
          <t>Contrib After A&amp;P (CAAP)</t>
        </is>
      </c>
      <c r="B24" s="18">
        <f>B16-B22</f>
        <v/>
      </c>
      <c r="C24" s="18">
        <f>C16-C22</f>
        <v/>
      </c>
      <c r="D24" s="18">
        <f>D16-D22</f>
        <v/>
      </c>
      <c r="E24" s="18">
        <f>E16-E22</f>
        <v/>
      </c>
      <c r="F24" s="18">
        <f>F16-F22</f>
        <v/>
      </c>
      <c r="G24" s="18">
        <f>G16-G22</f>
        <v/>
      </c>
      <c r="H24" s="18">
        <f>H16-H22</f>
        <v/>
      </c>
      <c r="I24" s="18">
        <f>I16-I22</f>
        <v/>
      </c>
      <c r="J24" s="18">
        <f>J16-J22</f>
        <v/>
      </c>
      <c r="K24" s="18">
        <f>K16-K22</f>
        <v/>
      </c>
      <c r="L24" s="18">
        <f>L16-L22</f>
        <v/>
      </c>
      <c r="M24" s="18">
        <f>M16-M22</f>
        <v/>
      </c>
    </row>
    <row r="25" ht="6" customHeight="1"/>
    <row r="26" ht="15" customHeight="1">
      <c r="A26" s="15" t="inlineStr">
        <is>
          <t>Gross Rev - per case</t>
        </is>
      </c>
      <c r="B26" s="17">
        <f>Assumptions!$B$23</f>
        <v/>
      </c>
      <c r="C26" s="17">
        <f>Assumptions!$B$24</f>
        <v/>
      </c>
      <c r="D26" s="17">
        <f>Assumptions!$B$25</f>
        <v/>
      </c>
      <c r="E26" s="17">
        <f>Assumptions!$B$26</f>
        <v/>
      </c>
      <c r="F26" s="17">
        <f>Assumptions!$B$27</f>
        <v/>
      </c>
      <c r="G26" s="17">
        <f>Assumptions!$B$28</f>
        <v/>
      </c>
      <c r="H26" s="17">
        <f>Assumptions!$B$29</f>
        <v/>
      </c>
      <c r="I26" s="17">
        <f>Assumptions!$B$30</f>
        <v/>
      </c>
      <c r="J26" s="17">
        <f>Assumptions!$B$31</f>
        <v/>
      </c>
      <c r="K26" s="17">
        <f>Assumptions!$B$32</f>
        <v/>
      </c>
      <c r="L26" s="17">
        <f>Assumptions!$B$33</f>
        <v/>
      </c>
      <c r="M26" s="17">
        <f>IFERROR(M10/M9,"-")</f>
        <v/>
      </c>
    </row>
    <row r="27" ht="15" customHeight="1">
      <c r="A27" s="15" t="inlineStr">
        <is>
          <t>Discounts - per case</t>
        </is>
      </c>
      <c r="B27" s="17">
        <f>Assumptions!$B$23*Assumptions!$D$23</f>
        <v/>
      </c>
      <c r="C27" s="17">
        <f>Assumptions!$B$24*Assumptions!$D$24</f>
        <v/>
      </c>
      <c r="D27" s="17">
        <f>Assumptions!$B$25*Assumptions!$D$25</f>
        <v/>
      </c>
      <c r="E27" s="17">
        <f>Assumptions!$B$26*Assumptions!$D$26</f>
        <v/>
      </c>
      <c r="F27" s="17">
        <f>Assumptions!$B$27*Assumptions!$D$27</f>
        <v/>
      </c>
      <c r="G27" s="17">
        <f>Assumptions!$B$28*Assumptions!$D$28</f>
        <v/>
      </c>
      <c r="H27" s="17">
        <f>Assumptions!$B$29*Assumptions!$D$29</f>
        <v/>
      </c>
      <c r="I27" s="17">
        <f>Assumptions!$B$30*Assumptions!$D$30</f>
        <v/>
      </c>
      <c r="J27" s="17">
        <f>Assumptions!$B$31*Assumptions!$D$31</f>
        <v/>
      </c>
      <c r="K27" s="17">
        <f>Assumptions!$B$32*Assumptions!$D$32</f>
        <v/>
      </c>
      <c r="L27" s="17">
        <f>Assumptions!$B$33*Assumptions!$D$33</f>
        <v/>
      </c>
      <c r="M27" s="17">
        <f>IFERROR(M11/M9,"-")</f>
        <v/>
      </c>
    </row>
    <row r="28" ht="15" customHeight="1">
      <c r="A28" s="15" t="inlineStr">
        <is>
          <t>Net Sales - per case</t>
        </is>
      </c>
      <c r="B28" s="17">
        <f>B26-B27</f>
        <v/>
      </c>
      <c r="C28" s="17">
        <f>C26-C27</f>
        <v/>
      </c>
      <c r="D28" s="17">
        <f>D26-D27</f>
        <v/>
      </c>
      <c r="E28" s="17">
        <f>E26-E27</f>
        <v/>
      </c>
      <c r="F28" s="17">
        <f>F26-F27</f>
        <v/>
      </c>
      <c r="G28" s="17">
        <f>G26-G27</f>
        <v/>
      </c>
      <c r="H28" s="17">
        <f>H26-H27</f>
        <v/>
      </c>
      <c r="I28" s="17">
        <f>I26-I27</f>
        <v/>
      </c>
      <c r="J28" s="17">
        <f>J26-J27</f>
        <v/>
      </c>
      <c r="K28" s="17">
        <f>K26-K27</f>
        <v/>
      </c>
      <c r="L28" s="17">
        <f>L26-L27</f>
        <v/>
      </c>
      <c r="M28" s="17">
        <f>IFERROR(M12/M9,"-")</f>
        <v/>
      </c>
    </row>
    <row r="29" ht="15" customHeight="1">
      <c r="A29" s="15" t="inlineStr">
        <is>
          <t xml:space="preserve">    COGS Direct - per case</t>
        </is>
      </c>
      <c r="B29" s="17">
        <f>'Cost Build-up'!$D$44</f>
        <v/>
      </c>
      <c r="C29" s="17">
        <f>'Cost Build-up'!$D$44</f>
        <v/>
      </c>
      <c r="D29" s="17">
        <f>'Cost Build-up'!$D$44</f>
        <v/>
      </c>
      <c r="E29" s="17">
        <f>'Cost Build-up'!$D$44</f>
        <v/>
      </c>
      <c r="F29" s="17">
        <f>'Cost Build-up'!$D$44</f>
        <v/>
      </c>
      <c r="G29" s="17">
        <f>'Cost Build-up'!$D$44</f>
        <v/>
      </c>
      <c r="H29" s="17">
        <f>'Cost Build-up'!$D$44</f>
        <v/>
      </c>
      <c r="I29" s="17">
        <f>'Cost Build-up'!$D$44</f>
        <v/>
      </c>
      <c r="J29" s="17">
        <f>'Cost Build-up'!$D$44</f>
        <v/>
      </c>
      <c r="K29" s="17">
        <f>'Cost Build-up'!$D$44</f>
        <v/>
      </c>
      <c r="L29" s="17">
        <f>'Cost Build-up'!$D$44</f>
        <v/>
      </c>
      <c r="M29" s="17">
        <f>IFERROR(M13/M9,"-")</f>
        <v/>
      </c>
    </row>
    <row r="30" ht="15" customHeight="1">
      <c r="A30" s="15" t="inlineStr">
        <is>
          <t xml:space="preserve">    COGS Indirect - per case</t>
        </is>
      </c>
      <c r="B30" s="17">
        <f>'Cost Build-up'!$D$45</f>
        <v/>
      </c>
      <c r="C30" s="17">
        <f>'Cost Build-up'!$D$45</f>
        <v/>
      </c>
      <c r="D30" s="17">
        <f>'Cost Build-up'!$D$45</f>
        <v/>
      </c>
      <c r="E30" s="17">
        <f>'Cost Build-up'!$D$45</f>
        <v/>
      </c>
      <c r="F30" s="17">
        <f>'Cost Build-up'!$D$45</f>
        <v/>
      </c>
      <c r="G30" s="17">
        <f>'Cost Build-up'!$D$45</f>
        <v/>
      </c>
      <c r="H30" s="17">
        <f>'Cost Build-up'!$D$45</f>
        <v/>
      </c>
      <c r="I30" s="17">
        <f>'Cost Build-up'!$D$45</f>
        <v/>
      </c>
      <c r="J30" s="17">
        <f>'Cost Build-up'!$D$45</f>
        <v/>
      </c>
      <c r="K30" s="17">
        <f>'Cost Build-up'!$D$45</f>
        <v/>
      </c>
      <c r="L30" s="17">
        <f>'Cost Build-up'!$D$45</f>
        <v/>
      </c>
      <c r="M30" s="17">
        <f>IFERROR(M14/M9,"-")</f>
        <v/>
      </c>
    </row>
    <row r="31" ht="15" customHeight="1">
      <c r="A31" s="15" t="inlineStr">
        <is>
          <t>Cost of Sales - per case</t>
        </is>
      </c>
      <c r="B31" s="17">
        <f>B29+B30</f>
        <v/>
      </c>
      <c r="C31" s="17">
        <f>C29+C30</f>
        <v/>
      </c>
      <c r="D31" s="17">
        <f>D29+D30</f>
        <v/>
      </c>
      <c r="E31" s="17">
        <f>E29+E30</f>
        <v/>
      </c>
      <c r="F31" s="17">
        <f>F29+F30</f>
        <v/>
      </c>
      <c r="G31" s="17">
        <f>G29+G30</f>
        <v/>
      </c>
      <c r="H31" s="17">
        <f>H29+H30</f>
        <v/>
      </c>
      <c r="I31" s="17">
        <f>I29+I30</f>
        <v/>
      </c>
      <c r="J31" s="17">
        <f>J29+J30</f>
        <v/>
      </c>
      <c r="K31" s="17">
        <f>K29+K30</f>
        <v/>
      </c>
      <c r="L31" s="17">
        <f>L29+L30</f>
        <v/>
      </c>
      <c r="M31" s="17">
        <f>IFERROR(M15/M9,"-")</f>
        <v/>
      </c>
    </row>
    <row r="32" ht="15" customHeight="1">
      <c r="A32" s="15" t="inlineStr">
        <is>
          <t>Gross Profit - per case</t>
        </is>
      </c>
      <c r="B32" s="17">
        <f>B28-B31</f>
        <v/>
      </c>
      <c r="C32" s="17">
        <f>C28-C31</f>
        <v/>
      </c>
      <c r="D32" s="17">
        <f>D28-D31</f>
        <v/>
      </c>
      <c r="E32" s="17">
        <f>E28-E31</f>
        <v/>
      </c>
      <c r="F32" s="17">
        <f>F28-F31</f>
        <v/>
      </c>
      <c r="G32" s="17">
        <f>G28-G31</f>
        <v/>
      </c>
      <c r="H32" s="17">
        <f>H28-H31</f>
        <v/>
      </c>
      <c r="I32" s="17">
        <f>I28-I31</f>
        <v/>
      </c>
      <c r="J32" s="17">
        <f>J28-J31</f>
        <v/>
      </c>
      <c r="K32" s="17">
        <f>K28-K31</f>
        <v/>
      </c>
      <c r="L32" s="17">
        <f>L28-L31</f>
        <v/>
      </c>
      <c r="M32" s="17">
        <f>IFERROR(M16/M9,"-")</f>
        <v/>
      </c>
    </row>
    <row r="33" ht="15" customHeight="1">
      <c r="A33" s="19" t="inlineStr">
        <is>
          <t>GP %</t>
        </is>
      </c>
      <c r="B33" s="32">
        <f>IFERROR(B32/B28,"-")</f>
        <v/>
      </c>
      <c r="C33" s="32">
        <f>IFERROR(C32/C28,"-")</f>
        <v/>
      </c>
      <c r="D33" s="32">
        <f>IFERROR(D32/D28,"-")</f>
        <v/>
      </c>
      <c r="E33" s="32">
        <f>IFERROR(E32/E28,"-")</f>
        <v/>
      </c>
      <c r="F33" s="32">
        <f>IFERROR(F32/F28,"-")</f>
        <v/>
      </c>
      <c r="G33" s="32">
        <f>IFERROR(G32/G28,"-")</f>
        <v/>
      </c>
      <c r="H33" s="32">
        <f>IFERROR(H32/H28,"-")</f>
        <v/>
      </c>
      <c r="I33" s="32">
        <f>IFERROR(I32/I28,"-")</f>
        <v/>
      </c>
      <c r="J33" s="32">
        <f>IFERROR(J32/J28,"-")</f>
        <v/>
      </c>
      <c r="K33" s="32">
        <f>IFERROR(K32/K28,"-")</f>
        <v/>
      </c>
      <c r="L33" s="32">
        <f>IFERROR(L32/L28,"-")</f>
        <v/>
      </c>
      <c r="M33" s="32">
        <f>IFERROR(M32/M28,"-")</f>
        <v/>
      </c>
    </row>
    <row r="34" ht="15" customHeight="1">
      <c r="A34" s="15" t="inlineStr">
        <is>
          <t>A&amp;P - per case</t>
        </is>
      </c>
      <c r="B34" s="17">
        <f>IFERROR(B22/B9,"-")</f>
        <v/>
      </c>
      <c r="C34" s="17">
        <f>IFERROR(C22/C9,"-")</f>
        <v/>
      </c>
      <c r="D34" s="17">
        <f>IFERROR(D22/D9,"-")</f>
        <v/>
      </c>
      <c r="E34" s="17">
        <f>IFERROR(E22/E9,"-")</f>
        <v/>
      </c>
      <c r="F34" s="17">
        <f>IFERROR(F22/F9,"-")</f>
        <v/>
      </c>
      <c r="G34" s="17">
        <f>IFERROR(G22/G9,"-")</f>
        <v/>
      </c>
      <c r="H34" s="17">
        <f>IFERROR(H22/H9,"-")</f>
        <v/>
      </c>
      <c r="I34" s="17">
        <f>IFERROR(I22/I9,"-")</f>
        <v/>
      </c>
      <c r="J34" s="17">
        <f>IFERROR(J22/J9,"-")</f>
        <v/>
      </c>
      <c r="K34" s="17">
        <f>IFERROR(K22/K9,"-")</f>
        <v/>
      </c>
      <c r="L34" s="17">
        <f>IFERROR(L22/L9,"-")</f>
        <v/>
      </c>
      <c r="M34" s="17">
        <f>IFERROR(M22/M9,"-")</f>
        <v/>
      </c>
    </row>
    <row r="35" ht="15" customHeight="1">
      <c r="A35" s="15" t="inlineStr">
        <is>
          <t>CAAP - per case</t>
        </is>
      </c>
      <c r="B35" s="17">
        <f>B32-B34</f>
        <v/>
      </c>
      <c r="C35" s="17">
        <f>C32-C34</f>
        <v/>
      </c>
      <c r="D35" s="17">
        <f>D32-D34</f>
        <v/>
      </c>
      <c r="E35" s="17">
        <f>E32-E34</f>
        <v/>
      </c>
      <c r="F35" s="17">
        <f>F32-F34</f>
        <v/>
      </c>
      <c r="G35" s="17">
        <f>G32-G34</f>
        <v/>
      </c>
      <c r="H35" s="17">
        <f>H32-H34</f>
        <v/>
      </c>
      <c r="I35" s="17">
        <f>I32-I34</f>
        <v/>
      </c>
      <c r="J35" s="17">
        <f>J32-J34</f>
        <v/>
      </c>
      <c r="K35" s="17">
        <f>K32-K34</f>
        <v/>
      </c>
      <c r="L35" s="17">
        <f>L32-L34</f>
        <v/>
      </c>
      <c r="M35" s="17">
        <f>IFERROR(M32-M34,0)</f>
        <v/>
      </c>
    </row>
  </sheetData>
  <mergeCells count="4">
    <mergeCell ref="A8:M8"/>
    <mergeCell ref="A2:M2"/>
    <mergeCell ref="A6:M6"/>
    <mergeCell ref="A1:M1"/>
  </mergeCells>
  <printOptions horizontalCentered="1"/>
  <pageMargins left="0.75" right="0.75" top="1" bottom="1" header="0.5" footer="0.5"/>
  <pageSetup orientation="landscape" fitToHeight="0" fitToWidth="1"/>
  <headerFooter>
    <oddHeader/>
    <oddFooter>&amp;C&amp;8 &amp;F  |  &amp;A  | 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E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3" customWidth="1" min="4" max="4"/>
    <col width="11" customWidth="1" min="5" max="5"/>
  </cols>
  <sheetData>
    <row r="1" ht="27.75" customHeight="1">
      <c r="A1" s="11" t="inlineStr">
        <is>
          <t>ORGANIKA RTD — BOTTOM-UP COST (Bevmax quote)</t>
        </is>
      </c>
    </row>
    <row r="2">
      <c r="A2" s="12" t="inlineStr">
        <is>
          <t>CDN $ | Quote OG2026-05-21 v15 (4-pk w/ sleeves) | Pack Summer 2026 | FOB Airdrie AB | excl. GST</t>
        </is>
      </c>
    </row>
    <row r="4">
      <c r="A4" s="46" t="inlineStr">
        <is>
          <t>RUN PARAMETERS</t>
        </is>
      </c>
    </row>
    <row r="6">
      <c r="A6" s="15" t="inlineStr">
        <is>
          <t>Total run size</t>
        </is>
      </c>
      <c r="B6" s="57" t="inlineStr">
        <is>
          <t>cans</t>
        </is>
      </c>
      <c r="D6" s="34" t="n">
        <v>40500</v>
      </c>
    </row>
    <row r="7">
      <c r="A7" s="15" t="inlineStr">
        <is>
          <t>Number of SKUs</t>
        </is>
      </c>
      <c r="B7" s="57" t="inlineStr">
        <is>
          <t>SKUs</t>
        </is>
      </c>
      <c r="D7" s="34" t="n">
        <v>3</v>
      </c>
    </row>
    <row r="8">
      <c r="A8" s="15" t="inlineStr">
        <is>
          <t>Cans per SKU</t>
        </is>
      </c>
      <c r="B8" s="57" t="inlineStr">
        <is>
          <t>cans</t>
        </is>
      </c>
      <c r="D8" s="16">
        <f>D6/D7</f>
        <v/>
      </c>
    </row>
    <row r="9">
      <c r="A9" s="15" t="inlineStr">
        <is>
          <t>Cans per case</t>
        </is>
      </c>
      <c r="B9" s="57" t="inlineStr">
        <is>
          <t>cans</t>
        </is>
      </c>
      <c r="D9" s="34" t="n">
        <v>24</v>
      </c>
    </row>
    <row r="10">
      <c r="A10" s="15" t="inlineStr">
        <is>
          <t>Cans per 4-pack</t>
        </is>
      </c>
      <c r="B10" s="57" t="inlineStr">
        <is>
          <t>cans</t>
        </is>
      </c>
      <c r="D10" s="34" t="n">
        <v>4</v>
      </c>
    </row>
    <row r="11">
      <c r="A11" s="15" t="inlineStr">
        <is>
          <t>Cases per run</t>
        </is>
      </c>
      <c r="B11" s="57" t="inlineStr">
        <is>
          <t>cases</t>
        </is>
      </c>
      <c r="D11" s="33">
        <f>D6/D9</f>
        <v/>
      </c>
    </row>
    <row r="13">
      <c r="A13" s="46" t="inlineStr">
        <is>
          <t>BEVMAX QUOTE — COST LINES</t>
        </is>
      </c>
    </row>
    <row r="14">
      <c r="A14" s="58" t="inlineStr">
        <is>
          <t>Cost line</t>
        </is>
      </c>
      <c r="B14" s="59" t="inlineStr">
        <is>
          <t>UofM</t>
        </is>
      </c>
      <c r="C14" s="59" t="inlineStr">
        <is>
          <t>Rate $</t>
        </is>
      </c>
      <c r="D14" s="59" t="inlineStr">
        <is>
          <t>Total $</t>
        </is>
      </c>
      <c r="E14" s="59" t="inlineStr">
        <is>
          <t>$/can</t>
        </is>
      </c>
    </row>
    <row r="15">
      <c r="A15" s="15" t="inlineStr">
        <is>
          <t xml:space="preserve">    Tolling (blend/fill/pasteurize/carbonate)</t>
        </is>
      </c>
      <c r="B15" s="60" t="inlineStr">
        <is>
          <t>per can</t>
        </is>
      </c>
      <c r="C15" s="36" t="n">
        <v>0.3</v>
      </c>
      <c r="D15" s="36" t="n">
        <v>12150</v>
      </c>
      <c r="E15" s="17">
        <f>D15/$D$6</f>
        <v/>
      </c>
    </row>
    <row r="16">
      <c r="A16" s="15" t="inlineStr">
        <is>
          <t xml:space="preserve">    4-packing</t>
        </is>
      </c>
      <c r="B16" s="60" t="inlineStr">
        <is>
          <t>per can</t>
        </is>
      </c>
      <c r="C16" s="36" t="n">
        <v>0.05</v>
      </c>
      <c r="D16" s="36" t="n">
        <v>2025</v>
      </c>
      <c r="E16" s="17">
        <f>D16/$D$6</f>
        <v/>
      </c>
    </row>
    <row r="17">
      <c r="A17" s="15" t="inlineStr">
        <is>
          <t xml:space="preserve">    Skid packing</t>
        </is>
      </c>
      <c r="B17" s="60" t="inlineStr">
        <is>
          <t>per run</t>
        </is>
      </c>
      <c r="C17" s="61" t="inlineStr">
        <is>
          <t>—</t>
        </is>
      </c>
      <c r="D17" s="36" t="n">
        <v>439.45</v>
      </c>
      <c r="E17" s="17">
        <f>D17/$D$6</f>
        <v/>
      </c>
    </row>
    <row r="18">
      <c r="A18" s="15" t="inlineStr">
        <is>
          <t xml:space="preserve">    Ingredients</t>
        </is>
      </c>
      <c r="B18" s="60" t="inlineStr">
        <is>
          <t>per can</t>
        </is>
      </c>
      <c r="C18" s="36" t="n">
        <v>0.16</v>
      </c>
      <c r="D18" s="36" t="n">
        <v>6480</v>
      </c>
      <c r="E18" s="17">
        <f>D18/$D$6</f>
        <v/>
      </c>
    </row>
    <row r="19">
      <c r="A19" s="15" t="inlineStr">
        <is>
          <t xml:space="preserve">    Brite can + 202 LOE end</t>
        </is>
      </c>
      <c r="B19" s="60" t="inlineStr">
        <is>
          <t>per can</t>
        </is>
      </c>
      <c r="C19" s="36" t="n">
        <v>0.32</v>
      </c>
      <c r="D19" s="36" t="n">
        <v>12960</v>
      </c>
      <c r="E19" s="17">
        <f>D19/$D$6</f>
        <v/>
      </c>
    </row>
    <row r="20">
      <c r="A20" s="15" t="inlineStr">
        <is>
          <t xml:space="preserve">    Sleeves + application</t>
        </is>
      </c>
      <c r="B20" s="60" t="inlineStr">
        <is>
          <t>per label</t>
        </is>
      </c>
      <c r="C20" s="36" t="n">
        <v>0.163</v>
      </c>
      <c r="D20" s="36" t="n">
        <v>6601.5</v>
      </c>
      <c r="E20" s="17">
        <f>D20/$D$6</f>
        <v/>
      </c>
    </row>
    <row r="21">
      <c r="A21" s="15" t="inlineStr">
        <is>
          <t xml:space="preserve">    Sleeve-perforation setup (one-time)</t>
        </is>
      </c>
      <c r="B21" s="60" t="inlineStr">
        <is>
          <t>per setup</t>
        </is>
      </c>
      <c r="C21" s="61" t="inlineStr">
        <is>
          <t>—</t>
        </is>
      </c>
      <c r="D21" s="36" t="n">
        <v>489</v>
      </c>
      <c r="E21" s="17">
        <f>D21/$D$6</f>
        <v/>
      </c>
    </row>
    <row r="22">
      <c r="A22" s="15" t="inlineStr">
        <is>
          <t xml:space="preserve">    4-pk printed carton</t>
        </is>
      </c>
      <c r="B22" s="60" t="inlineStr">
        <is>
          <t>per carton</t>
        </is>
      </c>
      <c r="C22" s="36" t="n">
        <v>0.411</v>
      </c>
      <c r="D22" s="36" t="n">
        <v>6165</v>
      </c>
      <c r="E22" s="17">
        <f>D22/$D$6</f>
        <v/>
      </c>
    </row>
    <row r="23">
      <c r="A23" s="15" t="inlineStr">
        <is>
          <t xml:space="preserve">    24-pk white tray</t>
        </is>
      </c>
      <c r="B23" s="60" t="inlineStr">
        <is>
          <t>per tray</t>
        </is>
      </c>
      <c r="C23" s="36" t="n">
        <v>0.86</v>
      </c>
      <c r="D23" s="36" t="n">
        <v>1451.25</v>
      </c>
      <c r="E23" s="17">
        <f>D23/$D$6</f>
        <v/>
      </c>
    </row>
    <row r="24">
      <c r="A24" s="15" t="inlineStr">
        <is>
          <t xml:space="preserve">    Grip sheets</t>
        </is>
      </c>
      <c r="B24" s="60" t="inlineStr">
        <is>
          <t>per tray</t>
        </is>
      </c>
      <c r="C24" s="36" t="n">
        <v>1.25</v>
      </c>
      <c r="D24" s="36" t="n">
        <v>175.78</v>
      </c>
      <c r="E24" s="17">
        <f>D24/$D$6</f>
        <v/>
      </c>
    </row>
    <row r="25">
      <c r="A25" s="15" t="inlineStr">
        <is>
          <t xml:space="preserve">    Tray labels</t>
        </is>
      </c>
      <c r="B25" s="60" t="inlineStr">
        <is>
          <t>per tray</t>
        </is>
      </c>
      <c r="C25" s="36" t="n">
        <v>0.05</v>
      </c>
      <c r="D25" s="36" t="n">
        <v>168.75</v>
      </c>
      <c r="E25" s="17">
        <f>D25/$D$6</f>
        <v/>
      </c>
    </row>
    <row r="26">
      <c r="A26" s="28" t="inlineStr">
        <is>
          <t>Subtotal — Bevmax (FOB Airdrie)</t>
        </is>
      </c>
      <c r="D26" s="62">
        <f>SUM(D15:D25)</f>
        <v/>
      </c>
      <c r="E26" s="62">
        <f>D26/$D$6</f>
        <v/>
      </c>
    </row>
    <row r="28">
      <c r="A28" s="15" t="inlineStr">
        <is>
          <t>Bevmax cost / can</t>
        </is>
      </c>
      <c r="D28" s="17">
        <f>D26/$D$6</f>
        <v/>
      </c>
    </row>
    <row r="29">
      <c r="A29" s="15" t="inlineStr">
        <is>
          <t>Bevmax cost / 4-pack</t>
        </is>
      </c>
      <c r="D29" s="17">
        <f>D28*D10</f>
        <v/>
      </c>
    </row>
    <row r="30">
      <c r="A30" s="15" t="inlineStr">
        <is>
          <t>Bevmax cost / case (24)</t>
        </is>
      </c>
      <c r="D30" s="62">
        <f>D28*D9</f>
        <v/>
      </c>
    </row>
    <row r="32">
      <c r="A32" s="46" t="inlineStr">
        <is>
          <t>ADDERS TO LANDED COST (per case)</t>
        </is>
      </c>
    </row>
    <row r="33">
      <c r="A33" s="15" t="inlineStr">
        <is>
          <t>Allergen handling (amortized)</t>
        </is>
      </c>
      <c r="D33" s="17">
        <f>167.5/D11</f>
        <v/>
      </c>
    </row>
    <row r="34">
      <c r="A34" s="15" t="inlineStr">
        <is>
          <t>Inbound freight to DC</t>
        </is>
      </c>
      <c r="D34" s="36" t="n">
        <v>0</v>
      </c>
    </row>
    <row r="35">
      <c r="A35" s="15" t="inlineStr">
        <is>
          <t>Testing / misc</t>
        </is>
      </c>
      <c r="D35" s="36" t="n">
        <v>0</v>
      </c>
    </row>
    <row r="37">
      <c r="A37" s="46" t="inlineStr">
        <is>
          <t>OVERHEAD (% of landed direct)</t>
        </is>
      </c>
    </row>
    <row r="38">
      <c r="A38" s="15" t="inlineStr">
        <is>
          <t>OH cost %</t>
        </is>
      </c>
      <c r="C38" s="35" t="n">
        <v>0.05</v>
      </c>
    </row>
    <row r="39">
      <c r="A39" s="15" t="inlineStr">
        <is>
          <t>Other COGS %</t>
        </is>
      </c>
      <c r="C39" s="35" t="n">
        <v>0.05</v>
      </c>
    </row>
    <row r="43">
      <c r="A43" s="46" t="inlineStr">
        <is>
          <t>→ COGS TO P&amp;L (per case)</t>
        </is>
      </c>
    </row>
    <row r="44">
      <c r="A44" s="51" t="inlineStr">
        <is>
          <t>COGS Direct / case</t>
        </is>
      </c>
      <c r="B44" s="63" t="n"/>
      <c r="C44" s="63" t="n"/>
      <c r="D44" s="22">
        <f>D30+D33+D34+D35</f>
        <v/>
      </c>
      <c r="E44" s="63" t="n"/>
    </row>
    <row r="45">
      <c r="A45" s="51" t="inlineStr">
        <is>
          <t>COGS Indirect / case</t>
        </is>
      </c>
      <c r="B45" s="63" t="n"/>
      <c r="C45" s="63" t="n"/>
      <c r="D45" s="22">
        <f>(C38+C39)*D44</f>
        <v/>
      </c>
      <c r="E45" s="63" t="n"/>
    </row>
    <row r="46">
      <c r="A46" s="51" t="inlineStr">
        <is>
          <t>COGS Total / case</t>
        </is>
      </c>
      <c r="B46" s="63" t="n"/>
      <c r="C46" s="63" t="n"/>
      <c r="D46" s="22">
        <f>D44+D45</f>
        <v/>
      </c>
      <c r="E46" s="63" t="n"/>
    </row>
    <row r="47">
      <c r="A47" s="15" t="inlineStr">
        <is>
          <t>COGS / 4-pack</t>
        </is>
      </c>
      <c r="D47" s="17">
        <f>D46/D9*D10</f>
        <v/>
      </c>
    </row>
    <row r="48">
      <c r="A48" s="15" t="inlineStr">
        <is>
          <t>COGS / can</t>
        </is>
      </c>
      <c r="D48" s="17">
        <f>D46/D9</f>
        <v/>
      </c>
    </row>
  </sheetData>
  <mergeCells count="7">
    <mergeCell ref="A4:E4"/>
    <mergeCell ref="A43:E43"/>
    <mergeCell ref="A2:E2"/>
    <mergeCell ref="A1:E1"/>
    <mergeCell ref="A37:E37"/>
    <mergeCell ref="A32:E32"/>
    <mergeCell ref="A13:E13"/>
  </mergeCells>
  <printOptions horizontalCentered="1"/>
  <pageMargins left="0.75" right="0.75" top="1" bottom="1" header="0.5" footer="0.5"/>
  <pageSetup orientation="landscape" fitToHeight="0" fitToWidth="1"/>
  <headerFooter>
    <oddHeader/>
    <oddFooter>&amp;C&amp;8 &amp;F  |  &amp;A  | 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2026-06-13T08:02:34Z</dcterms:created>
  <dcterms:modified xsi:type="dcterms:W3CDTF">2026-06-13T08:02:35Z</dcterms:modified>
</cp:coreProperties>
</file>