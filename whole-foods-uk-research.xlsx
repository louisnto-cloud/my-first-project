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 Me" sheetId="2" state="visible" r:id="rId4"/>
    <sheet name="Financials" sheetId="3" state="visible" r:id="rId5"/>
    <sheet name="Stores" sheetId="4" state="visible" r:id="rId6"/>
    <sheet name="Competitors" sheetId="5" state="visible" r:id="rId7"/>
    <sheet name="Market" sheetId="6" state="visible" r:id="rId8"/>
    <sheet name="Timeline" sheetId="7" state="visible" r:id="rId9"/>
    <sheet name="Products" sheetId="8" state="visible" r:id="rId10"/>
    <sheet name="Customers" sheetId="9" state="visible" r:id="rId11"/>
    <sheet name="Sustainability" sheetId="10" state="visible" r:id="rId12"/>
    <sheet name="Outlook" sheetId="11" state="visible" r:id="rId13"/>
    <sheet name="Sources" sheetId="12" state="visible" r:id="rId14"/>
  </sheets>
  <definedNames>
    <definedName function="false" hidden="true" localSheetId="8" name="_xlnm._FilterDatabase" vbProcedure="false">Customers!$A$3:$E$27</definedName>
    <definedName function="false" hidden="true" localSheetId="10" name="_xlnm._FilterDatabase" vbProcedure="false">Outlook!$A$3:$D$15</definedName>
    <definedName function="false" hidden="true" localSheetId="3" name="_xlnm._FilterDatabase" vbProcedure="false">Stores!$A$3:$I$15</definedName>
    <definedName function="false" hidden="true" localSheetId="6" name="_xlnm._FilterDatabase" vbProcedure="false">Timeline!$A$3:$C$32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1" authorId="0">
      <text>
        <r>
          <rPr>
            <sz val="10"/>
            <rFont val="Arial"/>
            <family val="2"/>
          </rPr>
          <t xml:space="preserve">Source: The Grocer, 'Whole Foods Market losses in the UK total more than £200m as sales decline', Sept 2025 (FY2024 accounts).</t>
        </r>
      </text>
    </comment>
  </commentList>
</comments>
</file>

<file path=xl/sharedStrings.xml><?xml version="1.0" encoding="utf-8"?>
<sst xmlns="http://schemas.openxmlformats.org/spreadsheetml/2006/main" count="881" uniqueCount="681">
  <si>
    <t xml:space="preserve">Whole Foods Market UK — Research Workbook</t>
  </si>
  <si>
    <t xml:space="preserve">Figures reflect research completed June 2026 and have not been refreshed since. Workbook prepared 23 Oct 2026. See Read Me for conventions and caveats.</t>
  </si>
  <si>
    <t xml:space="preserve">Key metric</t>
  </si>
  <si>
    <t xml:space="preserve">Value</t>
  </si>
  <si>
    <t xml:space="preserve">Basis (green values link to the tab named)</t>
  </si>
  <si>
    <t xml:space="preserve">Revenue, FY2025 (£m)</t>
  </si>
  <si>
    <t xml:space="preserve">Financials — Companies House accounts via The Grocer</t>
  </si>
  <si>
    <t xml:space="preserve">Revenue growth, FY2025</t>
  </si>
  <si>
    <t xml:space="preserve">Financials — after King's Road opened Mar 2025</t>
  </si>
  <si>
    <t xml:space="preserve">Pre-tax loss, FY2025 (£m)</t>
  </si>
  <si>
    <t xml:space="preserve">Financials</t>
  </si>
  <si>
    <t xml:space="preserve">Pre-tax loss as % of revenue, FY2025</t>
  </si>
  <si>
    <t xml:space="preserve">Gross margin, FY2025</t>
  </si>
  <si>
    <t xml:space="preserve">Financials — down from 35% in FY2023</t>
  </si>
  <si>
    <t xml:space="preserve">Cumulative pre-tax losses since 2004, floor (£m)</t>
  </si>
  <si>
    <t xml:space="preserve">Financials — &gt;£200m through FY2024 plus FY2025 loss</t>
  </si>
  <si>
    <t xml:space="preserve">Loss narrowing, FY2022 to FY2025 (£m)</t>
  </si>
  <si>
    <t xml:space="preserve">Illustrative years to breakeven at that pace</t>
  </si>
  <si>
    <t xml:space="preserve">Financials — straight-line extrapolation, not a forecast</t>
  </si>
  <si>
    <t xml:space="preserve">UK stores open (June 2026)</t>
  </si>
  <si>
    <t xml:space="preserve">Stores — all in Greater London</t>
  </si>
  <si>
    <t xml:space="preserve">  of which Daily Shop format</t>
  </si>
  <si>
    <t xml:space="preserve">Stores</t>
  </si>
  <si>
    <t xml:space="preserve">  of which former Amazon Fresh sites</t>
  </si>
  <si>
    <t xml:space="preserve">Estate growth vs end of FY2025</t>
  </si>
  <si>
    <t xml:space="preserve">Aldi + Lidl combined UK grocery share</t>
  </si>
  <si>
    <t xml:space="preserve">Competitors — Kantar</t>
  </si>
  <si>
    <t xml:space="preserve">Waitrose basket premium over Aldi (Which?, Dec 2024)</t>
  </si>
  <si>
    <t xml:space="preserve">Competitors</t>
  </si>
  <si>
    <t xml:space="preserve">UK organic market, 2024 (£bn)</t>
  </si>
  <si>
    <t xml:space="preserve">Market — Soil Association</t>
  </si>
  <si>
    <t xml:space="preserve">Key takeaways</t>
  </si>
  <si>
    <t xml:space="preserve">1. Never profitable in the UK since entering in 2004; losses have narrowed four years running but remain about a fifth of revenue.</t>
  </si>
  <si>
    <t xml:space="preserve">2. Amazon doubled the estate to 12 London stores in Apr–Jun 2026 using the small Daily Shop format, five of them in former Amazon Fresh sites.</t>
  </si>
  <si>
    <t xml:space="preserve">3. The value gap is the core problem: shoppers rate Whole Foods dearer than Waitrose, already the UK's most expensive supermarket.</t>
  </si>
  <si>
    <t xml:space="preserve">4. Gross margin is being squeezed (35% to 31%) by supply chain, Brexit friction and staffing costs.</t>
  </si>
  <si>
    <t xml:space="preserve">5. Tailwind: UK organic demand keeps growing (£3.7bn in 2024, 13th straight year), but every major grocer now sells organic.</t>
  </si>
  <si>
    <t xml:space="preserve">6. The 2026 test: whether convenience-sized stores plus Amazon same-day delivery can lift sales density enough to close the loss.</t>
  </si>
  <si>
    <t xml:space="preserve">Tabs</t>
  </si>
  <si>
    <t xml:space="preserve">Tab</t>
  </si>
  <si>
    <t xml:space="preserve">Contents</t>
  </si>
  <si>
    <t xml:space="preserve">Read Me</t>
  </si>
  <si>
    <t xml:space="preserve">Purpose, colour conventions, caveats and corrections</t>
  </si>
  <si>
    <t xml:space="preserve">FY2021–FY2025 P&amp;L, ratios, cumulative losses, breakeven illustration</t>
  </si>
  <si>
    <t xml:space="preserve">All 12 open stores with addresses and opening dates, closed sites, estate counts</t>
  </si>
  <si>
    <t xml:space="preserve">Market shares, positioning, price benchmark, value perception, rivals</t>
  </si>
  <si>
    <t xml:space="preserve">Market</t>
  </si>
  <si>
    <t xml:space="preserve">UK organic market size, growth and channel split</t>
  </si>
  <si>
    <t xml:space="preserve">Timeline</t>
  </si>
  <si>
    <t xml:space="preserve">Dated events 2004–2026</t>
  </si>
  <si>
    <t xml:space="preserve">Products</t>
  </si>
  <si>
    <t xml:space="preserve">UK vs US assortment, UK staples added, named UK suppliers, Brand Pitch Day</t>
  </si>
  <si>
    <t xml:space="preserve">Customers</t>
  </si>
  <si>
    <t xml:space="preserve">Demographic and psychographic indicators, with geographic scope flagged</t>
  </si>
  <si>
    <t xml:space="preserve">Sustainability</t>
  </si>
  <si>
    <t xml:space="preserve">Sourcing standards and environmental commitments</t>
  </si>
  <si>
    <t xml:space="preserve">Outlook</t>
  </si>
  <si>
    <t xml:space="preserve">Tailwinds, headwinds and risks</t>
  </si>
  <si>
    <t xml:space="preserve">Sources</t>
  </si>
  <si>
    <t xml:space="preserve">Source list with URLs</t>
  </si>
  <si>
    <t xml:space="preserve">How to read and update this workbook</t>
  </si>
  <si>
    <t xml:space="preserve">Purpose</t>
  </si>
  <si>
    <t xml:space="preserve">What this is</t>
  </si>
  <si>
    <t xml:space="preserve">Structured data behind whole-foods-uk-report.md (same repository): Whole Foods Market's UK business — footprint, financials, customers, products, pricing, competitors, sustainability and outlook.</t>
  </si>
  <si>
    <t xml:space="preserve">As of</t>
  </si>
  <si>
    <t xml:space="preserve">Research completed June 2026. Nothing has been refreshed since; store status and market shares may have moved.</t>
  </si>
  <si>
    <t xml:space="preserve">Colour conventions</t>
  </si>
  <si>
    <t xml:space="preserve">Blue text</t>
  </si>
  <si>
    <t xml:space="preserve">Hardcoded inputs taken from a source. Edit these to update the workbook.</t>
  </si>
  <si>
    <t xml:space="preserve">Black text</t>
  </si>
  <si>
    <t xml:space="preserve">Formulas, or plain descriptive text.</t>
  </si>
  <si>
    <t xml:space="preserve">Green text</t>
  </si>
  <si>
    <t xml:space="preserve">Formulas linking to another tab.</t>
  </si>
  <si>
    <t xml:space="preserve">Yellow-cream fill</t>
  </si>
  <si>
    <t xml:space="preserve">A caveat or correction worth reading before you use the number.</t>
  </si>
  <si>
    <t xml:space="preserve">Caveats and corrections</t>
  </si>
  <si>
    <t xml:space="preserve">Cumulative losses</t>
  </si>
  <si>
    <t xml:space="preserve">CORRECTION: an earlier draft of the report said 'more than £240m'. The source (The Grocer, Sept 2025, FY2024 accounts) says more than £200m through FY2024. Adding the FY2025 loss of £19.4m gives a floor of about £219m. The report has been corrected and Financials!B23 now computes the figure.</t>
  </si>
  <si>
    <t xml:space="preserve">Source access</t>
  </si>
  <si>
    <t xml:space="preserve">Most UK trade press (The Grocer, Retail Week, Retail Gazette) blocked direct fetching. Figures come from search result extracts, corroborated across two or more outlets wherever possible.</t>
  </si>
  <si>
    <t xml:space="preserve">Customer data</t>
  </si>
  <si>
    <t xml:space="preserve">No UK-specific Whole Foods shopper data is public (Kantar, Mintel and Numerator UK are paywalled). Customer indicators are US/global Whole Foods data or UK organic-market proxies; the Scope column on Customers flags which.</t>
  </si>
  <si>
    <t xml:space="preserve">Gross margin</t>
  </si>
  <si>
    <t xml:space="preserve">The FY2023 35% figure comes from a single outlet; FY2024 (32%) is inferred from the reported 1-point fall to 31% in FY2025.</t>
  </si>
  <si>
    <t xml:space="preserve">Organic market base</t>
  </si>
  <si>
    <t xml:space="preserve">The 2023 market was first reported as £3.2bn, but the 2024 figure (£3.7bn, +7.3%) implies a restated 2023 base of about £3.45bn. Market tab column D shows the implied base. The 2025 figure (£3.9bn) is single-source.</t>
  </si>
  <si>
    <t xml:space="preserve">Private label name</t>
  </si>
  <si>
    <t xml:space="preserve">The claim that '365' cannot be used in the UK because of a prior trademark, so UK stores use 'Fresh &amp; Wild Everyday Value', rests on one source (Supermarket News) and was not independently confirmed.</t>
  </si>
  <si>
    <t xml:space="preserve">Store opening years</t>
  </si>
  <si>
    <t xml:space="preserve">Opening years for legacy London stores were not verified, except Kensington (June 2007, widely reported but not re-checked here). Daily Shop opening dates are from the March 2026 Whole Foods announcement.</t>
  </si>
  <si>
    <t xml:space="preserve">Market shares</t>
  </si>
  <si>
    <t xml:space="preserve">Kantar shares are approximate and their periods differ (2024 to Sept 2025). Treat them as directional.</t>
  </si>
  <si>
    <t xml:space="preserve">Outlook ratings</t>
  </si>
  <si>
    <t xml:space="preserve">Impact ratings on the Outlook tab are analyst judgment, not sourced figures.</t>
  </si>
  <si>
    <t xml:space="preserve">Updating</t>
  </si>
  <si>
    <t xml:space="preserve">New accounts</t>
  </si>
  <si>
    <t xml:space="preserve">Add a column to Financials and update the cell references on Summary. Every ratio row is a formula, so copy the formulas across rather than typing values.</t>
  </si>
  <si>
    <t xml:space="preserve">UK Financial Performance</t>
  </si>
  <si>
    <t xml:space="preserve">Whole Foods Market UK (filed at Companies House as Fresh &amp; Wild). £ millions unless stated. Financial years to 31 December.</t>
  </si>
  <si>
    <t xml:space="preserve">Metric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</si>
  <si>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</si>
  <si>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</si>
  <si>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</si>
  <si>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</si>
  <si>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</si>
  <si>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Notes / source</t>
  </si>
  <si>
    <t xml:space="preserve">Revenue (£m)</t>
  </si>
  <si>
    <t xml:space="preserve">The Grocer, Retail Gazette, Retail Week from Companies House filings. FY2024 includes Fulham and Richmond only to 10 Jun 2024.</t>
  </si>
  <si>
    <t xml:space="preserve">Revenue growth, YoY</t>
  </si>
  <si>
    <t xml:space="preserve">FY2022 is the reported -3% (FY2021 revenue not captured); later years calculated.</t>
  </si>
  <si>
    <t xml:space="preserve">Revenue change (£m)</t>
  </si>
  <si>
    <t xml:space="preserve">Calculated</t>
  </si>
  <si>
    <t xml:space="preserve">Pre-tax loss (£m)</t>
  </si>
  <si>
    <t xml:space="preserve">Shown as positive numbers. FY2021 £17.2m from The Grocer's report that FY2022 losses rose 53%.</t>
  </si>
  <si>
    <t xml:space="preserve">Pre-tax loss change, YoY</t>
  </si>
  <si>
    <t xml:space="preserve">Calculated; negative means the loss narrowed</t>
  </si>
  <si>
    <t xml:space="preserve">Pre-tax loss as % of revenue</t>
  </si>
  <si>
    <t xml:space="preserve">FY2023 single source; FY2025 31% reported as down 1 point, so FY2024 = 32%. UK grocery norm is about 26%.</t>
  </si>
  <si>
    <t xml:space="preserve">Gross margin change (points)</t>
  </si>
  <si>
    <t xml:space="preserve">Average monthly employees</t>
  </si>
  <si>
    <t xml:space="preserve">Reported in FY2024 accounts</t>
  </si>
  <si>
    <t xml:space="preserve">Revenue per employee (£k)</t>
  </si>
  <si>
    <t xml:space="preserve">Administrative expenses (£m)</t>
  </si>
  <si>
    <t xml:space="preserve">Reported as down 14% in FY2024</t>
  </si>
  <si>
    <t xml:space="preserve">Onerous lease charge (£m)</t>
  </si>
  <si>
    <t xml:space="preserve">Underperforming and closed stores</t>
  </si>
  <si>
    <t xml:space="preserve">Stores at year end</t>
  </si>
  <si>
    <t xml:space="preserve">7 until Fulham and Richmond closed Jun 2024; King's Road opened Mar 2025. Six more opened Apr–Jun 2026 (see Stores).</t>
  </si>
  <si>
    <t xml:space="preserve">Revenue per store (£m)</t>
  </si>
  <si>
    <t xml:space="preserve">Calculated on year-end count; FY2024 overstated because closed stores traded half the year</t>
  </si>
  <si>
    <t xml:space="preserve">Cumulative losses and trajectory</t>
  </si>
  <si>
    <t xml:space="preserve">Reported cumulative pre-tax losses since 2004, through FY2024 (£m, floor)</t>
  </si>
  <si>
    <t xml:space="preserve">The Grocer, Sept 2025: 'more than £200m'. A floor, not an exact total.</t>
  </si>
  <si>
    <t xml:space="preserve">Add: FY2025 pre-tax loss (£m)</t>
  </si>
  <si>
    <t xml:space="preserve">From row 8</t>
  </si>
  <si>
    <t xml:space="preserve">Implied cumulative losses through FY2025 (£m, floor)</t>
  </si>
  <si>
    <t xml:space="preserve">Replaces the '£240m' in an earlier report draft, which was not supported by the sources</t>
  </si>
  <si>
    <t xml:space="preserve">Combined pre-tax losses FY2022–FY2025 (£m)</t>
  </si>
  <si>
    <t xml:space="preserve">Average annual narrowing (£m per year)</t>
  </si>
  <si>
    <t xml:space="preserve">Three year-on-year steps</t>
  </si>
  <si>
    <t xml:space="preserve">Straight-line extrapolation of the FY2022–25 trend. Illustration only: ignores the 2026 store doubling.</t>
  </si>
  <si>
    <t xml:space="preserve">UK Store Estate</t>
  </si>
  <si>
    <t xml:space="preserve">Status as of June 2026 research. All stores are in Greater London.</t>
  </si>
  <si>
    <t xml:space="preserve">Store</t>
  </si>
  <si>
    <t xml:space="preserve">Address</t>
  </si>
  <si>
    <t xml:space="preserve">Area</t>
  </si>
  <si>
    <t xml:space="preserve">Format</t>
  </si>
  <si>
    <t xml:space="preserve">Size (sq ft)</t>
  </si>
  <si>
    <t xml:space="preserve">Opened</t>
  </si>
  <si>
    <t xml:space="preserve">Former Amazon Fresh site?</t>
  </si>
  <si>
    <t xml:space="preserve">Status</t>
  </si>
  <si>
    <t xml:space="preserve">Notes</t>
  </si>
  <si>
    <t xml:space="preserve">Estate summary</t>
  </si>
  <si>
    <t xml:space="preserve">Count</t>
  </si>
  <si>
    <t xml:space="preserve">Kensington High Street</t>
  </si>
  <si>
    <t xml:space="preserve">63–97 Kensington High St, W8 5SE</t>
  </si>
  <si>
    <t xml:space="preserve">Kensington</t>
  </si>
  <si>
    <t xml:space="preserve">Full format</t>
  </si>
  <si>
    <t xml:space="preserve">2007</t>
  </si>
  <si>
    <t xml:space="preserve">No</t>
  </si>
  <si>
    <t xml:space="preserve">Open</t>
  </si>
  <si>
    <t xml:space="preserve">UK flagship, three floors; 13 dining venues, 350+ seats, Genji Sushi &amp; Robata</t>
  </si>
  <si>
    <t xml:space="preserve">Open stores</t>
  </si>
  <si>
    <t xml:space="preserve">Piccadilly</t>
  </si>
  <si>
    <t xml:space="preserve">20 Glasshouse St, W1B 5AR</t>
  </si>
  <si>
    <t xml:space="preserve">Soho / Piccadilly</t>
  </si>
  <si>
    <t xml:space="preserve">Not verified</t>
  </si>
  <si>
    <t xml:space="preserve">Highlights 500 UK producers, 34 within 60 miles</t>
  </si>
  <si>
    <t xml:space="preserve">Daily Shop format</t>
  </si>
  <si>
    <t xml:space="preserve">Camden</t>
  </si>
  <si>
    <t xml:space="preserve">49 Parkway, NW1 7PN</t>
  </si>
  <si>
    <t xml:space="preserve">Former Amazon Fresh sites</t>
  </si>
  <si>
    <t xml:space="preserve">Stoke Newington</t>
  </si>
  <si>
    <t xml:space="preserve">32–40 Stoke Newington Church St, N16 0LU</t>
  </si>
  <si>
    <t xml:space="preserve">Hackney</t>
  </si>
  <si>
    <t xml:space="preserve">Opened in 2026</t>
  </si>
  <si>
    <t xml:space="preserve">Clapham Junction</t>
  </si>
  <si>
    <t xml:space="preserve">305–311 Lavender Hill, SW11 1LN</t>
  </si>
  <si>
    <t xml:space="preserve">Wandsworth</t>
  </si>
  <si>
    <t xml:space="preserve">Stores closed in 2024</t>
  </si>
  <si>
    <t xml:space="preserve">King's Road</t>
  </si>
  <si>
    <t xml:space="preserve">120 King's Road, Chelsea, SW3</t>
  </si>
  <si>
    <t xml:space="preserve">Chelsea</t>
  </si>
  <si>
    <t xml:space="preserve">Mid format</t>
  </si>
  <si>
    <t xml:space="preserve">First new UK store in over a decade</t>
  </si>
  <si>
    <t xml:space="preserve">Growth vs end of FY2025</t>
  </si>
  <si>
    <t xml:space="preserve">Angel</t>
  </si>
  <si>
    <t xml:space="preserve">359 Upper St, N1 0PD</t>
  </si>
  <si>
    <t xml:space="preserve">Islington</t>
  </si>
  <si>
    <t xml:space="preserve">Daily Shop</t>
  </si>
  <si>
    <t xml:space="preserve">Yes</t>
  </si>
  <si>
    <t xml:space="preserve">Includes an Amazon kiosk; on Deliveroo</t>
  </si>
  <si>
    <t xml:space="preserve">Liverpool Street</t>
  </si>
  <si>
    <t xml:space="preserve">Unit 4b-5, Blomfield St, EC2M 7BD</t>
  </si>
  <si>
    <t xml:space="preserve">City of London</t>
  </si>
  <si>
    <t xml:space="preserve">Commuter hub</t>
  </si>
  <si>
    <t xml:space="preserve">Notting Hill Gate</t>
  </si>
  <si>
    <t xml:space="preserve">66–74 Notting Hill Gate, W11 3HT</t>
  </si>
  <si>
    <t xml:space="preserve">Notting Hill</t>
  </si>
  <si>
    <t xml:space="preserve">Wood Wharf</t>
  </si>
  <si>
    <t xml:space="preserve">4 Water St, E14 5GX</t>
  </si>
  <si>
    <t xml:space="preserve">Canary Wharf</t>
  </si>
  <si>
    <t xml:space="preserve">Monument</t>
  </si>
  <si>
    <t xml:space="preserve">Unit 1, 20 Gracechurch St, EC3V 0BG</t>
  </si>
  <si>
    <t xml:space="preserve">St James's</t>
  </si>
  <si>
    <t xml:space="preserve">57 Victoria St, SW1P 2HX</t>
  </si>
  <si>
    <t xml:space="preserve">Westminster</t>
  </si>
  <si>
    <t xml:space="preserve">The one new-build site among the six 2026 openings</t>
  </si>
  <si>
    <t xml:space="preserve">Daily Shop stores are 3,300–10,000 sq ft; per-store sizes were not published.</t>
  </si>
  <si>
    <t xml:space="preserve">Closed sites</t>
  </si>
  <si>
    <t xml:space="preserve">Site</t>
  </si>
  <si>
    <t xml:space="preserve">Location</t>
  </si>
  <si>
    <t xml:space="preserve">Type</t>
  </si>
  <si>
    <t xml:space="preserve">Closed</t>
  </si>
  <si>
    <t xml:space="preserve">Fulham Broadway</t>
  </si>
  <si>
    <t xml:space="preserve">SW6</t>
  </si>
  <si>
    <t xml:space="preserve">Closure announced Mar 2024</t>
  </si>
  <si>
    <t xml:space="preserve">Richmond</t>
  </si>
  <si>
    <t xml:space="preserve">TW9</t>
  </si>
  <si>
    <t xml:space="preserve">Fulham and Richmond together: £9.2m sales, £0.2m operating loss in 2024</t>
  </si>
  <si>
    <t xml:space="preserve">Dartford</t>
  </si>
  <si>
    <t xml:space="preserve">Kent</t>
  </si>
  <si>
    <t xml:space="preserve">Distribution centre</t>
  </si>
  <si>
    <t xml:space="preserve">Closed alongside the two stores</t>
  </si>
  <si>
    <t xml:space="preserve">Earlier non-London stores (e.g. Bristol, Glasgow, Cheltenham) closed before 2024; dates not verified in this research. 14 other former Amazon Fresh UK stores closed outright in 2025.</t>
  </si>
  <si>
    <t xml:space="preserve">Competitive Landscape</t>
  </si>
  <si>
    <t xml:space="preserve">UK grocery shares are approximate (Kantar, periods from 2024 to Sept 2025).</t>
  </si>
  <si>
    <t xml:space="preserve">Retailer</t>
  </si>
  <si>
    <t xml:space="preserve">UK grocery share</t>
  </si>
  <si>
    <t xml:space="preserve">Share basis</t>
  </si>
  <si>
    <t xml:space="preserve">Positioning</t>
  </si>
  <si>
    <t xml:space="preserve">Core shopper</t>
  </si>
  <si>
    <t xml:space="preserve">UK footprint</t>
  </si>
  <si>
    <t xml:space="preserve">Tesco</t>
  </si>
  <si>
    <t xml:space="preserve">Kantar 2024/25</t>
  </si>
  <si>
    <t xml:space="preserve">Mainstream leader</t>
  </si>
  <si>
    <t xml:space="preserve">Cross-class, cross-age</t>
  </si>
  <si>
    <t xml:space="preserve">UK-wide</t>
  </si>
  <si>
    <t xml:space="preserve">Sainsbury's</t>
  </si>
  <si>
    <t xml:space="preserve">Kantar 2024 (15–16%)</t>
  </si>
  <si>
    <t xml:space="preserve">Quality mainstream</t>
  </si>
  <si>
    <t xml:space="preserve">ABC1, female-skewed</t>
  </si>
  <si>
    <t xml:space="preserve">Widest income gap of the majors (YouGov)</t>
  </si>
  <si>
    <t xml:space="preserve">Aldi</t>
  </si>
  <si>
    <t xml:space="preserve">Kantar</t>
  </si>
  <si>
    <t xml:space="preserve">Discounter</t>
  </si>
  <si>
    <t xml:space="preserve">Broad; gaining higher-income shoppers</t>
  </si>
  <si>
    <t xml:space="preserve">Lidl</t>
  </si>
  <si>
    <t xml:space="preserve">Broad</t>
  </si>
  <si>
    <t xml:space="preserve">Waitrose</t>
  </si>
  <si>
    <t xml:space="preserve">Kantar, Sept 2025</t>
  </si>
  <si>
    <t xml:space="preserve">Premium mainstream</t>
  </si>
  <si>
    <t xml:space="preserve">75% ABC1, 46% AB, older</t>
  </si>
  <si>
    <t xml:space="preserve">UK-wide, South-heavy</t>
  </si>
  <si>
    <t xml:space="preserve">Most expensive UK supermarket all 12 months of 2024 (Which?)</t>
  </si>
  <si>
    <t xml:space="preserve">M&amp;S Food</t>
  </si>
  <si>
    <t xml:space="preserve">Premium; food-to-go, own label</t>
  </si>
  <si>
    <t xml:space="preserve">ABC1, 45+, adding families</t>
  </si>
  <si>
    <t xml:space="preserve">UK-wide plus Ocado</t>
  </si>
  <si>
    <t xml:space="preserve">Overtook Waitrose share in Nov 2024, first time outside Christmas</t>
  </si>
  <si>
    <t xml:space="preserve">Planet Organic</t>
  </si>
  <si>
    <t xml:space="preserve">Not tracked</t>
  </si>
  <si>
    <t xml:space="preserve">Specialist, 100% certified organic</t>
  </si>
  <si>
    <t xml:space="preserve">Health-first, affluent</t>
  </si>
  <si>
    <t xml:space="preserve">c. 8–10 London stores</t>
  </si>
  <si>
    <t xml:space="preserve">Administration May 2023; bought back by founders</t>
  </si>
  <si>
    <t xml:space="preserve">Daylesford</t>
  </si>
  <si>
    <t xml:space="preserve">Ultra-premium; B Corp</t>
  </si>
  <si>
    <t xml:space="preserve">Ultra-affluent</t>
  </si>
  <si>
    <t xml:space="preserve">London and Cotswolds</t>
  </si>
  <si>
    <t xml:space="preserve">Bamford family owned; Green Michelin Star</t>
  </si>
  <si>
    <t xml:space="preserve">Whole Foods Market</t>
  </si>
  <si>
    <t xml:space="preserve">Not tracked (well under 1%)</t>
  </si>
  <si>
    <t xml:space="preserve">Premium natural and organic</t>
  </si>
  <si>
    <t xml:space="preserve">LOHAS, urban professionals</t>
  </si>
  <si>
    <t xml:space="preserve">12 London stores</t>
  </si>
  <si>
    <t xml:space="preserve">UK revenue £88.3m in FY2025</t>
  </si>
  <si>
    <t xml:space="preserve">Calculations</t>
  </si>
  <si>
    <t xml:space="preserve">Aldi + Lidl combined share</t>
  </si>
  <si>
    <t xml:space="preserve">Waitrose + M&amp;S Food combined share</t>
  </si>
  <si>
    <t xml:space="preserve">Price benchmark: Which? 56-item basket, December 2024</t>
  </si>
  <si>
    <t xml:space="preserve">Waitrose basket (£)</t>
  </si>
  <si>
    <t xml:space="preserve">Aldi basket (£)</t>
  </si>
  <si>
    <t xml:space="preserve">Waitrose premium over Aldi</t>
  </si>
  <si>
    <t xml:space="preserve">UK shoppers on Trustpilot describe Whole Foods as dearer than Waitrose for most items.</t>
  </si>
  <si>
    <t xml:space="preserve">Gap per basket (£)</t>
  </si>
  <si>
    <t xml:space="preserve">Value perception: YouGov BrandIndex value score, 2023</t>
  </si>
  <si>
    <t xml:space="preserve">Start of 2023</t>
  </si>
  <si>
    <t xml:space="preserve">End of 2023</t>
  </si>
  <si>
    <t xml:space="preserve">Change</t>
  </si>
  <si>
    <t xml:space="preserve">Negative score = more people rate it poor value than good value. Whole Foods is not tracked.</t>
  </si>
  <si>
    <t xml:space="preserve">Specialist rival: Daylesford, FY2025</t>
  </si>
  <si>
    <t xml:space="preserve">Profit (£m)</t>
  </si>
  <si>
    <t xml:space="preserve">Profit margin</t>
  </si>
  <si>
    <t xml:space="preserve">Revenue vs Whole Foods UK FY2025</t>
  </si>
  <si>
    <t xml:space="preserve">Customer satisfaction: Net Promoter Score (global, QuestionPro Q1 2025)</t>
  </si>
  <si>
    <t xml:space="preserve">Whole Foods Market NPS</t>
  </si>
  <si>
    <t xml:space="preserve">Grocery industry average NPS</t>
  </si>
  <si>
    <t xml:space="preserve">Gap to average</t>
  </si>
  <si>
    <t xml:space="preserve">No UK-specific score is published.</t>
  </si>
  <si>
    <t xml:space="preserve">UK Organic Market</t>
  </si>
  <si>
    <t xml:space="preserve">Soil Association Organic Market Reports. £ billions.</t>
  </si>
  <si>
    <t xml:space="preserve">Year</t>
  </si>
  <si>
    <t xml:space="preserve">Market value (£bn)</t>
  </si>
  <si>
    <t xml:space="preserve">Reported growth</t>
  </si>
  <si>
    <t xml:space="preserve">Implied prior-year value (£bn)</t>
  </si>
  <si>
    <t xml:space="preserve">2014</t>
  </si>
  <si>
    <t xml:space="preserve">Baseline</t>
  </si>
  <si>
    <t xml:space="preserve">2023</t>
  </si>
  <si>
    <t xml:space="preserve">12th consecutive year of growth (as first reported)</t>
  </si>
  <si>
    <t xml:space="preserve">2024</t>
  </si>
  <si>
    <t xml:space="preserve">13th consecutive year; implies 2023 restated to about £3.45bn</t>
  </si>
  <si>
    <t xml:space="preserve">2025</t>
  </si>
  <si>
    <t xml:space="preserve">14th consecutive year; single source, not independently verified</t>
  </si>
  <si>
    <t xml:space="preserve">Growth 2014 to 2024</t>
  </si>
  <si>
    <t xml:space="preserve">Roughly doubled in ten years</t>
  </si>
  <si>
    <t xml:space="preserve">2024 channel split</t>
  </si>
  <si>
    <t xml:space="preserve">Channel</t>
  </si>
  <si>
    <t xml:space="preserve">Value (£bn)</t>
  </si>
  <si>
    <t xml:space="preserve">Growth</t>
  </si>
  <si>
    <t xml:space="preserve">Share of total</t>
  </si>
  <si>
    <t xml:space="preserve">Supermarkets, discounters and online</t>
  </si>
  <si>
    <t xml:space="preserve">Independent retail</t>
  </si>
  <si>
    <t xml:space="preserve">Home delivery (veg boxes etc.)</t>
  </si>
  <si>
    <t xml:space="preserve">Foodservice</t>
  </si>
  <si>
    <t xml:space="preserve">Total</t>
  </si>
  <si>
    <t xml:space="preserve">Difference from headline 2024 figure (£bn)</t>
  </si>
  <si>
    <t xml:space="preserve">Rounding only; the channels reconcile to the £3.7bn headline</t>
  </si>
  <si>
    <t xml:space="preserve">Whole Foods UK in context</t>
  </si>
  <si>
    <t xml:space="preserve">Whole Foods UK revenue FY2024 as share of UK organic market 2024</t>
  </si>
  <si>
    <t xml:space="preserve">Upper bound: Whole Foods revenue includes non-organic lines</t>
  </si>
  <si>
    <t xml:space="preserve">Timeline, 2004–2026</t>
  </si>
  <si>
    <t xml:space="preserve">Dated where the day is known; year or month otherwise.</t>
  </si>
  <si>
    <t xml:space="preserve">Date</t>
  </si>
  <si>
    <t xml:space="preserve">Event</t>
  </si>
  <si>
    <t xml:space="preserve">Category</t>
  </si>
  <si>
    <t xml:space="preserve">2004</t>
  </si>
  <si>
    <t xml:space="preserve">Enters the UK by acquiring Fresh &amp; Wild (7 London stores)</t>
  </si>
  <si>
    <t xml:space="preserve">Footprint</t>
  </si>
  <si>
    <t xml:space="preserve">Kensington High Street flagship opens (80,000 sq ft)</t>
  </si>
  <si>
    <t xml:space="preserve">Amazon announces acquisition of Whole Foods Market for $13.7bn</t>
  </si>
  <si>
    <t xml:space="preserve">Ownership</t>
  </si>
  <si>
    <t xml:space="preserve">Acquisition completes</t>
  </si>
  <si>
    <t xml:space="preserve">Mar 2021</t>
  </si>
  <si>
    <t xml:space="preserve">First UK Amazon Fresh store opens in Ealing (Just Walk Out); estate later reaches 19</t>
  </si>
  <si>
    <t xml:space="preserve">Amazon</t>
  </si>
  <si>
    <t xml:space="preserve">Amazon/Deliveroo Prime bundle: free Deliveroo Plus on £25+ orders</t>
  </si>
  <si>
    <t xml:space="preserve">Online</t>
  </si>
  <si>
    <t xml:space="preserve">Pre-tax loss rises 53% to £26.3m as inflation hits demand</t>
  </si>
  <si>
    <t xml:space="preserve">Financial</t>
  </si>
  <si>
    <t xml:space="preserve">Amazon grocery refresh: Whole Foods, Amazon Fresh and Amazon.com baskets begin to merge</t>
  </si>
  <si>
    <t xml:space="preserve">Value push: 'Low Prices, Same High Standards' signage, new opening price points</t>
  </si>
  <si>
    <t xml:space="preserve">Pricing</t>
  </si>
  <si>
    <t xml:space="preserve">Mar 2024</t>
  </si>
  <si>
    <t xml:space="preserve">141 mainstream UK staples added (Heinz, Marmite, Weetabix and others)</t>
  </si>
  <si>
    <t xml:space="preserve">Closure of Fulham, Richmond and Dartford DC announced</t>
  </si>
  <si>
    <t xml:space="preserve">Fulham, Richmond and Dartford DC close</t>
  </si>
  <si>
    <t xml:space="preserve">Jul 2024</t>
  </si>
  <si>
    <t xml:space="preserve">Third-party welfare certification required for all meat by end of 2026</t>
  </si>
  <si>
    <t xml:space="preserve">Sep 2024</t>
  </si>
  <si>
    <t xml:space="preserve">Waitrose price-match launched on branded lines</t>
  </si>
  <si>
    <t xml:space="preserve">Jan 2025</t>
  </si>
  <si>
    <t xml:space="preserve">Jason Buechel also becomes VP of Amazon Worldwide Grocery Stores</t>
  </si>
  <si>
    <t xml:space="preserve">King's Road, Chelsea opens: first new UK store in over a decade</t>
  </si>
  <si>
    <t xml:space="preserve">Jun 2025</t>
  </si>
  <si>
    <t xml:space="preserve">'One Grocery' strategy: Whole Foods and Amazon grocery under single leadership</t>
  </si>
  <si>
    <t xml:space="preserve">Sep 2025</t>
  </si>
  <si>
    <t xml:space="preserve">FY2024 accounts: cumulative UK losses reported above £200m</t>
  </si>
  <si>
    <t xml:space="preserve">All 19 UK Amazon Fresh stores to close; 5 to become Whole Foods</t>
  </si>
  <si>
    <t xml:space="preserve">Mar 2026</t>
  </si>
  <si>
    <t xml:space="preserve">Six Daily Shop stores announced, doubling the estate</t>
  </si>
  <si>
    <t xml:space="preserve">Angel opens</t>
  </si>
  <si>
    <t xml:space="preserve">Liverpool Street opens</t>
  </si>
  <si>
    <t xml:space="preserve">Notting Hill Gate opens</t>
  </si>
  <si>
    <t xml:space="preserve">Wood Wharf opens</t>
  </si>
  <si>
    <t xml:space="preserve">Monument opens</t>
  </si>
  <si>
    <t xml:space="preserve">St James's opens: estate reaches 12</t>
  </si>
  <si>
    <t xml:space="preserve">Jun 2026</t>
  </si>
  <si>
    <t xml:space="preserve">Amazon same-day perishable grocery delivery in Central and East London</t>
  </si>
  <si>
    <t xml:space="preserve">2026</t>
  </si>
  <si>
    <t xml:space="preserve">FY2025 accounts: revenue £88.3m (+2%), pre-tax loss £19.4m</t>
  </si>
  <si>
    <t xml:space="preserve">Dec 2026</t>
  </si>
  <si>
    <t xml:space="preserve">Planned: One Grocery staff transition and meat certification deadline</t>
  </si>
  <si>
    <t xml:space="preserve">Upcoming</t>
  </si>
  <si>
    <t xml:space="preserve">Product Mix and Suppliers</t>
  </si>
  <si>
    <t xml:space="preserve">UK assortment, how it differs from the US, and named UK suppliers.</t>
  </si>
  <si>
    <t xml:space="preserve">Dimension</t>
  </si>
  <si>
    <t xml:space="preserve">UK</t>
  </si>
  <si>
    <t xml:space="preserve">US</t>
  </si>
  <si>
    <t xml:space="preserve">Private label</t>
  </si>
  <si>
    <t xml:space="preserve">'Fresh &amp; Wild Everyday Value' (single source says '365' is blocked by a UK trademark)</t>
  </si>
  <si>
    <t xml:space="preserve">365 by Whole Foods Market, a major category driver</t>
  </si>
  <si>
    <t xml:space="preserve">Mainstream staples</t>
  </si>
  <si>
    <t xml:space="preserve">141 British brands added Mar 2024</t>
  </si>
  <si>
    <t xml:space="preserve">No equivalent</t>
  </si>
  <si>
    <t xml:space="preserve">CBD</t>
  </si>
  <si>
    <t xml:space="preserve">Not sold (FSA Novel Foods rules)</t>
  </si>
  <si>
    <t xml:space="preserve">Topical CBD in 30+ states</t>
  </si>
  <si>
    <t xml:space="preserve">In-store dining</t>
  </si>
  <si>
    <t xml:space="preserve">Kensington food hall: 13 venues, 350+ seats</t>
  </si>
  <si>
    <t xml:space="preserve">Prepared food bars</t>
  </si>
  <si>
    <t xml:space="preserve">Signature bakery</t>
  </si>
  <si>
    <t xml:space="preserve">Brown Butter Cookies; Berry Chantilly Cake arrived at King's Road 2025</t>
  </si>
  <si>
    <t xml:space="preserve">Berry Chantilly Cake</t>
  </si>
  <si>
    <t xml:space="preserve">Organic certification</t>
  </si>
  <si>
    <t xml:space="preserve">Soil Association, audited annually</t>
  </si>
  <si>
    <t xml:space="preserve">USDA Organic</t>
  </si>
  <si>
    <t xml:space="preserve">Alcohol age</t>
  </si>
  <si>
    <t xml:space="preserve">18+, Challenge 25</t>
  </si>
  <si>
    <t xml:space="preserve">21+</t>
  </si>
  <si>
    <t xml:space="preserve">Banned ingredients</t>
  </si>
  <si>
    <t xml:space="preserve">Same 300+ food list; UK law also bans E171, potassium bromate, ADA</t>
  </si>
  <si>
    <t xml:space="preserve">300+ food list</t>
  </si>
  <si>
    <t xml:space="preserve">UK staple brands added, March 2024 (named examples)</t>
  </si>
  <si>
    <t xml:space="preserve">Heinz</t>
  </si>
  <si>
    <t xml:space="preserve">Marmite</t>
  </si>
  <si>
    <t xml:space="preserve">Weetabix</t>
  </si>
  <si>
    <t xml:space="preserve">McVitie's Hobnobs</t>
  </si>
  <si>
    <t xml:space="preserve">Kellogg's Cornflakes</t>
  </si>
  <si>
    <t xml:space="preserve">Twinings</t>
  </si>
  <si>
    <t xml:space="preserve">Tropicana</t>
  </si>
  <si>
    <t xml:space="preserve">Cathedral City</t>
  </si>
  <si>
    <t xml:space="preserve">Colman's</t>
  </si>
  <si>
    <t xml:space="preserve">Bonne Maman</t>
  </si>
  <si>
    <t xml:space="preserve">Quaker Oats</t>
  </si>
  <si>
    <t xml:space="preserve">Ben's Original</t>
  </si>
  <si>
    <t xml:space="preserve">Sharwood's</t>
  </si>
  <si>
    <t xml:space="preserve">Activia</t>
  </si>
  <si>
    <t xml:space="preserve">Ambrosia</t>
  </si>
  <si>
    <t xml:space="preserve">Named here</t>
  </si>
  <si>
    <t xml:space="preserve">Total added (reported)</t>
  </si>
  <si>
    <t xml:space="preserve">Named UK suppliers</t>
  </si>
  <si>
    <t xml:space="preserve">Supplier</t>
  </si>
  <si>
    <t xml:space="preserve">Detail</t>
  </si>
  <si>
    <t xml:space="preserve">Natoora</t>
  </si>
  <si>
    <t xml:space="preserve">Produce</t>
  </si>
  <si>
    <t xml:space="preserve">Hampshire regenerative farm; network of 600+ growers</t>
  </si>
  <si>
    <t xml:space="preserve">Neal's Yard Dairy</t>
  </si>
  <si>
    <t xml:space="preserve">Cheese</t>
  </si>
  <si>
    <t xml:space="preserve">Mons</t>
  </si>
  <si>
    <t xml:space="preserve">European cheese</t>
  </si>
  <si>
    <t xml:space="preserve">Ashdale Farm</t>
  </si>
  <si>
    <t xml:space="preserve">Beef</t>
  </si>
  <si>
    <t xml:space="preserve">Dingley Dell</t>
  </si>
  <si>
    <t xml:space="preserve">Pork</t>
  </si>
  <si>
    <t xml:space="preserve">Suffolk</t>
  </si>
  <si>
    <t xml:space="preserve">Crate to Plate</t>
  </si>
  <si>
    <t xml:space="preserve">London vertical farm; herbs and lettuce, King's Road</t>
  </si>
  <si>
    <t xml:space="preserve">Mondo Brewing</t>
  </si>
  <si>
    <t xml:space="preserve">Beer</t>
  </si>
  <si>
    <t xml:space="preserve">Battersea; exclusive collaboration</t>
  </si>
  <si>
    <t xml:space="preserve">Celtic Bakers</t>
  </si>
  <si>
    <t xml:space="preserve">Bakery</t>
  </si>
  <si>
    <t xml:space="preserve">London</t>
  </si>
  <si>
    <t xml:space="preserve">Pourtoi</t>
  </si>
  <si>
    <t xml:space="preserve">Ice Cream Union</t>
  </si>
  <si>
    <t xml:space="preserve">Frozen</t>
  </si>
  <si>
    <t xml:space="preserve">Bespoke rose and pistachio flavour for King's Road opening</t>
  </si>
  <si>
    <t xml:space="preserve">Old Spike Roastery</t>
  </si>
  <si>
    <t xml:space="preserve">Coffee</t>
  </si>
  <si>
    <t xml:space="preserve">Mirabeau</t>
  </si>
  <si>
    <t xml:space="preserve">Wine</t>
  </si>
  <si>
    <t xml:space="preserve">Exclusive King's Road rosé, regenerative organic certified</t>
  </si>
  <si>
    <t xml:space="preserve">Brand Pitch Day (UK supplier programme; LEAP is US-only)</t>
  </si>
  <si>
    <t xml:space="preserve">Q1 2026 submissions</t>
  </si>
  <si>
    <t xml:space="preserve">Reported as '500+'</t>
  </si>
  <si>
    <t xml:space="preserve">Q1 2026 brands selected</t>
  </si>
  <si>
    <t xml:space="preserve">Selection rate</t>
  </si>
  <si>
    <t xml:space="preserve">Upper bound, since submissions were 500+</t>
  </si>
  <si>
    <t xml:space="preserve">Slots per quarter from Q2 2026</t>
  </si>
  <si>
    <t xml:space="preserve">Customer Indicators</t>
  </si>
  <si>
    <t xml:space="preserve">No UK-specific Whole Foods shopper data is public. Check the Scope column before using a figure.</t>
  </si>
  <si>
    <t xml:space="preserve">Indicator</t>
  </si>
  <si>
    <t xml:space="preserve">Scope</t>
  </si>
  <si>
    <t xml:space="preserve">Source</t>
  </si>
  <si>
    <t xml:space="preserve">Note</t>
  </si>
  <si>
    <t xml:space="preserve">LOHAS shoppers' spend in Whole Foods vs other segments</t>
  </si>
  <si>
    <t xml:space="preserve">Global / US</t>
  </si>
  <si>
    <t xml:space="preserve">Natural Marketing Institute</t>
  </si>
  <si>
    <t xml:space="preserve">133% more</t>
  </si>
  <si>
    <t xml:space="preserve">LOHAS shoppers who read labels for simple ingredients</t>
  </si>
  <si>
    <t xml:space="preserve">LOHAS shoppers citing organic range as main store-choice factor</t>
  </si>
  <si>
    <t xml:space="preserve">LOHAS shoppers seeking local or regional products</t>
  </si>
  <si>
    <t xml:space="preserve">US household penetration</t>
  </si>
  <si>
    <t xml:space="preserve">Numerator 2023–24</t>
  </si>
  <si>
    <t xml:space="preserve">Only about 1 in 10 are core shoppers</t>
  </si>
  <si>
    <t xml:space="preserve">Typical US shopper</t>
  </si>
  <si>
    <t xml:space="preserve">Millennial woman, 25–34, graduate degree, $80k+ income</t>
  </si>
  <si>
    <t xml:space="preserve">Numerator via Business Insider</t>
  </si>
  <si>
    <t xml:space="preserve">US visits per year</t>
  </si>
  <si>
    <t xml:space="preserve">Numerator</t>
  </si>
  <si>
    <t xml:space="preserve">About $42 and 9 items per trip</t>
  </si>
  <si>
    <t xml:space="preserve">Site selection: degree attainment threshold</t>
  </si>
  <si>
    <t xml:space="preserve">Company statements (secondary)</t>
  </si>
  <si>
    <t xml:space="preserve">Plus household income $75k+</t>
  </si>
  <si>
    <t xml:space="preserve">Awareness of '365 by WFM' among UK organic eaters, 2022</t>
  </si>
  <si>
    <t xml:space="preserve">Statista</t>
  </si>
  <si>
    <t xml:space="preserve">Brand loyalty among users 71%</t>
  </si>
  <si>
    <t xml:space="preserve">UK organic buyers motivated by avoiding pesticides</t>
  </si>
  <si>
    <t xml:space="preserve">UK organic market</t>
  </si>
  <si>
    <t xml:space="preserve">Soil Association / ORC, Jan 2024</t>
  </si>
  <si>
    <t xml:space="preserve">UK organic buyers motivated by higher production standards</t>
  </si>
  <si>
    <t xml:space="preserve">Soil Association / ORC</t>
  </si>
  <si>
    <t xml:space="preserve">UK 18–24s buying organic at least monthly</t>
  </si>
  <si>
    <t xml:space="preserve">Soil Association</t>
  </si>
  <si>
    <t xml:space="preserve">Most active age group</t>
  </si>
  <si>
    <t xml:space="preserve">UK households buying organic at least occasionally</t>
  </si>
  <si>
    <t xml:space="preserve">Wicked Leeks / Riverford</t>
  </si>
  <si>
    <t xml:space="preserve">UK organic buyers citing sustainability, 2022</t>
  </si>
  <si>
    <t xml:space="preserve">UK organic buyers citing sustainability, 2023</t>
  </si>
  <si>
    <t xml:space="preserve">Change in sustainability citation (points)</t>
  </si>
  <si>
    <t xml:space="preserve">Waitrose shoppers in ABC1 grades</t>
  </si>
  <si>
    <t xml:space="preserve">UK, Waitrose</t>
  </si>
  <si>
    <t xml:space="preserve">Waitrose Media Kit 2023</t>
  </si>
  <si>
    <t xml:space="preserve">Self-published</t>
  </si>
  <si>
    <t xml:space="preserve">Waitrose shoppers in AB grades</t>
  </si>
  <si>
    <t xml:space="preserve">Waitrose basket spend vs grocery average</t>
  </si>
  <si>
    <t xml:space="preserve">Gen Z supporting climate-smart farming</t>
  </si>
  <si>
    <t xml:space="preserve">Global survey</t>
  </si>
  <si>
    <t xml:space="preserve">Whole Foods survey, Sep 2024</t>
  </si>
  <si>
    <t xml:space="preserve">Gen Z willing to pay more for sustainable products</t>
  </si>
  <si>
    <t xml:space="preserve">Gen Z willing to spend more for high-quality food</t>
  </si>
  <si>
    <t xml:space="preserve">UK shoppers describing themselves as price-conscious</t>
  </si>
  <si>
    <t xml:space="preserve">Pricer (single source)</t>
  </si>
  <si>
    <t xml:space="preserve">Treat with caution</t>
  </si>
  <si>
    <t xml:space="preserve">UK shopping mission at Whole Foods</t>
  </si>
  <si>
    <t xml:space="preserve">Top-up and convenience, not the weekly shop</t>
  </si>
  <si>
    <t xml:space="preserve">Trade press</t>
  </si>
  <si>
    <t xml:space="preserve">Sourcing and Sustainability</t>
  </si>
  <si>
    <t xml:space="preserve">Commitments that apply to UK stores unless Scope says otherwise.</t>
  </si>
  <si>
    <t xml:space="preserve">Commitment</t>
  </si>
  <si>
    <t xml:space="preserve">Deadline / status</t>
  </si>
  <si>
    <t xml:space="preserve">Organic</t>
  </si>
  <si>
    <t xml:space="preserve">Soil Association certified organic retailer</t>
  </si>
  <si>
    <t xml:space="preserve">Annual independent audit; exceeds the legal baseline</t>
  </si>
  <si>
    <t xml:space="preserve">Ongoing</t>
  </si>
  <si>
    <t xml:space="preserve">Ingredients</t>
  </si>
  <si>
    <t xml:space="preserve">550+ banned ingredients and substances</t>
  </si>
  <si>
    <t xml:space="preserve">Food 300+, supplements 150+, beauty and body care 240+; no hydrogenated fats, HFCS or artificial sweeteners</t>
  </si>
  <si>
    <t xml:space="preserve">Global</t>
  </si>
  <si>
    <t xml:space="preserve">Seafood</t>
  </si>
  <si>
    <t xml:space="preserve">MSC certified wild-caught; Responsibly Farmed standard</t>
  </si>
  <si>
    <t xml:space="preserve">No antibiotics, added hormones or synthetic parasiticides; farm traceability. Standards updated May 2024</t>
  </si>
  <si>
    <t xml:space="preserve">Code of Conduct Jan 2025</t>
  </si>
  <si>
    <t xml:space="preserve">Meat</t>
  </si>
  <si>
    <t xml:space="preserve">Third-party animal welfare certification for all meat and poultry</t>
  </si>
  <si>
    <t xml:space="preserve">Extended Jul 2024 to bison, veal, venison, duck, goose and quail</t>
  </si>
  <si>
    <t xml:space="preserve">End of 2026</t>
  </si>
  <si>
    <t xml:space="preserve">Baseline meat standards</t>
  </si>
  <si>
    <t xml:space="preserve">No antibiotics ever, no crates, cages or tethers, no added hormones</t>
  </si>
  <si>
    <t xml:space="preserve">Food waste</t>
  </si>
  <si>
    <t xml:space="preserve">Halve food waste</t>
  </si>
  <si>
    <t xml:space="preserve">About 70% of operational waste kept from landfill today</t>
  </si>
  <si>
    <t xml:space="preserve">2030</t>
  </si>
  <si>
    <t xml:space="preserve">Packaging</t>
  </si>
  <si>
    <t xml:space="preserve">100% of private-label packaging reusable, recyclable or compostable</t>
  </si>
  <si>
    <t xml:space="preserve">Target</t>
  </si>
  <si>
    <t xml:space="preserve">Agriculture</t>
  </si>
  <si>
    <t xml:space="preserve">Prairie Strips programme with Mad Agriculture</t>
  </si>
  <si>
    <t xml:space="preserve">About 100 acres of prairie hedgerows on supplier farms</t>
  </si>
  <si>
    <t xml:space="preserve">Launched 2024</t>
  </si>
  <si>
    <t xml:space="preserve">Fair trade</t>
  </si>
  <si>
    <t xml:space="preserve">Sourced for Good premiums</t>
  </si>
  <si>
    <t xml:space="preserve">$9.35m returned to suppliers in 2023; $8.8m in 2024</t>
  </si>
  <si>
    <t xml:space="preserve">Annual</t>
  </si>
  <si>
    <t xml:space="preserve">Suppliers</t>
  </si>
  <si>
    <t xml:space="preserve">Supplier Code of Conduct</t>
  </si>
  <si>
    <t xml:space="preserve">Aligned to UN Guiding Principles and ILO Core Conventions</t>
  </si>
  <si>
    <t xml:space="preserve">Updated Jan 2023</t>
  </si>
  <si>
    <t xml:space="preserve">Too Good To Go partnership</t>
  </si>
  <si>
    <t xml:space="preserve">Surplus food sold through the app</t>
  </si>
  <si>
    <t xml:space="preserve">Compliance risk</t>
  </si>
  <si>
    <t xml:space="preserve">Groceries Supply Code of Practice (GSCOP)</t>
  </si>
  <si>
    <t xml:space="preserve">Ranked worst-performing grocer for compliance since 2022, including supplier payment delays</t>
  </si>
  <si>
    <t xml:space="preserve">Ongoing risk</t>
  </si>
  <si>
    <t xml:space="preserve">Strategic Outlook</t>
  </si>
  <si>
    <t xml:space="preserve">Impact ratings are analyst judgment, not sourced figures.</t>
  </si>
  <si>
    <t xml:space="preserve">Factor</t>
  </si>
  <si>
    <t xml:space="preserve">Evidence</t>
  </si>
  <si>
    <t xml:space="preserve">Impact (judgment)</t>
  </si>
  <si>
    <t xml:space="preserve">Tailwind</t>
  </si>
  <si>
    <t xml:space="preserve">Organic demand growth</t>
  </si>
  <si>
    <t xml:space="preserve">£3.7bn in 2024, +7.3%, 13th straight year; organic units growing 4x non-organic</t>
  </si>
  <si>
    <t xml:space="preserve">High</t>
  </si>
  <si>
    <t xml:space="preserve">Low-cost expansion format</t>
  </si>
  <si>
    <t xml:space="preserve">Daily Shop (3,300–10,000 sq ft) reuses Amazon Fresh sites, cutting fit-out and lease risk</t>
  </si>
  <si>
    <t xml:space="preserve">Amazon ecosystem</t>
  </si>
  <si>
    <t xml:space="preserve">Prime, Amazon.co.uk storefront, same-day perishables (sales up 40x since Jan 2025)</t>
  </si>
  <si>
    <t xml:space="preserve">Medium</t>
  </si>
  <si>
    <t xml:space="preserve">Supplier pipeline</t>
  </si>
  <si>
    <t xml:space="preserve">Brand Pitch Day drew 500+ submissions in Q1 2026</t>
  </si>
  <si>
    <t xml:space="preserve">Low</t>
  </si>
  <si>
    <t xml:space="preserve">Headwind</t>
  </si>
  <si>
    <t xml:space="preserve">Never profitable</t>
  </si>
  <si>
    <t xml:space="preserve">Losses every year since 2004; £19.4m in FY2025, about 22% of revenue</t>
  </si>
  <si>
    <t xml:space="preserve">Value perception</t>
  </si>
  <si>
    <t xml:space="preserve">Seen as dearer than Waitrose; global NPS 35 vs grocery average 37</t>
  </si>
  <si>
    <t xml:space="preserve">Margin squeeze</t>
  </si>
  <si>
    <t xml:space="preserve">Gross margin 35% to 31% (FY2023–25): supply chain, Brexit friction, staffing</t>
  </si>
  <si>
    <t xml:space="preserve">Organic is no longer distinctive</t>
  </si>
  <si>
    <t xml:space="preserve">Every major grocer sells organic at scale; discounters hold 17.8% share</t>
  </si>
  <si>
    <t xml:space="preserve">London-only footprint</t>
  </si>
  <si>
    <t xml:space="preserve">All 12 stores in Greater London; no visible plan beyond it</t>
  </si>
  <si>
    <t xml:space="preserve">Risk</t>
  </si>
  <si>
    <t xml:space="preserve">GSCOP compliance</t>
  </si>
  <si>
    <t xml:space="preserve">Worst-ranked grocer since 2022; regulatory and supplier-relationship exposure</t>
  </si>
  <si>
    <t xml:space="preserve">One Grocery integration</t>
  </si>
  <si>
    <t xml:space="preserve">Amazon HR, pay and review systems by Dec 2026 could dilute the culture behind the brand</t>
  </si>
  <si>
    <t xml:space="preserve">Private-label handicap</t>
  </si>
  <si>
    <t xml:space="preserve">No '365' brand in the UK (single source) limits value signalling</t>
  </si>
  <si>
    <t xml:space="preserve">Primary sources behind the figures in this workbook.</t>
  </si>
  <si>
    <t xml:space="preserve">#</t>
  </si>
  <si>
    <t xml:space="preserve">Title</t>
  </si>
  <si>
    <t xml:space="preserve">Publisher</t>
  </si>
  <si>
    <t xml:space="preserve">URL</t>
  </si>
  <si>
    <t xml:space="preserve">Whole Foods Market losses in the UK total more than £200m as sales decline</t>
  </si>
  <si>
    <t xml:space="preserve">The Grocer</t>
  </si>
  <si>
    <t xml:space="preserve">https://www.thegrocer.co.uk/news/whole-foods-market-losses-in-the-uk-total-more-than-200m-as-sales-decline/709247.article</t>
  </si>
  <si>
    <t xml:space="preserve">Whole Foods Market losses narrow after new store openings</t>
  </si>
  <si>
    <t xml:space="preserve">https://www.thegrocer.co.uk/news/whole-foods-market-losses-narrow-after-new-store-openings/719907.article</t>
  </si>
  <si>
    <t xml:space="preserve">Whole Foods Market UK 2023 losses narrow after value push</t>
  </si>
  <si>
    <t xml:space="preserve">https://www.thegrocer.co.uk/news/whole-foods-market-uk-losses-narrow-after-value-push/696486.article</t>
  </si>
  <si>
    <t xml:space="preserve">Whole Foods Market sees UK losses rise to £26m</t>
  </si>
  <si>
    <t xml:space="preserve">https://www.thegrocer.co.uk/news/whole-foods-market-sees-uk-losses-rise-to-26m/680536.article</t>
  </si>
  <si>
    <t xml:space="preserve">Whole Foods UK reports loss as sales slide</t>
  </si>
  <si>
    <t xml:space="preserve">Retail Gazette</t>
  </si>
  <si>
    <t xml:space="preserve">https://www.retailgazette.co.uk/blog/2025/09/whole-foods-uk-losses/</t>
  </si>
  <si>
    <t xml:space="preserve">Whole Foods Market to open six new U.K. stores</t>
  </si>
  <si>
    <t xml:space="preserve">https://www.wholefoodsmarket.com/company-info/newsroom/news-releases/whole-foods-market-to-open-six-new-u-k-stores</t>
  </si>
  <si>
    <t xml:space="preserve">Whole Foods to double UK stores with Daily Shop</t>
  </si>
  <si>
    <t xml:space="preserve">Grocery Dive</t>
  </si>
  <si>
    <t xml:space="preserve">https://www.grocerydive.com/news/whole-foods-market-daily-shop-london-uk-store-openings-small-format/814557/</t>
  </si>
  <si>
    <t xml:space="preserve">Amazon closing all UK Amazon Fresh stores, converting five to Whole Foods</t>
  </si>
  <si>
    <t xml:space="preserve">Chain Store Age</t>
  </si>
  <si>
    <t xml:space="preserve">https://chainstoreage.com/amazon-closing-all-uk-amazon-fresh-stores-converting-five-whole-foods</t>
  </si>
  <si>
    <t xml:space="preserve">Amazon UK online grocery delivery</t>
  </si>
  <si>
    <t xml:space="preserve">About Amazon UK</t>
  </si>
  <si>
    <t xml:space="preserve">https://www.aboutamazon.co.uk/news/retail/amazon-uk-online-grocery-delivery-amazon-fresh</t>
  </si>
  <si>
    <t xml:space="preserve">Whole Foods Market to roll out over 140 staple UK brands</t>
  </si>
  <si>
    <t xml:space="preserve">Grocery Gazette</t>
  </si>
  <si>
    <t xml:space="preserve">https://www.grocerygazette.co.uk/2024/03/01/whole-foods-roll-out-uk-brands/</t>
  </si>
  <si>
    <t xml:space="preserve">Whole Foods Market to shutter two stores and Dartford DC</t>
  </si>
  <si>
    <t xml:space="preserve">https://www.thegrocer.co.uk/news/whole-foods-market-to-shutter-two-stores-and-dartford-dc/689300.article</t>
  </si>
  <si>
    <t xml:space="preserve">Whole Foods Market expands international footprint with new U.K. location</t>
  </si>
  <si>
    <t xml:space="preserve">Business Wire</t>
  </si>
  <si>
    <t xml:space="preserve">Feb 2025</t>
  </si>
  <si>
    <t xml:space="preserve">https://www.businesswire.com/news/home/20250227667597/en/Whole-Foods-Market-Expands-International-Footprint-with-New-U.K.-Location</t>
  </si>
  <si>
    <t xml:space="preserve">Organic market report 2025</t>
  </si>
  <si>
    <t xml:space="preserve">https://www.soilassociation.org/certification/organic-market-report-2025/</t>
  </si>
  <si>
    <t xml:space="preserve">UK organic market expanded by 7.3% in 2024</t>
  </si>
  <si>
    <t xml:space="preserve">Agriland</t>
  </si>
  <si>
    <t xml:space="preserve">https://www.agriland.co.uk/farming-news/report-uk-organic-market-expanded-by-7-3-in-2024/</t>
  </si>
  <si>
    <t xml:space="preserve">Grocery market share</t>
  </si>
  <si>
    <t xml:space="preserve">2024–25</t>
  </si>
  <si>
    <t xml:space="preserve">https://www.kantar.com/uki/campaigns/grocery-market-share</t>
  </si>
  <si>
    <t xml:space="preserve">John Lewis Partnership</t>
  </si>
  <si>
    <t xml:space="preserve">Sep 2023</t>
  </si>
  <si>
    <t xml:space="preserve">https://www.jlpinsightsandmedia.co.uk/media/waitrose/</t>
  </si>
  <si>
    <t xml:space="preserve">Which supermarkets provide the best value in Britain</t>
  </si>
  <si>
    <t xml:space="preserve">YouGov BrandIndex</t>
  </si>
  <si>
    <t xml:space="preserve">https://business.yougov.com/content/45119-which-supermarkets-provide-best-value-britain</t>
  </si>
  <si>
    <t xml:space="preserve">QuestionPro</t>
  </si>
  <si>
    <t xml:space="preserve">https://www.questionpro.com/blog/whole-foods-market-nps/</t>
  </si>
  <si>
    <t xml:space="preserve">Whole Foods expands animal welfare standards</t>
  </si>
  <si>
    <t xml:space="preserve">Progressive Grocer</t>
  </si>
  <si>
    <t xml:space="preserve">https://progressivegrocer.com/whole-foods-market-releases-more-rigorous-animal-welfare-standards</t>
  </si>
  <si>
    <t xml:space="preserve">Gen Z survey on food transparency</t>
  </si>
  <si>
    <t xml:space="preserve">Business Wire / Whole Foods</t>
  </si>
  <si>
    <t xml:space="preserve">https://www.businesswire.com/news/home/20240923383099/en/Gen-Z-Is-Hungry-for-Transparency-in-Food-Sustainability-and-Quality-Amid-Climate-Concerns-According-to-New-Whole-Foods-Market-Survey</t>
  </si>
  <si>
    <t xml:space="preserve">What do LOHAS shoppers want?</t>
  </si>
  <si>
    <t xml:space="preserve">Supermarket News</t>
  </si>
  <si>
    <t xml:space="preserve">https://www.supermarketnews.com/grocery-marketing/what-do-lohas-shoppers-want-</t>
  </si>
  <si>
    <t xml:space="preserve">Meet the typical Whole Foods shopper (Numerator data)</t>
  </si>
  <si>
    <t xml:space="preserve">AOL / Business Insider</t>
  </si>
  <si>
    <t xml:space="preserve">https://www.aol.com/news/meet-typical-whole-foods-shopper-142830882.html</t>
  </si>
  <si>
    <t xml:space="preserve">365 by Whole Foods Market brand profile, UK</t>
  </si>
  <si>
    <t xml:space="preserve">2022</t>
  </si>
  <si>
    <t xml:space="preserve">https://www.statista.com/forecasts/1335340/365-by-whole-foods-market-organic-food-brand-profile-in-the-uk</t>
  </si>
  <si>
    <t xml:space="preserve">Whole Foods Market UK reviews</t>
  </si>
  <si>
    <t xml:space="preserve">Trustpilot</t>
  </si>
  <si>
    <t xml:space="preserve">https://uk.trustpilot.com/review/wholefoodsmarket.com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</si>
</sst>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\(#,##0.0\);\-"/>
    <numFmt numFmtId="166" formatCode="0.0%;\(0.0%\);\-"/>
    <numFmt numFmtId="167" formatCode="#,##0;\(#,##0\);\-"/>
    <numFmt numFmtId="168" formatCode="#,##0.00"/>
    <numFmt numFmtId="169" formatCode="d\ mmm\ yyyy"/>
    <numFmt numFmtId="170" formatCode="\£#,##0.00;&quot;(£&quot;#,##0.00\);\-"/>
    <numFmt numFmtId="171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74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674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674B"/>
        <bgColor rgb="FF008080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67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74B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563C1"/>
      <rgbColor rgb="FFC9D6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thegrocer.co.uk/news/whole-foods-market-losses-in-the-uk-total-more-than-200m-as-sales-decline/709247.article" TargetMode="External"/><Relationship Id="rId2" Type="http://schemas.openxmlformats.org/officeDocument/2006/relationships/hyperlink" Target="https://www.thegrocer.co.uk/news/whole-foods-market-losses-narrow-after-new-store-openings/719907.article" TargetMode="External"/><Relationship Id="rId3" Type="http://schemas.openxmlformats.org/officeDocument/2006/relationships/hyperlink" Target="https://www.thegrocer.co.uk/news/whole-foods-market-uk-losses-narrow-after-value-push/696486.article" TargetMode="External"/><Relationship Id="rId4" Type="http://schemas.openxmlformats.org/officeDocument/2006/relationships/hyperlink" Target="https://www.thegrocer.co.uk/news/whole-foods-market-sees-uk-losses-rise-to-26m/680536.article" TargetMode="External"/><Relationship Id="rId5" Type="http://schemas.openxmlformats.org/officeDocument/2006/relationships/hyperlink" Target="https://www.retailgazette.co.uk/blog/2025/09/whole-foods-uk-losses/" TargetMode="External"/><Relationship Id="rId6" Type="http://schemas.openxmlformats.org/officeDocument/2006/relationships/hyperlink" Target="https://www.wholefoodsmarket.com/company-info/newsroom/news-releases/whole-foods-market-to-open-six-new-u-k-stores" TargetMode="External"/><Relationship Id="rId7" Type="http://schemas.openxmlformats.org/officeDocument/2006/relationships/hyperlink" Target="https://www.grocerydive.com/news/whole-foods-market-daily-shop-london-uk-store-openings-small-format/814557/" TargetMode="External"/><Relationship Id="rId8" Type="http://schemas.openxmlformats.org/officeDocument/2006/relationships/hyperlink" Target="https://chainstoreage.com/amazon-closing-all-uk-amazon-fresh-stores-converting-five-whole-foods" TargetMode="External"/><Relationship Id="rId9" Type="http://schemas.openxmlformats.org/officeDocument/2006/relationships/hyperlink" Target="https://www.aboutamazon.co.uk/news/retail/amazon-uk-online-grocery-delivery-amazon-fresh" TargetMode="External"/><Relationship Id="rId10" Type="http://schemas.openxmlformats.org/officeDocument/2006/relationships/hyperlink" Target="https://www.grocerygazette.co.uk/2024/03/01/whole-foods-roll-out-uk-brands/" TargetMode="External"/><Relationship Id="rId11" Type="http://schemas.openxmlformats.org/officeDocument/2006/relationships/hyperlink" Target="https://www.thegrocer.co.uk/news/whole-foods-market-to-shutter-two-stores-and-dartford-dc/689300.article" TargetMode="External"/><Relationship Id="rId12" Type="http://schemas.openxmlformats.org/officeDocument/2006/relationships/hyperlink" Target="https://www.businesswire.com/news/home/20250227667597/en/Whole-Foods-Market-Expands-International-Footprint-with-New-U.K.-Location" TargetMode="External"/><Relationship Id="rId13" Type="http://schemas.openxmlformats.org/officeDocument/2006/relationships/hyperlink" Target="https://www.soilassociation.org/certification/organic-market-report-2025/" TargetMode="External"/><Relationship Id="rId14" Type="http://schemas.openxmlformats.org/officeDocument/2006/relationships/hyperlink" Target="https://www.agriland.co.uk/farming-news/report-uk-organic-market-expanded-by-7-3-in-2024/" TargetMode="External"/><Relationship Id="rId15" Type="http://schemas.openxmlformats.org/officeDocument/2006/relationships/hyperlink" Target="https://www.kantar.com/uki/campaigns/grocery-market-share" TargetMode="External"/><Relationship Id="rId16" Type="http://schemas.openxmlformats.org/officeDocument/2006/relationships/hyperlink" Target="https://www.jlpinsightsandmedia.co.uk/media/waitrose/" TargetMode="External"/><Relationship Id="rId17" Type="http://schemas.openxmlformats.org/officeDocument/2006/relationships/hyperlink" Target="https://business.yougov.com/content/45119-which-supermarkets-provide-best-value-britain" TargetMode="External"/><Relationship Id="rId18" Type="http://schemas.openxmlformats.org/officeDocument/2006/relationships/hyperlink" Target="https://www.questionpro.com/blog/whole-foods-market-nps/" TargetMode="External"/><Relationship Id="rId19" Type="http://schemas.openxmlformats.org/officeDocument/2006/relationships/hyperlink" Target="https://progressivegrocer.com/whole-foods-market-releases-more-rigorous-animal-welfare-standards" TargetMode="External"/><Relationship Id="rId20" Type="http://schemas.openxmlformats.org/officeDocument/2006/relationships/hyperlink" Target="https://www.businesswire.com/news/home/20240923383099/en/Gen-Z-Is-Hungry-for-Transparency-in-Food-Sustainability-and-Quality-Amid-Climate-Concerns-According-to-New-Whole-Foods-Market-Survey" TargetMode="External"/><Relationship Id="rId21" Type="http://schemas.openxmlformats.org/officeDocument/2006/relationships/hyperlink" Target="https://www.supermarketnews.com/grocery-marketing/what-do-lohas-shoppers-want-" TargetMode="External"/><Relationship Id="rId22" Type="http://schemas.openxmlformats.org/officeDocument/2006/relationships/hyperlink" Target="https://www.aol.com/news/meet-typical-whole-foods-shopper-142830882.html" TargetMode="External"/><Relationship Id="rId23" Type="http://schemas.openxmlformats.org/officeDocument/2006/relationships/hyperlink" Target="https://www.statista.com/forecasts/1335340/365-by-whole-foods-market-organic-food-brand-profile-in-the-uk" TargetMode="External"/><Relationship Id="rId24" Type="http://schemas.openxmlformats.org/officeDocument/2006/relationships/hyperlink" Target="https://uk.trustpilot.com/review/wholefoodsmarke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Financials!F5</f>
        <v>88.3</v>
      </c>
      <c r="C5" s="4" t="s">
        <v>6</v>
      </c>
    </row>
    <row r="6" customFormat="false" ht="15" hidden="false" customHeight="false" outlineLevel="0" collapsed="false">
      <c r="A6" s="4" t="s">
        <v>7</v>
      </c>
      <c r="B6" s="6" t="n">
        <f aca="false">Financials!F6</f>
        <v>0.0219907407407407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Financials!F8</f>
        <v>19.4</v>
      </c>
      <c r="C7" s="4" t="s">
        <v>10</v>
      </c>
    </row>
    <row r="8" customFormat="false" ht="15" hidden="false" customHeight="false" outlineLevel="0" collapsed="false">
      <c r="A8" s="4" t="s">
        <v>11</v>
      </c>
      <c r="B8" s="6" t="n">
        <f aca="false">Financials!F10</f>
        <v>0.219705549263873</v>
      </c>
      <c r="C8" s="4" t="s">
        <v>10</v>
      </c>
    </row>
    <row r="9" customFormat="false" ht="15" hidden="false" customHeight="false" outlineLevel="0" collapsed="false">
      <c r="A9" s="4" t="s">
        <v>12</v>
      </c>
      <c r="B9" s="6" t="n">
        <f aca="false">Financials!F11</f>
        <v>0.31</v>
      </c>
      <c r="C9" s="4" t="s">
        <v>13</v>
      </c>
    </row>
    <row r="10" customFormat="false" ht="15" hidden="false" customHeight="false" outlineLevel="0" collapsed="false">
      <c r="A10" s="4" t="s">
        <v>14</v>
      </c>
      <c r="B10" s="7" t="n">
        <f aca="false">Financials!B23</f>
        <v>219.4</v>
      </c>
      <c r="C10" s="4" t="s">
        <v>15</v>
      </c>
    </row>
    <row r="11" customFormat="false" ht="15" hidden="false" customHeight="false" outlineLevel="0" collapsed="false">
      <c r="A11" s="4" t="s">
        <v>16</v>
      </c>
      <c r="B11" s="5" t="n">
        <f aca="false">Financials!B25</f>
        <v>6.9</v>
      </c>
      <c r="C11" s="4" t="s">
        <v>10</v>
      </c>
    </row>
    <row r="12" customFormat="false" ht="15" hidden="false" customHeight="false" outlineLevel="0" collapsed="false">
      <c r="A12" s="4" t="s">
        <v>17</v>
      </c>
      <c r="B12" s="5" t="n">
        <f aca="false">Financials!B27</f>
        <v>8.43478260869565</v>
      </c>
      <c r="C12" s="4" t="s">
        <v>18</v>
      </c>
    </row>
    <row r="13" customFormat="false" ht="15" hidden="false" customHeight="false" outlineLevel="0" collapsed="false">
      <c r="A13" s="4" t="s">
        <v>19</v>
      </c>
      <c r="B13" s="7" t="n">
        <f aca="false">Stores!L4</f>
        <v>12</v>
      </c>
      <c r="C13" s="4" t="s">
        <v>20</v>
      </c>
    </row>
    <row r="14" customFormat="false" ht="15" hidden="false" customHeight="false" outlineLevel="0" collapsed="false">
      <c r="A14" s="4" t="s">
        <v>21</v>
      </c>
      <c r="B14" s="7" t="n">
        <f aca="false">Stores!L5</f>
        <v>6</v>
      </c>
      <c r="C14" s="4" t="s">
        <v>22</v>
      </c>
    </row>
    <row r="15" customFormat="false" ht="15" hidden="false" customHeight="false" outlineLevel="0" collapsed="false">
      <c r="A15" s="4" t="s">
        <v>23</v>
      </c>
      <c r="B15" s="7" t="n">
        <f aca="false">Stores!L6</f>
        <v>5</v>
      </c>
      <c r="C15" s="4" t="s">
        <v>22</v>
      </c>
    </row>
    <row r="16" customFormat="false" ht="15" hidden="false" customHeight="false" outlineLevel="0" collapsed="false">
      <c r="A16" s="4" t="s">
        <v>24</v>
      </c>
      <c r="B16" s="6" t="n">
        <f aca="false">Stores!L9</f>
        <v>1</v>
      </c>
      <c r="C16" s="4" t="s">
        <v>22</v>
      </c>
    </row>
    <row r="17" customFormat="false" ht="15" hidden="false" customHeight="false" outlineLevel="0" collapsed="false">
      <c r="A17" s="4" t="s">
        <v>25</v>
      </c>
      <c r="B17" s="6" t="n">
        <f aca="false">Competitors!B15</f>
        <v>0.178</v>
      </c>
      <c r="C17" s="4" t="s">
        <v>26</v>
      </c>
    </row>
    <row r="18" customFormat="false" ht="15" hidden="false" customHeight="false" outlineLevel="0" collapsed="false">
      <c r="A18" s="4" t="s">
        <v>27</v>
      </c>
      <c r="B18" s="6" t="n">
        <f aca="false">Competitors!B21</f>
        <v>0.294545817130322</v>
      </c>
      <c r="C18" s="4" t="s">
        <v>28</v>
      </c>
    </row>
    <row r="19" customFormat="false" ht="15" hidden="false" customHeight="false" outlineLevel="0" collapsed="false">
      <c r="A19" s="4" t="s">
        <v>29</v>
      </c>
      <c r="B19" s="8" t="n">
        <f aca="false">Market!B6</f>
        <v>3.7</v>
      </c>
      <c r="C19" s="4" t="s">
        <v>30</v>
      </c>
    </row>
    <row r="21" customFormat="false" ht="15" hidden="false" customHeight="false" outlineLevel="0" collapsed="false">
      <c r="A21" s="9" t="s">
        <v>31</v>
      </c>
    </row>
    <row r="22" customFormat="false" ht="25.5" hidden="false" customHeight="true" outlineLevel="0" collapsed="false">
      <c r="A22" s="10" t="s">
        <v>32</v>
      </c>
      <c r="B22" s="10"/>
      <c r="C22" s="10"/>
    </row>
    <row r="23" customFormat="false" ht="25.5" hidden="false" customHeight="true" outlineLevel="0" collapsed="false">
      <c r="A23" s="10" t="s">
        <v>33</v>
      </c>
      <c r="B23" s="10"/>
      <c r="C23" s="10"/>
    </row>
    <row r="24" customFormat="false" ht="25.5" hidden="false" customHeight="true" outlineLevel="0" collapsed="false">
      <c r="A24" s="10" t="s">
        <v>34</v>
      </c>
      <c r="B24" s="10"/>
      <c r="C24" s="10"/>
    </row>
    <row r="25" customFormat="false" ht="25.5" hidden="false" customHeight="true" outlineLevel="0" collapsed="false">
      <c r="A25" s="10" t="s">
        <v>35</v>
      </c>
      <c r="B25" s="10"/>
      <c r="C25" s="10"/>
    </row>
    <row r="26" customFormat="false" ht="25.5" hidden="false" customHeight="true" outlineLevel="0" collapsed="false">
      <c r="A26" s="10" t="s">
        <v>36</v>
      </c>
      <c r="B26" s="10"/>
      <c r="C26" s="10"/>
    </row>
    <row r="27" customFormat="false" ht="25.5" hidden="false" customHeight="true" outlineLevel="0" collapsed="false">
      <c r="A27" s="10" t="s">
        <v>37</v>
      </c>
      <c r="B27" s="10"/>
      <c r="C27" s="10"/>
    </row>
    <row r="29" customFormat="false" ht="15" hidden="false" customHeight="false" outlineLevel="0" collapsed="false">
      <c r="A29" s="9" t="s">
        <v>38</v>
      </c>
    </row>
    <row r="30" customFormat="false" ht="27.75" hidden="false" customHeight="true" outlineLevel="0" collapsed="false">
      <c r="A30" s="3" t="s">
        <v>39</v>
      </c>
      <c r="B30" s="3"/>
      <c r="C30" s="3" t="s">
        <v>40</v>
      </c>
    </row>
    <row r="31" customFormat="false" ht="15" hidden="false" customHeight="false" outlineLevel="0" collapsed="false">
      <c r="A31" s="4" t="s">
        <v>41</v>
      </c>
      <c r="C31" s="4" t="s">
        <v>42</v>
      </c>
    </row>
    <row r="32" customFormat="false" ht="15" hidden="false" customHeight="false" outlineLevel="0" collapsed="false">
      <c r="A32" s="4" t="s">
        <v>10</v>
      </c>
      <c r="C32" s="4" t="s">
        <v>43</v>
      </c>
    </row>
    <row r="33" customFormat="false" ht="15" hidden="false" customHeight="false" outlineLevel="0" collapsed="false">
      <c r="A33" s="4" t="s">
        <v>22</v>
      </c>
      <c r="C33" s="4" t="s">
        <v>44</v>
      </c>
    </row>
    <row r="34" customFormat="false" ht="15" hidden="false" customHeight="false" outlineLevel="0" collapsed="false">
      <c r="A34" s="4" t="s">
        <v>28</v>
      </c>
      <c r="C34" s="4" t="s">
        <v>45</v>
      </c>
    </row>
    <row r="35" customFormat="false" ht="15" hidden="false" customHeight="false" outlineLevel="0" collapsed="false">
      <c r="A35" s="4" t="s">
        <v>46</v>
      </c>
      <c r="C35" s="4" t="s">
        <v>47</v>
      </c>
    </row>
    <row r="36" customFormat="false" ht="15" hidden="false" customHeight="false" outlineLevel="0" collapsed="false">
      <c r="A36" s="4" t="s">
        <v>48</v>
      </c>
      <c r="C36" s="4" t="s">
        <v>49</v>
      </c>
    </row>
    <row r="37" customFormat="false" ht="15" hidden="false" customHeight="false" outlineLevel="0" collapsed="false">
      <c r="A37" s="4" t="s">
        <v>50</v>
      </c>
      <c r="C37" s="4" t="s">
        <v>51</v>
      </c>
    </row>
    <row r="38" customFormat="false" ht="15" hidden="false" customHeight="false" outlineLevel="0" collapsed="false">
      <c r="A38" s="4" t="s">
        <v>52</v>
      </c>
      <c r="C38" s="4" t="s">
        <v>53</v>
      </c>
    </row>
    <row r="39" customFormat="false" ht="15" hidden="false" customHeight="false" outlineLevel="0" collapsed="false">
      <c r="A39" s="4" t="s">
        <v>54</v>
      </c>
      <c r="C39" s="4" t="s">
        <v>55</v>
      </c>
    </row>
    <row r="40" customFormat="false" ht="15" hidden="false" customHeight="false" outlineLevel="0" collapsed="false">
      <c r="A40" s="4" t="s">
        <v>56</v>
      </c>
      <c r="C40" s="4" t="s">
        <v>57</v>
      </c>
    </row>
    <row r="41" customFormat="false" ht="15" hidden="false" customHeight="false" outlineLevel="0" collapsed="false">
      <c r="A41" s="4" t="s">
        <v>58</v>
      </c>
      <c r="C41" s="4" t="s">
        <v>59</v>
      </c>
    </row>
  </sheetData>
  <mergeCells count="6">
    <mergeCell ref="A22:C22"/>
    <mergeCell ref="A23:C23"/>
    <mergeCell ref="A24:C24"/>
    <mergeCell ref="A25:C25"/>
    <mergeCell ref="A26:C26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9" t="s">
        <v>61</v>
      </c>
    </row>
    <row r="5" customFormat="false" ht="23.85" hidden="false" customHeight="false" outlineLevel="0" collapsed="false">
      <c r="A5" s="4" t="s">
        <v>62</v>
      </c>
      <c r="B5" s="11" t="s">
        <v>63</v>
      </c>
    </row>
    <row r="6" customFormat="false" ht="15" hidden="false" customHeight="false" outlineLevel="0" collapsed="false">
      <c r="A6" s="4" t="s">
        <v>64</v>
      </c>
      <c r="B6" s="11" t="s">
        <v>65</v>
      </c>
    </row>
    <row r="8" customFormat="false" ht="15" hidden="false" customHeight="false" outlineLevel="0" collapsed="false">
      <c r="A8" s="9" t="s">
        <v>66</v>
      </c>
    </row>
    <row r="9" customFormat="false" ht="15" hidden="false" customHeight="false" outlineLevel="0" collapsed="false">
      <c r="A9" s="12" t="s">
        <v>67</v>
      </c>
      <c r="B9" s="4" t="s">
        <v>68</v>
      </c>
    </row>
    <row r="10" customFormat="false" ht="15" hidden="false" customHeight="false" outlineLevel="0" collapsed="false">
      <c r="A10" s="4" t="s">
        <v>69</v>
      </c>
      <c r="B10" s="4" t="s">
        <v>70</v>
      </c>
    </row>
    <row r="11" customFormat="false" ht="15" hidden="false" customHeight="false" outlineLevel="0" collapsed="false">
      <c r="A11" s="13" t="s">
        <v>71</v>
      </c>
      <c r="B11" s="4" t="s">
        <v>72</v>
      </c>
    </row>
    <row r="12" customFormat="false" ht="15" hidden="false" customHeight="false" outlineLevel="0" collapsed="false">
      <c r="A12" s="14" t="s">
        <v>73</v>
      </c>
      <c r="B12" s="4" t="s">
        <v>74</v>
      </c>
    </row>
    <row r="14" customFormat="false" ht="15" hidden="false" customHeight="false" outlineLevel="0" collapsed="false">
      <c r="A14" s="9" t="s">
        <v>75</v>
      </c>
    </row>
    <row r="15" customFormat="false" ht="42" hidden="false" customHeight="true" outlineLevel="0" collapsed="false">
      <c r="A15" s="15" t="s">
        <v>76</v>
      </c>
      <c r="B15" s="16" t="s">
        <v>77</v>
      </c>
    </row>
    <row r="16" customFormat="false" ht="42" hidden="false" customHeight="true" outlineLevel="0" collapsed="false">
      <c r="A16" s="15" t="s">
        <v>78</v>
      </c>
      <c r="B16" s="16" t="s">
        <v>79</v>
      </c>
    </row>
    <row r="17" customFormat="false" ht="42" hidden="false" customHeight="true" outlineLevel="0" collapsed="false">
      <c r="A17" s="15" t="s">
        <v>80</v>
      </c>
      <c r="B17" s="16" t="s">
        <v>81</v>
      </c>
    </row>
    <row r="18" customFormat="false" ht="42" hidden="false" customHeight="true" outlineLevel="0" collapsed="false">
      <c r="A18" s="15" t="s">
        <v>82</v>
      </c>
      <c r="B18" s="16" t="s">
        <v>83</v>
      </c>
    </row>
    <row r="19" customFormat="false" ht="42" hidden="false" customHeight="true" outlineLevel="0" collapsed="false">
      <c r="A19" s="15" t="s">
        <v>84</v>
      </c>
      <c r="B19" s="16" t="s">
        <v>85</v>
      </c>
    </row>
    <row r="20" customFormat="false" ht="42" hidden="false" customHeight="true" outlineLevel="0" collapsed="false">
      <c r="A20" s="15" t="s">
        <v>86</v>
      </c>
      <c r="B20" s="16" t="s">
        <v>87</v>
      </c>
    </row>
    <row r="21" customFormat="false" ht="42" hidden="false" customHeight="true" outlineLevel="0" collapsed="false">
      <c r="A21" s="15" t="s">
        <v>88</v>
      </c>
      <c r="B21" s="16" t="s">
        <v>89</v>
      </c>
    </row>
    <row r="22" customFormat="false" ht="42" hidden="false" customHeight="true" outlineLevel="0" collapsed="false">
      <c r="A22" s="15" t="s">
        <v>90</v>
      </c>
      <c r="B22" s="16" t="s">
        <v>91</v>
      </c>
    </row>
    <row r="23" customFormat="false" ht="42" hidden="false" customHeight="true" outlineLevel="0" collapsed="false">
      <c r="A23" s="15" t="s">
        <v>92</v>
      </c>
      <c r="B23" s="16" t="s">
        <v>93</v>
      </c>
    </row>
    <row r="25" customFormat="false" ht="15" hidden="false" customHeight="false" outlineLevel="0" collapsed="false">
      <c r="A25" s="9" t="s">
        <v>94</v>
      </c>
    </row>
    <row r="26" customFormat="false" ht="23.85" hidden="false" customHeight="false" outlineLevel="0" collapsed="false">
      <c r="A26" s="4" t="s">
        <v>95</v>
      </c>
      <c r="B26" s="11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1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27.75" hidden="false" customHeight="true" outlineLevel="0" collapsed="false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</row>
    <row r="5" customFormat="false" ht="23.85" hidden="false" customHeight="false" outlineLevel="0" collapsed="false">
      <c r="A5" s="4" t="s">
        <v>106</v>
      </c>
      <c r="C5" s="17" t="n">
        <v>91.6</v>
      </c>
      <c r="D5" s="17" t="n">
        <v>93.1</v>
      </c>
      <c r="E5" s="17" t="n">
        <v>86.4</v>
      </c>
      <c r="F5" s="17" t="n">
        <v>88.3</v>
      </c>
      <c r="G5" s="11" t="s">
        <v>107</v>
      </c>
    </row>
    <row r="6" customFormat="false" ht="15" hidden="false" customHeight="false" outlineLevel="0" collapsed="false">
      <c r="A6" s="4" t="s">
        <v>108</v>
      </c>
      <c r="C6" s="18" t="n">
        <v>-0.03</v>
      </c>
      <c r="D6" s="19" t="n">
        <f aca="false">IFERROR(D5/C5-1,"")</f>
        <v>0.0163755458515285</v>
      </c>
      <c r="E6" s="19" t="n">
        <f aca="false">IFERROR(E5/D5-1,"")</f>
        <v>-0.0719656283566057</v>
      </c>
      <c r="F6" s="19" t="n">
        <f aca="false">IFERROR(F5/E5-1,"")</f>
        <v>0.0219907407407407</v>
      </c>
      <c r="G6" s="11" t="s">
        <v>109</v>
      </c>
    </row>
    <row r="7" customFormat="false" ht="15" hidden="false" customHeight="false" outlineLevel="0" collapsed="false">
      <c r="A7" s="4" t="s">
        <v>110</v>
      </c>
      <c r="D7" s="20" t="n">
        <f aca="false">D5-C5</f>
        <v>1.5</v>
      </c>
      <c r="E7" s="20" t="n">
        <f aca="false">E5-D5</f>
        <v>-6.69999999999999</v>
      </c>
      <c r="F7" s="20" t="n">
        <f aca="false">F5-E5</f>
        <v>1.89999999999999</v>
      </c>
      <c r="G7" s="11" t="s">
        <v>111</v>
      </c>
    </row>
    <row r="8" customFormat="false" ht="23.85" hidden="false" customHeight="false" outlineLevel="0" collapsed="false">
      <c r="A8" s="4" t="s">
        <v>112</v>
      </c>
      <c r="B8" s="17" t="n">
        <v>17.2</v>
      </c>
      <c r="C8" s="17" t="n">
        <v>26.3</v>
      </c>
      <c r="D8" s="17" t="n">
        <v>23.1</v>
      </c>
      <c r="E8" s="17" t="n">
        <v>20</v>
      </c>
      <c r="F8" s="17" t="n">
        <v>19.4</v>
      </c>
      <c r="G8" s="11" t="s">
        <v>113</v>
      </c>
    </row>
    <row r="9" customFormat="false" ht="15" hidden="false" customHeight="false" outlineLevel="0" collapsed="false">
      <c r="A9" s="4" t="s">
        <v>114</v>
      </c>
      <c r="C9" s="19" t="n">
        <f aca="false">IFERROR(C8/B8-1,"")</f>
        <v>0.529069767441861</v>
      </c>
      <c r="D9" s="19" t="n">
        <f aca="false">IFERROR(D8/C8-1,"")</f>
        <v>-0.121673003802281</v>
      </c>
      <c r="E9" s="19" t="n">
        <f aca="false">IFERROR(E8/D8-1,"")</f>
        <v>-0.134199134199134</v>
      </c>
      <c r="F9" s="19" t="n">
        <f aca="false">IFERROR(F8/E8-1,"")</f>
        <v>-0.03</v>
      </c>
      <c r="G9" s="11" t="s">
        <v>115</v>
      </c>
    </row>
    <row r="10" customFormat="false" ht="15" hidden="false" customHeight="false" outlineLevel="0" collapsed="false">
      <c r="A10" s="4" t="s">
        <v>116</v>
      </c>
      <c r="C10" s="19" t="n">
        <f aca="false">IFERROR(C8/C5,"")</f>
        <v>0.287117903930131</v>
      </c>
      <c r="D10" s="19" t="n">
        <f aca="false">IFERROR(D8/D5,"")</f>
        <v>0.24812030075188</v>
      </c>
      <c r="E10" s="19" t="n">
        <f aca="false">IFERROR(E8/E5,"")</f>
        <v>0.231481481481481</v>
      </c>
      <c r="F10" s="19" t="n">
        <f aca="false">IFERROR(F8/F5,"")</f>
        <v>0.219705549263873</v>
      </c>
      <c r="G10" s="11" t="s">
        <v>111</v>
      </c>
    </row>
    <row r="11" customFormat="false" ht="23.85" hidden="false" customHeight="false" outlineLevel="0" collapsed="false">
      <c r="A11" s="4" t="s">
        <v>82</v>
      </c>
      <c r="D11" s="18" t="n">
        <v>0.35</v>
      </c>
      <c r="E11" s="18" t="n">
        <v>0.32</v>
      </c>
      <c r="F11" s="18" t="n">
        <v>0.31</v>
      </c>
      <c r="G11" s="11" t="s">
        <v>117</v>
      </c>
    </row>
    <row r="12" customFormat="false" ht="15" hidden="false" customHeight="false" outlineLevel="0" collapsed="false">
      <c r="A12" s="4" t="s">
        <v>118</v>
      </c>
      <c r="E12" s="19" t="n">
        <f aca="false">E11-D11</f>
        <v>-0.03</v>
      </c>
      <c r="F12" s="19" t="n">
        <f aca="false">F11-E11</f>
        <v>-0.01</v>
      </c>
      <c r="G12" s="11" t="s">
        <v>111</v>
      </c>
    </row>
    <row r="13" customFormat="false" ht="15" hidden="false" customHeight="false" outlineLevel="0" collapsed="false">
      <c r="A13" s="4" t="s">
        <v>119</v>
      </c>
      <c r="D13" s="21" t="n">
        <v>798</v>
      </c>
      <c r="E13" s="21" t="n">
        <v>608</v>
      </c>
      <c r="G13" s="11" t="s">
        <v>120</v>
      </c>
    </row>
    <row r="14" customFormat="false" ht="15" hidden="false" customHeight="false" outlineLevel="0" collapsed="false">
      <c r="A14" s="4" t="s">
        <v>121</v>
      </c>
      <c r="D14" s="20" t="n">
        <f aca="false">IFERROR(D5*1000/D13,"")</f>
        <v>116.666666666667</v>
      </c>
      <c r="E14" s="20" t="n">
        <f aca="false">IFERROR(E5*1000/E13,"")</f>
        <v>142.105263157895</v>
      </c>
      <c r="G14" s="11" t="s">
        <v>111</v>
      </c>
    </row>
    <row r="15" customFormat="false" ht="15" hidden="false" customHeight="false" outlineLevel="0" collapsed="false">
      <c r="A15" s="4" t="s">
        <v>122</v>
      </c>
      <c r="E15" s="17" t="n">
        <v>47.7</v>
      </c>
      <c r="G15" s="11" t="s">
        <v>123</v>
      </c>
    </row>
    <row r="16" customFormat="false" ht="15" hidden="false" customHeight="false" outlineLevel="0" collapsed="false">
      <c r="A16" s="4" t="s">
        <v>124</v>
      </c>
      <c r="E16" s="22" t="n">
        <v>0.35</v>
      </c>
      <c r="F16" s="22" t="n">
        <v>1.5</v>
      </c>
      <c r="G16" s="11" t="s">
        <v>125</v>
      </c>
    </row>
    <row r="17" customFormat="false" ht="23.85" hidden="false" customHeight="false" outlineLevel="0" collapsed="false">
      <c r="A17" s="4" t="s">
        <v>126</v>
      </c>
      <c r="C17" s="21" t="n">
        <v>7</v>
      </c>
      <c r="D17" s="21" t="n">
        <v>7</v>
      </c>
      <c r="E17" s="21" t="n">
        <v>5</v>
      </c>
      <c r="F17" s="21" t="n">
        <v>6</v>
      </c>
      <c r="G17" s="11" t="s">
        <v>127</v>
      </c>
    </row>
    <row r="18" customFormat="false" ht="23.85" hidden="false" customHeight="false" outlineLevel="0" collapsed="false">
      <c r="A18" s="4" t="s">
        <v>128</v>
      </c>
      <c r="C18" s="20" t="n">
        <f aca="false">IFERROR(C5/C17,"")</f>
        <v>13.0857142857143</v>
      </c>
      <c r="D18" s="20" t="n">
        <f aca="false">IFERROR(D5/D17,"")</f>
        <v>13.3</v>
      </c>
      <c r="E18" s="20" t="n">
        <f aca="false">IFERROR(E5/E17,"")</f>
        <v>17.28</v>
      </c>
      <c r="F18" s="20" t="n">
        <f aca="false">IFERROR(F5/F17,"")</f>
        <v>14.7166666666667</v>
      </c>
      <c r="G18" s="11" t="s">
        <v>129</v>
      </c>
    </row>
    <row r="20" customFormat="false" ht="15" hidden="false" customHeight="false" outlineLevel="0" collapsed="false">
      <c r="A20" s="9" t="s">
        <v>130</v>
      </c>
    </row>
    <row r="21" customFormat="false" ht="23.85" hidden="false" customHeight="false" outlineLevel="0" collapsed="false">
      <c r="A21" s="11" t="s">
        <v>131</v>
      </c>
      <c r="B21" s="21" t="n">
        <v>200</v>
      </c>
      <c r="G21" s="11" t="s">
        <v>132</v>
      </c>
    </row>
    <row r="22" customFormat="false" ht="15" hidden="false" customHeight="false" outlineLevel="0" collapsed="false">
      <c r="A22" s="11" t="s">
        <v>133</v>
      </c>
      <c r="B22" s="20" t="n">
        <f aca="false">F8</f>
        <v>19.4</v>
      </c>
      <c r="G22" s="11" t="s">
        <v>134</v>
      </c>
    </row>
    <row r="23" customFormat="false" ht="23.85" hidden="false" customHeight="false" outlineLevel="0" collapsed="false">
      <c r="A23" s="11" t="s">
        <v>135</v>
      </c>
      <c r="B23" s="23" t="n">
        <f aca="false">B21+B22</f>
        <v>219.4</v>
      </c>
      <c r="G23" s="16" t="s">
        <v>136</v>
      </c>
    </row>
    <row r="24" customFormat="false" ht="15" hidden="false" customHeight="false" outlineLevel="0" collapsed="false">
      <c r="A24" s="11" t="s">
        <v>137</v>
      </c>
      <c r="B24" s="20" t="n">
        <f aca="false">SUM(C8:F8)</f>
        <v>88.8</v>
      </c>
      <c r="G24" s="11" t="s">
        <v>111</v>
      </c>
    </row>
    <row r="25" customFormat="false" ht="15" hidden="false" customHeight="false" outlineLevel="0" collapsed="false">
      <c r="A25" s="11" t="s">
        <v>16</v>
      </c>
      <c r="B25" s="20" t="n">
        <f aca="false">C8-F8</f>
        <v>6.9</v>
      </c>
      <c r="G25" s="11" t="s">
        <v>111</v>
      </c>
    </row>
    <row r="26" customFormat="false" ht="15" hidden="false" customHeight="false" outlineLevel="0" collapsed="false">
      <c r="A26" s="11" t="s">
        <v>138</v>
      </c>
      <c r="B26" s="20" t="n">
        <f aca="false">B25/3</f>
        <v>2.3</v>
      </c>
      <c r="G26" s="11" t="s">
        <v>139</v>
      </c>
    </row>
    <row r="27" customFormat="false" ht="23.85" hidden="false" customHeight="false" outlineLevel="0" collapsed="false">
      <c r="A27" s="11" t="s">
        <v>17</v>
      </c>
      <c r="B27" s="20" t="n">
        <f aca="false">IFERROR(F8/B26,"")</f>
        <v>8.43478260869565</v>
      </c>
      <c r="G27" s="11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46"/>
    <col collapsed="false" customWidth="true" hidden="false" outlineLevel="0" max="10" min="10" style="0" width="2"/>
    <col collapsed="false" customWidth="true" hidden="false" outlineLevel="0" max="11" min="11" style="0" width="30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3" customFormat="false" ht="27.75" hidden="false" customHeight="true" outlineLevel="0" collapsed="false">
      <c r="A3" s="3" t="s">
        <v>143</v>
      </c>
      <c r="B3" s="3" t="s">
        <v>144</v>
      </c>
      <c r="C3" s="3" t="s">
        <v>145</v>
      </c>
      <c r="D3" s="3" t="s">
        <v>146</v>
      </c>
      <c r="E3" s="3" t="s">
        <v>147</v>
      </c>
      <c r="F3" s="3" t="s">
        <v>148</v>
      </c>
      <c r="G3" s="3" t="s">
        <v>149</v>
      </c>
      <c r="H3" s="3" t="s">
        <v>150</v>
      </c>
      <c r="I3" s="3" t="s">
        <v>151</v>
      </c>
      <c r="K3" s="3" t="s">
        <v>152</v>
      </c>
      <c r="L3" s="3" t="s">
        <v>153</v>
      </c>
    </row>
    <row r="4" customFormat="false" ht="23.85" hidden="false" customHeight="false" outlineLevel="0" collapsed="false">
      <c r="A4" s="4" t="s">
        <v>154</v>
      </c>
      <c r="B4" s="11" t="s">
        <v>155</v>
      </c>
      <c r="C4" s="4" t="s">
        <v>156</v>
      </c>
      <c r="D4" s="4" t="s">
        <v>157</v>
      </c>
      <c r="E4" s="21" t="n">
        <v>80000</v>
      </c>
      <c r="F4" s="12" t="s">
        <v>158</v>
      </c>
      <c r="G4" s="4" t="s">
        <v>159</v>
      </c>
      <c r="H4" s="4" t="s">
        <v>160</v>
      </c>
      <c r="I4" s="11" t="s">
        <v>161</v>
      </c>
      <c r="K4" s="4" t="s">
        <v>162</v>
      </c>
      <c r="L4" s="23" t="n">
        <f aca="false">COUNTIF(H4:H15,"Open")</f>
        <v>12</v>
      </c>
    </row>
    <row r="5" customFormat="false" ht="15" hidden="false" customHeight="false" outlineLevel="0" collapsed="false">
      <c r="A5" s="4" t="s">
        <v>163</v>
      </c>
      <c r="B5" s="11" t="s">
        <v>164</v>
      </c>
      <c r="C5" s="4" t="s">
        <v>165</v>
      </c>
      <c r="D5" s="4" t="s">
        <v>157</v>
      </c>
      <c r="F5" s="4" t="s">
        <v>166</v>
      </c>
      <c r="G5" s="4" t="s">
        <v>159</v>
      </c>
      <c r="H5" s="4" t="s">
        <v>160</v>
      </c>
      <c r="I5" s="11" t="s">
        <v>167</v>
      </c>
      <c r="K5" s="4" t="s">
        <v>168</v>
      </c>
      <c r="L5" s="23" t="n">
        <f aca="false">COUNTIF(D4:D15,"Daily Shop")</f>
        <v>6</v>
      </c>
    </row>
    <row r="6" customFormat="false" ht="15" hidden="false" customHeight="false" outlineLevel="0" collapsed="false">
      <c r="A6" s="4" t="s">
        <v>169</v>
      </c>
      <c r="B6" s="11" t="s">
        <v>170</v>
      </c>
      <c r="C6" s="4" t="s">
        <v>169</v>
      </c>
      <c r="D6" s="4" t="s">
        <v>157</v>
      </c>
      <c r="F6" s="4" t="s">
        <v>166</v>
      </c>
      <c r="G6" s="4" t="s">
        <v>159</v>
      </c>
      <c r="H6" s="4" t="s">
        <v>160</v>
      </c>
      <c r="K6" s="4" t="s">
        <v>171</v>
      </c>
      <c r="L6" s="23" t="n">
        <f aca="false">COUNTIF(G4:G15,"Yes")</f>
        <v>5</v>
      </c>
    </row>
    <row r="7" customFormat="false" ht="15" hidden="false" customHeight="false" outlineLevel="0" collapsed="false">
      <c r="A7" s="4" t="s">
        <v>172</v>
      </c>
      <c r="B7" s="11" t="s">
        <v>173</v>
      </c>
      <c r="C7" s="4" t="s">
        <v>174</v>
      </c>
      <c r="D7" s="4" t="s">
        <v>157</v>
      </c>
      <c r="F7" s="4" t="s">
        <v>166</v>
      </c>
      <c r="G7" s="4" t="s">
        <v>159</v>
      </c>
      <c r="H7" s="4" t="s">
        <v>160</v>
      </c>
      <c r="K7" s="4" t="s">
        <v>175</v>
      </c>
      <c r="L7" s="23" t="n">
        <f aca="false">COUNTIF(F4:F15,"&gt;="&amp;DATE(2026,1,1))</f>
        <v>6</v>
      </c>
    </row>
    <row r="8" customFormat="false" ht="15" hidden="false" customHeight="false" outlineLevel="0" collapsed="false">
      <c r="A8" s="4" t="s">
        <v>176</v>
      </c>
      <c r="B8" s="11" t="s">
        <v>177</v>
      </c>
      <c r="C8" s="4" t="s">
        <v>178</v>
      </c>
      <c r="D8" s="4" t="s">
        <v>157</v>
      </c>
      <c r="F8" s="4" t="s">
        <v>166</v>
      </c>
      <c r="G8" s="4" t="s">
        <v>159</v>
      </c>
      <c r="H8" s="4" t="s">
        <v>160</v>
      </c>
      <c r="K8" s="4" t="s">
        <v>179</v>
      </c>
      <c r="L8" s="23" t="n">
        <f aca="false">COUNTIF(C20:C22,"Store")</f>
        <v>2</v>
      </c>
    </row>
    <row r="9" customFormat="false" ht="15" hidden="false" customHeight="false" outlineLevel="0" collapsed="false">
      <c r="A9" s="4" t="s">
        <v>180</v>
      </c>
      <c r="B9" s="11" t="s">
        <v>181</v>
      </c>
      <c r="C9" s="4" t="s">
        <v>182</v>
      </c>
      <c r="D9" s="4" t="s">
        <v>183</v>
      </c>
      <c r="E9" s="21" t="n">
        <v>21800</v>
      </c>
      <c r="F9" s="24" t="n">
        <v>45741</v>
      </c>
      <c r="G9" s="4" t="s">
        <v>159</v>
      </c>
      <c r="H9" s="4" t="s">
        <v>160</v>
      </c>
      <c r="I9" s="11" t="s">
        <v>184</v>
      </c>
      <c r="K9" s="4" t="s">
        <v>185</v>
      </c>
      <c r="L9" s="6" t="n">
        <f aca="false">IFERROR(L4/Financials!F17-1,"")</f>
        <v>1</v>
      </c>
    </row>
    <row r="10" customFormat="false" ht="15" hidden="false" customHeight="false" outlineLevel="0" collapsed="false">
      <c r="A10" s="4" t="s">
        <v>186</v>
      </c>
      <c r="B10" s="11" t="s">
        <v>187</v>
      </c>
      <c r="C10" s="4" t="s">
        <v>188</v>
      </c>
      <c r="D10" s="4" t="s">
        <v>189</v>
      </c>
      <c r="F10" s="24" t="n">
        <v>46114</v>
      </c>
      <c r="G10" s="4" t="s">
        <v>190</v>
      </c>
      <c r="H10" s="4" t="s">
        <v>160</v>
      </c>
      <c r="I10" s="11" t="s">
        <v>191</v>
      </c>
    </row>
    <row r="11" customFormat="false" ht="15" hidden="false" customHeight="false" outlineLevel="0" collapsed="false">
      <c r="A11" s="4" t="s">
        <v>192</v>
      </c>
      <c r="B11" s="11" t="s">
        <v>193</v>
      </c>
      <c r="C11" s="4" t="s">
        <v>194</v>
      </c>
      <c r="D11" s="4" t="s">
        <v>189</v>
      </c>
      <c r="F11" s="24" t="n">
        <v>46135</v>
      </c>
      <c r="G11" s="4" t="s">
        <v>190</v>
      </c>
      <c r="H11" s="4" t="s">
        <v>160</v>
      </c>
      <c r="I11" s="11" t="s">
        <v>195</v>
      </c>
    </row>
    <row r="12" customFormat="false" ht="15" hidden="false" customHeight="false" outlineLevel="0" collapsed="false">
      <c r="A12" s="4" t="s">
        <v>196</v>
      </c>
      <c r="B12" s="11" t="s">
        <v>197</v>
      </c>
      <c r="C12" s="4" t="s">
        <v>198</v>
      </c>
      <c r="D12" s="4" t="s">
        <v>189</v>
      </c>
      <c r="F12" s="24" t="n">
        <v>46156</v>
      </c>
      <c r="G12" s="4" t="s">
        <v>190</v>
      </c>
      <c r="H12" s="4" t="s">
        <v>160</v>
      </c>
    </row>
    <row r="13" customFormat="false" ht="15" hidden="false" customHeight="false" outlineLevel="0" collapsed="false">
      <c r="A13" s="4" t="s">
        <v>199</v>
      </c>
      <c r="B13" s="11" t="s">
        <v>200</v>
      </c>
      <c r="C13" s="4" t="s">
        <v>201</v>
      </c>
      <c r="D13" s="4" t="s">
        <v>189</v>
      </c>
      <c r="F13" s="24" t="n">
        <v>46170</v>
      </c>
      <c r="G13" s="4" t="s">
        <v>190</v>
      </c>
      <c r="H13" s="4" t="s">
        <v>160</v>
      </c>
    </row>
    <row r="14" customFormat="false" ht="15" hidden="false" customHeight="false" outlineLevel="0" collapsed="false">
      <c r="A14" s="4" t="s">
        <v>202</v>
      </c>
      <c r="B14" s="11" t="s">
        <v>203</v>
      </c>
      <c r="C14" s="4" t="s">
        <v>194</v>
      </c>
      <c r="D14" s="4" t="s">
        <v>189</v>
      </c>
      <c r="F14" s="24" t="n">
        <v>46177</v>
      </c>
      <c r="G14" s="4" t="s">
        <v>190</v>
      </c>
      <c r="H14" s="4" t="s">
        <v>160</v>
      </c>
    </row>
    <row r="15" customFormat="false" ht="15" hidden="false" customHeight="false" outlineLevel="0" collapsed="false">
      <c r="A15" s="4" t="s">
        <v>204</v>
      </c>
      <c r="B15" s="11" t="s">
        <v>205</v>
      </c>
      <c r="C15" s="4" t="s">
        <v>206</v>
      </c>
      <c r="D15" s="4" t="s">
        <v>189</v>
      </c>
      <c r="F15" s="24" t="n">
        <v>46184</v>
      </c>
      <c r="G15" s="4" t="s">
        <v>159</v>
      </c>
      <c r="H15" s="4" t="s">
        <v>160</v>
      </c>
      <c r="I15" s="11" t="s">
        <v>207</v>
      </c>
    </row>
    <row r="16" customFormat="false" ht="15" hidden="false" customHeight="false" outlineLevel="0" collapsed="false">
      <c r="A16" s="25" t="s">
        <v>208</v>
      </c>
    </row>
    <row r="18" customFormat="false" ht="15" hidden="false" customHeight="false" outlineLevel="0" collapsed="false">
      <c r="A18" s="9" t="s">
        <v>209</v>
      </c>
    </row>
    <row r="19" customFormat="false" ht="27.75" hidden="false" customHeight="true" outlineLevel="0" collapsed="false">
      <c r="A19" s="3" t="s">
        <v>210</v>
      </c>
      <c r="B19" s="3" t="s">
        <v>211</v>
      </c>
      <c r="C19" s="3" t="s">
        <v>212</v>
      </c>
      <c r="D19" s="3" t="s">
        <v>213</v>
      </c>
      <c r="E19" s="3" t="s">
        <v>151</v>
      </c>
    </row>
    <row r="20" customFormat="false" ht="35.05" hidden="false" customHeight="false" outlineLevel="0" collapsed="false">
      <c r="A20" s="4" t="s">
        <v>214</v>
      </c>
      <c r="B20" s="4" t="s">
        <v>215</v>
      </c>
      <c r="C20" s="4" t="s">
        <v>143</v>
      </c>
      <c r="D20" s="24" t="n">
        <v>45453</v>
      </c>
      <c r="E20" s="11" t="s">
        <v>216</v>
      </c>
    </row>
    <row r="21" customFormat="false" ht="79.85" hidden="false" customHeight="false" outlineLevel="0" collapsed="false">
      <c r="A21" s="4" t="s">
        <v>217</v>
      </c>
      <c r="B21" s="4" t="s">
        <v>218</v>
      </c>
      <c r="C21" s="4" t="s">
        <v>143</v>
      </c>
      <c r="D21" s="24" t="n">
        <v>45453</v>
      </c>
      <c r="E21" s="11" t="s">
        <v>219</v>
      </c>
    </row>
    <row r="22" customFormat="false" ht="35.05" hidden="false" customHeight="false" outlineLevel="0" collapsed="false">
      <c r="A22" s="4" t="s">
        <v>220</v>
      </c>
      <c r="B22" s="4" t="s">
        <v>221</v>
      </c>
      <c r="C22" s="4" t="s">
        <v>222</v>
      </c>
      <c r="D22" s="24" t="n">
        <v>45453</v>
      </c>
      <c r="E22" s="11" t="s">
        <v>223</v>
      </c>
    </row>
    <row r="23" customFormat="false" ht="27.75" hidden="false" customHeight="true" outlineLevel="0" collapsed="false">
      <c r="A23" s="16" t="s">
        <v>224</v>
      </c>
      <c r="B23" s="16"/>
      <c r="C23" s="16"/>
      <c r="D23" s="16"/>
      <c r="E23" s="16"/>
      <c r="F23" s="16"/>
      <c r="G23" s="16"/>
      <c r="H23" s="16"/>
      <c r="I23" s="16"/>
    </row>
  </sheetData>
  <autoFilter ref="A3:I15"/>
  <mergeCells count="1"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34"/>
    <col collapsed="false" customWidth="true" hidden="false" outlineLevel="0" max="6" min="6" style="0" width="26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3" customFormat="false" ht="27.75" hidden="false" customHeight="true" outlineLevel="0" collapsed="false">
      <c r="A3" s="3" t="s">
        <v>227</v>
      </c>
      <c r="B3" s="3" t="s">
        <v>228</v>
      </c>
      <c r="C3" s="3" t="s">
        <v>229</v>
      </c>
      <c r="D3" s="3" t="s">
        <v>230</v>
      </c>
      <c r="E3" s="3" t="s">
        <v>231</v>
      </c>
      <c r="F3" s="3" t="s">
        <v>232</v>
      </c>
      <c r="G3" s="3" t="s">
        <v>151</v>
      </c>
    </row>
    <row r="4" customFormat="false" ht="15" hidden="false" customHeight="false" outlineLevel="0" collapsed="false">
      <c r="A4" s="4" t="s">
        <v>233</v>
      </c>
      <c r="B4" s="18" t="n">
        <v>0.273</v>
      </c>
      <c r="C4" s="4" t="s">
        <v>234</v>
      </c>
      <c r="D4" s="11" t="s">
        <v>235</v>
      </c>
      <c r="E4" s="11" t="s">
        <v>236</v>
      </c>
      <c r="F4" s="11" t="s">
        <v>237</v>
      </c>
    </row>
    <row r="5" customFormat="false" ht="15" hidden="false" customHeight="false" outlineLevel="0" collapsed="false">
      <c r="A5" s="4" t="s">
        <v>238</v>
      </c>
      <c r="B5" s="18" t="n">
        <v>0.155</v>
      </c>
      <c r="C5" s="4" t="s">
        <v>239</v>
      </c>
      <c r="D5" s="11" t="s">
        <v>240</v>
      </c>
      <c r="E5" s="11" t="s">
        <v>241</v>
      </c>
      <c r="F5" s="11" t="s">
        <v>237</v>
      </c>
      <c r="G5" s="11" t="s">
        <v>242</v>
      </c>
    </row>
    <row r="6" customFormat="false" ht="15" hidden="false" customHeight="false" outlineLevel="0" collapsed="false">
      <c r="A6" s="4" t="s">
        <v>243</v>
      </c>
      <c r="B6" s="18" t="n">
        <v>0.101</v>
      </c>
      <c r="C6" s="4" t="s">
        <v>244</v>
      </c>
      <c r="D6" s="11" t="s">
        <v>245</v>
      </c>
      <c r="E6" s="11" t="s">
        <v>246</v>
      </c>
      <c r="F6" s="11" t="s">
        <v>237</v>
      </c>
    </row>
    <row r="7" customFormat="false" ht="15" hidden="false" customHeight="false" outlineLevel="0" collapsed="false">
      <c r="A7" s="4" t="s">
        <v>247</v>
      </c>
      <c r="B7" s="18" t="n">
        <v>0.077</v>
      </c>
      <c r="C7" s="4" t="s">
        <v>244</v>
      </c>
      <c r="D7" s="11" t="s">
        <v>245</v>
      </c>
      <c r="E7" s="11" t="s">
        <v>248</v>
      </c>
      <c r="F7" s="11" t="s">
        <v>237</v>
      </c>
    </row>
    <row r="8" customFormat="false" ht="23.85" hidden="false" customHeight="false" outlineLevel="0" collapsed="false">
      <c r="A8" s="4" t="s">
        <v>249</v>
      </c>
      <c r="B8" s="18" t="n">
        <v>0.045</v>
      </c>
      <c r="C8" s="4" t="s">
        <v>250</v>
      </c>
      <c r="D8" s="11" t="s">
        <v>251</v>
      </c>
      <c r="E8" s="11" t="s">
        <v>252</v>
      </c>
      <c r="F8" s="11" t="s">
        <v>253</v>
      </c>
      <c r="G8" s="11" t="s">
        <v>254</v>
      </c>
    </row>
    <row r="9" customFormat="false" ht="23.85" hidden="false" customHeight="false" outlineLevel="0" collapsed="false">
      <c r="A9" s="4" t="s">
        <v>255</v>
      </c>
      <c r="B9" s="18" t="n">
        <v>0.045</v>
      </c>
      <c r="C9" s="4" t="s">
        <v>250</v>
      </c>
      <c r="D9" s="11" t="s">
        <v>256</v>
      </c>
      <c r="E9" s="11" t="s">
        <v>257</v>
      </c>
      <c r="F9" s="11" t="s">
        <v>258</v>
      </c>
      <c r="G9" s="11" t="s">
        <v>259</v>
      </c>
    </row>
    <row r="10" customFormat="false" ht="15" hidden="false" customHeight="false" outlineLevel="0" collapsed="false">
      <c r="A10" s="4" t="s">
        <v>260</v>
      </c>
      <c r="C10" s="4" t="s">
        <v>261</v>
      </c>
      <c r="D10" s="11" t="s">
        <v>262</v>
      </c>
      <c r="E10" s="11" t="s">
        <v>263</v>
      </c>
      <c r="F10" s="11" t="s">
        <v>264</v>
      </c>
      <c r="G10" s="11" t="s">
        <v>265</v>
      </c>
    </row>
    <row r="11" customFormat="false" ht="15" hidden="false" customHeight="false" outlineLevel="0" collapsed="false">
      <c r="A11" s="4" t="s">
        <v>266</v>
      </c>
      <c r="C11" s="4" t="s">
        <v>261</v>
      </c>
      <c r="D11" s="11" t="s">
        <v>267</v>
      </c>
      <c r="E11" s="11" t="s">
        <v>268</v>
      </c>
      <c r="F11" s="11" t="s">
        <v>269</v>
      </c>
      <c r="G11" s="11" t="s">
        <v>270</v>
      </c>
    </row>
    <row r="12" customFormat="false" ht="15" hidden="false" customHeight="false" outlineLevel="0" collapsed="false">
      <c r="A12" s="4" t="s">
        <v>271</v>
      </c>
      <c r="C12" s="4" t="s">
        <v>272</v>
      </c>
      <c r="D12" s="11" t="s">
        <v>273</v>
      </c>
      <c r="E12" s="11" t="s">
        <v>274</v>
      </c>
      <c r="F12" s="11" t="s">
        <v>275</v>
      </c>
      <c r="G12" s="11" t="s">
        <v>276</v>
      </c>
    </row>
    <row r="14" customFormat="false" ht="15" hidden="false" customHeight="false" outlineLevel="0" collapsed="false">
      <c r="A14" s="9" t="s">
        <v>277</v>
      </c>
    </row>
    <row r="15" customFormat="false" ht="15" hidden="false" customHeight="false" outlineLevel="0" collapsed="false">
      <c r="A15" s="4" t="s">
        <v>278</v>
      </c>
      <c r="B15" s="19" t="n">
        <f aca="false">B6+B7</f>
        <v>0.178</v>
      </c>
    </row>
    <row r="16" customFormat="false" ht="15" hidden="false" customHeight="false" outlineLevel="0" collapsed="false">
      <c r="A16" s="4" t="s">
        <v>279</v>
      </c>
      <c r="B16" s="19" t="n">
        <f aca="false">B8+B9</f>
        <v>0.09</v>
      </c>
    </row>
    <row r="18" customFormat="false" ht="15" hidden="false" customHeight="false" outlineLevel="0" collapsed="false">
      <c r="A18" s="9" t="s">
        <v>280</v>
      </c>
    </row>
    <row r="19" customFormat="false" ht="15" hidden="false" customHeight="false" outlineLevel="0" collapsed="false">
      <c r="A19" s="4" t="s">
        <v>281</v>
      </c>
      <c r="B19" s="26" t="n">
        <v>129.83</v>
      </c>
    </row>
    <row r="20" customFormat="false" ht="15" hidden="false" customHeight="false" outlineLevel="0" collapsed="false">
      <c r="A20" s="4" t="s">
        <v>282</v>
      </c>
      <c r="B20" s="26" t="n">
        <v>100.29</v>
      </c>
    </row>
    <row r="21" customFormat="false" ht="15" hidden="false" customHeight="false" outlineLevel="0" collapsed="false">
      <c r="A21" s="4" t="s">
        <v>283</v>
      </c>
      <c r="B21" s="19" t="n">
        <f aca="false">IFERROR(B19/B20-1,"")</f>
        <v>0.294545817130322</v>
      </c>
      <c r="C21" s="4" t="s">
        <v>284</v>
      </c>
    </row>
    <row r="22" customFormat="false" ht="15" hidden="false" customHeight="false" outlineLevel="0" collapsed="false">
      <c r="A22" s="4" t="s">
        <v>285</v>
      </c>
      <c r="B22" s="27" t="n">
        <f aca="false">B19-B20</f>
        <v>29.54</v>
      </c>
    </row>
    <row r="24" customFormat="false" ht="15" hidden="false" customHeight="false" outlineLevel="0" collapsed="false">
      <c r="A24" s="9" t="s">
        <v>286</v>
      </c>
    </row>
    <row r="25" customFormat="false" ht="27.75" hidden="false" customHeight="true" outlineLevel="0" collapsed="false">
      <c r="A25" s="3" t="s">
        <v>227</v>
      </c>
      <c r="B25" s="3" t="s">
        <v>287</v>
      </c>
      <c r="C25" s="3" t="s">
        <v>288</v>
      </c>
      <c r="D25" s="3" t="s">
        <v>289</v>
      </c>
    </row>
    <row r="26" customFormat="false" ht="15" hidden="false" customHeight="false" outlineLevel="0" collapsed="false">
      <c r="A26" s="4" t="s">
        <v>249</v>
      </c>
      <c r="B26" s="17" t="n">
        <v>-10.3</v>
      </c>
      <c r="C26" s="17" t="n">
        <v>-13.2</v>
      </c>
      <c r="D26" s="20" t="n">
        <f aca="false">C26-B26</f>
        <v>-2.9</v>
      </c>
    </row>
    <row r="27" customFormat="false" ht="15" hidden="false" customHeight="false" outlineLevel="0" collapsed="false">
      <c r="A27" s="4" t="s">
        <v>243</v>
      </c>
      <c r="B27" s="17" t="n">
        <v>53</v>
      </c>
      <c r="C27" s="17" t="n">
        <v>55</v>
      </c>
      <c r="D27" s="20" t="n">
        <f aca="false">C27-B27</f>
        <v>2</v>
      </c>
    </row>
    <row r="28" customFormat="false" ht="15" hidden="false" customHeight="false" outlineLevel="0" collapsed="false">
      <c r="A28" s="4" t="s">
        <v>247</v>
      </c>
      <c r="B28" s="17" t="n">
        <v>48.8</v>
      </c>
      <c r="C28" s="17" t="n">
        <v>50.3</v>
      </c>
      <c r="D28" s="20" t="n">
        <f aca="false">C28-B28</f>
        <v>1.5</v>
      </c>
    </row>
    <row r="29" customFormat="false" ht="15" hidden="false" customHeight="false" outlineLevel="0" collapsed="false">
      <c r="A29" s="25" t="s">
        <v>290</v>
      </c>
    </row>
    <row r="31" customFormat="false" ht="15" hidden="false" customHeight="false" outlineLevel="0" collapsed="false">
      <c r="A31" s="9" t="s">
        <v>291</v>
      </c>
    </row>
    <row r="32" customFormat="false" ht="15" hidden="false" customHeight="false" outlineLevel="0" collapsed="false">
      <c r="A32" s="4" t="s">
        <v>106</v>
      </c>
      <c r="B32" s="17" t="n">
        <v>58</v>
      </c>
    </row>
    <row r="33" customFormat="false" ht="15" hidden="false" customHeight="false" outlineLevel="0" collapsed="false">
      <c r="A33" s="4" t="s">
        <v>292</v>
      </c>
      <c r="B33" s="17" t="n">
        <v>1.3</v>
      </c>
    </row>
    <row r="34" customFormat="false" ht="15" hidden="false" customHeight="false" outlineLevel="0" collapsed="false">
      <c r="A34" s="4" t="s">
        <v>293</v>
      </c>
      <c r="B34" s="19" t="n">
        <f aca="false">IFERROR(B33/B32,"")</f>
        <v>0.0224137931034483</v>
      </c>
    </row>
    <row r="35" customFormat="false" ht="15" hidden="false" customHeight="false" outlineLevel="0" collapsed="false">
      <c r="A35" s="4" t="s">
        <v>294</v>
      </c>
      <c r="B35" s="6" t="n">
        <f aca="false">IFERROR(B32/Financials!F5,"")</f>
        <v>0.656851642129105</v>
      </c>
    </row>
    <row r="37" customFormat="false" ht="15" hidden="false" customHeight="false" outlineLevel="0" collapsed="false">
      <c r="A37" s="9" t="s">
        <v>295</v>
      </c>
    </row>
    <row r="38" customFormat="false" ht="15" hidden="false" customHeight="false" outlineLevel="0" collapsed="false">
      <c r="A38" s="4" t="s">
        <v>296</v>
      </c>
      <c r="B38" s="21" t="n">
        <v>35</v>
      </c>
    </row>
    <row r="39" customFormat="false" ht="15" hidden="false" customHeight="false" outlineLevel="0" collapsed="false">
      <c r="A39" s="4" t="s">
        <v>297</v>
      </c>
      <c r="B39" s="21" t="n">
        <v>37</v>
      </c>
    </row>
    <row r="40" customFormat="false" ht="15" hidden="false" customHeight="false" outlineLevel="0" collapsed="false">
      <c r="A40" s="4" t="s">
        <v>298</v>
      </c>
      <c r="B40" s="23" t="n">
        <f aca="false">B38-B39</f>
        <v>-2</v>
      </c>
    </row>
    <row r="41" customFormat="false" ht="15" hidden="false" customHeight="false" outlineLevel="0" collapsed="false">
      <c r="A41" s="25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300</v>
      </c>
    </row>
    <row r="2" customFormat="false" ht="15" hidden="false" customHeight="false" outlineLevel="0" collapsed="false">
      <c r="A2" s="2" t="s">
        <v>301</v>
      </c>
    </row>
    <row r="3" customFormat="false" ht="27.75" hidden="false" customHeight="true" outlineLevel="0" collapsed="false">
      <c r="A3" s="3" t="s">
        <v>302</v>
      </c>
      <c r="B3" s="3" t="s">
        <v>303</v>
      </c>
      <c r="C3" s="3" t="s">
        <v>304</v>
      </c>
      <c r="D3" s="3" t="s">
        <v>305</v>
      </c>
      <c r="E3" s="3" t="s">
        <v>151</v>
      </c>
    </row>
    <row r="4" customFormat="false" ht="15" hidden="false" customHeight="false" outlineLevel="0" collapsed="false">
      <c r="A4" s="4" t="s">
        <v>306</v>
      </c>
      <c r="B4" s="22" t="n">
        <v>1.86</v>
      </c>
      <c r="E4" s="11" t="s">
        <v>307</v>
      </c>
    </row>
    <row r="5" customFormat="false" ht="15" hidden="false" customHeight="false" outlineLevel="0" collapsed="false">
      <c r="A5" s="4" t="s">
        <v>308</v>
      </c>
      <c r="B5" s="22" t="n">
        <v>3.2</v>
      </c>
      <c r="C5" s="18" t="n">
        <v>0.02</v>
      </c>
      <c r="D5" s="28" t="n">
        <f aca="false">IFERROR(B5/(1+C5),"")</f>
        <v>3.13725490196078</v>
      </c>
      <c r="E5" s="11" t="s">
        <v>309</v>
      </c>
    </row>
    <row r="6" customFormat="false" ht="15" hidden="false" customHeight="false" outlineLevel="0" collapsed="false">
      <c r="A6" s="4" t="s">
        <v>310</v>
      </c>
      <c r="B6" s="22" t="n">
        <v>3.7</v>
      </c>
      <c r="C6" s="18" t="n">
        <v>0.073</v>
      </c>
      <c r="D6" s="28" t="n">
        <f aca="false">IFERROR(B6/(1+C6),"")</f>
        <v>3.44827586206897</v>
      </c>
      <c r="E6" s="16" t="s">
        <v>311</v>
      </c>
    </row>
    <row r="7" customFormat="false" ht="15" hidden="false" customHeight="false" outlineLevel="0" collapsed="false">
      <c r="A7" s="4" t="s">
        <v>312</v>
      </c>
      <c r="B7" s="22" t="n">
        <v>3.9</v>
      </c>
      <c r="C7" s="18" t="n">
        <v>0.042</v>
      </c>
      <c r="D7" s="28" t="n">
        <f aca="false">IFERROR(B7/(1+C7),"")</f>
        <v>3.74280230326296</v>
      </c>
      <c r="E7" s="16" t="s">
        <v>313</v>
      </c>
    </row>
    <row r="8" customFormat="false" ht="15" hidden="false" customHeight="false" outlineLevel="0" collapsed="false">
      <c r="A8" s="4" t="s">
        <v>314</v>
      </c>
      <c r="B8" s="19" t="n">
        <f aca="false">B6/B4-1</f>
        <v>0.989247311827957</v>
      </c>
      <c r="E8" s="4" t="s">
        <v>315</v>
      </c>
    </row>
    <row r="10" customFormat="false" ht="15" hidden="false" customHeight="false" outlineLevel="0" collapsed="false">
      <c r="A10" s="9" t="s">
        <v>316</v>
      </c>
    </row>
    <row r="11" customFormat="false" ht="27.75" hidden="false" customHeight="true" outlineLevel="0" collapsed="false">
      <c r="A11" s="3" t="s">
        <v>317</v>
      </c>
      <c r="B11" s="3" t="s">
        <v>318</v>
      </c>
      <c r="C11" s="3" t="s">
        <v>319</v>
      </c>
      <c r="D11" s="3" t="s">
        <v>320</v>
      </c>
    </row>
    <row r="12" customFormat="false" ht="15" hidden="false" customHeight="false" outlineLevel="0" collapsed="false">
      <c r="A12" s="4" t="s">
        <v>321</v>
      </c>
      <c r="B12" s="22" t="n">
        <v>2.43</v>
      </c>
      <c r="C12" s="18" t="n">
        <v>0.08</v>
      </c>
      <c r="D12" s="19" t="n">
        <f aca="false">IFERROR(B12/$B$16,"")</f>
        <v>0.657343035680472</v>
      </c>
    </row>
    <row r="13" customFormat="false" ht="15" hidden="false" customHeight="false" outlineLevel="0" collapsed="false">
      <c r="A13" s="4" t="s">
        <v>322</v>
      </c>
      <c r="B13" s="22" t="n">
        <v>0.5176</v>
      </c>
      <c r="C13" s="18" t="n">
        <v>0.09</v>
      </c>
      <c r="D13" s="19" t="n">
        <f aca="false">IFERROR(B13/$B$16,"")</f>
        <v>0.140016771715314</v>
      </c>
    </row>
    <row r="14" customFormat="false" ht="15" hidden="false" customHeight="false" outlineLevel="0" collapsed="false">
      <c r="A14" s="4" t="s">
        <v>323</v>
      </c>
      <c r="B14" s="22" t="n">
        <v>0.5409</v>
      </c>
      <c r="C14" s="18" t="n">
        <v>0.03</v>
      </c>
      <c r="D14" s="19" t="n">
        <f aca="false">IFERROR(B14/$B$16,"")</f>
        <v>0.146319690534801</v>
      </c>
    </row>
    <row r="15" customFormat="false" ht="15" hidden="false" customHeight="false" outlineLevel="0" collapsed="false">
      <c r="A15" s="4" t="s">
        <v>324</v>
      </c>
      <c r="B15" s="22" t="n">
        <v>0.2082</v>
      </c>
      <c r="C15" s="18" t="n">
        <v>0.065</v>
      </c>
      <c r="D15" s="19" t="n">
        <f aca="false">IFERROR(B15/$B$16,"")</f>
        <v>0.0563205020694133</v>
      </c>
    </row>
    <row r="16" customFormat="false" ht="15" hidden="false" customHeight="false" outlineLevel="0" collapsed="false">
      <c r="A16" s="15" t="s">
        <v>325</v>
      </c>
      <c r="B16" s="29" t="n">
        <f aca="false">SUM(B12:B15)</f>
        <v>3.6967</v>
      </c>
      <c r="D16" s="19" t="n">
        <f aca="false">SUM(D12:D15)</f>
        <v>1</v>
      </c>
    </row>
    <row r="17" customFormat="false" ht="15" hidden="false" customHeight="false" outlineLevel="0" collapsed="false">
      <c r="A17" s="4" t="s">
        <v>326</v>
      </c>
      <c r="B17" s="30" t="n">
        <f aca="false">B16-B6</f>
        <v>-0.00329999999999986</v>
      </c>
      <c r="E17" s="4" t="s">
        <v>327</v>
      </c>
    </row>
    <row r="19" customFormat="false" ht="15" hidden="false" customHeight="false" outlineLevel="0" collapsed="false">
      <c r="A19" s="9" t="s">
        <v>328</v>
      </c>
    </row>
    <row r="20" customFormat="false" ht="15" hidden="false" customHeight="false" outlineLevel="0" collapsed="false">
      <c r="A20" s="4" t="s">
        <v>329</v>
      </c>
      <c r="B20" s="6" t="n">
        <f aca="false">IFERROR(Financials!E5/(B6*1000),"")</f>
        <v>0.0233513513513514</v>
      </c>
      <c r="E20" s="11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6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331</v>
      </c>
    </row>
    <row r="2" customFormat="false" ht="15" hidden="false" customHeight="false" outlineLevel="0" collapsed="false">
      <c r="A2" s="2" t="s">
        <v>332</v>
      </c>
    </row>
    <row r="3" customFormat="false" ht="27.75" hidden="false" customHeight="true" outlineLevel="0" collapsed="false">
      <c r="A3" s="3" t="s">
        <v>333</v>
      </c>
      <c r="B3" s="3" t="s">
        <v>334</v>
      </c>
      <c r="C3" s="3" t="s">
        <v>335</v>
      </c>
    </row>
    <row r="4" customFormat="false" ht="15" hidden="false" customHeight="false" outlineLevel="0" collapsed="false">
      <c r="A4" s="31" t="s">
        <v>336</v>
      </c>
      <c r="B4" s="11" t="s">
        <v>337</v>
      </c>
      <c r="C4" s="4" t="s">
        <v>338</v>
      </c>
    </row>
    <row r="5" customFormat="false" ht="15" hidden="false" customHeight="false" outlineLevel="0" collapsed="false">
      <c r="A5" s="31" t="s">
        <v>158</v>
      </c>
      <c r="B5" s="11" t="s">
        <v>339</v>
      </c>
      <c r="C5" s="4" t="s">
        <v>338</v>
      </c>
    </row>
    <row r="6" customFormat="false" ht="15" hidden="false" customHeight="false" outlineLevel="0" collapsed="false">
      <c r="A6" s="32" t="n">
        <v>42902</v>
      </c>
      <c r="B6" s="11" t="s">
        <v>340</v>
      </c>
      <c r="C6" s="4" t="s">
        <v>341</v>
      </c>
    </row>
    <row r="7" customFormat="false" ht="15" hidden="false" customHeight="false" outlineLevel="0" collapsed="false">
      <c r="A7" s="32" t="n">
        <v>42975</v>
      </c>
      <c r="B7" s="11" t="s">
        <v>342</v>
      </c>
      <c r="C7" s="4" t="s">
        <v>341</v>
      </c>
    </row>
    <row r="8" customFormat="false" ht="15" hidden="false" customHeight="false" outlineLevel="0" collapsed="false">
      <c r="A8" s="31" t="s">
        <v>343</v>
      </c>
      <c r="B8" s="11" t="s">
        <v>344</v>
      </c>
      <c r="C8" s="4" t="s">
        <v>345</v>
      </c>
    </row>
    <row r="9" customFormat="false" ht="15" hidden="false" customHeight="false" outlineLevel="0" collapsed="false">
      <c r="A9" s="32" t="n">
        <v>44454</v>
      </c>
      <c r="B9" s="11" t="s">
        <v>346</v>
      </c>
      <c r="C9" s="4" t="s">
        <v>347</v>
      </c>
    </row>
    <row r="10" customFormat="false" ht="15" hidden="false" customHeight="false" outlineLevel="0" collapsed="false">
      <c r="A10" s="31" t="s">
        <v>101</v>
      </c>
      <c r="B10" s="11" t="s">
        <v>348</v>
      </c>
      <c r="C10" s="4" t="s">
        <v>349</v>
      </c>
    </row>
    <row r="11" customFormat="false" ht="23.85" hidden="false" customHeight="false" outlineLevel="0" collapsed="false">
      <c r="A11" s="32" t="n">
        <v>45140</v>
      </c>
      <c r="B11" s="11" t="s">
        <v>350</v>
      </c>
      <c r="C11" s="4" t="s">
        <v>345</v>
      </c>
    </row>
    <row r="12" customFormat="false" ht="15" hidden="false" customHeight="false" outlineLevel="0" collapsed="false">
      <c r="A12" s="31" t="s">
        <v>308</v>
      </c>
      <c r="B12" s="11" t="s">
        <v>351</v>
      </c>
      <c r="C12" s="4" t="s">
        <v>352</v>
      </c>
    </row>
    <row r="13" customFormat="false" ht="15" hidden="false" customHeight="false" outlineLevel="0" collapsed="false">
      <c r="A13" s="31" t="s">
        <v>353</v>
      </c>
      <c r="B13" s="11" t="s">
        <v>354</v>
      </c>
      <c r="C13" s="4" t="s">
        <v>50</v>
      </c>
    </row>
    <row r="14" customFormat="false" ht="15" hidden="false" customHeight="false" outlineLevel="0" collapsed="false">
      <c r="A14" s="31" t="s">
        <v>353</v>
      </c>
      <c r="B14" s="11" t="s">
        <v>355</v>
      </c>
      <c r="C14" s="4" t="s">
        <v>338</v>
      </c>
    </row>
    <row r="15" customFormat="false" ht="15" hidden="false" customHeight="false" outlineLevel="0" collapsed="false">
      <c r="A15" s="32" t="n">
        <v>45453</v>
      </c>
      <c r="B15" s="11" t="s">
        <v>356</v>
      </c>
      <c r="C15" s="4" t="s">
        <v>338</v>
      </c>
    </row>
    <row r="16" customFormat="false" ht="15" hidden="false" customHeight="false" outlineLevel="0" collapsed="false">
      <c r="A16" s="31" t="s">
        <v>357</v>
      </c>
      <c r="B16" s="11" t="s">
        <v>358</v>
      </c>
      <c r="C16" s="4" t="s">
        <v>54</v>
      </c>
    </row>
    <row r="17" customFormat="false" ht="15" hidden="false" customHeight="false" outlineLevel="0" collapsed="false">
      <c r="A17" s="31" t="s">
        <v>359</v>
      </c>
      <c r="B17" s="11" t="s">
        <v>360</v>
      </c>
      <c r="C17" s="4" t="s">
        <v>352</v>
      </c>
    </row>
    <row r="18" customFormat="false" ht="15" hidden="false" customHeight="false" outlineLevel="0" collapsed="false">
      <c r="A18" s="31" t="s">
        <v>361</v>
      </c>
      <c r="B18" s="11" t="s">
        <v>362</v>
      </c>
      <c r="C18" s="4" t="s">
        <v>345</v>
      </c>
    </row>
    <row r="19" customFormat="false" ht="15" hidden="false" customHeight="false" outlineLevel="0" collapsed="false">
      <c r="A19" s="32" t="n">
        <v>45741</v>
      </c>
      <c r="B19" s="11" t="s">
        <v>363</v>
      </c>
      <c r="C19" s="4" t="s">
        <v>338</v>
      </c>
    </row>
    <row r="20" customFormat="false" ht="15" hidden="false" customHeight="false" outlineLevel="0" collapsed="false">
      <c r="A20" s="31" t="s">
        <v>364</v>
      </c>
      <c r="B20" s="11" t="s">
        <v>365</v>
      </c>
      <c r="C20" s="4" t="s">
        <v>345</v>
      </c>
    </row>
    <row r="21" customFormat="false" ht="15" hidden="false" customHeight="false" outlineLevel="0" collapsed="false">
      <c r="A21" s="31" t="s">
        <v>366</v>
      </c>
      <c r="B21" s="11" t="s">
        <v>367</v>
      </c>
      <c r="C21" s="4" t="s">
        <v>349</v>
      </c>
    </row>
    <row r="22" customFormat="false" ht="15" hidden="false" customHeight="false" outlineLevel="0" collapsed="false">
      <c r="A22" s="32" t="n">
        <v>45923</v>
      </c>
      <c r="B22" s="11" t="s">
        <v>368</v>
      </c>
      <c r="C22" s="4" t="s">
        <v>345</v>
      </c>
    </row>
    <row r="23" customFormat="false" ht="15" hidden="false" customHeight="false" outlineLevel="0" collapsed="false">
      <c r="A23" s="31" t="s">
        <v>369</v>
      </c>
      <c r="B23" s="11" t="s">
        <v>370</v>
      </c>
      <c r="C23" s="4" t="s">
        <v>338</v>
      </c>
    </row>
    <row r="24" customFormat="false" ht="15" hidden="false" customHeight="false" outlineLevel="0" collapsed="false">
      <c r="A24" s="32" t="n">
        <v>46114</v>
      </c>
      <c r="B24" s="11" t="s">
        <v>371</v>
      </c>
      <c r="C24" s="4" t="s">
        <v>338</v>
      </c>
    </row>
    <row r="25" customFormat="false" ht="15" hidden="false" customHeight="false" outlineLevel="0" collapsed="false">
      <c r="A25" s="32" t="n">
        <v>46135</v>
      </c>
      <c r="B25" s="11" t="s">
        <v>372</v>
      </c>
      <c r="C25" s="4" t="s">
        <v>338</v>
      </c>
    </row>
    <row r="26" customFormat="false" ht="15" hidden="false" customHeight="false" outlineLevel="0" collapsed="false">
      <c r="A26" s="32" t="n">
        <v>46156</v>
      </c>
      <c r="B26" s="11" t="s">
        <v>373</v>
      </c>
      <c r="C26" s="4" t="s">
        <v>338</v>
      </c>
    </row>
    <row r="27" customFormat="false" ht="15" hidden="false" customHeight="false" outlineLevel="0" collapsed="false">
      <c r="A27" s="32" t="n">
        <v>46170</v>
      </c>
      <c r="B27" s="11" t="s">
        <v>374</v>
      </c>
      <c r="C27" s="4" t="s">
        <v>338</v>
      </c>
    </row>
    <row r="28" customFormat="false" ht="15" hidden="false" customHeight="false" outlineLevel="0" collapsed="false">
      <c r="A28" s="32" t="n">
        <v>46177</v>
      </c>
      <c r="B28" s="11" t="s">
        <v>375</v>
      </c>
      <c r="C28" s="4" t="s">
        <v>338</v>
      </c>
    </row>
    <row r="29" customFormat="false" ht="15" hidden="false" customHeight="false" outlineLevel="0" collapsed="false">
      <c r="A29" s="32" t="n">
        <v>46184</v>
      </c>
      <c r="B29" s="11" t="s">
        <v>376</v>
      </c>
      <c r="C29" s="4" t="s">
        <v>338</v>
      </c>
    </row>
    <row r="30" customFormat="false" ht="15" hidden="false" customHeight="false" outlineLevel="0" collapsed="false">
      <c r="A30" s="31" t="s">
        <v>377</v>
      </c>
      <c r="B30" s="11" t="s">
        <v>378</v>
      </c>
      <c r="C30" s="4" t="s">
        <v>347</v>
      </c>
    </row>
    <row r="31" customFormat="false" ht="15" hidden="false" customHeight="false" outlineLevel="0" collapsed="false">
      <c r="A31" s="31" t="s">
        <v>379</v>
      </c>
      <c r="B31" s="11" t="s">
        <v>380</v>
      </c>
      <c r="C31" s="4" t="s">
        <v>349</v>
      </c>
    </row>
    <row r="32" customFormat="false" ht="15" hidden="false" customHeight="false" outlineLevel="0" collapsed="false">
      <c r="A32" s="31" t="s">
        <v>381</v>
      </c>
      <c r="B32" s="11" t="s">
        <v>382</v>
      </c>
      <c r="C32" s="4" t="s">
        <v>383</v>
      </c>
    </row>
  </sheetData>
  <autoFilter ref="A3:C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52"/>
  </cols>
  <sheetData>
    <row r="1" customFormat="false" ht="17.35" hidden="false" customHeight="false" outlineLevel="0" collapsed="false">
      <c r="A1" s="1" t="s">
        <v>384</v>
      </c>
    </row>
    <row r="2" customFormat="false" ht="15" hidden="false" customHeight="false" outlineLevel="0" collapsed="false">
      <c r="A2" s="2" t="s">
        <v>385</v>
      </c>
    </row>
    <row r="3" customFormat="false" ht="27.75" hidden="false" customHeight="true" outlineLevel="0" collapsed="false">
      <c r="A3" s="3" t="s">
        <v>386</v>
      </c>
      <c r="B3" s="3" t="s">
        <v>387</v>
      </c>
      <c r="C3" s="3" t="s">
        <v>388</v>
      </c>
    </row>
    <row r="4" customFormat="false" ht="23.85" hidden="false" customHeight="false" outlineLevel="0" collapsed="false">
      <c r="A4" s="4" t="s">
        <v>389</v>
      </c>
      <c r="B4" s="16" t="s">
        <v>390</v>
      </c>
      <c r="C4" s="11" t="s">
        <v>391</v>
      </c>
    </row>
    <row r="5" customFormat="false" ht="15" hidden="false" customHeight="false" outlineLevel="0" collapsed="false">
      <c r="A5" s="4" t="s">
        <v>392</v>
      </c>
      <c r="B5" s="11" t="s">
        <v>393</v>
      </c>
      <c r="C5" s="11" t="s">
        <v>394</v>
      </c>
    </row>
    <row r="6" customFormat="false" ht="15" hidden="false" customHeight="false" outlineLevel="0" collapsed="false">
      <c r="A6" s="4" t="s">
        <v>395</v>
      </c>
      <c r="B6" s="11" t="s">
        <v>396</v>
      </c>
      <c r="C6" s="11" t="s">
        <v>397</v>
      </c>
    </row>
    <row r="7" customFormat="false" ht="15" hidden="false" customHeight="false" outlineLevel="0" collapsed="false">
      <c r="A7" s="4" t="s">
        <v>398</v>
      </c>
      <c r="B7" s="11" t="s">
        <v>399</v>
      </c>
      <c r="C7" s="11" t="s">
        <v>400</v>
      </c>
    </row>
    <row r="8" customFormat="false" ht="23.85" hidden="false" customHeight="false" outlineLevel="0" collapsed="false">
      <c r="A8" s="4" t="s">
        <v>401</v>
      </c>
      <c r="B8" s="11" t="s">
        <v>402</v>
      </c>
      <c r="C8" s="11" t="s">
        <v>403</v>
      </c>
    </row>
    <row r="9" customFormat="false" ht="15" hidden="false" customHeight="false" outlineLevel="0" collapsed="false">
      <c r="A9" s="4" t="s">
        <v>404</v>
      </c>
      <c r="B9" s="11" t="s">
        <v>405</v>
      </c>
      <c r="C9" s="11" t="s">
        <v>406</v>
      </c>
    </row>
    <row r="10" customFormat="false" ht="15" hidden="false" customHeight="false" outlineLevel="0" collapsed="false">
      <c r="A10" s="4" t="s">
        <v>407</v>
      </c>
      <c r="B10" s="11" t="s">
        <v>408</v>
      </c>
      <c r="C10" s="11" t="s">
        <v>409</v>
      </c>
    </row>
    <row r="11" customFormat="false" ht="23.85" hidden="false" customHeight="false" outlineLevel="0" collapsed="false">
      <c r="A11" s="4" t="s">
        <v>410</v>
      </c>
      <c r="B11" s="11" t="s">
        <v>411</v>
      </c>
      <c r="C11" s="11" t="s">
        <v>412</v>
      </c>
    </row>
    <row r="13" customFormat="false" ht="15" hidden="false" customHeight="false" outlineLevel="0" collapsed="false">
      <c r="A13" s="9" t="s">
        <v>413</v>
      </c>
    </row>
    <row r="14" customFormat="false" ht="15" hidden="false" customHeight="false" outlineLevel="0" collapsed="false">
      <c r="A14" s="4" t="s">
        <v>414</v>
      </c>
    </row>
    <row r="15" customFormat="false" ht="15" hidden="false" customHeight="false" outlineLevel="0" collapsed="false">
      <c r="A15" s="4" t="s">
        <v>415</v>
      </c>
    </row>
    <row r="16" customFormat="false" ht="15" hidden="false" customHeight="false" outlineLevel="0" collapsed="false">
      <c r="A16" s="4" t="s">
        <v>416</v>
      </c>
    </row>
    <row r="17" customFormat="false" ht="15" hidden="false" customHeight="false" outlineLevel="0" collapsed="false">
      <c r="A17" s="4" t="s">
        <v>417</v>
      </c>
    </row>
    <row r="18" customFormat="false" ht="15" hidden="false" customHeight="false" outlineLevel="0" collapsed="false">
      <c r="A18" s="4" t="s">
        <v>418</v>
      </c>
    </row>
    <row r="19" customFormat="false" ht="15" hidden="false" customHeight="false" outlineLevel="0" collapsed="false">
      <c r="A19" s="4" t="s">
        <v>419</v>
      </c>
    </row>
    <row r="20" customFormat="false" ht="15" hidden="false" customHeight="false" outlineLevel="0" collapsed="false">
      <c r="A20" s="4" t="s">
        <v>420</v>
      </c>
    </row>
    <row r="21" customFormat="false" ht="15" hidden="false" customHeight="false" outlineLevel="0" collapsed="false">
      <c r="A21" s="4" t="s">
        <v>421</v>
      </c>
    </row>
    <row r="22" customFormat="false" ht="15" hidden="false" customHeight="false" outlineLevel="0" collapsed="false">
      <c r="A22" s="4" t="s">
        <v>422</v>
      </c>
    </row>
    <row r="23" customFormat="false" ht="15" hidden="false" customHeight="false" outlineLevel="0" collapsed="false">
      <c r="A23" s="4" t="s">
        <v>423</v>
      </c>
    </row>
    <row r="24" customFormat="false" ht="15" hidden="false" customHeight="false" outlineLevel="0" collapsed="false">
      <c r="A24" s="4" t="s">
        <v>424</v>
      </c>
    </row>
    <row r="25" customFormat="false" ht="15" hidden="false" customHeight="false" outlineLevel="0" collapsed="false">
      <c r="A25" s="4" t="s">
        <v>425</v>
      </c>
    </row>
    <row r="26" customFormat="false" ht="15" hidden="false" customHeight="false" outlineLevel="0" collapsed="false">
      <c r="A26" s="4" t="s">
        <v>426</v>
      </c>
    </row>
    <row r="27" customFormat="false" ht="15" hidden="false" customHeight="false" outlineLevel="0" collapsed="false">
      <c r="A27" s="4" t="s">
        <v>427</v>
      </c>
    </row>
    <row r="28" customFormat="false" ht="15" hidden="false" customHeight="false" outlineLevel="0" collapsed="false">
      <c r="A28" s="4" t="s">
        <v>428</v>
      </c>
    </row>
    <row r="29" customFormat="false" ht="15" hidden="false" customHeight="false" outlineLevel="0" collapsed="false">
      <c r="A29" s="15" t="s">
        <v>429</v>
      </c>
      <c r="B29" s="23" t="n">
        <f aca="false">COUNTA(A14:A28)</f>
        <v>15</v>
      </c>
    </row>
    <row r="30" customFormat="false" ht="15" hidden="false" customHeight="false" outlineLevel="0" collapsed="false">
      <c r="A30" s="15" t="s">
        <v>430</v>
      </c>
      <c r="B30" s="21" t="n">
        <v>141</v>
      </c>
    </row>
    <row r="32" customFormat="false" ht="15" hidden="false" customHeight="false" outlineLevel="0" collapsed="false">
      <c r="A32" s="9" t="s">
        <v>431</v>
      </c>
    </row>
    <row r="33" customFormat="false" ht="27.75" hidden="false" customHeight="true" outlineLevel="0" collapsed="false">
      <c r="A33" s="3" t="s">
        <v>432</v>
      </c>
      <c r="B33" s="3" t="s">
        <v>335</v>
      </c>
      <c r="C33" s="3" t="s">
        <v>433</v>
      </c>
    </row>
    <row r="34" customFormat="false" ht="15" hidden="false" customHeight="false" outlineLevel="0" collapsed="false">
      <c r="A34" s="4" t="s">
        <v>434</v>
      </c>
      <c r="B34" s="4" t="s">
        <v>435</v>
      </c>
      <c r="C34" s="11" t="s">
        <v>436</v>
      </c>
    </row>
    <row r="35" customFormat="false" ht="15" hidden="false" customHeight="false" outlineLevel="0" collapsed="false">
      <c r="A35" s="4" t="s">
        <v>437</v>
      </c>
      <c r="B35" s="4" t="s">
        <v>438</v>
      </c>
      <c r="C35" s="11"/>
    </row>
    <row r="36" customFormat="false" ht="15" hidden="false" customHeight="false" outlineLevel="0" collapsed="false">
      <c r="A36" s="4" t="s">
        <v>439</v>
      </c>
      <c r="B36" s="4" t="s">
        <v>438</v>
      </c>
      <c r="C36" s="11" t="s">
        <v>440</v>
      </c>
    </row>
    <row r="37" customFormat="false" ht="15" hidden="false" customHeight="false" outlineLevel="0" collapsed="false">
      <c r="A37" s="4" t="s">
        <v>441</v>
      </c>
      <c r="B37" s="4" t="s">
        <v>442</v>
      </c>
      <c r="C37" s="11"/>
    </row>
    <row r="38" customFormat="false" ht="15" hidden="false" customHeight="false" outlineLevel="0" collapsed="false">
      <c r="A38" s="4" t="s">
        <v>443</v>
      </c>
      <c r="B38" s="4" t="s">
        <v>444</v>
      </c>
      <c r="C38" s="11" t="s">
        <v>445</v>
      </c>
    </row>
    <row r="39" customFormat="false" ht="15" hidden="false" customHeight="false" outlineLevel="0" collapsed="false">
      <c r="A39" s="4" t="s">
        <v>446</v>
      </c>
      <c r="B39" s="4" t="s">
        <v>435</v>
      </c>
      <c r="C39" s="11" t="s">
        <v>447</v>
      </c>
    </row>
    <row r="40" customFormat="false" ht="15" hidden="false" customHeight="false" outlineLevel="0" collapsed="false">
      <c r="A40" s="4" t="s">
        <v>448</v>
      </c>
      <c r="B40" s="4" t="s">
        <v>449</v>
      </c>
      <c r="C40" s="11" t="s">
        <v>450</v>
      </c>
    </row>
    <row r="41" customFormat="false" ht="15" hidden="false" customHeight="false" outlineLevel="0" collapsed="false">
      <c r="A41" s="4" t="s">
        <v>451</v>
      </c>
      <c r="B41" s="4" t="s">
        <v>452</v>
      </c>
      <c r="C41" s="11" t="s">
        <v>453</v>
      </c>
    </row>
    <row r="42" customFormat="false" ht="15" hidden="false" customHeight="false" outlineLevel="0" collapsed="false">
      <c r="A42" s="4" t="s">
        <v>454</v>
      </c>
      <c r="B42" s="4" t="s">
        <v>452</v>
      </c>
      <c r="C42" s="11" t="s">
        <v>453</v>
      </c>
    </row>
    <row r="43" customFormat="false" ht="15" hidden="false" customHeight="false" outlineLevel="0" collapsed="false">
      <c r="A43" s="4" t="s">
        <v>455</v>
      </c>
      <c r="B43" s="4" t="s">
        <v>456</v>
      </c>
      <c r="C43" s="11" t="s">
        <v>457</v>
      </c>
    </row>
    <row r="44" customFormat="false" ht="15" hidden="false" customHeight="false" outlineLevel="0" collapsed="false">
      <c r="A44" s="4" t="s">
        <v>458</v>
      </c>
      <c r="B44" s="4" t="s">
        <v>459</v>
      </c>
      <c r="C44" s="11" t="s">
        <v>453</v>
      </c>
    </row>
    <row r="45" customFormat="false" ht="15" hidden="false" customHeight="false" outlineLevel="0" collapsed="false">
      <c r="A45" s="4" t="s">
        <v>460</v>
      </c>
      <c r="B45" s="4" t="s">
        <v>461</v>
      </c>
      <c r="C45" s="11" t="s">
        <v>462</v>
      </c>
    </row>
    <row r="47" customFormat="false" ht="15" hidden="false" customHeight="false" outlineLevel="0" collapsed="false">
      <c r="A47" s="9" t="s">
        <v>463</v>
      </c>
    </row>
    <row r="48" customFormat="false" ht="15" hidden="false" customHeight="false" outlineLevel="0" collapsed="false">
      <c r="A48" s="4" t="s">
        <v>464</v>
      </c>
      <c r="B48" s="21" t="n">
        <v>500</v>
      </c>
      <c r="C48" s="4" t="s">
        <v>465</v>
      </c>
    </row>
    <row r="49" customFormat="false" ht="15" hidden="false" customHeight="false" outlineLevel="0" collapsed="false">
      <c r="A49" s="4" t="s">
        <v>466</v>
      </c>
      <c r="B49" s="21" t="n">
        <v>17</v>
      </c>
    </row>
    <row r="50" customFormat="false" ht="15" hidden="false" customHeight="false" outlineLevel="0" collapsed="false">
      <c r="A50" s="4" t="s">
        <v>467</v>
      </c>
      <c r="B50" s="19" t="n">
        <f aca="false">IFERROR(B49/B48,"")</f>
        <v>0.034</v>
      </c>
      <c r="C50" s="4" t="s">
        <v>468</v>
      </c>
    </row>
    <row r="51" customFormat="false" ht="15" hidden="false" customHeight="false" outlineLevel="0" collapsed="false">
      <c r="A51" s="4" t="s">
        <v>469</v>
      </c>
      <c r="B51" s="21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470</v>
      </c>
    </row>
    <row r="2" customFormat="false" ht="15" hidden="false" customHeight="false" outlineLevel="0" collapsed="false">
      <c r="A2" s="2" t="s">
        <v>471</v>
      </c>
    </row>
    <row r="3" customFormat="false" ht="27.75" hidden="false" customHeight="true" outlineLevel="0" collapsed="false">
      <c r="A3" s="3" t="s">
        <v>472</v>
      </c>
      <c r="B3" s="3" t="s">
        <v>3</v>
      </c>
      <c r="C3" s="3" t="s">
        <v>473</v>
      </c>
      <c r="D3" s="3" t="s">
        <v>474</v>
      </c>
      <c r="E3" s="3" t="s">
        <v>475</v>
      </c>
    </row>
    <row r="4" customFormat="false" ht="15" hidden="false" customHeight="false" outlineLevel="0" collapsed="false">
      <c r="A4" s="11" t="s">
        <v>476</v>
      </c>
      <c r="B4" s="18" t="n">
        <v>1.33</v>
      </c>
      <c r="C4" s="4" t="s">
        <v>477</v>
      </c>
      <c r="D4" s="11" t="s">
        <v>478</v>
      </c>
      <c r="E4" s="11" t="s">
        <v>479</v>
      </c>
    </row>
    <row r="5" customFormat="false" ht="15" hidden="false" customHeight="false" outlineLevel="0" collapsed="false">
      <c r="A5" s="11" t="s">
        <v>480</v>
      </c>
      <c r="B5" s="18" t="n">
        <v>0.8</v>
      </c>
      <c r="C5" s="4" t="s">
        <v>477</v>
      </c>
      <c r="D5" s="11" t="s">
        <v>478</v>
      </c>
      <c r="E5" s="11"/>
    </row>
    <row r="6" customFormat="false" ht="15" hidden="false" customHeight="false" outlineLevel="0" collapsed="false">
      <c r="A6" s="11" t="s">
        <v>481</v>
      </c>
      <c r="B6" s="18" t="n">
        <v>0.64</v>
      </c>
      <c r="C6" s="4" t="s">
        <v>477</v>
      </c>
      <c r="D6" s="11" t="s">
        <v>478</v>
      </c>
      <c r="E6" s="11"/>
    </row>
    <row r="7" customFormat="false" ht="15" hidden="false" customHeight="false" outlineLevel="0" collapsed="false">
      <c r="A7" s="11" t="s">
        <v>482</v>
      </c>
      <c r="B7" s="18" t="n">
        <v>0.68</v>
      </c>
      <c r="C7" s="4" t="s">
        <v>477</v>
      </c>
      <c r="D7" s="11" t="s">
        <v>478</v>
      </c>
      <c r="E7" s="11"/>
    </row>
    <row r="8" customFormat="false" ht="15" hidden="false" customHeight="false" outlineLevel="0" collapsed="false">
      <c r="A8" s="11" t="s">
        <v>483</v>
      </c>
      <c r="B8" s="18" t="n">
        <v>0.33</v>
      </c>
      <c r="C8" s="4" t="s">
        <v>388</v>
      </c>
      <c r="D8" s="11" t="s">
        <v>484</v>
      </c>
      <c r="E8" s="11" t="s">
        <v>485</v>
      </c>
    </row>
    <row r="9" customFormat="false" ht="57.45" hidden="false" customHeight="false" outlineLevel="0" collapsed="false">
      <c r="A9" s="11" t="s">
        <v>486</v>
      </c>
      <c r="B9" s="11" t="s">
        <v>487</v>
      </c>
      <c r="C9" s="4" t="s">
        <v>388</v>
      </c>
      <c r="D9" s="11" t="s">
        <v>488</v>
      </c>
      <c r="E9" s="11"/>
    </row>
    <row r="10" customFormat="false" ht="15" hidden="false" customHeight="false" outlineLevel="0" collapsed="false">
      <c r="A10" s="11" t="s">
        <v>489</v>
      </c>
      <c r="B10" s="21" t="n">
        <v>15</v>
      </c>
      <c r="C10" s="4" t="s">
        <v>388</v>
      </c>
      <c r="D10" s="11" t="s">
        <v>490</v>
      </c>
      <c r="E10" s="11" t="s">
        <v>491</v>
      </c>
    </row>
    <row r="11" customFormat="false" ht="15" hidden="false" customHeight="false" outlineLevel="0" collapsed="false">
      <c r="A11" s="11" t="s">
        <v>492</v>
      </c>
      <c r="B11" s="18" t="n">
        <v>0.45</v>
      </c>
      <c r="C11" s="4" t="s">
        <v>388</v>
      </c>
      <c r="D11" s="11" t="s">
        <v>493</v>
      </c>
      <c r="E11" s="11" t="s">
        <v>494</v>
      </c>
    </row>
    <row r="12" customFormat="false" ht="15" hidden="false" customHeight="false" outlineLevel="0" collapsed="false">
      <c r="A12" s="11" t="s">
        <v>495</v>
      </c>
      <c r="B12" s="18" t="n">
        <v>0.32</v>
      </c>
      <c r="C12" s="4" t="s">
        <v>387</v>
      </c>
      <c r="D12" s="11" t="s">
        <v>496</v>
      </c>
      <c r="E12" s="11" t="s">
        <v>497</v>
      </c>
    </row>
    <row r="13" customFormat="false" ht="15" hidden="false" customHeight="false" outlineLevel="0" collapsed="false">
      <c r="A13" s="11" t="s">
        <v>498</v>
      </c>
      <c r="B13" s="18" t="n">
        <v>0.73</v>
      </c>
      <c r="C13" s="4" t="s">
        <v>499</v>
      </c>
      <c r="D13" s="11" t="s">
        <v>500</v>
      </c>
      <c r="E13" s="11"/>
    </row>
    <row r="14" customFormat="false" ht="15" hidden="false" customHeight="false" outlineLevel="0" collapsed="false">
      <c r="A14" s="11" t="s">
        <v>501</v>
      </c>
      <c r="B14" s="18" t="n">
        <v>0.69</v>
      </c>
      <c r="C14" s="4" t="s">
        <v>499</v>
      </c>
      <c r="D14" s="11" t="s">
        <v>502</v>
      </c>
      <c r="E14" s="11"/>
    </row>
    <row r="15" customFormat="false" ht="15" hidden="false" customHeight="false" outlineLevel="0" collapsed="false">
      <c r="A15" s="11" t="s">
        <v>503</v>
      </c>
      <c r="B15" s="18" t="n">
        <v>0.42</v>
      </c>
      <c r="C15" s="4" t="s">
        <v>499</v>
      </c>
      <c r="D15" s="11" t="s">
        <v>504</v>
      </c>
      <c r="E15" s="11" t="s">
        <v>505</v>
      </c>
    </row>
    <row r="16" customFormat="false" ht="15" hidden="false" customHeight="false" outlineLevel="0" collapsed="false">
      <c r="A16" s="11" t="s">
        <v>506</v>
      </c>
      <c r="B16" s="18" t="n">
        <v>0.83</v>
      </c>
      <c r="C16" s="4" t="s">
        <v>499</v>
      </c>
      <c r="D16" s="11" t="s">
        <v>507</v>
      </c>
      <c r="E16" s="11"/>
    </row>
    <row r="17" customFormat="false" ht="15" hidden="false" customHeight="false" outlineLevel="0" collapsed="false">
      <c r="A17" s="11" t="s">
        <v>508</v>
      </c>
      <c r="B17" s="18" t="n">
        <v>0.24</v>
      </c>
      <c r="C17" s="4" t="s">
        <v>499</v>
      </c>
      <c r="D17" s="11" t="s">
        <v>504</v>
      </c>
      <c r="E17" s="11"/>
    </row>
    <row r="18" customFormat="false" ht="15" hidden="false" customHeight="false" outlineLevel="0" collapsed="false">
      <c r="A18" s="11" t="s">
        <v>509</v>
      </c>
      <c r="B18" s="18" t="n">
        <v>0.33</v>
      </c>
      <c r="C18" s="4" t="s">
        <v>499</v>
      </c>
      <c r="D18" s="11" t="s">
        <v>504</v>
      </c>
      <c r="E18" s="11"/>
    </row>
    <row r="19" customFormat="false" ht="15" hidden="false" customHeight="false" outlineLevel="0" collapsed="false">
      <c r="A19" s="11" t="s">
        <v>510</v>
      </c>
      <c r="B19" s="19" t="n">
        <f aca="false">B18-B17</f>
        <v>0.09</v>
      </c>
      <c r="C19" s="4" t="s">
        <v>499</v>
      </c>
      <c r="D19" s="11" t="s">
        <v>111</v>
      </c>
      <c r="E19" s="11"/>
    </row>
    <row r="20" customFormat="false" ht="15" hidden="false" customHeight="false" outlineLevel="0" collapsed="false">
      <c r="A20" s="11" t="s">
        <v>511</v>
      </c>
      <c r="B20" s="18" t="n">
        <v>0.75</v>
      </c>
      <c r="C20" s="4" t="s">
        <v>512</v>
      </c>
      <c r="D20" s="11" t="s">
        <v>513</v>
      </c>
      <c r="E20" s="11" t="s">
        <v>514</v>
      </c>
    </row>
    <row r="21" customFormat="false" ht="15" hidden="false" customHeight="false" outlineLevel="0" collapsed="false">
      <c r="A21" s="11" t="s">
        <v>515</v>
      </c>
      <c r="B21" s="18" t="n">
        <v>0.46</v>
      </c>
      <c r="C21" s="4" t="s">
        <v>512</v>
      </c>
      <c r="D21" s="11" t="s">
        <v>513</v>
      </c>
      <c r="E21" s="11" t="s">
        <v>514</v>
      </c>
    </row>
    <row r="22" customFormat="false" ht="15" hidden="false" customHeight="false" outlineLevel="0" collapsed="false">
      <c r="A22" s="11" t="s">
        <v>516</v>
      </c>
      <c r="B22" s="18" t="n">
        <v>0.27</v>
      </c>
      <c r="C22" s="4" t="s">
        <v>512</v>
      </c>
      <c r="D22" s="11" t="s">
        <v>513</v>
      </c>
      <c r="E22" s="11"/>
    </row>
    <row r="23" customFormat="false" ht="15" hidden="false" customHeight="false" outlineLevel="0" collapsed="false">
      <c r="A23" s="11" t="s">
        <v>517</v>
      </c>
      <c r="B23" s="18" t="n">
        <v>0.7</v>
      </c>
      <c r="C23" s="4" t="s">
        <v>518</v>
      </c>
      <c r="D23" s="11" t="s">
        <v>519</v>
      </c>
      <c r="E23" s="11"/>
    </row>
    <row r="24" customFormat="false" ht="15" hidden="false" customHeight="false" outlineLevel="0" collapsed="false">
      <c r="A24" s="11" t="s">
        <v>520</v>
      </c>
      <c r="B24" s="18" t="n">
        <v>0.55</v>
      </c>
      <c r="C24" s="4" t="s">
        <v>518</v>
      </c>
      <c r="D24" s="11" t="s">
        <v>519</v>
      </c>
      <c r="E24" s="11"/>
    </row>
    <row r="25" customFormat="false" ht="15" hidden="false" customHeight="false" outlineLevel="0" collapsed="false">
      <c r="A25" s="11" t="s">
        <v>521</v>
      </c>
      <c r="B25" s="18" t="n">
        <v>0.7</v>
      </c>
      <c r="C25" s="4" t="s">
        <v>518</v>
      </c>
      <c r="D25" s="11" t="s">
        <v>519</v>
      </c>
      <c r="E25" s="11"/>
    </row>
    <row r="26" customFormat="false" ht="15" hidden="false" customHeight="false" outlineLevel="0" collapsed="false">
      <c r="A26" s="11" t="s">
        <v>522</v>
      </c>
      <c r="B26" s="18" t="n">
        <v>0.92</v>
      </c>
      <c r="C26" s="4" t="s">
        <v>387</v>
      </c>
      <c r="D26" s="11" t="s">
        <v>523</v>
      </c>
      <c r="E26" s="16" t="s">
        <v>524</v>
      </c>
    </row>
    <row r="27" customFormat="false" ht="46.25" hidden="false" customHeight="false" outlineLevel="0" collapsed="false">
      <c r="A27" s="11" t="s">
        <v>525</v>
      </c>
      <c r="B27" s="11" t="s">
        <v>526</v>
      </c>
      <c r="C27" s="4" t="s">
        <v>387</v>
      </c>
      <c r="D27" s="11" t="s">
        <v>527</v>
      </c>
      <c r="E27" s="11"/>
    </row>
  </sheetData>
  <autoFilter ref="A3:E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56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528</v>
      </c>
    </row>
    <row r="2" customFormat="false" ht="15" hidden="false" customHeight="false" outlineLevel="0" collapsed="false">
      <c r="A2" s="2" t="s">
        <v>529</v>
      </c>
    </row>
    <row r="3" customFormat="false" ht="27.75" hidden="false" customHeight="true" outlineLevel="0" collapsed="false">
      <c r="A3" s="3" t="s">
        <v>145</v>
      </c>
      <c r="B3" s="3" t="s">
        <v>530</v>
      </c>
      <c r="C3" s="3" t="s">
        <v>433</v>
      </c>
      <c r="D3" s="3" t="s">
        <v>531</v>
      </c>
      <c r="E3" s="3" t="s">
        <v>473</v>
      </c>
    </row>
    <row r="4" customFormat="false" ht="15" hidden="false" customHeight="false" outlineLevel="0" collapsed="false">
      <c r="A4" s="4" t="s">
        <v>532</v>
      </c>
      <c r="B4" s="11" t="s">
        <v>533</v>
      </c>
      <c r="C4" s="11" t="s">
        <v>534</v>
      </c>
      <c r="D4" s="4" t="s">
        <v>535</v>
      </c>
      <c r="E4" s="4" t="s">
        <v>387</v>
      </c>
    </row>
    <row r="5" customFormat="false" ht="23.85" hidden="false" customHeight="false" outlineLevel="0" collapsed="false">
      <c r="A5" s="4" t="s">
        <v>536</v>
      </c>
      <c r="B5" s="11" t="s">
        <v>537</v>
      </c>
      <c r="C5" s="11" t="s">
        <v>538</v>
      </c>
      <c r="D5" s="4" t="s">
        <v>535</v>
      </c>
      <c r="E5" s="4" t="s">
        <v>539</v>
      </c>
    </row>
    <row r="6" customFormat="false" ht="23.85" hidden="false" customHeight="false" outlineLevel="0" collapsed="false">
      <c r="A6" s="4" t="s">
        <v>540</v>
      </c>
      <c r="B6" s="11" t="s">
        <v>541</v>
      </c>
      <c r="C6" s="11" t="s">
        <v>542</v>
      </c>
      <c r="D6" s="4" t="s">
        <v>543</v>
      </c>
      <c r="E6" s="4" t="s">
        <v>539</v>
      </c>
    </row>
    <row r="7" customFormat="false" ht="23.85" hidden="false" customHeight="false" outlineLevel="0" collapsed="false">
      <c r="A7" s="4" t="s">
        <v>544</v>
      </c>
      <c r="B7" s="11" t="s">
        <v>545</v>
      </c>
      <c r="C7" s="11" t="s">
        <v>546</v>
      </c>
      <c r="D7" s="4" t="s">
        <v>547</v>
      </c>
      <c r="E7" s="4" t="s">
        <v>539</v>
      </c>
    </row>
    <row r="8" customFormat="false" ht="15" hidden="false" customHeight="false" outlineLevel="0" collapsed="false">
      <c r="A8" s="4" t="s">
        <v>544</v>
      </c>
      <c r="B8" s="11" t="s">
        <v>548</v>
      </c>
      <c r="C8" s="11" t="s">
        <v>549</v>
      </c>
      <c r="D8" s="4" t="s">
        <v>535</v>
      </c>
      <c r="E8" s="4" t="s">
        <v>539</v>
      </c>
    </row>
    <row r="9" customFormat="false" ht="15" hidden="false" customHeight="false" outlineLevel="0" collapsed="false">
      <c r="A9" s="4" t="s">
        <v>550</v>
      </c>
      <c r="B9" s="11" t="s">
        <v>551</v>
      </c>
      <c r="C9" s="11" t="s">
        <v>552</v>
      </c>
      <c r="D9" s="4" t="s">
        <v>553</v>
      </c>
      <c r="E9" s="4" t="s">
        <v>539</v>
      </c>
    </row>
    <row r="10" customFormat="false" ht="23.85" hidden="false" customHeight="false" outlineLevel="0" collapsed="false">
      <c r="A10" s="4" t="s">
        <v>554</v>
      </c>
      <c r="B10" s="11" t="s">
        <v>555</v>
      </c>
      <c r="C10" s="11"/>
      <c r="D10" s="4" t="s">
        <v>556</v>
      </c>
      <c r="E10" s="4" t="s">
        <v>539</v>
      </c>
    </row>
    <row r="11" customFormat="false" ht="15" hidden="false" customHeight="false" outlineLevel="0" collapsed="false">
      <c r="A11" s="4" t="s">
        <v>557</v>
      </c>
      <c r="B11" s="11" t="s">
        <v>558</v>
      </c>
      <c r="C11" s="11" t="s">
        <v>559</v>
      </c>
      <c r="D11" s="4" t="s">
        <v>560</v>
      </c>
      <c r="E11" s="4" t="s">
        <v>539</v>
      </c>
    </row>
    <row r="12" customFormat="false" ht="15" hidden="false" customHeight="false" outlineLevel="0" collapsed="false">
      <c r="A12" s="4" t="s">
        <v>561</v>
      </c>
      <c r="B12" s="11" t="s">
        <v>562</v>
      </c>
      <c r="C12" s="11" t="s">
        <v>563</v>
      </c>
      <c r="D12" s="4" t="s">
        <v>564</v>
      </c>
      <c r="E12" s="4" t="s">
        <v>539</v>
      </c>
    </row>
    <row r="13" customFormat="false" ht="15" hidden="false" customHeight="false" outlineLevel="0" collapsed="false">
      <c r="A13" s="4" t="s">
        <v>565</v>
      </c>
      <c r="B13" s="11" t="s">
        <v>566</v>
      </c>
      <c r="C13" s="11" t="s">
        <v>567</v>
      </c>
      <c r="D13" s="4" t="s">
        <v>568</v>
      </c>
      <c r="E13" s="4" t="s">
        <v>539</v>
      </c>
    </row>
    <row r="14" customFormat="false" ht="15" hidden="false" customHeight="false" outlineLevel="0" collapsed="false">
      <c r="A14" s="4" t="s">
        <v>550</v>
      </c>
      <c r="B14" s="11" t="s">
        <v>569</v>
      </c>
      <c r="C14" s="11" t="s">
        <v>570</v>
      </c>
      <c r="D14" s="4" t="s">
        <v>180</v>
      </c>
      <c r="E14" s="4" t="s">
        <v>387</v>
      </c>
    </row>
    <row r="15" customFormat="false" ht="23.85" hidden="false" customHeight="false" outlineLevel="0" collapsed="false">
      <c r="A15" s="4" t="s">
        <v>571</v>
      </c>
      <c r="B15" s="11" t="s">
        <v>572</v>
      </c>
      <c r="C15" s="16" t="s">
        <v>573</v>
      </c>
      <c r="D15" s="4" t="s">
        <v>574</v>
      </c>
      <c r="E15" s="4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575</v>
      </c>
    </row>
    <row r="2" customFormat="false" ht="15" hidden="false" customHeight="false" outlineLevel="0" collapsed="false">
      <c r="A2" s="2" t="s">
        <v>576</v>
      </c>
    </row>
    <row r="3" customFormat="false" ht="27.75" hidden="false" customHeight="true" outlineLevel="0" collapsed="false">
      <c r="A3" s="3" t="s">
        <v>212</v>
      </c>
      <c r="B3" s="3" t="s">
        <v>577</v>
      </c>
      <c r="C3" s="3" t="s">
        <v>578</v>
      </c>
      <c r="D3" s="3" t="s">
        <v>579</v>
      </c>
    </row>
    <row r="4" customFormat="false" ht="15" hidden="false" customHeight="false" outlineLevel="0" collapsed="false">
      <c r="A4" s="4" t="s">
        <v>580</v>
      </c>
      <c r="B4" s="4" t="s">
        <v>581</v>
      </c>
      <c r="C4" s="11" t="s">
        <v>582</v>
      </c>
      <c r="D4" s="4" t="s">
        <v>583</v>
      </c>
    </row>
    <row r="5" customFormat="false" ht="23.85" hidden="false" customHeight="false" outlineLevel="0" collapsed="false">
      <c r="A5" s="4" t="s">
        <v>580</v>
      </c>
      <c r="B5" s="4" t="s">
        <v>584</v>
      </c>
      <c r="C5" s="11" t="s">
        <v>585</v>
      </c>
      <c r="D5" s="4" t="s">
        <v>583</v>
      </c>
    </row>
    <row r="6" customFormat="false" ht="15" hidden="false" customHeight="false" outlineLevel="0" collapsed="false">
      <c r="A6" s="4" t="s">
        <v>580</v>
      </c>
      <c r="B6" s="4" t="s">
        <v>586</v>
      </c>
      <c r="C6" s="11" t="s">
        <v>587</v>
      </c>
      <c r="D6" s="4" t="s">
        <v>588</v>
      </c>
    </row>
    <row r="7" customFormat="false" ht="15" hidden="false" customHeight="false" outlineLevel="0" collapsed="false">
      <c r="A7" s="4" t="s">
        <v>580</v>
      </c>
      <c r="B7" s="4" t="s">
        <v>589</v>
      </c>
      <c r="C7" s="11" t="s">
        <v>590</v>
      </c>
      <c r="D7" s="4" t="s">
        <v>591</v>
      </c>
    </row>
    <row r="8" customFormat="false" ht="15" hidden="false" customHeight="false" outlineLevel="0" collapsed="false">
      <c r="A8" s="4" t="s">
        <v>592</v>
      </c>
      <c r="B8" s="4" t="s">
        <v>593</v>
      </c>
      <c r="C8" s="11" t="s">
        <v>594</v>
      </c>
      <c r="D8" s="4" t="s">
        <v>583</v>
      </c>
    </row>
    <row r="9" customFormat="false" ht="15" hidden="false" customHeight="false" outlineLevel="0" collapsed="false">
      <c r="A9" s="4" t="s">
        <v>592</v>
      </c>
      <c r="B9" s="4" t="s">
        <v>595</v>
      </c>
      <c r="C9" s="11" t="s">
        <v>596</v>
      </c>
      <c r="D9" s="4" t="s">
        <v>583</v>
      </c>
    </row>
    <row r="10" customFormat="false" ht="15" hidden="false" customHeight="false" outlineLevel="0" collapsed="false">
      <c r="A10" s="4" t="s">
        <v>592</v>
      </c>
      <c r="B10" s="4" t="s">
        <v>597</v>
      </c>
      <c r="C10" s="11" t="s">
        <v>598</v>
      </c>
      <c r="D10" s="4" t="s">
        <v>588</v>
      </c>
    </row>
    <row r="11" customFormat="false" ht="15" hidden="false" customHeight="false" outlineLevel="0" collapsed="false">
      <c r="A11" s="4" t="s">
        <v>592</v>
      </c>
      <c r="B11" s="4" t="s">
        <v>599</v>
      </c>
      <c r="C11" s="11" t="s">
        <v>600</v>
      </c>
      <c r="D11" s="4" t="s">
        <v>588</v>
      </c>
    </row>
    <row r="12" customFormat="false" ht="15" hidden="false" customHeight="false" outlineLevel="0" collapsed="false">
      <c r="A12" s="4" t="s">
        <v>592</v>
      </c>
      <c r="B12" s="4" t="s">
        <v>601</v>
      </c>
      <c r="C12" s="11" t="s">
        <v>602</v>
      </c>
      <c r="D12" s="4" t="s">
        <v>588</v>
      </c>
    </row>
    <row r="13" customFormat="false" ht="15" hidden="false" customHeight="false" outlineLevel="0" collapsed="false">
      <c r="A13" s="4" t="s">
        <v>603</v>
      </c>
      <c r="B13" s="4" t="s">
        <v>604</v>
      </c>
      <c r="C13" s="11" t="s">
        <v>605</v>
      </c>
      <c r="D13" s="4" t="s">
        <v>588</v>
      </c>
    </row>
    <row r="14" customFormat="false" ht="23.85" hidden="false" customHeight="false" outlineLevel="0" collapsed="false">
      <c r="A14" s="4" t="s">
        <v>603</v>
      </c>
      <c r="B14" s="4" t="s">
        <v>606</v>
      </c>
      <c r="C14" s="11" t="s">
        <v>607</v>
      </c>
      <c r="D14" s="4" t="s">
        <v>591</v>
      </c>
    </row>
    <row r="15" customFormat="false" ht="15" hidden="false" customHeight="false" outlineLevel="0" collapsed="false">
      <c r="A15" s="4" t="s">
        <v>603</v>
      </c>
      <c r="B15" s="4" t="s">
        <v>608</v>
      </c>
      <c r="C15" s="11" t="s">
        <v>609</v>
      </c>
      <c r="D15" s="4" t="s">
        <v>591</v>
      </c>
    </row>
  </sheetData>
  <autoFilter ref="A3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610</v>
      </c>
    </row>
    <row r="3" customFormat="false" ht="27.75" hidden="false" customHeight="true" outlineLevel="0" collapsed="false">
      <c r="A3" s="3" t="s">
        <v>611</v>
      </c>
      <c r="B3" s="3" t="s">
        <v>612</v>
      </c>
      <c r="C3" s="3" t="s">
        <v>613</v>
      </c>
      <c r="D3" s="3" t="s">
        <v>333</v>
      </c>
      <c r="E3" s="3" t="s">
        <v>614</v>
      </c>
    </row>
    <row r="4" customFormat="false" ht="15" hidden="false" customHeight="false" outlineLevel="0" collapsed="false">
      <c r="A4" s="23" t="n">
        <v>1</v>
      </c>
      <c r="B4" s="11" t="s">
        <v>615</v>
      </c>
      <c r="C4" s="4" t="s">
        <v>616</v>
      </c>
      <c r="D4" s="4" t="s">
        <v>366</v>
      </c>
      <c r="E4" s="33" t="s">
        <v>617</v>
      </c>
    </row>
    <row r="5" customFormat="false" ht="15" hidden="false" customHeight="false" outlineLevel="0" collapsed="false">
      <c r="A5" s="23" t="n">
        <v>2</v>
      </c>
      <c r="B5" s="11" t="s">
        <v>618</v>
      </c>
      <c r="C5" s="4" t="s">
        <v>616</v>
      </c>
      <c r="D5" s="4" t="s">
        <v>379</v>
      </c>
      <c r="E5" s="33" t="s">
        <v>619</v>
      </c>
    </row>
    <row r="6" customFormat="false" ht="15" hidden="false" customHeight="false" outlineLevel="0" collapsed="false">
      <c r="A6" s="23" t="n">
        <v>3</v>
      </c>
      <c r="B6" s="11" t="s">
        <v>620</v>
      </c>
      <c r="C6" s="4" t="s">
        <v>616</v>
      </c>
      <c r="D6" s="4" t="s">
        <v>310</v>
      </c>
      <c r="E6" s="33" t="s">
        <v>621</v>
      </c>
    </row>
    <row r="7" customFormat="false" ht="15" hidden="false" customHeight="false" outlineLevel="0" collapsed="false">
      <c r="A7" s="23" t="n">
        <v>4</v>
      </c>
      <c r="B7" s="11" t="s">
        <v>622</v>
      </c>
      <c r="C7" s="4" t="s">
        <v>616</v>
      </c>
      <c r="D7" s="4" t="s">
        <v>308</v>
      </c>
      <c r="E7" s="33" t="s">
        <v>623</v>
      </c>
    </row>
    <row r="8" customFormat="false" ht="15" hidden="false" customHeight="false" outlineLevel="0" collapsed="false">
      <c r="A8" s="23" t="n">
        <v>5</v>
      </c>
      <c r="B8" s="11" t="s">
        <v>624</v>
      </c>
      <c r="C8" s="4" t="s">
        <v>625</v>
      </c>
      <c r="D8" s="4" t="s">
        <v>366</v>
      </c>
      <c r="E8" s="33" t="s">
        <v>626</v>
      </c>
    </row>
    <row r="9" customFormat="false" ht="15" hidden="false" customHeight="false" outlineLevel="0" collapsed="false">
      <c r="A9" s="23" t="n">
        <v>6</v>
      </c>
      <c r="B9" s="11" t="s">
        <v>627</v>
      </c>
      <c r="C9" s="4" t="s">
        <v>271</v>
      </c>
      <c r="D9" s="4" t="s">
        <v>369</v>
      </c>
      <c r="E9" s="33" t="s">
        <v>628</v>
      </c>
    </row>
    <row r="10" customFormat="false" ht="15" hidden="false" customHeight="false" outlineLevel="0" collapsed="false">
      <c r="A10" s="23" t="n">
        <v>7</v>
      </c>
      <c r="B10" s="11" t="s">
        <v>629</v>
      </c>
      <c r="C10" s="4" t="s">
        <v>630</v>
      </c>
      <c r="D10" s="4" t="s">
        <v>379</v>
      </c>
      <c r="E10" s="33" t="s">
        <v>631</v>
      </c>
    </row>
    <row r="11" customFormat="false" ht="15" hidden="false" customHeight="false" outlineLevel="0" collapsed="false">
      <c r="A11" s="23" t="n">
        <v>8</v>
      </c>
      <c r="B11" s="11" t="s">
        <v>632</v>
      </c>
      <c r="C11" s="4" t="s">
        <v>633</v>
      </c>
      <c r="D11" s="4" t="s">
        <v>366</v>
      </c>
      <c r="E11" s="33" t="s">
        <v>634</v>
      </c>
    </row>
    <row r="12" customFormat="false" ht="15" hidden="false" customHeight="false" outlineLevel="0" collapsed="false">
      <c r="A12" s="23" t="n">
        <v>9</v>
      </c>
      <c r="B12" s="11" t="s">
        <v>635</v>
      </c>
      <c r="C12" s="4" t="s">
        <v>636</v>
      </c>
      <c r="D12" s="4" t="s">
        <v>366</v>
      </c>
      <c r="E12" s="33" t="s">
        <v>637</v>
      </c>
    </row>
    <row r="13" customFormat="false" ht="15" hidden="false" customHeight="false" outlineLevel="0" collapsed="false">
      <c r="A13" s="23" t="n">
        <v>10</v>
      </c>
      <c r="B13" s="11" t="s">
        <v>638</v>
      </c>
      <c r="C13" s="4" t="s">
        <v>639</v>
      </c>
      <c r="D13" s="4" t="s">
        <v>353</v>
      </c>
      <c r="E13" s="33" t="s">
        <v>640</v>
      </c>
    </row>
    <row r="14" customFormat="false" ht="15" hidden="false" customHeight="false" outlineLevel="0" collapsed="false">
      <c r="A14" s="23" t="n">
        <v>11</v>
      </c>
      <c r="B14" s="11" t="s">
        <v>641</v>
      </c>
      <c r="C14" s="4" t="s">
        <v>616</v>
      </c>
      <c r="D14" s="4" t="s">
        <v>353</v>
      </c>
      <c r="E14" s="33" t="s">
        <v>642</v>
      </c>
    </row>
    <row r="15" customFormat="false" ht="15" hidden="false" customHeight="false" outlineLevel="0" collapsed="false">
      <c r="A15" s="23" t="n">
        <v>12</v>
      </c>
      <c r="B15" s="11" t="s">
        <v>643</v>
      </c>
      <c r="C15" s="4" t="s">
        <v>644</v>
      </c>
      <c r="D15" s="4" t="s">
        <v>645</v>
      </c>
      <c r="E15" s="33" t="s">
        <v>646</v>
      </c>
    </row>
    <row r="16" customFormat="false" ht="15" hidden="false" customHeight="false" outlineLevel="0" collapsed="false">
      <c r="A16" s="23" t="n">
        <v>13</v>
      </c>
      <c r="B16" s="11" t="s">
        <v>647</v>
      </c>
      <c r="C16" s="4" t="s">
        <v>504</v>
      </c>
      <c r="D16" s="4" t="s">
        <v>645</v>
      </c>
      <c r="E16" s="33" t="s">
        <v>648</v>
      </c>
    </row>
    <row r="17" customFormat="false" ht="15" hidden="false" customHeight="false" outlineLevel="0" collapsed="false">
      <c r="A17" s="23" t="n">
        <v>14</v>
      </c>
      <c r="B17" s="11" t="s">
        <v>649</v>
      </c>
      <c r="C17" s="4" t="s">
        <v>650</v>
      </c>
      <c r="D17" s="4" t="s">
        <v>645</v>
      </c>
      <c r="E17" s="33" t="s">
        <v>651</v>
      </c>
    </row>
    <row r="18" customFormat="false" ht="15" hidden="false" customHeight="false" outlineLevel="0" collapsed="false">
      <c r="A18" s="23" t="n">
        <v>15</v>
      </c>
      <c r="B18" s="11" t="s">
        <v>652</v>
      </c>
      <c r="C18" s="4" t="s">
        <v>244</v>
      </c>
      <c r="D18" s="4" t="s">
        <v>653</v>
      </c>
      <c r="E18" s="33" t="s">
        <v>654</v>
      </c>
    </row>
    <row r="19" customFormat="false" ht="15" hidden="false" customHeight="false" outlineLevel="0" collapsed="false">
      <c r="A19" s="23" t="n">
        <v>16</v>
      </c>
      <c r="B19" s="11" t="s">
        <v>513</v>
      </c>
      <c r="C19" s="4" t="s">
        <v>655</v>
      </c>
      <c r="D19" s="4" t="s">
        <v>656</v>
      </c>
      <c r="E19" s="33" t="s">
        <v>657</v>
      </c>
    </row>
    <row r="20" customFormat="false" ht="15" hidden="false" customHeight="false" outlineLevel="0" collapsed="false">
      <c r="A20" s="23" t="n">
        <v>17</v>
      </c>
      <c r="B20" s="11" t="s">
        <v>658</v>
      </c>
      <c r="C20" s="4" t="s">
        <v>659</v>
      </c>
      <c r="D20" s="4" t="s">
        <v>308</v>
      </c>
      <c r="E20" s="33" t="s">
        <v>660</v>
      </c>
    </row>
    <row r="21" customFormat="false" ht="15" hidden="false" customHeight="false" outlineLevel="0" collapsed="false">
      <c r="A21" s="23" t="n">
        <v>18</v>
      </c>
      <c r="B21" s="11" t="s">
        <v>296</v>
      </c>
      <c r="C21" s="4" t="s">
        <v>661</v>
      </c>
      <c r="D21" s="4" t="s">
        <v>312</v>
      </c>
      <c r="E21" s="33" t="s">
        <v>662</v>
      </c>
    </row>
    <row r="22" customFormat="false" ht="15" hidden="false" customHeight="false" outlineLevel="0" collapsed="false">
      <c r="A22" s="23" t="n">
        <v>19</v>
      </c>
      <c r="B22" s="11" t="s">
        <v>663</v>
      </c>
      <c r="C22" s="4" t="s">
        <v>664</v>
      </c>
      <c r="D22" s="4" t="s">
        <v>357</v>
      </c>
      <c r="E22" s="33" t="s">
        <v>665</v>
      </c>
    </row>
    <row r="23" customFormat="false" ht="15" hidden="false" customHeight="false" outlineLevel="0" collapsed="false">
      <c r="A23" s="23" t="n">
        <v>20</v>
      </c>
      <c r="B23" s="11" t="s">
        <v>666</v>
      </c>
      <c r="C23" s="4" t="s">
        <v>667</v>
      </c>
      <c r="D23" s="4" t="s">
        <v>359</v>
      </c>
      <c r="E23" s="33" t="s">
        <v>668</v>
      </c>
    </row>
    <row r="24" customFormat="false" ht="15" hidden="false" customHeight="false" outlineLevel="0" collapsed="false">
      <c r="A24" s="23" t="n">
        <v>21</v>
      </c>
      <c r="B24" s="11" t="s">
        <v>669</v>
      </c>
      <c r="C24" s="4" t="s">
        <v>670</v>
      </c>
      <c r="D24" s="4"/>
      <c r="E24" s="33" t="s">
        <v>671</v>
      </c>
    </row>
    <row r="25" customFormat="false" ht="15" hidden="false" customHeight="false" outlineLevel="0" collapsed="false">
      <c r="A25" s="23" t="n">
        <v>22</v>
      </c>
      <c r="B25" s="11" t="s">
        <v>672</v>
      </c>
      <c r="C25" s="4" t="s">
        <v>673</v>
      </c>
      <c r="D25" s="4" t="s">
        <v>308</v>
      </c>
      <c r="E25" s="33" t="s">
        <v>674</v>
      </c>
    </row>
    <row r="26" customFormat="false" ht="15" hidden="false" customHeight="false" outlineLevel="0" collapsed="false">
      <c r="A26" s="23" t="n">
        <v>23</v>
      </c>
      <c r="B26" s="11" t="s">
        <v>675</v>
      </c>
      <c r="C26" s="4" t="s">
        <v>496</v>
      </c>
      <c r="D26" s="4" t="s">
        <v>676</v>
      </c>
      <c r="E26" s="33" t="s">
        <v>677</v>
      </c>
    </row>
    <row r="27" customFormat="false" ht="15" hidden="false" customHeight="false" outlineLevel="0" collapsed="false">
      <c r="A27" s="23" t="n">
        <v>24</v>
      </c>
      <c r="B27" s="11" t="s">
        <v>678</v>
      </c>
      <c r="C27" s="4" t="s">
        <v>679</v>
      </c>
      <c r="D27" s="4"/>
      <c r="E27" s="33" t="s">
        <v>680</v>
      </c>
    </row>
  </sheetData>
  <hyperlinks>
    <hyperlink ref="E4" r:id="rId1" display="https://www.thegrocer.co.uk/news/whole-foods-market-losses-in-the-uk-total-more-than-200m-as-sales-decline/709247.article"/>
    <hyperlink ref="E5" r:id="rId2" display="https://www.thegrocer.co.uk/news/whole-foods-market-losses-narrow-after-new-store-openings/719907.article"/>
    <hyperlink ref="E6" r:id="rId3" display="https://www.thegrocer.co.uk/news/whole-foods-market-uk-losses-narrow-after-value-push/696486.article"/>
    <hyperlink ref="E7" r:id="rId4" display="https://www.thegrocer.co.uk/news/whole-foods-market-sees-uk-losses-rise-to-26m/680536.article"/>
    <hyperlink ref="E8" r:id="rId5" display="https://www.retailgazette.co.uk/blog/2025/09/whole-foods-uk-losses/"/>
    <hyperlink ref="E9" r:id="rId6" display="https://www.wholefoodsmarket.com/company-info/newsroom/news-releases/whole-foods-market-to-open-six-new-u-k-stores"/>
    <hyperlink ref="E10" r:id="rId7" display="https://www.grocerydive.com/news/whole-foods-market-daily-shop-london-uk-store-openings-small-format/814557/"/>
    <hyperlink ref="E11" r:id="rId8" display="https://chainstoreage.com/amazon-closing-all-uk-amazon-fresh-stores-converting-five-whole-foods"/>
    <hyperlink ref="E12" r:id="rId9" display="https://www.aboutamazon.co.uk/news/retail/amazon-uk-online-grocery-delivery-amazon-fresh"/>
    <hyperlink ref="E13" r:id="rId10" display="https://www.grocerygazette.co.uk/2024/03/01/whole-foods-roll-out-uk-brands/"/>
    <hyperlink ref="E14" r:id="rId11" display="https://www.thegrocer.co.uk/news/whole-foods-market-to-shutter-two-stores-and-dartford-dc/689300.article"/>
    <hyperlink ref="E15" r:id="rId12" display="https://www.businesswire.com/news/home/20250227667597/en/Whole-Foods-Market-Expands-International-Footprint-with-New-U.K.-Location"/>
    <hyperlink ref="E16" r:id="rId13" display="https://www.soilassociation.org/certification/organic-market-report-2025/"/>
    <hyperlink ref="E17" r:id="rId14" display="https://www.agriland.co.uk/farming-news/report-uk-organic-market-expanded-by-7-3-in-2024/"/>
    <hyperlink ref="E18" r:id="rId15" display="https://www.kantar.com/uki/campaigns/grocery-market-share"/>
    <hyperlink ref="E19" r:id="rId16" display="https://www.jlpinsightsandmedia.co.uk/media/waitrose/"/>
    <hyperlink ref="E20" r:id="rId17" display="https://business.yougov.com/content/45119-which-supermarkets-provide-best-value-britain"/>
    <hyperlink ref="E21" r:id="rId18" display="https://www.questionpro.com/blog/whole-foods-market-nps/"/>
    <hyperlink ref="E22" r:id="rId19" display="https://progressivegrocer.com/whole-foods-market-releases-more-rigorous-animal-welfare-standards"/>
    <hyperlink ref="E23" r:id="rId20" display="https://www.businesswire.com/news/home/20240923383099/en/Gen-Z-Is-Hungry-for-Transparency-in-Food-Sustainability-and-Quality-Amid-Climate-Concerns-According-to-New-Whole-Foods-Market-Survey"/>
    <hyperlink ref="E24" r:id="rId21" display="https://www.supermarketnews.com/grocery-marketing/what-do-lohas-shoppers-want-"/>
    <hyperlink ref="E25" r:id="rId22" display="https://www.aol.com/news/meet-typical-whole-foods-shopper-142830882.html"/>
    <hyperlink ref="E26" r:id="rId23" display="https://www.statista.com/forecasts/1335340/365-by-whole-foods-market-organic-food-brand-profile-in-the-uk"/>
    <hyperlink ref="E27" r:id="rId24" display="https://uk.trustpilot.com/review/wholefoodsmarket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2026-10-23T16:12:48Z</dcterms:created>
  <dc:creator>openpyxl</dc:creator>
  <dc:description/>
  <dc:language>en-US</dc:language>
  <cp:lastModifiedBy/>
  <dcterms:modified xsi:type="dcterms:W3CDTF">2026-10-23T16:12:48Z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