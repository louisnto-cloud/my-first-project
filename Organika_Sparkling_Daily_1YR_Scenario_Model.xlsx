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3-Year" sheetId="9" state="visible" r:id="rId9"/>
    <sheet name="Pricing Lab" sheetId="10" state="visible" r:id="rId10"/>
    <sheet name="Unit Economics" sheetId="11" state="visible" r:id="rId11"/>
    <sheet name="Targets" sheetId="12" state="visible" r:id="rId12"/>
    <sheet name="Sensitivity" sheetId="13" state="visible" r:id="rId13"/>
    <sheet name="Checks" sheetId="14" state="visible" r:id="rId14"/>
    <sheet name="Guide" sheetId="15" state="visible" r:id="rId15"/>
    <sheet name="Review Log" sheetId="16" state="visible" r:id="rId16"/>
    <sheet name="Cover" sheetId="17" state="visible" r:id="rId17"/>
  </sheets>
  <definedNames>
    <definedName name="CP_Raspberry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3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Raspberry</t>
        </is>
      </c>
      <c r="D5" s="18" t="inlineStr">
        <is>
          <t>Passion Fruit Pineapple</t>
        </is>
      </c>
      <c r="E5" s="18" t="inlineStr">
        <is>
          <t>Lime Lemon</t>
        </is>
      </c>
      <c r="F5" s="18" t="inlineStr">
        <is>
          <t>Raspberry</t>
        </is>
      </c>
      <c r="G5" s="18" t="inlineStr">
        <is>
          <t>Passion Fruit Pineapple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Raspberry</t>
        </is>
      </c>
      <c r="D8" s="22" t="inlineStr">
        <is>
          <t>Passion Fruit Pineapple</t>
        </is>
      </c>
      <c r="E8" s="22" t="inlineStr">
        <is>
          <t>Lime Lemon</t>
        </is>
      </c>
      <c r="F8" s="22" t="inlineStr">
        <is>
          <t>Raspberry</t>
        </is>
      </c>
      <c r="G8" s="22" t="inlineStr">
        <is>
          <t>Passion Fruit Pineapple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0">
      <c r="B40" s="21" t="inlineStr">
        <is>
          <t xml:space="preserve">   3-yr volume growth / yr</t>
        </is>
      </c>
      <c r="C40" s="26" t="n">
        <v>0.25</v>
      </c>
    </row>
    <row r="41">
      <c r="B41" s="21" t="inlineStr">
        <is>
          <t xml:space="preserve">   3-yr price growth / yr</t>
        </is>
      </c>
      <c r="C41" s="26" t="n">
        <v>0.03</v>
      </c>
    </row>
    <row r="42">
      <c r="B42" s="21" t="inlineStr">
        <is>
          <t xml:space="preserve">   3-yr cost inflation / yr</t>
        </is>
      </c>
      <c r="C42" s="26" t="n">
        <v>0.02</v>
      </c>
    </row>
    <row r="44">
      <c r="B44" s="19" t="inlineStr">
        <is>
          <t>SCENARIO LEVERS</t>
        </is>
      </c>
      <c r="C44" s="20" t="n"/>
      <c r="D44" s="20" t="n"/>
      <c r="E44" s="20" t="n"/>
      <c r="F44" s="20" t="n"/>
      <c r="G44" s="20" t="n"/>
      <c r="H44" s="20" t="n"/>
      <c r="I44" s="20" t="n"/>
    </row>
    <row r="45">
      <c r="B45" s="17" t="inlineStr">
        <is>
          <t xml:space="preserve">   Scenario</t>
        </is>
      </c>
      <c r="C45" s="18" t="inlineStr">
        <is>
          <t>Volume x</t>
        </is>
      </c>
      <c r="D45" s="18" t="inlineStr">
        <is>
          <t>Price x</t>
        </is>
      </c>
      <c r="E45" s="18" t="inlineStr">
        <is>
          <t>Trade disc Δ</t>
        </is>
      </c>
    </row>
    <row r="46">
      <c r="B46" s="31" t="inlineStr">
        <is>
          <t xml:space="preserve">   Low</t>
        </is>
      </c>
      <c r="C46" s="32" t="n">
        <v>0.7</v>
      </c>
      <c r="D46" s="32" t="n">
        <v>0.95</v>
      </c>
      <c r="E46" s="26" t="n">
        <v>0.01</v>
      </c>
    </row>
    <row r="47">
      <c r="B47" s="31" t="inlineStr">
        <is>
          <t xml:space="preserve">   Base</t>
        </is>
      </c>
      <c r="C47" s="32" t="n">
        <v>1</v>
      </c>
      <c r="D47" s="32" t="n">
        <v>1</v>
      </c>
      <c r="E47" s="26" t="n">
        <v>0</v>
      </c>
    </row>
    <row r="48">
      <c r="B48" s="31" t="inlineStr">
        <is>
          <t xml:space="preserve">   High</t>
        </is>
      </c>
      <c r="C48" s="32" t="n">
        <v>1.3</v>
      </c>
      <c r="D48" s="32" t="n">
        <v>1</v>
      </c>
      <c r="E48" s="26" t="n">
        <v>0</v>
      </c>
    </row>
    <row r="49">
      <c r="B49" s="31" t="inlineStr">
        <is>
          <t xml:space="preserve">   Stretch</t>
        </is>
      </c>
      <c r="C49" s="32" t="n">
        <v>1.6</v>
      </c>
      <c r="D49" s="32" t="n">
        <v>1.05</v>
      </c>
      <c r="E49" s="26" t="n">
        <v>-0.01</v>
      </c>
    </row>
    <row r="51">
      <c r="B51" s="19" t="inlineStr">
        <is>
          <t>SEASONALITY (% of annual volume)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</row>
    <row r="52">
      <c r="C52" s="18" t="inlineStr">
        <is>
          <t>Jan</t>
        </is>
      </c>
      <c r="D52" s="18" t="inlineStr">
        <is>
          <t>Feb</t>
        </is>
      </c>
      <c r="E52" s="18" t="inlineStr">
        <is>
          <t>Mar</t>
        </is>
      </c>
      <c r="F52" s="18" t="inlineStr">
        <is>
          <t>Apr</t>
        </is>
      </c>
      <c r="G52" s="18" t="inlineStr">
        <is>
          <t>May</t>
        </is>
      </c>
      <c r="H52" s="18" t="inlineStr">
        <is>
          <t>Jun</t>
        </is>
      </c>
      <c r="I52" s="18" t="inlineStr">
        <is>
          <t>Jul</t>
        </is>
      </c>
      <c r="J52" s="18" t="inlineStr">
        <is>
          <t>Aug</t>
        </is>
      </c>
      <c r="K52" s="18" t="inlineStr">
        <is>
          <t>Sep</t>
        </is>
      </c>
      <c r="L52" s="18" t="inlineStr">
        <is>
          <t>Oct</t>
        </is>
      </c>
      <c r="M52" s="18" t="inlineStr">
        <is>
          <t>Nov</t>
        </is>
      </c>
      <c r="N52" s="18" t="inlineStr">
        <is>
          <t>Dec</t>
        </is>
      </c>
      <c r="O52" s="18" t="inlineStr">
        <is>
          <t>Check</t>
        </is>
      </c>
    </row>
    <row r="53">
      <c r="C53" s="26" t="n">
        <v>0.06</v>
      </c>
      <c r="D53" s="26" t="n">
        <v>0.06</v>
      </c>
      <c r="E53" s="26" t="n">
        <v>0.07000000000000001</v>
      </c>
      <c r="F53" s="26" t="n">
        <v>0.08</v>
      </c>
      <c r="G53" s="26" t="n">
        <v>0.1</v>
      </c>
      <c r="H53" s="26" t="n">
        <v>0.11</v>
      </c>
      <c r="I53" s="26" t="n">
        <v>0.12</v>
      </c>
      <c r="J53" s="26" t="n">
        <v>0.11</v>
      </c>
      <c r="K53" s="26" t="n">
        <v>0.09</v>
      </c>
      <c r="L53" s="26" t="n">
        <v>0.08</v>
      </c>
      <c r="M53" s="26" t="n">
        <v>0.06</v>
      </c>
      <c r="N53" s="26" t="n">
        <v>0.06</v>
      </c>
      <c r="O53" s="33">
        <f>SUM(C53:N53)</f>
        <v/>
      </c>
    </row>
  </sheetData>
  <mergeCells count="10">
    <mergeCell ref="B30:I30"/>
    <mergeCell ref="B44:I44"/>
    <mergeCell ref="B6:I6"/>
    <mergeCell ref="B10:I10"/>
    <mergeCell ref="C4:E4"/>
    <mergeCell ref="F4:H4"/>
    <mergeCell ref="B14:I14"/>
    <mergeCell ref="B22:I22"/>
    <mergeCell ref="B27:I27"/>
    <mergeCell ref="B51:N51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Raspberry</t>
        </is>
      </c>
      <c r="D6" s="18" t="inlineStr">
        <is>
          <t>Passion Fruit Pineapple</t>
        </is>
      </c>
      <c r="E6" s="18" t="inlineStr">
        <is>
          <t>Lime Lemon</t>
        </is>
      </c>
      <c r="F6" s="18" t="inlineStr">
        <is>
          <t>Raspberry</t>
        </is>
      </c>
      <c r="G6" s="18" t="inlineStr">
        <is>
          <t>Passion Fruit Pineapple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'Assumptions'!C28*'Assumptions'!$C$47*('Assumptions'!$D$47^'Assumptions'!$C$39)</f>
        <v/>
      </c>
      <c r="D8" s="36">
        <f>'Assumptions'!D28*'Assumptions'!$C$47*('Assumptions'!$D$47^'Assumptions'!$C$39)</f>
        <v/>
      </c>
      <c r="E8" s="36">
        <f>'Assumptions'!E28*'Assumptions'!$C$47*('Assumptions'!$D$47^'Assumptions'!$C$39)</f>
        <v/>
      </c>
      <c r="F8" s="36">
        <f>'Assumptions'!F28*'Assumptions'!$C$47*('Assumptions'!$D$47^'Assumptions'!$C$39)</f>
        <v/>
      </c>
      <c r="G8" s="36">
        <f>'Assumptions'!G28*'Assumptions'!$C$47*('Assumptions'!$D$47^'Assumptions'!$C$39)</f>
        <v/>
      </c>
      <c r="H8" s="36">
        <f>'Assumptions'!H28*'Assumptions'!$C$47*('Assumptions'!$D$47^'Assumptions'!$C$39)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'Assumptions'!C11*'Assumptions'!$D$47</f>
        <v/>
      </c>
      <c r="D10" s="27">
        <f>'Assumptions'!D11*'Assumptions'!$D$47</f>
        <v/>
      </c>
      <c r="E10" s="27">
        <f>'Assumptions'!E11*'Assumptions'!$D$47</f>
        <v/>
      </c>
      <c r="F10" s="27">
        <f>'Assumptions'!F11*'Assumptions'!$D$47</f>
        <v/>
      </c>
      <c r="G10" s="27">
        <f>'Assumptions'!G11*'Assumptions'!$D$47</f>
        <v/>
      </c>
      <c r="H10" s="27">
        <f>'Assumptions'!H11*'Assumptions'!$D$47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'Assumptions'!C12+'Assumptions'!$E$47</f>
        <v/>
      </c>
      <c r="D11" s="40">
        <f>'Assumptions'!D12+'Assumptions'!$E$47</f>
        <v/>
      </c>
      <c r="E11" s="40">
        <f>'Assumptions'!E12+'Assumptions'!$E$47</f>
        <v/>
      </c>
      <c r="F11" s="40">
        <f>'Assumptions'!F12+'Assumptions'!$E$47</f>
        <v/>
      </c>
      <c r="G11" s="40">
        <f>'Assumptions'!G12+'Assumptions'!$E$47</f>
        <v/>
      </c>
      <c r="H11" s="40">
        <f>'Assumptions'!H12+'Assumptions'!$E$47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Raspberry</t>
        </is>
      </c>
      <c r="D6" s="18" t="inlineStr">
        <is>
          <t>Passion Fruit Pineapple</t>
        </is>
      </c>
      <c r="E6" s="18" t="inlineStr">
        <is>
          <t>Lime Lemon</t>
        </is>
      </c>
      <c r="F6" s="18" t="inlineStr">
        <is>
          <t>Raspberry</t>
        </is>
      </c>
      <c r="G6" s="18" t="inlineStr">
        <is>
          <t>Passion Fruit Pineapple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Raspberry</t>
        </is>
      </c>
      <c r="D6" s="18" t="inlineStr">
        <is>
          <t>Passion Fruit Pineapple</t>
        </is>
      </c>
      <c r="E6" s="18" t="inlineStr">
        <is>
          <t>Lime Lemon</t>
        </is>
      </c>
      <c r="F6" s="18" t="inlineStr">
        <is>
          <t>Raspberry</t>
        </is>
      </c>
      <c r="G6" s="18" t="inlineStr">
        <is>
          <t>Passion Fruit Pineapple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'Assumptions'!C28*'Assumptions'!$C$48*('Assumptions'!$D$48^'Assumptions'!$C$39)</f>
        <v/>
      </c>
      <c r="D8" s="36">
        <f>'Assumptions'!D28*'Assumptions'!$C$48*('Assumptions'!$D$48^'Assumptions'!$C$39)</f>
        <v/>
      </c>
      <c r="E8" s="36">
        <f>'Assumptions'!E28*'Assumptions'!$C$48*('Assumptions'!$D$48^'Assumptions'!$C$39)</f>
        <v/>
      </c>
      <c r="F8" s="36">
        <f>'Assumptions'!F28*'Assumptions'!$C$48*('Assumptions'!$D$48^'Assumptions'!$C$39)</f>
        <v/>
      </c>
      <c r="G8" s="36">
        <f>'Assumptions'!G28*'Assumptions'!$C$48*('Assumptions'!$D$48^'Assumptions'!$C$39)</f>
        <v/>
      </c>
      <c r="H8" s="36">
        <f>'Assumptions'!H28*'Assumptions'!$C$48*('Assumptions'!$D$48^'Assumptions'!$C$39)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'Assumptions'!C11*'Assumptions'!$D$48</f>
        <v/>
      </c>
      <c r="D10" s="27">
        <f>'Assumptions'!D11*'Assumptions'!$D$48</f>
        <v/>
      </c>
      <c r="E10" s="27">
        <f>'Assumptions'!E11*'Assumptions'!$D$48</f>
        <v/>
      </c>
      <c r="F10" s="27">
        <f>'Assumptions'!F11*'Assumptions'!$D$48</f>
        <v/>
      </c>
      <c r="G10" s="27">
        <f>'Assumptions'!G11*'Assumptions'!$D$48</f>
        <v/>
      </c>
      <c r="H10" s="27">
        <f>'Assumptions'!H11*'Assumptions'!$D$48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'Assumptions'!C12+'Assumptions'!$E$48</f>
        <v/>
      </c>
      <c r="D11" s="40">
        <f>'Assumptions'!D12+'Assumptions'!$E$48</f>
        <v/>
      </c>
      <c r="E11" s="40">
        <f>'Assumptions'!E12+'Assumptions'!$E$48</f>
        <v/>
      </c>
      <c r="F11" s="40">
        <f>'Assumptions'!F12+'Assumptions'!$E$48</f>
        <v/>
      </c>
      <c r="G11" s="40">
        <f>'Assumptions'!G12+'Assumptions'!$E$48</f>
        <v/>
      </c>
      <c r="H11" s="40">
        <f>'Assumptions'!H12+'Assumptions'!$E$48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Raspberry</t>
        </is>
      </c>
      <c r="D6" s="18" t="inlineStr">
        <is>
          <t>Passion Fruit Pineapple</t>
        </is>
      </c>
      <c r="E6" s="18" t="inlineStr">
        <is>
          <t>Lime Lemon</t>
        </is>
      </c>
      <c r="F6" s="18" t="inlineStr">
        <is>
          <t>Raspberry</t>
        </is>
      </c>
      <c r="G6" s="18" t="inlineStr">
        <is>
          <t>Passion Fruit Pineapple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'Assumptions'!C28*'Assumptions'!$C$49*('Assumptions'!$D$49^'Assumptions'!$C$39)</f>
        <v/>
      </c>
      <c r="D8" s="36">
        <f>'Assumptions'!D28*'Assumptions'!$C$49*('Assumptions'!$D$49^'Assumptions'!$C$39)</f>
        <v/>
      </c>
      <c r="E8" s="36">
        <f>'Assumptions'!E28*'Assumptions'!$C$49*('Assumptions'!$D$49^'Assumptions'!$C$39)</f>
        <v/>
      </c>
      <c r="F8" s="36">
        <f>'Assumptions'!F28*'Assumptions'!$C$49*('Assumptions'!$D$49^'Assumptions'!$C$39)</f>
        <v/>
      </c>
      <c r="G8" s="36">
        <f>'Assumptions'!G28*'Assumptions'!$C$49*('Assumptions'!$D$49^'Assumptions'!$C$39)</f>
        <v/>
      </c>
      <c r="H8" s="36">
        <f>'Assumptions'!H28*'Assumptions'!$C$49*('Assumptions'!$D$49^'Assumptions'!$C$39)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'Assumptions'!C11*'Assumptions'!$D$49</f>
        <v/>
      </c>
      <c r="D10" s="27">
        <f>'Assumptions'!D11*'Assumptions'!$D$49</f>
        <v/>
      </c>
      <c r="E10" s="27">
        <f>'Assumptions'!E11*'Assumptions'!$D$49</f>
        <v/>
      </c>
      <c r="F10" s="27">
        <f>'Assumptions'!F11*'Assumptions'!$D$49</f>
        <v/>
      </c>
      <c r="G10" s="27">
        <f>'Assumptions'!G11*'Assumptions'!$D$49</f>
        <v/>
      </c>
      <c r="H10" s="27">
        <f>'Assumptions'!H11*'Assumptions'!$D$49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'Assumptions'!C12+'Assumptions'!$E$49</f>
        <v/>
      </c>
      <c r="D11" s="40">
        <f>'Assumptions'!D12+'Assumptions'!$E$49</f>
        <v/>
      </c>
      <c r="E11" s="40">
        <f>'Assumptions'!E12+'Assumptions'!$E$49</f>
        <v/>
      </c>
      <c r="F11" s="40">
        <f>'Assumptions'!F12+'Assumptions'!$E$49</f>
        <v/>
      </c>
      <c r="G11" s="40">
        <f>'Assumptions'!G12+'Assumptions'!$E$49</f>
        <v/>
      </c>
      <c r="H11" s="40">
        <f>'Assumptions'!H12+'Assumptions'!$E$49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INDIRECT("'"&amp;$C$4&amp;"'!I8")*'Assumptions'!C$53</f>
        <v/>
      </c>
      <c r="D7" s="35">
        <f>INDIRECT("'"&amp;$C$4&amp;"'!I8")*'Assumptions'!D$53</f>
        <v/>
      </c>
      <c r="E7" s="35">
        <f>INDIRECT("'"&amp;$C$4&amp;"'!I8")*'Assumptions'!E$53</f>
        <v/>
      </c>
      <c r="F7" s="35">
        <f>INDIRECT("'"&amp;$C$4&amp;"'!I8")*'Assumptions'!F$53</f>
        <v/>
      </c>
      <c r="G7" s="35">
        <f>INDIRECT("'"&amp;$C$4&amp;"'!I8")*'Assumptions'!G$53</f>
        <v/>
      </c>
      <c r="H7" s="35">
        <f>INDIRECT("'"&amp;$C$4&amp;"'!I8")*'Assumptions'!H$53</f>
        <v/>
      </c>
      <c r="I7" s="35">
        <f>INDIRECT("'"&amp;$C$4&amp;"'!I8")*'Assumptions'!I$53</f>
        <v/>
      </c>
      <c r="J7" s="35">
        <f>INDIRECT("'"&amp;$C$4&amp;"'!I8")*'Assumptions'!J$53</f>
        <v/>
      </c>
      <c r="K7" s="35">
        <f>INDIRECT("'"&amp;$C$4&amp;"'!I8")*'Assumptions'!K$53</f>
        <v/>
      </c>
      <c r="L7" s="35">
        <f>INDIRECT("'"&amp;$C$4&amp;"'!I8")*'Assumptions'!L$53</f>
        <v/>
      </c>
      <c r="M7" s="35">
        <f>INDIRECT("'"&amp;$C$4&amp;"'!I8")*'Assumptions'!M$53</f>
        <v/>
      </c>
      <c r="N7" s="35">
        <f>INDIRECT("'"&amp;$C$4&amp;"'!I8")*'Assumptions'!N$53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INDIRECT("'"&amp;$C$4&amp;"'!I18")*'Assumptions'!C$53</f>
        <v/>
      </c>
      <c r="D8" s="37">
        <f>INDIRECT("'"&amp;$C$4&amp;"'!I18")*'Assumptions'!D$53</f>
        <v/>
      </c>
      <c r="E8" s="37">
        <f>INDIRECT("'"&amp;$C$4&amp;"'!I18")*'Assumptions'!E$53</f>
        <v/>
      </c>
      <c r="F8" s="37">
        <f>INDIRECT("'"&amp;$C$4&amp;"'!I18")*'Assumptions'!F$53</f>
        <v/>
      </c>
      <c r="G8" s="37">
        <f>INDIRECT("'"&amp;$C$4&amp;"'!I18")*'Assumptions'!G$53</f>
        <v/>
      </c>
      <c r="H8" s="37">
        <f>INDIRECT("'"&amp;$C$4&amp;"'!I18")*'Assumptions'!H$53</f>
        <v/>
      </c>
      <c r="I8" s="37">
        <f>INDIRECT("'"&amp;$C$4&amp;"'!I18")*'Assumptions'!I$53</f>
        <v/>
      </c>
      <c r="J8" s="37">
        <f>INDIRECT("'"&amp;$C$4&amp;"'!I18")*'Assumptions'!J$53</f>
        <v/>
      </c>
      <c r="K8" s="37">
        <f>INDIRECT("'"&amp;$C$4&amp;"'!I18")*'Assumptions'!K$53</f>
        <v/>
      </c>
      <c r="L8" s="37">
        <f>INDIRECT("'"&amp;$C$4&amp;"'!I18")*'Assumptions'!L$53</f>
        <v/>
      </c>
      <c r="M8" s="37">
        <f>INDIRECT("'"&amp;$C$4&amp;"'!I18")*'Assumptions'!M$53</f>
        <v/>
      </c>
      <c r="N8" s="37">
        <f>INDIRECT("'"&amp;$C$4&amp;"'!I18")*'Assumptions'!N$53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INDIRECT("'"&amp;$C$4&amp;"'!I22")*'Assumptions'!C$53</f>
        <v/>
      </c>
      <c r="D9" s="37">
        <f>INDIRECT("'"&amp;$C$4&amp;"'!I22")*'Assumptions'!D$53</f>
        <v/>
      </c>
      <c r="E9" s="37">
        <f>INDIRECT("'"&amp;$C$4&amp;"'!I22")*'Assumptions'!E$53</f>
        <v/>
      </c>
      <c r="F9" s="37">
        <f>INDIRECT("'"&amp;$C$4&amp;"'!I22")*'Assumptions'!F$53</f>
        <v/>
      </c>
      <c r="G9" s="37">
        <f>INDIRECT("'"&amp;$C$4&amp;"'!I22")*'Assumptions'!G$53</f>
        <v/>
      </c>
      <c r="H9" s="37">
        <f>INDIRECT("'"&amp;$C$4&amp;"'!I22")*'Assumptions'!H$53</f>
        <v/>
      </c>
      <c r="I9" s="37">
        <f>INDIRECT("'"&amp;$C$4&amp;"'!I22")*'Assumptions'!I$53</f>
        <v/>
      </c>
      <c r="J9" s="37">
        <f>INDIRECT("'"&amp;$C$4&amp;"'!I22")*'Assumptions'!J$53</f>
        <v/>
      </c>
      <c r="K9" s="37">
        <f>INDIRECT("'"&amp;$C$4&amp;"'!I22")*'Assumptions'!K$53</f>
        <v/>
      </c>
      <c r="L9" s="37">
        <f>INDIRECT("'"&amp;$C$4&amp;"'!I22")*'Assumptions'!L$53</f>
        <v/>
      </c>
      <c r="M9" s="37">
        <f>INDIRECT("'"&amp;$C$4&amp;"'!I22")*'Assumptions'!M$53</f>
        <v/>
      </c>
      <c r="N9" s="37">
        <f>INDIRECT("'"&amp;$C$4&amp;"'!I22")*'Assumptions'!N$53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INDIRECT("'"&amp;$C$4&amp;"'!I24")*'Assumptions'!C$53</f>
        <v/>
      </c>
      <c r="D10" s="37">
        <f>INDIRECT("'"&amp;$C$4&amp;"'!I24")*'Assumptions'!D$53</f>
        <v/>
      </c>
      <c r="E10" s="37">
        <f>INDIRECT("'"&amp;$C$4&amp;"'!I24")*'Assumptions'!E$53</f>
        <v/>
      </c>
      <c r="F10" s="37">
        <f>INDIRECT("'"&amp;$C$4&amp;"'!I24")*'Assumptions'!F$53</f>
        <v/>
      </c>
      <c r="G10" s="37">
        <f>INDIRECT("'"&amp;$C$4&amp;"'!I24")*'Assumptions'!G$53</f>
        <v/>
      </c>
      <c r="H10" s="37">
        <f>INDIRECT("'"&amp;$C$4&amp;"'!I24")*'Assumptions'!H$53</f>
        <v/>
      </c>
      <c r="I10" s="37">
        <f>INDIRECT("'"&amp;$C$4&amp;"'!I24")*'Assumptions'!I$53</f>
        <v/>
      </c>
      <c r="J10" s="37">
        <f>INDIRECT("'"&amp;$C$4&amp;"'!I24")*'Assumptions'!J$53</f>
        <v/>
      </c>
      <c r="K10" s="37">
        <f>INDIRECT("'"&amp;$C$4&amp;"'!I24")*'Assumptions'!K$53</f>
        <v/>
      </c>
      <c r="L10" s="37">
        <f>INDIRECT("'"&amp;$C$4&amp;"'!I24")*'Assumptions'!L$53</f>
        <v/>
      </c>
      <c r="M10" s="37">
        <f>INDIRECT("'"&amp;$C$4&amp;"'!I24")*'Assumptions'!M$53</f>
        <v/>
      </c>
      <c r="N10" s="37">
        <f>INDIRECT("'"&amp;$C$4&amp;"'!I24")*'Assumptions'!N$53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INDIRECT("'"&amp;$C$4&amp;"'!I25")*'Assumptions'!C$53</f>
        <v/>
      </c>
      <c r="D11" s="37">
        <f>INDIRECT("'"&amp;$C$4&amp;"'!I25")*'Assumptions'!D$53</f>
        <v/>
      </c>
      <c r="E11" s="37">
        <f>INDIRECT("'"&amp;$C$4&amp;"'!I25")*'Assumptions'!E$53</f>
        <v/>
      </c>
      <c r="F11" s="37">
        <f>INDIRECT("'"&amp;$C$4&amp;"'!I25")*'Assumptions'!F$53</f>
        <v/>
      </c>
      <c r="G11" s="37">
        <f>INDIRECT("'"&amp;$C$4&amp;"'!I25")*'Assumptions'!G$53</f>
        <v/>
      </c>
      <c r="H11" s="37">
        <f>INDIRECT("'"&amp;$C$4&amp;"'!I25")*'Assumptions'!H$53</f>
        <v/>
      </c>
      <c r="I11" s="37">
        <f>INDIRECT("'"&amp;$C$4&amp;"'!I25")*'Assumptions'!I$53</f>
        <v/>
      </c>
      <c r="J11" s="37">
        <f>INDIRECT("'"&amp;$C$4&amp;"'!I25")*'Assumptions'!J$53</f>
        <v/>
      </c>
      <c r="K11" s="37">
        <f>INDIRECT("'"&amp;$C$4&amp;"'!I25")*'Assumptions'!K$53</f>
        <v/>
      </c>
      <c r="L11" s="37">
        <f>INDIRECT("'"&amp;$C$4&amp;"'!I25")*'Assumptions'!L$53</f>
        <v/>
      </c>
      <c r="M11" s="37">
        <f>INDIRECT("'"&amp;$C$4&amp;"'!I25")*'Assumptions'!M$53</f>
        <v/>
      </c>
      <c r="N11" s="37">
        <f>INDIRECT("'"&amp;$C$4&amp;"'!I25")*'Assumptions'!N$53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0695C"/>
    <outlinePr summaryBelow="1" summaryRight="1"/>
    <pageSetUpPr fitToPage="1"/>
  </sheetPr>
  <dimension ref="B1:F31"/>
  <sheetViews>
    <sheetView showGridLines="0" tabSelected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B1" s="14" t="inlineStr">
        <is>
          <t>Sparkling Daily - 3-Year Projection</t>
        </is>
      </c>
    </row>
    <row r="2">
      <c r="B2" s="15" t="inlineStr">
        <is>
          <t>Grows the base year by the growth rates on Assumptions. Year 1 = base year, unlevered.</t>
        </is>
      </c>
    </row>
    <row r="4">
      <c r="B4" s="21" t="inlineStr">
        <is>
          <t>Kgr  base net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Kcos  base COGS (Σ vol·COS/case)</t>
        </is>
      </c>
      <c r="C5" s="38">
        <f>SUMPRODUCT('Assumptions'!C28:H28,'Assumptions'!C21:H21)</f>
        <v/>
      </c>
    </row>
    <row r="6">
      <c r="B6" s="21" t="inlineStr">
        <is>
          <t>Kap  base A&amp;P (Σ vol·A&amp;P/case)</t>
        </is>
      </c>
      <c r="C6" s="38">
        <f>SUMPRODUCT('Assumptions'!C28:H28,'Assumptions'!C26:H26)</f>
        <v/>
      </c>
    </row>
    <row r="7">
      <c r="B7" s="21" t="inlineStr">
        <is>
          <t>Fixed opex</t>
        </is>
      </c>
      <c r="C7" s="38">
        <f>'Assumptions'!C31+'Assumptions'!C32+'Assumptions'!C33+'Assumptions'!C34</f>
        <v/>
      </c>
    </row>
    <row r="8">
      <c r="B8" s="21" t="inlineStr">
        <is>
          <t>Logistics % of net</t>
        </is>
      </c>
      <c r="C8" s="40">
        <f>'Assumptions'!C35</f>
        <v/>
      </c>
    </row>
    <row r="9">
      <c r="B9" s="21" t="inlineStr">
        <is>
          <t>Base total cases</t>
        </is>
      </c>
      <c r="C9" s="36">
        <f>SUM('Assumptions'!C28:H28)</f>
        <v/>
      </c>
    </row>
    <row r="12">
      <c r="B12" s="17" t="inlineStr">
        <is>
          <t>3-Year (CDN $)</t>
        </is>
      </c>
      <c r="C12" s="18" t="inlineStr">
        <is>
          <t>Year 1</t>
        </is>
      </c>
      <c r="D12" s="18" t="inlineStr">
        <is>
          <t>Year 2</t>
        </is>
      </c>
      <c r="E12" s="18" t="inlineStr">
        <is>
          <t>Year 3</t>
        </is>
      </c>
      <c r="F12" s="18" t="inlineStr">
        <is>
          <t>CAGR</t>
        </is>
      </c>
    </row>
    <row r="13">
      <c r="B13" s="24" t="inlineStr">
        <is>
          <t xml:space="preserve">   Physical Cases</t>
        </is>
      </c>
      <c r="C13" s="46">
        <f>(1+'Assumptions'!$C$40)^0*$C$9</f>
        <v/>
      </c>
      <c r="D13" s="46">
        <f>(1+'Assumptions'!$C$40)^1*$C$9</f>
        <v/>
      </c>
      <c r="E13" s="46">
        <f>(1+'Assumptions'!$C$40)^2*$C$9</f>
        <v/>
      </c>
      <c r="F13" s="40">
        <f>IFERROR((E13/C13)^(1/2)-1,"")</f>
        <v/>
      </c>
    </row>
    <row r="14">
      <c r="B14" s="24" t="inlineStr">
        <is>
          <t xml:space="preserve">   Net Sales</t>
        </is>
      </c>
      <c r="C14" s="47">
        <f>(1+'Assumptions'!$C$40)^0*(1+'Assumptions'!$C$41)^0*$C$4</f>
        <v/>
      </c>
      <c r="D14" s="47">
        <f>(1+'Assumptions'!$C$40)^1*(1+'Assumptions'!$C$41)^1*$C$4</f>
        <v/>
      </c>
      <c r="E14" s="47">
        <f>(1+'Assumptions'!$C$40)^2*(1+'Assumptions'!$C$41)^2*$C$4</f>
        <v/>
      </c>
      <c r="F14" s="40">
        <f>IFERROR((E14/C14)^(1/2)-1,"")</f>
        <v/>
      </c>
    </row>
    <row r="15">
      <c r="B15" s="21" t="inlineStr">
        <is>
          <t xml:space="preserve">   Cost of Sales</t>
        </is>
      </c>
      <c r="C15" s="37">
        <f>(1+'Assumptions'!$C$40)^0*(1+'Assumptions'!$C$42)^0*$C$5</f>
        <v/>
      </c>
      <c r="D15" s="37">
        <f>(1+'Assumptions'!$C$40)^1*(1+'Assumptions'!$C$42)^1*$C$5</f>
        <v/>
      </c>
      <c r="E15" s="37">
        <f>(1+'Assumptions'!$C$40)^2*(1+'Assumptions'!$C$42)^2*$C$5</f>
        <v/>
      </c>
      <c r="F15" s="40">
        <f>IFERROR((E15/C15)^(1/2)-1,"")</f>
        <v/>
      </c>
    </row>
    <row r="16">
      <c r="B16" s="24" t="inlineStr">
        <is>
          <t xml:space="preserve">   Gross Profit</t>
        </is>
      </c>
      <c r="C16" s="47">
        <f>C14-C15</f>
        <v/>
      </c>
      <c r="D16" s="47">
        <f>D14-D15</f>
        <v/>
      </c>
      <c r="E16" s="47">
        <f>E14-E15</f>
        <v/>
      </c>
      <c r="F16" s="40">
        <f>IFERROR((E16/C16)^(1/2)-1,"")</f>
        <v/>
      </c>
    </row>
    <row r="17">
      <c r="B17" s="21" t="inlineStr">
        <is>
          <t xml:space="preserve">   GP %</t>
        </is>
      </c>
      <c r="C17" s="39">
        <f>IFERROR(C16/C14,0)</f>
        <v/>
      </c>
      <c r="D17" s="39">
        <f>IFERROR(D16/D14,0)</f>
        <v/>
      </c>
      <c r="E17" s="39">
        <f>IFERROR(E16/E14,0)</f>
        <v/>
      </c>
    </row>
    <row r="18">
      <c r="B18" s="21" t="inlineStr">
        <is>
          <t xml:space="preserve">   A&amp;P</t>
        </is>
      </c>
      <c r="C18" s="37">
        <f>(1+'Assumptions'!$C$40)^0*$C$6</f>
        <v/>
      </c>
      <c r="D18" s="37">
        <f>(1+'Assumptions'!$C$40)^1*$C$6</f>
        <v/>
      </c>
      <c r="E18" s="37">
        <f>(1+'Assumptions'!$C$40)^2*$C$6</f>
        <v/>
      </c>
      <c r="F18" s="40">
        <f>IFERROR((E18/C18)^(1/2)-1,"")</f>
        <v/>
      </c>
    </row>
    <row r="19">
      <c r="B19" s="24" t="inlineStr">
        <is>
          <t xml:space="preserve">   Contribution</t>
        </is>
      </c>
      <c r="C19" s="47">
        <f>C16-C18</f>
        <v/>
      </c>
      <c r="D19" s="47">
        <f>D16-D18</f>
        <v/>
      </c>
      <c r="E19" s="47">
        <f>E16-E18</f>
        <v/>
      </c>
      <c r="F19" s="40">
        <f>IFERROR((E19/C19)^(1/2)-1,"")</f>
        <v/>
      </c>
    </row>
    <row r="20">
      <c r="B20" s="21" t="inlineStr">
        <is>
          <t xml:space="preserve">   Logistics</t>
        </is>
      </c>
      <c r="C20" s="37">
        <f>$C$8*C14</f>
        <v/>
      </c>
      <c r="D20" s="37">
        <f>$C$8*D14</f>
        <v/>
      </c>
      <c r="E20" s="37">
        <f>$C$8*E14</f>
        <v/>
      </c>
      <c r="F20" s="40">
        <f>IFERROR((E20/C20)^(1/2)-1,"")</f>
        <v/>
      </c>
    </row>
    <row r="21">
      <c r="B21" s="21" t="inlineStr">
        <is>
          <t xml:space="preserve">   Fixed opex</t>
        </is>
      </c>
      <c r="C21" s="37">
        <f>$C$7</f>
        <v/>
      </c>
      <c r="D21" s="37">
        <f>$C$7</f>
        <v/>
      </c>
      <c r="E21" s="37">
        <f>$C$7</f>
        <v/>
      </c>
      <c r="F21" s="40">
        <f>IFERROR((E21/C21)^(1/2)-1,"")</f>
        <v/>
      </c>
    </row>
    <row r="22">
      <c r="B22" s="24" t="inlineStr">
        <is>
          <t xml:space="preserve">   EBITDA</t>
        </is>
      </c>
      <c r="C22" s="47">
        <f>C19-C20-C21</f>
        <v/>
      </c>
      <c r="D22" s="47">
        <f>D19-D20-D21</f>
        <v/>
      </c>
      <c r="E22" s="47">
        <f>E19-E20-E21</f>
        <v/>
      </c>
      <c r="F22" s="40">
        <f>IFERROR((E22/C22)^(1/2)-1,"")</f>
        <v/>
      </c>
    </row>
    <row r="23">
      <c r="B23" s="21" t="inlineStr">
        <is>
          <t xml:space="preserve">   EBITDA %</t>
        </is>
      </c>
      <c r="C23" s="39">
        <f>IFERROR(C22/C14,0)</f>
        <v/>
      </c>
      <c r="D23" s="39">
        <f>IFERROR(D22/D14,0)</f>
        <v/>
      </c>
      <c r="E23" s="39">
        <f>IFERROR(E22/E14,0)</f>
        <v/>
      </c>
    </row>
    <row r="24">
      <c r="B24" s="21" t="inlineStr">
        <is>
          <t xml:space="preserve">   D&amp;A</t>
        </is>
      </c>
      <c r="C24" s="37">
        <f>'Assumptions'!$C$36</f>
        <v/>
      </c>
      <c r="D24" s="37">
        <f>'Assumptions'!$C$36</f>
        <v/>
      </c>
      <c r="E24" s="37">
        <f>'Assumptions'!$C$36</f>
        <v/>
      </c>
      <c r="F24" s="40">
        <f>IFERROR((E24/C24)^(1/2)-1,"")</f>
        <v/>
      </c>
    </row>
    <row r="25">
      <c r="B25" s="24" t="inlineStr">
        <is>
          <t xml:space="preserve">   EBIT</t>
        </is>
      </c>
      <c r="C25" s="47">
        <f>C22-C24</f>
        <v/>
      </c>
      <c r="D25" s="47">
        <f>D22-D24</f>
        <v/>
      </c>
      <c r="E25" s="47">
        <f>E22-E24</f>
        <v/>
      </c>
      <c r="F25" s="40">
        <f>IFERROR((E25/C25)^(1/2)-1,"")</f>
        <v/>
      </c>
    </row>
    <row r="26">
      <c r="B26" s="21" t="inlineStr">
        <is>
          <t xml:space="preserve">   Interest</t>
        </is>
      </c>
      <c r="C26" s="37">
        <f>'Assumptions'!$C$37</f>
        <v/>
      </c>
      <c r="D26" s="37">
        <f>'Assumptions'!$C$37</f>
        <v/>
      </c>
      <c r="E26" s="37">
        <f>'Assumptions'!$C$37</f>
        <v/>
      </c>
      <c r="F26" s="40">
        <f>IFERROR((E26/C26)^(1/2)-1,"")</f>
        <v/>
      </c>
    </row>
    <row r="27">
      <c r="B27" s="24" t="inlineStr">
        <is>
          <t xml:space="preserve">   Pre-tax Profit</t>
        </is>
      </c>
      <c r="C27" s="47">
        <f>C25-C26</f>
        <v/>
      </c>
      <c r="D27" s="47">
        <f>D25-D26</f>
        <v/>
      </c>
      <c r="E27" s="47">
        <f>E25-E26</f>
        <v/>
      </c>
      <c r="F27" s="40">
        <f>IFERROR((E27/C27)^(1/2)-1,"")</f>
        <v/>
      </c>
    </row>
    <row r="28">
      <c r="B28" s="21" t="inlineStr">
        <is>
          <t xml:space="preserve">   Tax</t>
        </is>
      </c>
      <c r="C28" s="37">
        <f>MAX(0,C27*'Assumptions'!$C$38)</f>
        <v/>
      </c>
      <c r="D28" s="37">
        <f>MAX(0,D27*'Assumptions'!$C$38)</f>
        <v/>
      </c>
      <c r="E28" s="37">
        <f>MAX(0,E27*'Assumptions'!$C$38)</f>
        <v/>
      </c>
      <c r="F28" s="40">
        <f>IFERROR((E28/C28)^(1/2)-1,"")</f>
        <v/>
      </c>
    </row>
    <row r="29">
      <c r="B29" s="24" t="inlineStr">
        <is>
          <t xml:space="preserve">   Net Income</t>
        </is>
      </c>
      <c r="C29" s="47">
        <f>C27-C28</f>
        <v/>
      </c>
      <c r="D29" s="47">
        <f>D27-D28</f>
        <v/>
      </c>
      <c r="E29" s="47">
        <f>E27-E28</f>
        <v/>
      </c>
      <c r="F29" s="40">
        <f>IFERROR((E29/C29)^(1/2)-1,"")</f>
        <v/>
      </c>
    </row>
    <row r="31">
      <c r="B31" s="15" t="inlineStr">
        <is>
          <t>Year 1 = base year. Years 2-3 compound the growth rates. CAGR = annual growth across the 3 years.</t>
        </is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8" t="inlineStr">
        <is>
          <t>Gross Profit %  (by SKU, by CP)</t>
        </is>
      </c>
    </row>
    <row r="5">
      <c r="B5" s="17" t="inlineStr">
        <is>
          <t>SKU  \  CP vs base</t>
        </is>
      </c>
      <c r="C5" s="49" t="n">
        <v>0.85</v>
      </c>
      <c r="D5" s="49" t="n">
        <v>0.9</v>
      </c>
      <c r="E5" s="49" t="n">
        <v>0.95</v>
      </c>
      <c r="F5" s="49" t="n">
        <v>1</v>
      </c>
      <c r="G5" s="49" t="n">
        <v>1.05</v>
      </c>
      <c r="H5" s="49" t="n">
        <v>1.1</v>
      </c>
      <c r="I5" s="49" t="n">
        <v>1.15</v>
      </c>
    </row>
    <row r="6">
      <c r="B6" s="34" t="inlineStr">
        <is>
          <t xml:space="preserve">   Raspberry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 Fruit Pineapple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Raspberry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 Fruit Pineapple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8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9" t="n">
        <v>0.85</v>
      </c>
      <c r="D15" s="49" t="n">
        <v>0.9</v>
      </c>
      <c r="E15" s="49" t="n">
        <v>0.95</v>
      </c>
      <c r="F15" s="49" t="n">
        <v>1</v>
      </c>
      <c r="G15" s="49" t="n">
        <v>1.05</v>
      </c>
      <c r="H15" s="49" t="n">
        <v>1.1</v>
      </c>
      <c r="I15" s="49" t="n">
        <v>1.15</v>
      </c>
      <c r="K15" s="18" t="inlineStr">
        <is>
          <t>Best CP ×</t>
        </is>
      </c>
    </row>
    <row r="16">
      <c r="B16" s="34" t="inlineStr">
        <is>
          <t xml:space="preserve">   Raspberry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50">
        <f>INDEX($C$15:$I$15,MATCH(MAX(C16:I16),C16:I16,0))</f>
        <v/>
      </c>
    </row>
    <row r="17">
      <c r="B17" s="34" t="inlineStr">
        <is>
          <t xml:space="preserve">   Passion Fruit Pineapple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50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50">
        <f>INDEX($C$15:$I$15,MATCH(MAX(C18:I18),C18:I18,0))</f>
        <v/>
      </c>
    </row>
    <row r="19">
      <c r="B19" s="34" t="inlineStr">
        <is>
          <t xml:space="preserve">   Raspberry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50">
        <f>INDEX($C$15:$I$15,MATCH(MAX(C19:I19),C19:I19,0))</f>
        <v/>
      </c>
    </row>
    <row r="20">
      <c r="B20" s="34" t="inlineStr">
        <is>
          <t xml:space="preserve">   Passion Fruit Pineapple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50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50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H13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14" t="inlineStr">
        <is>
          <t>Sparkling Daily - Unit Economics &amp; Retail Price (FY2026)</t>
        </is>
      </c>
    </row>
    <row r="2">
      <c r="B2" s="15" t="inlineStr">
        <is>
          <t>Per-unit view of each SKU, plus the suggested shelf price at your retailer's margin.</t>
        </is>
      </c>
    </row>
    <row r="4">
      <c r="B4" s="24" t="inlineStr">
        <is>
          <t>Retailer margin</t>
        </is>
      </c>
      <c r="C4" s="26" t="n">
        <v>0.35</v>
      </c>
      <c r="D4" s="45" t="inlineStr">
        <is>
          <t>shelf price = wholesale unit price / (1 - margin)</t>
        </is>
      </c>
    </row>
    <row r="6">
      <c r="B6" s="17" t="inlineStr">
        <is>
          <t>Per unit (CDN $)</t>
        </is>
      </c>
      <c r="C6" s="18" t="inlineStr">
        <is>
          <t>Raspberry</t>
        </is>
      </c>
      <c r="D6" s="18" t="inlineStr">
        <is>
          <t>Passion Fruit Pineapple</t>
        </is>
      </c>
      <c r="E6" s="18" t="inlineStr">
        <is>
          <t>Lime Lemon</t>
        </is>
      </c>
      <c r="F6" s="18" t="inlineStr">
        <is>
          <t>Raspberry</t>
        </is>
      </c>
      <c r="G6" s="18" t="inlineStr">
        <is>
          <t>Passion Fruit Pineapple</t>
        </is>
      </c>
      <c r="H6" s="18" t="inlineStr">
        <is>
          <t>Lime Lemon</t>
        </is>
      </c>
    </row>
    <row r="7">
      <c r="B7" s="21" t="inlineStr">
        <is>
          <t xml:space="preserve">   Units per case</t>
        </is>
      </c>
      <c r="C7" s="36">
        <f>'Assumptions'!C9</f>
        <v/>
      </c>
      <c r="D7" s="36">
        <f>'Assumptions'!D9</f>
        <v/>
      </c>
      <c r="E7" s="36">
        <f>'Assumptions'!E9</f>
        <v/>
      </c>
      <c r="F7" s="36">
        <f>'Assumptions'!F9</f>
        <v/>
      </c>
      <c r="G7" s="36">
        <f>'Assumptions'!G9</f>
        <v/>
      </c>
      <c r="H7" s="36">
        <f>'Assumptions'!H9</f>
        <v/>
      </c>
    </row>
    <row r="8">
      <c r="B8" s="21" t="inlineStr">
        <is>
          <t xml:space="preserve">   Wholesale (CP) / unit</t>
        </is>
      </c>
      <c r="C8" s="27">
        <f>IFERROR('Assumptions'!C11/'Assumptions'!C9,0)</f>
        <v/>
      </c>
      <c r="D8" s="27">
        <f>IFERROR('Assumptions'!D11/'Assumptions'!D9,0)</f>
        <v/>
      </c>
      <c r="E8" s="27">
        <f>IFERROR('Assumptions'!E11/'Assumptions'!E9,0)</f>
        <v/>
      </c>
      <c r="F8" s="27">
        <f>IFERROR('Assumptions'!F11/'Assumptions'!F9,0)</f>
        <v/>
      </c>
      <c r="G8" s="27">
        <f>IFERROR('Assumptions'!G11/'Assumptions'!G9,0)</f>
        <v/>
      </c>
      <c r="H8" s="27">
        <f>IFERROR('Assumptions'!H11/'Assumptions'!H9,0)</f>
        <v/>
      </c>
    </row>
    <row r="9">
      <c r="B9" s="21" t="inlineStr">
        <is>
          <t xml:space="preserve">   Net / unit (after disc)</t>
        </is>
      </c>
      <c r="C9" s="27">
        <f>IFERROR('Assumptions'!C11*(1-'Assumptions'!C12)/'Assumptions'!C9,0)</f>
        <v/>
      </c>
      <c r="D9" s="27">
        <f>IFERROR('Assumptions'!D11*(1-'Assumptions'!D12)/'Assumptions'!D9,0)</f>
        <v/>
      </c>
      <c r="E9" s="27">
        <f>IFERROR('Assumptions'!E11*(1-'Assumptions'!E12)/'Assumptions'!E9,0)</f>
        <v/>
      </c>
      <c r="F9" s="27">
        <f>IFERROR('Assumptions'!F11*(1-'Assumptions'!F12)/'Assumptions'!F9,0)</f>
        <v/>
      </c>
      <c r="G9" s="27">
        <f>IFERROR('Assumptions'!G11*(1-'Assumptions'!G12)/'Assumptions'!G9,0)</f>
        <v/>
      </c>
      <c r="H9" s="27">
        <f>IFERROR('Assumptions'!H11*(1-'Assumptions'!H12)/'Assumptions'!H9,0)</f>
        <v/>
      </c>
    </row>
    <row r="10">
      <c r="B10" s="21" t="inlineStr">
        <is>
          <t xml:space="preserve">   COGS / unit</t>
        </is>
      </c>
      <c r="C10" s="27">
        <f>IFERROR('Assumptions'!C21/'Assumptions'!C9,0)</f>
        <v/>
      </c>
      <c r="D10" s="27">
        <f>IFERROR('Assumptions'!D21/'Assumptions'!D9,0)</f>
        <v/>
      </c>
      <c r="E10" s="27">
        <f>IFERROR('Assumptions'!E21/'Assumptions'!E9,0)</f>
        <v/>
      </c>
      <c r="F10" s="27">
        <f>IFERROR('Assumptions'!F21/'Assumptions'!F9,0)</f>
        <v/>
      </c>
      <c r="G10" s="27">
        <f>IFERROR('Assumptions'!G21/'Assumptions'!G9,0)</f>
        <v/>
      </c>
      <c r="H10" s="27">
        <f>IFERROR('Assumptions'!H21/'Assumptions'!H9,0)</f>
        <v/>
      </c>
    </row>
    <row r="11">
      <c r="B11" s="24" t="inlineStr">
        <is>
          <t xml:space="preserve">   Gross profit / unit</t>
        </is>
      </c>
      <c r="C11" s="28">
        <f>C9-C10</f>
        <v/>
      </c>
      <c r="D11" s="28">
        <f>D9-D10</f>
        <v/>
      </c>
      <c r="E11" s="28">
        <f>E9-E10</f>
        <v/>
      </c>
      <c r="F11" s="28">
        <f>F9-F10</f>
        <v/>
      </c>
      <c r="G11" s="28">
        <f>G9-G10</f>
        <v/>
      </c>
      <c r="H11" s="28">
        <f>H9-H10</f>
        <v/>
      </c>
    </row>
    <row r="12">
      <c r="B12" s="21" t="inlineStr">
        <is>
          <t xml:space="preserve">   GP %</t>
        </is>
      </c>
      <c r="C12" s="40">
        <f>IFERROR(C11/C9,0)</f>
        <v/>
      </c>
      <c r="D12" s="40">
        <f>IFERROR(D11/D9,0)</f>
        <v/>
      </c>
      <c r="E12" s="40">
        <f>IFERROR(E11/E9,0)</f>
        <v/>
      </c>
      <c r="F12" s="40">
        <f>IFERROR(F11/F9,0)</f>
        <v/>
      </c>
      <c r="G12" s="40">
        <f>IFERROR(G11/G9,0)</f>
        <v/>
      </c>
      <c r="H12" s="40">
        <f>IFERROR(H11/H9,0)</f>
        <v/>
      </c>
    </row>
    <row r="13">
      <c r="B13" s="24" t="inlineStr">
        <is>
          <t xml:space="preserve">   Suggested shelf / unit</t>
        </is>
      </c>
      <c r="C13" s="28">
        <f>IFERROR(C8/(1-$C$4),0)</f>
        <v/>
      </c>
      <c r="D13" s="28">
        <f>IFERROR(D8/(1-$C$4),0)</f>
        <v/>
      </c>
      <c r="E13" s="28">
        <f>IFERROR(E8/(1-$C$4),0)</f>
        <v/>
      </c>
      <c r="F13" s="28">
        <f>IFERROR(F8/(1-$C$4),0)</f>
        <v/>
      </c>
      <c r="G13" s="28">
        <f>IFERROR(G8/(1-$C$4),0)</f>
        <v/>
      </c>
      <c r="H13" s="28">
        <f>IFERROR(H8/(1-$C$4),0)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8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8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8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51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51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51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51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2">
        <f>'Assumptions'!C39</f>
        <v/>
      </c>
    </row>
    <row r="11">
      <c r="B11" s="48" t="inlineStr">
        <is>
          <t>EBITDA  ($)</t>
        </is>
      </c>
    </row>
    <row r="12">
      <c r="B12" s="18" t="inlineStr">
        <is>
          <t>Price x  \  Volume x</t>
        </is>
      </c>
      <c r="C12" s="49" t="n">
        <v>0.7</v>
      </c>
      <c r="D12" s="49" t="n">
        <v>0.9</v>
      </c>
      <c r="E12" s="49" t="n">
        <v>1</v>
      </c>
      <c r="F12" s="49" t="n">
        <v>1.1</v>
      </c>
      <c r="G12" s="49" t="n">
        <v>1.3</v>
      </c>
      <c r="H12" s="49" t="n">
        <v>1.5</v>
      </c>
      <c r="I12" s="49" t="n">
        <v>1.7</v>
      </c>
    </row>
    <row r="13">
      <c r="B13" s="49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9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9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9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9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9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8" t="inlineStr">
        <is>
          <t>BREAK-EVEN (at Base price)</t>
        </is>
      </c>
    </row>
    <row r="22">
      <c r="B22" s="21" t="inlineStr">
        <is>
          <t>Volume x for EBITDA = 0</t>
        </is>
      </c>
      <c r="C22" s="51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SUM('Assumptions'!C53:N53)</f>
        <v/>
      </c>
      <c r="D5" s="53">
        <f>IF(ABS(SUM('Assumptions'!C53:N53)-1)&lt;0.0001,"PASS","FAIL")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3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3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3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3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3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3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4">
        <f>MIN('Assumptions'!C46:C49)</f>
        <v/>
      </c>
      <c r="D12" s="53">
        <f>IF(MIN('Assumptions'!C46:C49)&gt;0,"PASS","FAIL")</f>
        <v/>
      </c>
    </row>
    <row r="13">
      <c r="B13" s="34" t="inlineStr">
        <is>
          <t>Price elasticity &lt;= 0 (demand sane)</t>
        </is>
      </c>
      <c r="C13" s="55">
        <f>'Assumptions'!C39</f>
        <v/>
      </c>
      <c r="D13" s="53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3">
        <f>IF(ABS('Dashboard'!D8-'Base'!I18)&lt;1,"PASS","FAIL")</f>
        <v/>
      </c>
    </row>
    <row r="16">
      <c r="B16" s="24" t="inlineStr">
        <is>
          <t>OVERALL</t>
        </is>
      </c>
      <c r="D16" s="53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6" t="inlineStr">
        <is>
          <t>Sparkling Daily — Model Guide</t>
        </is>
      </c>
    </row>
    <row r="2">
      <c r="B2" s="57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7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7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7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7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7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8" t="inlineStr">
        <is>
          <t>No single source of truth — costs hand-keyed in ~24 places across tabs.</t>
        </is>
      </c>
      <c r="D5" s="58" t="inlineStr">
        <is>
          <t>Added Assumptions tab; all scenarios/monthly/sensitivity read from it (DRY).</t>
        </is>
      </c>
      <c r="E5" s="53" t="inlineStr">
        <is>
          <t>Resolved</t>
        </is>
      </c>
    </row>
    <row r="6">
      <c r="B6" s="22" t="n">
        <v>2</v>
      </c>
      <c r="C6" s="58" t="inlineStr">
        <is>
          <t>Trade discount modelled as flat $/case — unrealistic.</t>
        </is>
      </c>
      <c r="D6" s="58" t="inlineStr">
        <is>
          <t>Now % of gross revenue, per SKU, flexed by scenario.</t>
        </is>
      </c>
      <c r="E6" s="53" t="inlineStr">
        <is>
          <t>Resolved</t>
        </is>
      </c>
    </row>
    <row r="7">
      <c r="B7" s="22" t="n">
        <v>3</v>
      </c>
      <c r="C7" s="58" t="inlineStr">
        <is>
          <t>COGS was a single lump — no cost visibility.</t>
        </is>
      </c>
      <c r="D7" s="58" t="inlineStr">
        <is>
          <t>Built up from ingredients, packaging, co-pack, inbound freight + warehousing.</t>
        </is>
      </c>
      <c r="E7" s="53" t="inlineStr">
        <is>
          <t>Resolved</t>
        </is>
      </c>
    </row>
    <row r="8">
      <c r="B8" s="22" t="n">
        <v>4</v>
      </c>
      <c r="C8" s="58" t="inlineStr">
        <is>
          <t>P&amp;L stopped at contribution — not a real P&amp;L.</t>
        </is>
      </c>
      <c r="D8" s="58" t="inlineStr">
        <is>
          <t>Extended to Opex → EBITDA → EBIT → Pre-tax → Net Income.</t>
        </is>
      </c>
      <c r="E8" s="53" t="inlineStr">
        <is>
          <t>Resolved</t>
        </is>
      </c>
    </row>
    <row r="9">
      <c r="B9" s="22" t="n">
        <v>5</v>
      </c>
      <c r="C9" s="58" t="inlineStr">
        <is>
          <t>No operating leverage — all costs implicitly variable.</t>
        </is>
      </c>
      <c r="D9" s="58" t="inlineStr">
        <is>
          <t>Split fixed (salaries/G&amp;A/mktg/slotting) vs variable (logistics % of net).</t>
        </is>
      </c>
      <c r="E9" s="53" t="inlineStr">
        <is>
          <t>Resolved</t>
        </is>
      </c>
    </row>
    <row r="10">
      <c r="B10" s="22" t="n">
        <v>6</v>
      </c>
      <c r="C10" s="58" t="inlineStr">
        <is>
          <t>Annual only — no phasing.</t>
        </is>
      </c>
      <c r="D10" s="58" t="inlineStr">
        <is>
          <t>Added Monthly tab driven by a seasonality curve.</t>
        </is>
      </c>
      <c r="E10" s="53" t="inlineStr">
        <is>
          <t>Resolved</t>
        </is>
      </c>
    </row>
    <row r="11">
      <c r="B11" s="22" t="n">
        <v>7</v>
      </c>
      <c r="C11" s="58" t="inlineStr">
        <is>
          <t>No way to switch scenario in one view.</t>
        </is>
      </c>
      <c r="D11" s="58" t="inlineStr">
        <is>
          <t>Monthly has a dropdown selector (INDIRECT-driven).</t>
        </is>
      </c>
      <c r="E11" s="53" t="inlineStr">
        <is>
          <t>Resolved</t>
        </is>
      </c>
    </row>
    <row r="12">
      <c r="B12" s="22" t="n">
        <v>8</v>
      </c>
      <c r="C12" s="58" t="inlineStr">
        <is>
          <t>No sensitivity or break-even.</t>
        </is>
      </c>
      <c r="D12" s="58" t="inlineStr">
        <is>
          <t>Two-way EBITDA table (price × volume) + break-even volume, closed-form.</t>
        </is>
      </c>
      <c r="E12" s="53" t="inlineStr">
        <is>
          <t>Resolved</t>
        </is>
      </c>
    </row>
    <row r="13">
      <c r="B13" s="22" t="n">
        <v>9</v>
      </c>
      <c r="C13" s="58" t="inlineStr">
        <is>
          <t>No validation of inputs/outputs.</t>
        </is>
      </c>
      <c r="D13" s="58" t="inlineStr">
        <is>
          <t>Checks tab with PASS/FAIL incl. a tie-out of Dashboard to Base.</t>
        </is>
      </c>
      <c r="E13" s="53" t="inlineStr">
        <is>
          <t>Resolved</t>
        </is>
      </c>
    </row>
    <row r="14">
      <c r="B14" s="22" t="n">
        <v>10</v>
      </c>
      <c r="C14" s="58" t="inlineStr">
        <is>
          <t>No governance / context.</t>
        </is>
      </c>
      <c r="D14" s="58" t="inlineStr">
        <is>
          <t>Cover (purpose, version, owner, legend), Guide + glossary, this Review Log.</t>
        </is>
      </c>
      <c r="E14" s="53" t="inlineStr">
        <is>
          <t>Resolved</t>
        </is>
      </c>
    </row>
    <row r="15">
      <c r="B15" s="22" t="n">
        <v>11</v>
      </c>
      <c r="C15" s="58" t="inlineStr">
        <is>
          <t>Tax could show a fictitious credit on losses.</t>
        </is>
      </c>
      <c r="D15" s="58" t="inlineStr">
        <is>
          <t>Tax floored at 0 via MAX(0, EBT×rate).</t>
        </is>
      </c>
      <c r="E15" s="53" t="inlineStr">
        <is>
          <t>Resolved</t>
        </is>
      </c>
    </row>
    <row r="16">
      <c r="B16" s="22" t="n">
        <v>12</v>
      </c>
      <c r="C16" s="58" t="inlineStr">
        <is>
          <t>Inputs vs calcs indistinguishable.</t>
        </is>
      </c>
      <c r="D16" s="58" t="inlineStr">
        <is>
          <t>Colour coding: yellow = input, blue tint = calculated total; freeze panes throughout.</t>
        </is>
      </c>
      <c r="E16" s="53" t="inlineStr">
        <is>
          <t>Resolved</t>
        </is>
      </c>
    </row>
    <row r="17">
      <c r="B17" s="22" t="n">
        <v>13</v>
      </c>
      <c r="C17" s="58" t="inlineStr">
        <is>
          <t>Flavour names were placeholders.</t>
        </is>
      </c>
      <c r="D17" s="58" t="inlineStr">
        <is>
          <t>Set to Raspberry, Passion Fruit Pineapple, Lime Lemon (editable on Assumptions).</t>
        </is>
      </c>
      <c r="E17" s="53" t="inlineStr">
        <is>
          <t>Resolved</t>
        </is>
      </c>
    </row>
    <row r="18">
      <c r="B18" s="22" t="n">
        <v>14</v>
      </c>
      <c r="C18" s="58" t="inlineStr">
        <is>
          <t>Price and volume were independent — raising CP with no volume loss is unrealistic.</t>
        </is>
      </c>
      <c r="D18" s="58" t="inlineStr">
        <is>
          <t>Added optional price elasticity; volume now responds to price. Pricing Lab finds the best CP.</t>
        </is>
      </c>
      <c r="E18" s="53" t="inlineStr">
        <is>
          <t>Resolved</t>
        </is>
      </c>
    </row>
    <row r="19">
      <c r="B19" s="22" t="n">
        <v>15</v>
      </c>
      <c r="C19" s="58" t="inlineStr">
        <is>
          <t>Workbook opened on a dense tab — not approachable.</t>
        </is>
      </c>
      <c r="D19" s="58" t="inlineStr">
        <is>
          <t>Added a clean Home screen (scenario picker + live KPI cards + guided navigation); simple-first tab order.</t>
        </is>
      </c>
      <c r="E19" s="53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3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9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60">
        <f>'Base'!I18</f>
        <v/>
      </c>
      <c r="C7" s="61">
        <f>'Base'!I23</f>
        <v/>
      </c>
      <c r="D7" s="60">
        <f>'Base'!I34</f>
        <v/>
      </c>
      <c r="E7" s="60">
        <f>'Base'!I41</f>
        <v/>
      </c>
      <c r="F7" s="62">
        <f>'Base'!I8</f>
        <v/>
      </c>
      <c r="G7" s="62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(Raspberry, Passion Fruit Pineapple,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3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Pricing Lab</t>
        </is>
      </c>
      <c r="C25" s="21" t="inlineStr">
        <is>
          <t>Best wholesale price (CP) per SKU</t>
        </is>
      </c>
    </row>
    <row r="26">
      <c r="B26" s="24" t="inlineStr">
        <is>
          <t>Unit Economics</t>
        </is>
      </c>
      <c r="C26" s="21" t="inlineStr">
        <is>
          <t>Per-unit costs + suggested retail shelf price</t>
        </is>
      </c>
    </row>
    <row r="27">
      <c r="B27" s="24" t="inlineStr">
        <is>
          <t>Targets</t>
        </is>
      </c>
      <c r="C27" s="21" t="inlineStr">
        <is>
          <t>Goal-seek: price/volume to hit a GP% or EBITDA</t>
        </is>
      </c>
    </row>
    <row r="28">
      <c r="B28" s="24" t="inlineStr">
        <is>
          <t>Sensitivity</t>
        </is>
      </c>
      <c r="C28" s="21" t="inlineStr">
        <is>
          <t>Two-way EBITDA table + break-even volume</t>
        </is>
      </c>
    </row>
    <row r="29">
      <c r="B29" s="24" t="inlineStr">
        <is>
          <t>Checks</t>
        </is>
      </c>
      <c r="C29" s="21" t="inlineStr">
        <is>
          <t>Automated validation (should read ALL PASS)</t>
        </is>
      </c>
    </row>
    <row r="31">
      <c r="B31" s="19" t="inlineStr">
        <is>
          <t>LEGEND</t>
        </is>
      </c>
      <c r="C31" s="63" t="inlineStr"/>
    </row>
    <row r="32">
      <c r="B32" s="44" t="inlineStr">
        <is>
          <t>Yellow cell</t>
        </is>
      </c>
      <c r="C32" s="21" t="inlineStr">
        <is>
          <t>Input — safe to edit</t>
        </is>
      </c>
    </row>
    <row r="33">
      <c r="B33" s="64" t="inlineStr">
        <is>
          <t>Blue tint</t>
        </is>
      </c>
      <c r="C33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2026-10-24T05:10:00Z</dcterms:created>
  <dcterms:modified xsi:type="dcterms:W3CDTF">2026-10-24T05:10:00Z</dcterms:modified>
</cp:coreProperties>
</file>