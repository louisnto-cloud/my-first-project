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Low" sheetId="3" state="visible" r:id="rId3"/>
    <sheet name="Base" sheetId="4" state="visible" r:id="rId4"/>
    <sheet name="High" sheetId="5" state="visible" r:id="rId5"/>
    <sheet name="Stre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F2A44"/>
      <sz val="15"/>
    </font>
    <font>
      <name val="Calibri"/>
      <b val="1"/>
      <color rgb="001F2A44"/>
      <sz val="10"/>
    </font>
    <font>
      <name val="Calibri"/>
      <color rgb="00222222"/>
      <sz val="10"/>
    </font>
    <font>
      <name val="Calibri"/>
      <i val="1"/>
      <color rgb="00555555"/>
      <sz val="10"/>
    </font>
    <font>
      <name val="Calibri"/>
      <b val="1"/>
      <color rgb="00FFFFFF"/>
      <sz val="10"/>
    </font>
    <font>
      <name val="Calibri"/>
      <color rgb="000033AA"/>
      <sz val="10"/>
    </font>
  </fonts>
  <fills count="6">
    <fill>
      <patternFill/>
    </fill>
    <fill>
      <patternFill patternType="gray125"/>
    </fill>
    <fill>
      <patternFill patternType="solid">
        <fgColor rgb="002E4374"/>
      </patternFill>
    </fill>
    <fill>
      <patternFill patternType="solid">
        <fgColor rgb="00D7E3F4"/>
      </patternFill>
    </fill>
    <fill>
      <patternFill patternType="solid">
        <fgColor rgb="00FFF7CC"/>
      </patternFill>
    </fill>
    <fill>
      <patternFill patternType="solid">
        <fgColor rgb="00EAF0FB"/>
      </patternFill>
    </fill>
  </fills>
  <borders count="2">
    <border>
      <left/>
      <right/>
      <top/>
      <bottom/>
      <diagonal/>
    </border>
    <border>
      <left style="thin">
        <color rgb="00C9D2E0"/>
      </left>
      <right style="thin">
        <color rgb="00C9D2E0"/>
      </right>
      <top style="thin">
        <color rgb="00C9D2E0"/>
      </top>
      <bottom style="thin">
        <color rgb="00C9D2E0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3" fontId="0" fillId="5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164" fontId="0" fillId="5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  <xf numFmtId="165" fontId="0" fillId="0" borderId="1" applyAlignment="1" pivotButton="0" quotePrefix="0" xfId="0">
      <alignment horizontal="right" vertical="center"/>
    </xf>
    <xf numFmtId="165" fontId="0" fillId="5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4" fontId="0" fillId="5" borderId="1" applyAlignment="1" pivotButton="0" quotePrefix="0" xfId="0">
      <alignment horizontal="right" vertical="center"/>
    </xf>
    <xf numFmtId="0" fontId="5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0" borderId="0" applyAlignment="1" pivotButton="0" quotePrefix="0" xfId="0">
      <alignment horizontal="left" vertical="center"/>
    </xf>
    <xf numFmtId="3" fontId="6" fillId="4" borderId="1" applyAlignment="1" pivotButton="0" quotePrefix="0" xfId="0">
      <alignment horizontal="right" vertical="center"/>
    </xf>
    <xf numFmtId="3" fontId="2" fillId="5" borderId="1" applyAlignment="1" pivotButton="0" quotePrefix="0" xfId="0">
      <alignment horizontal="right" vertical="center"/>
    </xf>
    <xf numFmtId="4" fontId="6" fillId="4" borderId="1" applyAlignment="1" pivotButton="0" quotePrefix="0" xfId="0">
      <alignment horizontal="right" vertical="center"/>
    </xf>
    <xf numFmtId="4" fontId="2" fillId="5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164" fontId="3" fillId="0" borderId="1" applyAlignment="1" pivotButton="0" quotePrefix="0" xfId="0">
      <alignment horizontal="right" vertical="center"/>
    </xf>
    <xf numFmtId="164" fontId="2" fillId="5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5" fontId="2" fillId="5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1">
      <c r="B1" s="1" t="inlineStr">
        <is>
          <t>Sparkling Daily — One-Year Scenario Model</t>
        </is>
      </c>
    </row>
    <row r="2">
      <c r="B2" s="2" t="inlineStr"/>
    </row>
    <row r="3">
      <c r="B3" s="3" t="inlineStr">
        <is>
          <t>WHAT THIS IS</t>
        </is>
      </c>
    </row>
    <row r="4">
      <c r="B4" s="4" t="inlineStr">
        <is>
          <t>A simple one-year P&amp;L model for Sparkling Daily in 3 flavours, each sold as Singles and 12-Pack (6 SKUs).</t>
        </is>
      </c>
    </row>
    <row r="5">
      <c r="B5" s="4" t="inlineStr">
        <is>
          <t>Each scenario lives on its own tab so you can compare different wholesale prices (CP) and volumes side by side.</t>
        </is>
      </c>
    </row>
    <row r="6">
      <c r="B6" s="2" t="inlineStr"/>
    </row>
    <row r="7">
      <c r="B7" s="3" t="inlineStr">
        <is>
          <t>TABS</t>
        </is>
      </c>
    </row>
    <row r="8">
      <c r="B8" s="4" t="inlineStr">
        <is>
          <t>• Dashboard  — compares the totals of all four scenarios in one view.</t>
        </is>
      </c>
    </row>
    <row r="9">
      <c r="B9" s="4" t="inlineStr">
        <is>
          <t>• Low / Base / High / Stretch  — one scenario each. All 6 SKUs across the columns + a TOTAL column.</t>
        </is>
      </c>
    </row>
    <row r="10">
      <c r="B10" s="2" t="inlineStr"/>
    </row>
    <row r="11">
      <c r="B11" s="3" t="inlineStr">
        <is>
          <t>HOW TO USE</t>
        </is>
      </c>
    </row>
    <row r="12">
      <c r="B12" s="4" t="inlineStr">
        <is>
          <t>1. Rename the flavours: change the flavour names in row 6 on any scenario tab (or keep Flavour 1/2/3).</t>
        </is>
      </c>
    </row>
    <row r="13">
      <c r="B13" s="4" t="inlineStr">
        <is>
          <t>2. The only things you normally edit are the YELLOW cells:</t>
        </is>
      </c>
    </row>
    <row r="14">
      <c r="B14" s="4" t="inlineStr">
        <is>
          <t xml:space="preserve">     - Physical Cases  (volume per SKU)</t>
        </is>
      </c>
    </row>
    <row r="15">
      <c r="B15" s="4" t="inlineStr">
        <is>
          <t xml:space="preserve">     - CP / Gross Rev per case  (your wholesale selling price per case)</t>
        </is>
      </c>
    </row>
    <row r="16">
      <c r="B16" s="4" t="inlineStr">
        <is>
          <t xml:space="preserve">     - Discounts, COGS Direct/Indirect and A&amp;P, all expressed per case.</t>
        </is>
      </c>
    </row>
    <row r="17">
      <c r="B17" s="4" t="inlineStr">
        <is>
          <t>3. Everything else (Gross Revenue, Net Sales, Gross Profit, GP %, Contribution After A&amp;P) calculates automatically.</t>
        </is>
      </c>
    </row>
    <row r="18">
      <c r="B18" s="4" t="inlineStr">
        <is>
          <t>4. To test a new scenario, just change the yellow inputs on a tab — the Dashboard updates instantly.</t>
        </is>
      </c>
    </row>
    <row r="19">
      <c r="B19" s="2" t="inlineStr"/>
    </row>
    <row r="20">
      <c r="B20" s="3" t="inlineStr">
        <is>
          <t>THE MATH (per SKU)</t>
        </is>
      </c>
    </row>
    <row r="21">
      <c r="B21" s="4" t="inlineStr">
        <is>
          <t>Gross Revenue = Cases x CP/case</t>
        </is>
      </c>
    </row>
    <row r="22">
      <c r="B22" s="4" t="inlineStr">
        <is>
          <t>Net Sales = Gross Revenue - Discounts</t>
        </is>
      </c>
    </row>
    <row r="23">
      <c r="B23" s="4" t="inlineStr">
        <is>
          <t>Cost of Sales = COGS Direct + COGS Indirect</t>
        </is>
      </c>
    </row>
    <row r="24">
      <c r="B24" s="4" t="inlineStr">
        <is>
          <t>Gross Profit = Net Sales - Cost of Sales        GP % = Gross Profit / Net Sales</t>
        </is>
      </c>
    </row>
    <row r="25">
      <c r="B25" s="4" t="inlineStr">
        <is>
          <t>Contribution After A&amp;P (CAAP) = Gross Profit - A&amp;P</t>
        </is>
      </c>
    </row>
    <row r="26">
      <c r="B26" s="2" t="inlineStr"/>
    </row>
    <row r="27">
      <c r="B27" s="3" t="inlineStr">
        <is>
          <t>NOTE</t>
        </is>
      </c>
    </row>
    <row r="28">
      <c r="B28" s="4" t="inlineStr">
        <is>
          <t>All numbers loaded now are placeholders to show the mechanics. Replace them with your real figures.</t>
        </is>
      </c>
    </row>
    <row r="29">
      <c r="B29" s="4" t="inlineStr">
        <is>
          <t>Scenario seed logic vs Base:  Low = vol 70% / price 95%,  High = vol 130%,  Stretch = vol 160% / price 105%.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G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B1" s="5" t="inlineStr">
        <is>
          <t>Sparkling Daily — Scenario Comparison (FY2026)</t>
        </is>
      </c>
    </row>
    <row r="2">
      <c r="B2" s="6" t="inlineStr">
        <is>
          <t>Totals across all 6 SKUs. Edit inputs on each scenario tab; this view updates automatically.</t>
        </is>
      </c>
    </row>
    <row r="4">
      <c r="B4" s="7" t="inlineStr">
        <is>
          <t>Metric</t>
        </is>
      </c>
      <c r="C4" s="8" t="inlineStr">
        <is>
          <t>Low</t>
        </is>
      </c>
      <c r="D4" s="8" t="inlineStr">
        <is>
          <t>Base</t>
        </is>
      </c>
      <c r="E4" s="8" t="inlineStr">
        <is>
          <t>High</t>
        </is>
      </c>
      <c r="F4" s="8" t="inlineStr">
        <is>
          <t>Stretch</t>
        </is>
      </c>
    </row>
    <row r="5">
      <c r="B5" s="9" t="inlineStr">
        <is>
          <t>Physical Cases</t>
        </is>
      </c>
      <c r="C5" s="10">
        <f>'Low'!I8</f>
        <v/>
      </c>
      <c r="D5" s="11">
        <f>'Base'!I8</f>
        <v/>
      </c>
      <c r="E5" s="10">
        <f>'High'!I8</f>
        <v/>
      </c>
      <c r="F5" s="10">
        <f>'Stretch'!I8</f>
        <v/>
      </c>
    </row>
    <row r="6">
      <c r="B6" s="9" t="inlineStr">
        <is>
          <t>Gross Revenue</t>
        </is>
      </c>
      <c r="C6" s="12">
        <f>'Low'!I18</f>
        <v/>
      </c>
      <c r="D6" s="13">
        <f>'Base'!I18</f>
        <v/>
      </c>
      <c r="E6" s="12">
        <f>'High'!I18</f>
        <v/>
      </c>
      <c r="F6" s="12">
        <f>'Stretch'!I18</f>
        <v/>
      </c>
    </row>
    <row r="7">
      <c r="B7" s="9" t="inlineStr">
        <is>
          <t>Discounts</t>
        </is>
      </c>
      <c r="C7" s="12">
        <f>'Low'!I19</f>
        <v/>
      </c>
      <c r="D7" s="13">
        <f>'Base'!I19</f>
        <v/>
      </c>
      <c r="E7" s="12">
        <f>'High'!I19</f>
        <v/>
      </c>
      <c r="F7" s="12">
        <f>'Stretch'!I19</f>
        <v/>
      </c>
    </row>
    <row r="8">
      <c r="B8" s="14" t="inlineStr">
        <is>
          <t>Net Sales</t>
        </is>
      </c>
      <c r="C8" s="12">
        <f>'Low'!I20</f>
        <v/>
      </c>
      <c r="D8" s="13">
        <f>'Base'!I20</f>
        <v/>
      </c>
      <c r="E8" s="12">
        <f>'High'!I20</f>
        <v/>
      </c>
      <c r="F8" s="12">
        <f>'Stretch'!I20</f>
        <v/>
      </c>
    </row>
    <row r="9">
      <c r="B9" s="9" t="inlineStr">
        <is>
          <t>Cost of Sales</t>
        </is>
      </c>
      <c r="C9" s="12">
        <f>'Low'!I23</f>
        <v/>
      </c>
      <c r="D9" s="13">
        <f>'Base'!I23</f>
        <v/>
      </c>
      <c r="E9" s="12">
        <f>'High'!I23</f>
        <v/>
      </c>
      <c r="F9" s="12">
        <f>'Stretch'!I23</f>
        <v/>
      </c>
    </row>
    <row r="10">
      <c r="B10" s="14" t="inlineStr">
        <is>
          <t>Gross Profit</t>
        </is>
      </c>
      <c r="C10" s="12">
        <f>'Low'!I24</f>
        <v/>
      </c>
      <c r="D10" s="13">
        <f>'Base'!I24</f>
        <v/>
      </c>
      <c r="E10" s="12">
        <f>'High'!I24</f>
        <v/>
      </c>
      <c r="F10" s="12">
        <f>'Stretch'!I24</f>
        <v/>
      </c>
    </row>
    <row r="11">
      <c r="B11" s="9" t="inlineStr">
        <is>
          <t>GP %</t>
        </is>
      </c>
      <c r="C11" s="15">
        <f>'Low'!I25</f>
        <v/>
      </c>
      <c r="D11" s="16">
        <f>'Base'!I25</f>
        <v/>
      </c>
      <c r="E11" s="15">
        <f>'High'!I25</f>
        <v/>
      </c>
      <c r="F11" s="15">
        <f>'Stretch'!I25</f>
        <v/>
      </c>
    </row>
    <row r="12">
      <c r="B12" s="9" t="inlineStr">
        <is>
          <t>A&amp;P Total</t>
        </is>
      </c>
      <c r="C12" s="12">
        <f>'Low'!I26</f>
        <v/>
      </c>
      <c r="D12" s="13">
        <f>'Base'!I26</f>
        <v/>
      </c>
      <c r="E12" s="12">
        <f>'High'!I26</f>
        <v/>
      </c>
      <c r="F12" s="12">
        <f>'Stretch'!I26</f>
        <v/>
      </c>
    </row>
    <row r="13">
      <c r="B13" s="14" t="inlineStr">
        <is>
          <t>Contribution After A&amp;P</t>
        </is>
      </c>
      <c r="C13" s="12">
        <f>'Low'!I27</f>
        <v/>
      </c>
      <c r="D13" s="13">
        <f>'Base'!I27</f>
        <v/>
      </c>
      <c r="E13" s="12">
        <f>'High'!I27</f>
        <v/>
      </c>
      <c r="F13" s="12">
        <f>'Stretch'!I27</f>
        <v/>
      </c>
    </row>
    <row r="14">
      <c r="B14" s="9" t="inlineStr">
        <is>
          <t>CAAP %</t>
        </is>
      </c>
      <c r="C14" s="15">
        <f>'Low'!I28</f>
        <v/>
      </c>
      <c r="D14" s="16">
        <f>'Base'!I28</f>
        <v/>
      </c>
      <c r="E14" s="15">
        <f>'High'!I28</f>
        <v/>
      </c>
      <c r="F14" s="15">
        <f>'Stretch'!I28</f>
        <v/>
      </c>
    </row>
    <row r="15">
      <c r="B15" s="9" t="inlineStr">
        <is>
          <t>Blended CP / case</t>
        </is>
      </c>
      <c r="C15" s="17">
        <f>'Low'!I10</f>
        <v/>
      </c>
      <c r="D15" s="18">
        <f>'Base'!I10</f>
        <v/>
      </c>
      <c r="E15" s="17">
        <f>'High'!I10</f>
        <v/>
      </c>
      <c r="F15" s="17">
        <f>'Stretch'!I10</f>
        <v/>
      </c>
    </row>
    <row r="16">
      <c r="B16" s="9" t="inlineStr">
        <is>
          <t>Net Sales / case</t>
        </is>
      </c>
      <c r="C16" s="17">
        <f>'Low'!I30</f>
        <v/>
      </c>
      <c r="D16" s="18">
        <f>'Base'!I30</f>
        <v/>
      </c>
      <c r="E16" s="17">
        <f>'High'!I30</f>
        <v/>
      </c>
      <c r="F16" s="17">
        <f>'Stretch'!I30</f>
        <v/>
      </c>
    </row>
  </sheetData>
  <mergeCells count="2">
    <mergeCell ref="B2:G2"/>
    <mergeCell ref="B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31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5" t="inlineStr">
        <is>
          <t>Sparkling Daily — One-Year Plan (FY2026)</t>
        </is>
      </c>
    </row>
    <row r="2">
      <c r="B2" s="6" t="inlineStr">
        <is>
          <t>Scenario: LOW   •   Levers vs Base — Volume 70%, Price (CP) 95%</t>
        </is>
      </c>
    </row>
    <row r="3">
      <c r="B3" s="6" t="inlineStr">
        <is>
          <t>All $ figures CDN. Yellow cells are inputs — change volume &amp; CP per case to model scenarios. Everything else calculates.</t>
        </is>
      </c>
    </row>
    <row r="5" ht="18" customHeight="1">
      <c r="C5" s="19" t="inlineStr">
        <is>
          <t>SINGLES</t>
        </is>
      </c>
      <c r="F5" s="19" t="inlineStr">
        <is>
          <t>12-PACK</t>
        </is>
      </c>
      <c r="I5" s="19" t="inlineStr">
        <is>
          <t>TOTAL
DAILY</t>
        </is>
      </c>
    </row>
    <row r="6" ht="26" customHeight="1">
      <c r="B6" s="20" t="inlineStr">
        <is>
          <t>CDN $</t>
        </is>
      </c>
      <c r="C6" s="8" t="inlineStr">
        <is>
          <t>Flavour 1</t>
        </is>
      </c>
      <c r="D6" s="8" t="inlineStr">
        <is>
          <t>Flavour 2</t>
        </is>
      </c>
      <c r="E6" s="8" t="inlineStr">
        <is>
          <t>Flavour 3</t>
        </is>
      </c>
      <c r="F6" s="8" t="inlineStr">
        <is>
          <t>Flavour 1</t>
        </is>
      </c>
      <c r="G6" s="8" t="inlineStr">
        <is>
          <t>Flavour 2</t>
        </is>
      </c>
      <c r="H6" s="8" t="inlineStr">
        <is>
          <t>Flavour 3</t>
        </is>
      </c>
    </row>
    <row r="7">
      <c r="B7" s="21" t="inlineStr">
        <is>
          <t>VOLUME</t>
        </is>
      </c>
      <c r="C7" s="22" t="n"/>
      <c r="D7" s="22" t="n"/>
      <c r="E7" s="22" t="n"/>
      <c r="F7" s="22" t="n"/>
      <c r="G7" s="22" t="n"/>
      <c r="H7" s="22" t="n"/>
      <c r="I7" s="22" t="n"/>
    </row>
    <row r="8">
      <c r="B8" s="23" t="inlineStr">
        <is>
          <t xml:space="preserve">   Physical Cases</t>
        </is>
      </c>
      <c r="C8" s="24" t="n">
        <v>8400</v>
      </c>
      <c r="D8" s="24" t="n">
        <v>6300</v>
      </c>
      <c r="E8" s="24" t="n">
        <v>4900</v>
      </c>
      <c r="F8" s="24" t="n">
        <v>3500</v>
      </c>
      <c r="G8" s="24" t="n">
        <v>2800</v>
      </c>
      <c r="H8" s="24" t="n">
        <v>2100</v>
      </c>
      <c r="I8" s="25">
        <f>SUM(C8:H8)</f>
        <v/>
      </c>
    </row>
    <row r="9">
      <c r="B9" s="21" t="inlineStr">
        <is>
          <t>PRICING &amp; COST — PER CASE  (inputs)</t>
        </is>
      </c>
      <c r="C9" s="22" t="n"/>
      <c r="D9" s="22" t="n"/>
      <c r="E9" s="22" t="n"/>
      <c r="F9" s="22" t="n"/>
      <c r="G9" s="22" t="n"/>
      <c r="H9" s="22" t="n"/>
      <c r="I9" s="22" t="n"/>
    </row>
    <row r="10">
      <c r="B10" s="23" t="inlineStr">
        <is>
          <t xml:space="preserve">   CP  •  Gross Rev / case</t>
        </is>
      </c>
      <c r="C10" s="26" t="n">
        <v>26.6</v>
      </c>
      <c r="D10" s="26" t="n">
        <v>26.6</v>
      </c>
      <c r="E10" s="26" t="n">
        <v>24.7</v>
      </c>
      <c r="F10" s="26" t="n">
        <v>32.3</v>
      </c>
      <c r="G10" s="26" t="n">
        <v>32.3</v>
      </c>
      <c r="H10" s="26" t="n">
        <v>30.4</v>
      </c>
      <c r="I10" s="27">
        <f>IFERROR(SUMPRODUCT(C8:H8,C10:H10)/I8,0)</f>
        <v/>
      </c>
    </row>
    <row r="11">
      <c r="B11" s="28" t="inlineStr">
        <is>
          <t xml:space="preserve">   Discounts / case</t>
        </is>
      </c>
      <c r="C11" s="26" t="n">
        <v>2</v>
      </c>
      <c r="D11" s="26" t="n">
        <v>2</v>
      </c>
      <c r="E11" s="26" t="n">
        <v>2</v>
      </c>
      <c r="F11" s="26" t="n">
        <v>2.5</v>
      </c>
      <c r="G11" s="26" t="n">
        <v>2.5</v>
      </c>
      <c r="H11" s="26" t="n">
        <v>2.5</v>
      </c>
      <c r="I11" s="27">
        <f>IFERROR(SUMPRODUCT(C8:H8,C11:H11)/I8,0)</f>
        <v/>
      </c>
    </row>
    <row r="12">
      <c r="B12" s="28" t="inlineStr">
        <is>
          <t xml:space="preserve">   COGS Direct / case</t>
        </is>
      </c>
      <c r="C12" s="26" t="n">
        <v>13</v>
      </c>
      <c r="D12" s="26" t="n">
        <v>13</v>
      </c>
      <c r="E12" s="26" t="n">
        <v>12.5</v>
      </c>
      <c r="F12" s="26" t="n">
        <v>16</v>
      </c>
      <c r="G12" s="26" t="n">
        <v>16</v>
      </c>
      <c r="H12" s="26" t="n">
        <v>15.5</v>
      </c>
      <c r="I12" s="27">
        <f>IFERROR(SUMPRODUCT(C8:H8,C12:H12)/I8,0)</f>
        <v/>
      </c>
    </row>
    <row r="13">
      <c r="B13" s="28" t="inlineStr">
        <is>
          <t xml:space="preserve">   COGS Indirect / case</t>
        </is>
      </c>
      <c r="C13" s="26" t="n">
        <v>2</v>
      </c>
      <c r="D13" s="26" t="n">
        <v>2</v>
      </c>
      <c r="E13" s="26" t="n">
        <v>2</v>
      </c>
      <c r="F13" s="26" t="n">
        <v>2.25</v>
      </c>
      <c r="G13" s="26" t="n">
        <v>2.25</v>
      </c>
      <c r="H13" s="26" t="n">
        <v>2.25</v>
      </c>
      <c r="I13" s="27">
        <f>IFERROR(SUMPRODUCT(C8:H8,C13:H13)/I8,0)</f>
        <v/>
      </c>
    </row>
    <row r="14">
      <c r="B14" s="28" t="inlineStr">
        <is>
          <t xml:space="preserve">   A&amp;P Consumer / case</t>
        </is>
      </c>
      <c r="C14" s="26" t="n">
        <v>0.75</v>
      </c>
      <c r="D14" s="26" t="n">
        <v>0.75</v>
      </c>
      <c r="E14" s="26" t="n">
        <v>0.75</v>
      </c>
      <c r="F14" s="26" t="n">
        <v>0.75</v>
      </c>
      <c r="G14" s="26" t="n">
        <v>0.75</v>
      </c>
      <c r="H14" s="26" t="n">
        <v>0.75</v>
      </c>
      <c r="I14" s="27">
        <f>IFERROR(SUMPRODUCT(C8:H8,C14:H14)/I8,0)</f>
        <v/>
      </c>
    </row>
    <row r="15">
      <c r="B15" s="28" t="inlineStr">
        <is>
          <t xml:space="preserve">   A&amp;P Trade / case</t>
        </is>
      </c>
      <c r="C15" s="26" t="n">
        <v>1.25</v>
      </c>
      <c r="D15" s="26" t="n">
        <v>1.25</v>
      </c>
      <c r="E15" s="26" t="n">
        <v>1.25</v>
      </c>
      <c r="F15" s="26" t="n">
        <v>1.5</v>
      </c>
      <c r="G15" s="26" t="n">
        <v>1.5</v>
      </c>
      <c r="H15" s="26" t="n">
        <v>1.5</v>
      </c>
      <c r="I15" s="27">
        <f>IFERROR(SUMPRODUCT(C8:H8,C15:H15)/I8,0)</f>
        <v/>
      </c>
    </row>
    <row r="16">
      <c r="B16" s="28" t="inlineStr">
        <is>
          <t xml:space="preserve">   A&amp;P Sales / case</t>
        </is>
      </c>
      <c r="C16" s="26" t="n">
        <v>0.5</v>
      </c>
      <c r="D16" s="26" t="n">
        <v>0.5</v>
      </c>
      <c r="E16" s="26" t="n">
        <v>0.5</v>
      </c>
      <c r="F16" s="26" t="n">
        <v>0.5</v>
      </c>
      <c r="G16" s="26" t="n">
        <v>0.5</v>
      </c>
      <c r="H16" s="26" t="n">
        <v>0.5</v>
      </c>
      <c r="I16" s="27">
        <f>IFERROR(SUMPRODUCT(C8:H8,C16:H16)/I8,0)</f>
        <v/>
      </c>
    </row>
    <row r="17">
      <c r="B17" s="21" t="inlineStr">
        <is>
          <t>P&amp;L  ($)</t>
        </is>
      </c>
      <c r="C17" s="22" t="n"/>
      <c r="D17" s="22" t="n"/>
      <c r="E17" s="22" t="n"/>
      <c r="F17" s="22" t="n"/>
      <c r="G17" s="22" t="n"/>
      <c r="H17" s="22" t="n"/>
      <c r="I17" s="22" t="n"/>
    </row>
    <row r="18">
      <c r="B18" s="28" t="inlineStr">
        <is>
          <t xml:space="preserve">   Gross Revenue</t>
        </is>
      </c>
      <c r="C18" s="29">
        <f>C8*C10</f>
        <v/>
      </c>
      <c r="D18" s="29">
        <f>D8*D10</f>
        <v/>
      </c>
      <c r="E18" s="29">
        <f>E8*E10</f>
        <v/>
      </c>
      <c r="F18" s="29">
        <f>F8*F10</f>
        <v/>
      </c>
      <c r="G18" s="29">
        <f>G8*G10</f>
        <v/>
      </c>
      <c r="H18" s="29">
        <f>H8*H10</f>
        <v/>
      </c>
      <c r="I18" s="30">
        <f>SUM(C18:H18)</f>
        <v/>
      </c>
    </row>
    <row r="19">
      <c r="B19" s="28" t="inlineStr">
        <is>
          <t xml:space="preserve">   Discounts</t>
        </is>
      </c>
      <c r="C19" s="29">
        <f>C8*C11</f>
        <v/>
      </c>
      <c r="D19" s="29">
        <f>D8*D11</f>
        <v/>
      </c>
      <c r="E19" s="29">
        <f>E8*E11</f>
        <v/>
      </c>
      <c r="F19" s="29">
        <f>F8*F11</f>
        <v/>
      </c>
      <c r="G19" s="29">
        <f>G8*G11</f>
        <v/>
      </c>
      <c r="H19" s="29">
        <f>H8*H11</f>
        <v/>
      </c>
      <c r="I19" s="30">
        <f>SUM(C19:H19)</f>
        <v/>
      </c>
    </row>
    <row r="20">
      <c r="B20" s="23" t="inlineStr">
        <is>
          <t xml:space="preserve">   Net Sales</t>
        </is>
      </c>
      <c r="C20" s="29">
        <f>C18-C19</f>
        <v/>
      </c>
      <c r="D20" s="29">
        <f>D18-D19</f>
        <v/>
      </c>
      <c r="E20" s="29">
        <f>E18-E19</f>
        <v/>
      </c>
      <c r="F20" s="29">
        <f>F18-F19</f>
        <v/>
      </c>
      <c r="G20" s="29">
        <f>G18-G19</f>
        <v/>
      </c>
      <c r="H20" s="29">
        <f>H18-H19</f>
        <v/>
      </c>
      <c r="I20" s="30">
        <f>I18-I19</f>
        <v/>
      </c>
    </row>
    <row r="21">
      <c r="B21" s="28" t="inlineStr">
        <is>
          <t xml:space="preserve">   COGS Direct</t>
        </is>
      </c>
      <c r="C21" s="29">
        <f>C8*C12</f>
        <v/>
      </c>
      <c r="D21" s="29">
        <f>D8*D12</f>
        <v/>
      </c>
      <c r="E21" s="29">
        <f>E8*E12</f>
        <v/>
      </c>
      <c r="F21" s="29">
        <f>F8*F12</f>
        <v/>
      </c>
      <c r="G21" s="29">
        <f>G8*G12</f>
        <v/>
      </c>
      <c r="H21" s="29">
        <f>H8*H12</f>
        <v/>
      </c>
      <c r="I21" s="30">
        <f>SUM(C21:H21)</f>
        <v/>
      </c>
    </row>
    <row r="22">
      <c r="B22" s="28" t="inlineStr">
        <is>
          <t xml:space="preserve">   COGS Indirect</t>
        </is>
      </c>
      <c r="C22" s="29">
        <f>C8*C13</f>
        <v/>
      </c>
      <c r="D22" s="29">
        <f>D8*D13</f>
        <v/>
      </c>
      <c r="E22" s="29">
        <f>E8*E13</f>
        <v/>
      </c>
      <c r="F22" s="29">
        <f>F8*F13</f>
        <v/>
      </c>
      <c r="G22" s="29">
        <f>G8*G13</f>
        <v/>
      </c>
      <c r="H22" s="29">
        <f>H8*H13</f>
        <v/>
      </c>
      <c r="I22" s="30">
        <f>SUM(C22:H22)</f>
        <v/>
      </c>
    </row>
    <row r="23">
      <c r="B23" s="28" t="inlineStr">
        <is>
          <t xml:space="preserve">   Cost of Sales</t>
        </is>
      </c>
      <c r="C23" s="29">
        <f>C21+C22</f>
        <v/>
      </c>
      <c r="D23" s="29">
        <f>D21+D22</f>
        <v/>
      </c>
      <c r="E23" s="29">
        <f>E21+E22</f>
        <v/>
      </c>
      <c r="F23" s="29">
        <f>F21+F22</f>
        <v/>
      </c>
      <c r="G23" s="29">
        <f>G21+G22</f>
        <v/>
      </c>
      <c r="H23" s="29">
        <f>H21+H22</f>
        <v/>
      </c>
      <c r="I23" s="30">
        <f>I21+I22</f>
        <v/>
      </c>
    </row>
    <row r="24">
      <c r="B24" s="23" t="inlineStr">
        <is>
          <t xml:space="preserve">   Gross Profit</t>
        </is>
      </c>
      <c r="C24" s="29">
        <f>C20-C23</f>
        <v/>
      </c>
      <c r="D24" s="29">
        <f>D20-D23</f>
        <v/>
      </c>
      <c r="E24" s="29">
        <f>E20-E23</f>
        <v/>
      </c>
      <c r="F24" s="29">
        <f>F20-F23</f>
        <v/>
      </c>
      <c r="G24" s="29">
        <f>G20-G23</f>
        <v/>
      </c>
      <c r="H24" s="29">
        <f>H20-H23</f>
        <v/>
      </c>
      <c r="I24" s="30">
        <f>I20-I23</f>
        <v/>
      </c>
    </row>
    <row r="25">
      <c r="B25" s="28" t="inlineStr">
        <is>
          <t xml:space="preserve">   GP %</t>
        </is>
      </c>
      <c r="C25" s="31">
        <f>IFERROR(C24/C20,0)</f>
        <v/>
      </c>
      <c r="D25" s="31">
        <f>IFERROR(D24/D20,0)</f>
        <v/>
      </c>
      <c r="E25" s="31">
        <f>IFERROR(E24/E20,0)</f>
        <v/>
      </c>
      <c r="F25" s="31">
        <f>IFERROR(F24/F20,0)</f>
        <v/>
      </c>
      <c r="G25" s="31">
        <f>IFERROR(G24/G20,0)</f>
        <v/>
      </c>
      <c r="H25" s="31">
        <f>IFERROR(H24/H20,0)</f>
        <v/>
      </c>
      <c r="I25" s="32">
        <f>IFERROR(I24/I20,0)</f>
        <v/>
      </c>
    </row>
    <row r="26">
      <c r="B26" s="28" t="inlineStr">
        <is>
          <t xml:space="preserve">   A&amp;P Total</t>
        </is>
      </c>
      <c r="C26" s="29">
        <f>C8*(C14+C15+C16)</f>
        <v/>
      </c>
      <c r="D26" s="29">
        <f>D8*(D14+D15+D16)</f>
        <v/>
      </c>
      <c r="E26" s="29">
        <f>E8*(E14+E15+E16)</f>
        <v/>
      </c>
      <c r="F26" s="29">
        <f>F8*(F14+F15+F16)</f>
        <v/>
      </c>
      <c r="G26" s="29">
        <f>G8*(G14+G15+G16)</f>
        <v/>
      </c>
      <c r="H26" s="29">
        <f>H8*(H14+H15+H16)</f>
        <v/>
      </c>
      <c r="I26" s="30">
        <f>SUM(C26:H26)</f>
        <v/>
      </c>
    </row>
    <row r="27">
      <c r="B27" s="23" t="inlineStr">
        <is>
          <t xml:space="preserve">   Contribution After A&amp;P</t>
        </is>
      </c>
      <c r="C27" s="29">
        <f>C24-C26</f>
        <v/>
      </c>
      <c r="D27" s="29">
        <f>D24-D26</f>
        <v/>
      </c>
      <c r="E27" s="29">
        <f>E24-E26</f>
        <v/>
      </c>
      <c r="F27" s="29">
        <f>F24-F26</f>
        <v/>
      </c>
      <c r="G27" s="29">
        <f>G24-G26</f>
        <v/>
      </c>
      <c r="H27" s="29">
        <f>H24-H26</f>
        <v/>
      </c>
      <c r="I27" s="30">
        <f>I24-I26</f>
        <v/>
      </c>
    </row>
    <row r="28">
      <c r="B28" s="28" t="inlineStr">
        <is>
          <t xml:space="preserve">   CAAP %</t>
        </is>
      </c>
      <c r="C28" s="31">
        <f>IFERROR(C27/C20,0)</f>
        <v/>
      </c>
      <c r="D28" s="31">
        <f>IFERROR(D27/D20,0)</f>
        <v/>
      </c>
      <c r="E28" s="31">
        <f>IFERROR(E27/E20,0)</f>
        <v/>
      </c>
      <c r="F28" s="31">
        <f>IFERROR(F27/F20,0)</f>
        <v/>
      </c>
      <c r="G28" s="31">
        <f>IFERROR(G27/G20,0)</f>
        <v/>
      </c>
      <c r="H28" s="31">
        <f>IFERROR(H27/H20,0)</f>
        <v/>
      </c>
      <c r="I28" s="32">
        <f>IFERROR(I27/I20,0)</f>
        <v/>
      </c>
    </row>
    <row r="29">
      <c r="B29" s="21" t="inlineStr">
        <is>
          <t>PER-CASE CHECK</t>
        </is>
      </c>
      <c r="C29" s="22" t="n"/>
      <c r="D29" s="22" t="n"/>
      <c r="E29" s="22" t="n"/>
      <c r="F29" s="22" t="n"/>
      <c r="G29" s="22" t="n"/>
      <c r="H29" s="22" t="n"/>
      <c r="I29" s="22" t="n"/>
    </row>
    <row r="30">
      <c r="B30" s="28" t="inlineStr">
        <is>
          <t xml:space="preserve">   Net Sales / case</t>
        </is>
      </c>
      <c r="C30" s="33">
        <f>IFERROR(C20/C8,0)</f>
        <v/>
      </c>
      <c r="D30" s="33">
        <f>IFERROR(D20/D8,0)</f>
        <v/>
      </c>
      <c r="E30" s="33">
        <f>IFERROR(E20/E8,0)</f>
        <v/>
      </c>
      <c r="F30" s="33">
        <f>IFERROR(F20/F8,0)</f>
        <v/>
      </c>
      <c r="G30" s="33">
        <f>IFERROR(G20/G8,0)</f>
        <v/>
      </c>
      <c r="H30" s="33">
        <f>IFERROR(H20/H8,0)</f>
        <v/>
      </c>
      <c r="I30" s="27">
        <f>IFERROR(I20/I8,0)</f>
        <v/>
      </c>
    </row>
    <row r="31">
      <c r="B31" s="28" t="inlineStr">
        <is>
          <t xml:space="preserve">   Gross Profit / case</t>
        </is>
      </c>
      <c r="C31" s="33">
        <f>IFERROR(C24/C8,0)</f>
        <v/>
      </c>
      <c r="D31" s="33">
        <f>IFERROR(D24/D8,0)</f>
        <v/>
      </c>
      <c r="E31" s="33">
        <f>IFERROR(E24/E8,0)</f>
        <v/>
      </c>
      <c r="F31" s="33">
        <f>IFERROR(F24/F8,0)</f>
        <v/>
      </c>
      <c r="G31" s="33">
        <f>IFERROR(G24/G8,0)</f>
        <v/>
      </c>
      <c r="H31" s="33">
        <f>IFERROR(H24/H8,0)</f>
        <v/>
      </c>
      <c r="I31" s="27">
        <f>IFERROR(I24/I8,0)</f>
        <v/>
      </c>
    </row>
  </sheetData>
  <mergeCells count="10">
    <mergeCell ref="B9:I9"/>
    <mergeCell ref="F5:H5"/>
    <mergeCell ref="C5:E5"/>
    <mergeCell ref="B7:I7"/>
    <mergeCell ref="B29:I29"/>
    <mergeCell ref="B2:I2"/>
    <mergeCell ref="B3:I3"/>
    <mergeCell ref="B1:I1"/>
    <mergeCell ref="I5:I6"/>
    <mergeCell ref="B17:I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31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5" t="inlineStr">
        <is>
          <t>Sparkling Daily — One-Year Plan (FY2026)</t>
        </is>
      </c>
    </row>
    <row r="2">
      <c r="B2" s="6" t="inlineStr">
        <is>
          <t>Scenario: BASE   •   Levers vs Base — Volume 100%, Price (CP) 100%</t>
        </is>
      </c>
    </row>
    <row r="3">
      <c r="B3" s="6" t="inlineStr">
        <is>
          <t>All $ figures CDN. Yellow cells are inputs — change volume &amp; CP per case to model scenarios. Everything else calculates.</t>
        </is>
      </c>
    </row>
    <row r="5" ht="18" customHeight="1">
      <c r="C5" s="19" t="inlineStr">
        <is>
          <t>SINGLES</t>
        </is>
      </c>
      <c r="F5" s="19" t="inlineStr">
        <is>
          <t>12-PACK</t>
        </is>
      </c>
      <c r="I5" s="19" t="inlineStr">
        <is>
          <t>TOTAL
DAILY</t>
        </is>
      </c>
    </row>
    <row r="6" ht="26" customHeight="1">
      <c r="B6" s="20" t="inlineStr">
        <is>
          <t>CDN $</t>
        </is>
      </c>
      <c r="C6" s="8" t="inlineStr">
        <is>
          <t>Flavour 1</t>
        </is>
      </c>
      <c r="D6" s="8" t="inlineStr">
        <is>
          <t>Flavour 2</t>
        </is>
      </c>
      <c r="E6" s="8" t="inlineStr">
        <is>
          <t>Flavour 3</t>
        </is>
      </c>
      <c r="F6" s="8" t="inlineStr">
        <is>
          <t>Flavour 1</t>
        </is>
      </c>
      <c r="G6" s="8" t="inlineStr">
        <is>
          <t>Flavour 2</t>
        </is>
      </c>
      <c r="H6" s="8" t="inlineStr">
        <is>
          <t>Flavour 3</t>
        </is>
      </c>
    </row>
    <row r="7">
      <c r="B7" s="21" t="inlineStr">
        <is>
          <t>VOLUME</t>
        </is>
      </c>
      <c r="C7" s="22" t="n"/>
      <c r="D7" s="22" t="n"/>
      <c r="E7" s="22" t="n"/>
      <c r="F7" s="22" t="n"/>
      <c r="G7" s="22" t="n"/>
      <c r="H7" s="22" t="n"/>
      <c r="I7" s="22" t="n"/>
    </row>
    <row r="8">
      <c r="B8" s="23" t="inlineStr">
        <is>
          <t xml:space="preserve">   Physical Cases</t>
        </is>
      </c>
      <c r="C8" s="24" t="n">
        <v>12000</v>
      </c>
      <c r="D8" s="24" t="n">
        <v>9000</v>
      </c>
      <c r="E8" s="24" t="n">
        <v>7000</v>
      </c>
      <c r="F8" s="24" t="n">
        <v>5000</v>
      </c>
      <c r="G8" s="24" t="n">
        <v>4000</v>
      </c>
      <c r="H8" s="24" t="n">
        <v>3000</v>
      </c>
      <c r="I8" s="25">
        <f>SUM(C8:H8)</f>
        <v/>
      </c>
    </row>
    <row r="9">
      <c r="B9" s="21" t="inlineStr">
        <is>
          <t>PRICING &amp; COST — PER CASE  (inputs)</t>
        </is>
      </c>
      <c r="C9" s="22" t="n"/>
      <c r="D9" s="22" t="n"/>
      <c r="E9" s="22" t="n"/>
      <c r="F9" s="22" t="n"/>
      <c r="G9" s="22" t="n"/>
      <c r="H9" s="22" t="n"/>
      <c r="I9" s="22" t="n"/>
    </row>
    <row r="10">
      <c r="B10" s="23" t="inlineStr">
        <is>
          <t xml:space="preserve">   CP  •  Gross Rev / case</t>
        </is>
      </c>
      <c r="C10" s="26" t="n">
        <v>28</v>
      </c>
      <c r="D10" s="26" t="n">
        <v>28</v>
      </c>
      <c r="E10" s="26" t="n">
        <v>26</v>
      </c>
      <c r="F10" s="26" t="n">
        <v>34</v>
      </c>
      <c r="G10" s="26" t="n">
        <v>34</v>
      </c>
      <c r="H10" s="26" t="n">
        <v>32</v>
      </c>
      <c r="I10" s="27">
        <f>IFERROR(SUMPRODUCT(C8:H8,C10:H10)/I8,0)</f>
        <v/>
      </c>
    </row>
    <row r="11">
      <c r="B11" s="28" t="inlineStr">
        <is>
          <t xml:space="preserve">   Discounts / case</t>
        </is>
      </c>
      <c r="C11" s="26" t="n">
        <v>2</v>
      </c>
      <c r="D11" s="26" t="n">
        <v>2</v>
      </c>
      <c r="E11" s="26" t="n">
        <v>2</v>
      </c>
      <c r="F11" s="26" t="n">
        <v>2.5</v>
      </c>
      <c r="G11" s="26" t="n">
        <v>2.5</v>
      </c>
      <c r="H11" s="26" t="n">
        <v>2.5</v>
      </c>
      <c r="I11" s="27">
        <f>IFERROR(SUMPRODUCT(C8:H8,C11:H11)/I8,0)</f>
        <v/>
      </c>
    </row>
    <row r="12">
      <c r="B12" s="28" t="inlineStr">
        <is>
          <t xml:space="preserve">   COGS Direct / case</t>
        </is>
      </c>
      <c r="C12" s="26" t="n">
        <v>13</v>
      </c>
      <c r="D12" s="26" t="n">
        <v>13</v>
      </c>
      <c r="E12" s="26" t="n">
        <v>12.5</v>
      </c>
      <c r="F12" s="26" t="n">
        <v>16</v>
      </c>
      <c r="G12" s="26" t="n">
        <v>16</v>
      </c>
      <c r="H12" s="26" t="n">
        <v>15.5</v>
      </c>
      <c r="I12" s="27">
        <f>IFERROR(SUMPRODUCT(C8:H8,C12:H12)/I8,0)</f>
        <v/>
      </c>
    </row>
    <row r="13">
      <c r="B13" s="28" t="inlineStr">
        <is>
          <t xml:space="preserve">   COGS Indirect / case</t>
        </is>
      </c>
      <c r="C13" s="26" t="n">
        <v>2</v>
      </c>
      <c r="D13" s="26" t="n">
        <v>2</v>
      </c>
      <c r="E13" s="26" t="n">
        <v>2</v>
      </c>
      <c r="F13" s="26" t="n">
        <v>2.25</v>
      </c>
      <c r="G13" s="26" t="n">
        <v>2.25</v>
      </c>
      <c r="H13" s="26" t="n">
        <v>2.25</v>
      </c>
      <c r="I13" s="27">
        <f>IFERROR(SUMPRODUCT(C8:H8,C13:H13)/I8,0)</f>
        <v/>
      </c>
    </row>
    <row r="14">
      <c r="B14" s="28" t="inlineStr">
        <is>
          <t xml:space="preserve">   A&amp;P Consumer / case</t>
        </is>
      </c>
      <c r="C14" s="26" t="n">
        <v>0.75</v>
      </c>
      <c r="D14" s="26" t="n">
        <v>0.75</v>
      </c>
      <c r="E14" s="26" t="n">
        <v>0.75</v>
      </c>
      <c r="F14" s="26" t="n">
        <v>0.75</v>
      </c>
      <c r="G14" s="26" t="n">
        <v>0.75</v>
      </c>
      <c r="H14" s="26" t="n">
        <v>0.75</v>
      </c>
      <c r="I14" s="27">
        <f>IFERROR(SUMPRODUCT(C8:H8,C14:H14)/I8,0)</f>
        <v/>
      </c>
    </row>
    <row r="15">
      <c r="B15" s="28" t="inlineStr">
        <is>
          <t xml:space="preserve">   A&amp;P Trade / case</t>
        </is>
      </c>
      <c r="C15" s="26" t="n">
        <v>1.25</v>
      </c>
      <c r="D15" s="26" t="n">
        <v>1.25</v>
      </c>
      <c r="E15" s="26" t="n">
        <v>1.25</v>
      </c>
      <c r="F15" s="26" t="n">
        <v>1.5</v>
      </c>
      <c r="G15" s="26" t="n">
        <v>1.5</v>
      </c>
      <c r="H15" s="26" t="n">
        <v>1.5</v>
      </c>
      <c r="I15" s="27">
        <f>IFERROR(SUMPRODUCT(C8:H8,C15:H15)/I8,0)</f>
        <v/>
      </c>
    </row>
    <row r="16">
      <c r="B16" s="28" t="inlineStr">
        <is>
          <t xml:space="preserve">   A&amp;P Sales / case</t>
        </is>
      </c>
      <c r="C16" s="26" t="n">
        <v>0.5</v>
      </c>
      <c r="D16" s="26" t="n">
        <v>0.5</v>
      </c>
      <c r="E16" s="26" t="n">
        <v>0.5</v>
      </c>
      <c r="F16" s="26" t="n">
        <v>0.5</v>
      </c>
      <c r="G16" s="26" t="n">
        <v>0.5</v>
      </c>
      <c r="H16" s="26" t="n">
        <v>0.5</v>
      </c>
      <c r="I16" s="27">
        <f>IFERROR(SUMPRODUCT(C8:H8,C16:H16)/I8,0)</f>
        <v/>
      </c>
    </row>
    <row r="17">
      <c r="B17" s="21" t="inlineStr">
        <is>
          <t>P&amp;L  ($)</t>
        </is>
      </c>
      <c r="C17" s="22" t="n"/>
      <c r="D17" s="22" t="n"/>
      <c r="E17" s="22" t="n"/>
      <c r="F17" s="22" t="n"/>
      <c r="G17" s="22" t="n"/>
      <c r="H17" s="22" t="n"/>
      <c r="I17" s="22" t="n"/>
    </row>
    <row r="18">
      <c r="B18" s="28" t="inlineStr">
        <is>
          <t xml:space="preserve">   Gross Revenue</t>
        </is>
      </c>
      <c r="C18" s="29">
        <f>C8*C10</f>
        <v/>
      </c>
      <c r="D18" s="29">
        <f>D8*D10</f>
        <v/>
      </c>
      <c r="E18" s="29">
        <f>E8*E10</f>
        <v/>
      </c>
      <c r="F18" s="29">
        <f>F8*F10</f>
        <v/>
      </c>
      <c r="G18" s="29">
        <f>G8*G10</f>
        <v/>
      </c>
      <c r="H18" s="29">
        <f>H8*H10</f>
        <v/>
      </c>
      <c r="I18" s="30">
        <f>SUM(C18:H18)</f>
        <v/>
      </c>
    </row>
    <row r="19">
      <c r="B19" s="28" t="inlineStr">
        <is>
          <t xml:space="preserve">   Discounts</t>
        </is>
      </c>
      <c r="C19" s="29">
        <f>C8*C11</f>
        <v/>
      </c>
      <c r="D19" s="29">
        <f>D8*D11</f>
        <v/>
      </c>
      <c r="E19" s="29">
        <f>E8*E11</f>
        <v/>
      </c>
      <c r="F19" s="29">
        <f>F8*F11</f>
        <v/>
      </c>
      <c r="G19" s="29">
        <f>G8*G11</f>
        <v/>
      </c>
      <c r="H19" s="29">
        <f>H8*H11</f>
        <v/>
      </c>
      <c r="I19" s="30">
        <f>SUM(C19:H19)</f>
        <v/>
      </c>
    </row>
    <row r="20">
      <c r="B20" s="23" t="inlineStr">
        <is>
          <t xml:space="preserve">   Net Sales</t>
        </is>
      </c>
      <c r="C20" s="29">
        <f>C18-C19</f>
        <v/>
      </c>
      <c r="D20" s="29">
        <f>D18-D19</f>
        <v/>
      </c>
      <c r="E20" s="29">
        <f>E18-E19</f>
        <v/>
      </c>
      <c r="F20" s="29">
        <f>F18-F19</f>
        <v/>
      </c>
      <c r="G20" s="29">
        <f>G18-G19</f>
        <v/>
      </c>
      <c r="H20" s="29">
        <f>H18-H19</f>
        <v/>
      </c>
      <c r="I20" s="30">
        <f>I18-I19</f>
        <v/>
      </c>
    </row>
    <row r="21">
      <c r="B21" s="28" t="inlineStr">
        <is>
          <t xml:space="preserve">   COGS Direct</t>
        </is>
      </c>
      <c r="C21" s="29">
        <f>C8*C12</f>
        <v/>
      </c>
      <c r="D21" s="29">
        <f>D8*D12</f>
        <v/>
      </c>
      <c r="E21" s="29">
        <f>E8*E12</f>
        <v/>
      </c>
      <c r="F21" s="29">
        <f>F8*F12</f>
        <v/>
      </c>
      <c r="G21" s="29">
        <f>G8*G12</f>
        <v/>
      </c>
      <c r="H21" s="29">
        <f>H8*H12</f>
        <v/>
      </c>
      <c r="I21" s="30">
        <f>SUM(C21:H21)</f>
        <v/>
      </c>
    </row>
    <row r="22">
      <c r="B22" s="28" t="inlineStr">
        <is>
          <t xml:space="preserve">   COGS Indirect</t>
        </is>
      </c>
      <c r="C22" s="29">
        <f>C8*C13</f>
        <v/>
      </c>
      <c r="D22" s="29">
        <f>D8*D13</f>
        <v/>
      </c>
      <c r="E22" s="29">
        <f>E8*E13</f>
        <v/>
      </c>
      <c r="F22" s="29">
        <f>F8*F13</f>
        <v/>
      </c>
      <c r="G22" s="29">
        <f>G8*G13</f>
        <v/>
      </c>
      <c r="H22" s="29">
        <f>H8*H13</f>
        <v/>
      </c>
      <c r="I22" s="30">
        <f>SUM(C22:H22)</f>
        <v/>
      </c>
    </row>
    <row r="23">
      <c r="B23" s="28" t="inlineStr">
        <is>
          <t xml:space="preserve">   Cost of Sales</t>
        </is>
      </c>
      <c r="C23" s="29">
        <f>C21+C22</f>
        <v/>
      </c>
      <c r="D23" s="29">
        <f>D21+D22</f>
        <v/>
      </c>
      <c r="E23" s="29">
        <f>E21+E22</f>
        <v/>
      </c>
      <c r="F23" s="29">
        <f>F21+F22</f>
        <v/>
      </c>
      <c r="G23" s="29">
        <f>G21+G22</f>
        <v/>
      </c>
      <c r="H23" s="29">
        <f>H21+H22</f>
        <v/>
      </c>
      <c r="I23" s="30">
        <f>I21+I22</f>
        <v/>
      </c>
    </row>
    <row r="24">
      <c r="B24" s="23" t="inlineStr">
        <is>
          <t xml:space="preserve">   Gross Profit</t>
        </is>
      </c>
      <c r="C24" s="29">
        <f>C20-C23</f>
        <v/>
      </c>
      <c r="D24" s="29">
        <f>D20-D23</f>
        <v/>
      </c>
      <c r="E24" s="29">
        <f>E20-E23</f>
        <v/>
      </c>
      <c r="F24" s="29">
        <f>F20-F23</f>
        <v/>
      </c>
      <c r="G24" s="29">
        <f>G20-G23</f>
        <v/>
      </c>
      <c r="H24" s="29">
        <f>H20-H23</f>
        <v/>
      </c>
      <c r="I24" s="30">
        <f>I20-I23</f>
        <v/>
      </c>
    </row>
    <row r="25">
      <c r="B25" s="28" t="inlineStr">
        <is>
          <t xml:space="preserve">   GP %</t>
        </is>
      </c>
      <c r="C25" s="31">
        <f>IFERROR(C24/C20,0)</f>
        <v/>
      </c>
      <c r="D25" s="31">
        <f>IFERROR(D24/D20,0)</f>
        <v/>
      </c>
      <c r="E25" s="31">
        <f>IFERROR(E24/E20,0)</f>
        <v/>
      </c>
      <c r="F25" s="31">
        <f>IFERROR(F24/F20,0)</f>
        <v/>
      </c>
      <c r="G25" s="31">
        <f>IFERROR(G24/G20,0)</f>
        <v/>
      </c>
      <c r="H25" s="31">
        <f>IFERROR(H24/H20,0)</f>
        <v/>
      </c>
      <c r="I25" s="32">
        <f>IFERROR(I24/I20,0)</f>
        <v/>
      </c>
    </row>
    <row r="26">
      <c r="B26" s="28" t="inlineStr">
        <is>
          <t xml:space="preserve">   A&amp;P Total</t>
        </is>
      </c>
      <c r="C26" s="29">
        <f>C8*(C14+C15+C16)</f>
        <v/>
      </c>
      <c r="D26" s="29">
        <f>D8*(D14+D15+D16)</f>
        <v/>
      </c>
      <c r="E26" s="29">
        <f>E8*(E14+E15+E16)</f>
        <v/>
      </c>
      <c r="F26" s="29">
        <f>F8*(F14+F15+F16)</f>
        <v/>
      </c>
      <c r="G26" s="29">
        <f>G8*(G14+G15+G16)</f>
        <v/>
      </c>
      <c r="H26" s="29">
        <f>H8*(H14+H15+H16)</f>
        <v/>
      </c>
      <c r="I26" s="30">
        <f>SUM(C26:H26)</f>
        <v/>
      </c>
    </row>
    <row r="27">
      <c r="B27" s="23" t="inlineStr">
        <is>
          <t xml:space="preserve">   Contribution After A&amp;P</t>
        </is>
      </c>
      <c r="C27" s="29">
        <f>C24-C26</f>
        <v/>
      </c>
      <c r="D27" s="29">
        <f>D24-D26</f>
        <v/>
      </c>
      <c r="E27" s="29">
        <f>E24-E26</f>
        <v/>
      </c>
      <c r="F27" s="29">
        <f>F24-F26</f>
        <v/>
      </c>
      <c r="G27" s="29">
        <f>G24-G26</f>
        <v/>
      </c>
      <c r="H27" s="29">
        <f>H24-H26</f>
        <v/>
      </c>
      <c r="I27" s="30">
        <f>I24-I26</f>
        <v/>
      </c>
    </row>
    <row r="28">
      <c r="B28" s="28" t="inlineStr">
        <is>
          <t xml:space="preserve">   CAAP %</t>
        </is>
      </c>
      <c r="C28" s="31">
        <f>IFERROR(C27/C20,0)</f>
        <v/>
      </c>
      <c r="D28" s="31">
        <f>IFERROR(D27/D20,0)</f>
        <v/>
      </c>
      <c r="E28" s="31">
        <f>IFERROR(E27/E20,0)</f>
        <v/>
      </c>
      <c r="F28" s="31">
        <f>IFERROR(F27/F20,0)</f>
        <v/>
      </c>
      <c r="G28" s="31">
        <f>IFERROR(G27/G20,0)</f>
        <v/>
      </c>
      <c r="H28" s="31">
        <f>IFERROR(H27/H20,0)</f>
        <v/>
      </c>
      <c r="I28" s="32">
        <f>IFERROR(I27/I20,0)</f>
        <v/>
      </c>
    </row>
    <row r="29">
      <c r="B29" s="21" t="inlineStr">
        <is>
          <t>PER-CASE CHECK</t>
        </is>
      </c>
      <c r="C29" s="22" t="n"/>
      <c r="D29" s="22" t="n"/>
      <c r="E29" s="22" t="n"/>
      <c r="F29" s="22" t="n"/>
      <c r="G29" s="22" t="n"/>
      <c r="H29" s="22" t="n"/>
      <c r="I29" s="22" t="n"/>
    </row>
    <row r="30">
      <c r="B30" s="28" t="inlineStr">
        <is>
          <t xml:space="preserve">   Net Sales / case</t>
        </is>
      </c>
      <c r="C30" s="33">
        <f>IFERROR(C20/C8,0)</f>
        <v/>
      </c>
      <c r="D30" s="33">
        <f>IFERROR(D20/D8,0)</f>
        <v/>
      </c>
      <c r="E30" s="33">
        <f>IFERROR(E20/E8,0)</f>
        <v/>
      </c>
      <c r="F30" s="33">
        <f>IFERROR(F20/F8,0)</f>
        <v/>
      </c>
      <c r="G30" s="33">
        <f>IFERROR(G20/G8,0)</f>
        <v/>
      </c>
      <c r="H30" s="33">
        <f>IFERROR(H20/H8,0)</f>
        <v/>
      </c>
      <c r="I30" s="27">
        <f>IFERROR(I20/I8,0)</f>
        <v/>
      </c>
    </row>
    <row r="31">
      <c r="B31" s="28" t="inlineStr">
        <is>
          <t xml:space="preserve">   Gross Profit / case</t>
        </is>
      </c>
      <c r="C31" s="33">
        <f>IFERROR(C24/C8,0)</f>
        <v/>
      </c>
      <c r="D31" s="33">
        <f>IFERROR(D24/D8,0)</f>
        <v/>
      </c>
      <c r="E31" s="33">
        <f>IFERROR(E24/E8,0)</f>
        <v/>
      </c>
      <c r="F31" s="33">
        <f>IFERROR(F24/F8,0)</f>
        <v/>
      </c>
      <c r="G31" s="33">
        <f>IFERROR(G24/G8,0)</f>
        <v/>
      </c>
      <c r="H31" s="33">
        <f>IFERROR(H24/H8,0)</f>
        <v/>
      </c>
      <c r="I31" s="27">
        <f>IFERROR(I24/I8,0)</f>
        <v/>
      </c>
    </row>
  </sheetData>
  <mergeCells count="10">
    <mergeCell ref="B9:I9"/>
    <mergeCell ref="F5:H5"/>
    <mergeCell ref="C5:E5"/>
    <mergeCell ref="B7:I7"/>
    <mergeCell ref="B29:I29"/>
    <mergeCell ref="B2:I2"/>
    <mergeCell ref="B3:I3"/>
    <mergeCell ref="B1:I1"/>
    <mergeCell ref="I5:I6"/>
    <mergeCell ref="B17:I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I31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5" t="inlineStr">
        <is>
          <t>Sparkling Daily — One-Year Plan (FY2026)</t>
        </is>
      </c>
    </row>
    <row r="2">
      <c r="B2" s="6" t="inlineStr">
        <is>
          <t>Scenario: HIGH   •   Levers vs Base — Volume 130%, Price (CP) 100%</t>
        </is>
      </c>
    </row>
    <row r="3">
      <c r="B3" s="6" t="inlineStr">
        <is>
          <t>All $ figures CDN. Yellow cells are inputs — change volume &amp; CP per case to model scenarios. Everything else calculates.</t>
        </is>
      </c>
    </row>
    <row r="5" ht="18" customHeight="1">
      <c r="C5" s="19" t="inlineStr">
        <is>
          <t>SINGLES</t>
        </is>
      </c>
      <c r="F5" s="19" t="inlineStr">
        <is>
          <t>12-PACK</t>
        </is>
      </c>
      <c r="I5" s="19" t="inlineStr">
        <is>
          <t>TOTAL
DAILY</t>
        </is>
      </c>
    </row>
    <row r="6" ht="26" customHeight="1">
      <c r="B6" s="20" t="inlineStr">
        <is>
          <t>CDN $</t>
        </is>
      </c>
      <c r="C6" s="8" t="inlineStr">
        <is>
          <t>Flavour 1</t>
        </is>
      </c>
      <c r="D6" s="8" t="inlineStr">
        <is>
          <t>Flavour 2</t>
        </is>
      </c>
      <c r="E6" s="8" t="inlineStr">
        <is>
          <t>Flavour 3</t>
        </is>
      </c>
      <c r="F6" s="8" t="inlineStr">
        <is>
          <t>Flavour 1</t>
        </is>
      </c>
      <c r="G6" s="8" t="inlineStr">
        <is>
          <t>Flavour 2</t>
        </is>
      </c>
      <c r="H6" s="8" t="inlineStr">
        <is>
          <t>Flavour 3</t>
        </is>
      </c>
    </row>
    <row r="7">
      <c r="B7" s="21" t="inlineStr">
        <is>
          <t>VOLUME</t>
        </is>
      </c>
      <c r="C7" s="22" t="n"/>
      <c r="D7" s="22" t="n"/>
      <c r="E7" s="22" t="n"/>
      <c r="F7" s="22" t="n"/>
      <c r="G7" s="22" t="n"/>
      <c r="H7" s="22" t="n"/>
      <c r="I7" s="22" t="n"/>
    </row>
    <row r="8">
      <c r="B8" s="23" t="inlineStr">
        <is>
          <t xml:space="preserve">   Physical Cases</t>
        </is>
      </c>
      <c r="C8" s="24" t="n">
        <v>15600</v>
      </c>
      <c r="D8" s="24" t="n">
        <v>11700</v>
      </c>
      <c r="E8" s="24" t="n">
        <v>9100</v>
      </c>
      <c r="F8" s="24" t="n">
        <v>6500</v>
      </c>
      <c r="G8" s="24" t="n">
        <v>5200</v>
      </c>
      <c r="H8" s="24" t="n">
        <v>3900</v>
      </c>
      <c r="I8" s="25">
        <f>SUM(C8:H8)</f>
        <v/>
      </c>
    </row>
    <row r="9">
      <c r="B9" s="21" t="inlineStr">
        <is>
          <t>PRICING &amp; COST — PER CASE  (inputs)</t>
        </is>
      </c>
      <c r="C9" s="22" t="n"/>
      <c r="D9" s="22" t="n"/>
      <c r="E9" s="22" t="n"/>
      <c r="F9" s="22" t="n"/>
      <c r="G9" s="22" t="n"/>
      <c r="H9" s="22" t="n"/>
      <c r="I9" s="22" t="n"/>
    </row>
    <row r="10">
      <c r="B10" s="23" t="inlineStr">
        <is>
          <t xml:space="preserve">   CP  •  Gross Rev / case</t>
        </is>
      </c>
      <c r="C10" s="26" t="n">
        <v>28</v>
      </c>
      <c r="D10" s="26" t="n">
        <v>28</v>
      </c>
      <c r="E10" s="26" t="n">
        <v>26</v>
      </c>
      <c r="F10" s="26" t="n">
        <v>34</v>
      </c>
      <c r="G10" s="26" t="n">
        <v>34</v>
      </c>
      <c r="H10" s="26" t="n">
        <v>32</v>
      </c>
      <c r="I10" s="27">
        <f>IFERROR(SUMPRODUCT(C8:H8,C10:H10)/I8,0)</f>
        <v/>
      </c>
    </row>
    <row r="11">
      <c r="B11" s="28" t="inlineStr">
        <is>
          <t xml:space="preserve">   Discounts / case</t>
        </is>
      </c>
      <c r="C11" s="26" t="n">
        <v>2</v>
      </c>
      <c r="D11" s="26" t="n">
        <v>2</v>
      </c>
      <c r="E11" s="26" t="n">
        <v>2</v>
      </c>
      <c r="F11" s="26" t="n">
        <v>2.5</v>
      </c>
      <c r="G11" s="26" t="n">
        <v>2.5</v>
      </c>
      <c r="H11" s="26" t="n">
        <v>2.5</v>
      </c>
      <c r="I11" s="27">
        <f>IFERROR(SUMPRODUCT(C8:H8,C11:H11)/I8,0)</f>
        <v/>
      </c>
    </row>
    <row r="12">
      <c r="B12" s="28" t="inlineStr">
        <is>
          <t xml:space="preserve">   COGS Direct / case</t>
        </is>
      </c>
      <c r="C12" s="26" t="n">
        <v>13</v>
      </c>
      <c r="D12" s="26" t="n">
        <v>13</v>
      </c>
      <c r="E12" s="26" t="n">
        <v>12.5</v>
      </c>
      <c r="F12" s="26" t="n">
        <v>16</v>
      </c>
      <c r="G12" s="26" t="n">
        <v>16</v>
      </c>
      <c r="H12" s="26" t="n">
        <v>15.5</v>
      </c>
      <c r="I12" s="27">
        <f>IFERROR(SUMPRODUCT(C8:H8,C12:H12)/I8,0)</f>
        <v/>
      </c>
    </row>
    <row r="13">
      <c r="B13" s="28" t="inlineStr">
        <is>
          <t xml:space="preserve">   COGS Indirect / case</t>
        </is>
      </c>
      <c r="C13" s="26" t="n">
        <v>2</v>
      </c>
      <c r="D13" s="26" t="n">
        <v>2</v>
      </c>
      <c r="E13" s="26" t="n">
        <v>2</v>
      </c>
      <c r="F13" s="26" t="n">
        <v>2.25</v>
      </c>
      <c r="G13" s="26" t="n">
        <v>2.25</v>
      </c>
      <c r="H13" s="26" t="n">
        <v>2.25</v>
      </c>
      <c r="I13" s="27">
        <f>IFERROR(SUMPRODUCT(C8:H8,C13:H13)/I8,0)</f>
        <v/>
      </c>
    </row>
    <row r="14">
      <c r="B14" s="28" t="inlineStr">
        <is>
          <t xml:space="preserve">   A&amp;P Consumer / case</t>
        </is>
      </c>
      <c r="C14" s="26" t="n">
        <v>0.75</v>
      </c>
      <c r="D14" s="26" t="n">
        <v>0.75</v>
      </c>
      <c r="E14" s="26" t="n">
        <v>0.75</v>
      </c>
      <c r="F14" s="26" t="n">
        <v>0.75</v>
      </c>
      <c r="G14" s="26" t="n">
        <v>0.75</v>
      </c>
      <c r="H14" s="26" t="n">
        <v>0.75</v>
      </c>
      <c r="I14" s="27">
        <f>IFERROR(SUMPRODUCT(C8:H8,C14:H14)/I8,0)</f>
        <v/>
      </c>
    </row>
    <row r="15">
      <c r="B15" s="28" t="inlineStr">
        <is>
          <t xml:space="preserve">   A&amp;P Trade / case</t>
        </is>
      </c>
      <c r="C15" s="26" t="n">
        <v>1.25</v>
      </c>
      <c r="D15" s="26" t="n">
        <v>1.25</v>
      </c>
      <c r="E15" s="26" t="n">
        <v>1.25</v>
      </c>
      <c r="F15" s="26" t="n">
        <v>1.5</v>
      </c>
      <c r="G15" s="26" t="n">
        <v>1.5</v>
      </c>
      <c r="H15" s="26" t="n">
        <v>1.5</v>
      </c>
      <c r="I15" s="27">
        <f>IFERROR(SUMPRODUCT(C8:H8,C15:H15)/I8,0)</f>
        <v/>
      </c>
    </row>
    <row r="16">
      <c r="B16" s="28" t="inlineStr">
        <is>
          <t xml:space="preserve">   A&amp;P Sales / case</t>
        </is>
      </c>
      <c r="C16" s="26" t="n">
        <v>0.5</v>
      </c>
      <c r="D16" s="26" t="n">
        <v>0.5</v>
      </c>
      <c r="E16" s="26" t="n">
        <v>0.5</v>
      </c>
      <c r="F16" s="26" t="n">
        <v>0.5</v>
      </c>
      <c r="G16" s="26" t="n">
        <v>0.5</v>
      </c>
      <c r="H16" s="26" t="n">
        <v>0.5</v>
      </c>
      <c r="I16" s="27">
        <f>IFERROR(SUMPRODUCT(C8:H8,C16:H16)/I8,0)</f>
        <v/>
      </c>
    </row>
    <row r="17">
      <c r="B17" s="21" t="inlineStr">
        <is>
          <t>P&amp;L  ($)</t>
        </is>
      </c>
      <c r="C17" s="22" t="n"/>
      <c r="D17" s="22" t="n"/>
      <c r="E17" s="22" t="n"/>
      <c r="F17" s="22" t="n"/>
      <c r="G17" s="22" t="n"/>
      <c r="H17" s="22" t="n"/>
      <c r="I17" s="22" t="n"/>
    </row>
    <row r="18">
      <c r="B18" s="28" t="inlineStr">
        <is>
          <t xml:space="preserve">   Gross Revenue</t>
        </is>
      </c>
      <c r="C18" s="29">
        <f>C8*C10</f>
        <v/>
      </c>
      <c r="D18" s="29">
        <f>D8*D10</f>
        <v/>
      </c>
      <c r="E18" s="29">
        <f>E8*E10</f>
        <v/>
      </c>
      <c r="F18" s="29">
        <f>F8*F10</f>
        <v/>
      </c>
      <c r="G18" s="29">
        <f>G8*G10</f>
        <v/>
      </c>
      <c r="H18" s="29">
        <f>H8*H10</f>
        <v/>
      </c>
      <c r="I18" s="30">
        <f>SUM(C18:H18)</f>
        <v/>
      </c>
    </row>
    <row r="19">
      <c r="B19" s="28" t="inlineStr">
        <is>
          <t xml:space="preserve">   Discounts</t>
        </is>
      </c>
      <c r="C19" s="29">
        <f>C8*C11</f>
        <v/>
      </c>
      <c r="D19" s="29">
        <f>D8*D11</f>
        <v/>
      </c>
      <c r="E19" s="29">
        <f>E8*E11</f>
        <v/>
      </c>
      <c r="F19" s="29">
        <f>F8*F11</f>
        <v/>
      </c>
      <c r="G19" s="29">
        <f>G8*G11</f>
        <v/>
      </c>
      <c r="H19" s="29">
        <f>H8*H11</f>
        <v/>
      </c>
      <c r="I19" s="30">
        <f>SUM(C19:H19)</f>
        <v/>
      </c>
    </row>
    <row r="20">
      <c r="B20" s="23" t="inlineStr">
        <is>
          <t xml:space="preserve">   Net Sales</t>
        </is>
      </c>
      <c r="C20" s="29">
        <f>C18-C19</f>
        <v/>
      </c>
      <c r="D20" s="29">
        <f>D18-D19</f>
        <v/>
      </c>
      <c r="E20" s="29">
        <f>E18-E19</f>
        <v/>
      </c>
      <c r="F20" s="29">
        <f>F18-F19</f>
        <v/>
      </c>
      <c r="G20" s="29">
        <f>G18-G19</f>
        <v/>
      </c>
      <c r="H20" s="29">
        <f>H18-H19</f>
        <v/>
      </c>
      <c r="I20" s="30">
        <f>I18-I19</f>
        <v/>
      </c>
    </row>
    <row r="21">
      <c r="B21" s="28" t="inlineStr">
        <is>
          <t xml:space="preserve">   COGS Direct</t>
        </is>
      </c>
      <c r="C21" s="29">
        <f>C8*C12</f>
        <v/>
      </c>
      <c r="D21" s="29">
        <f>D8*D12</f>
        <v/>
      </c>
      <c r="E21" s="29">
        <f>E8*E12</f>
        <v/>
      </c>
      <c r="F21" s="29">
        <f>F8*F12</f>
        <v/>
      </c>
      <c r="G21" s="29">
        <f>G8*G12</f>
        <v/>
      </c>
      <c r="H21" s="29">
        <f>H8*H12</f>
        <v/>
      </c>
      <c r="I21" s="30">
        <f>SUM(C21:H21)</f>
        <v/>
      </c>
    </row>
    <row r="22">
      <c r="B22" s="28" t="inlineStr">
        <is>
          <t xml:space="preserve">   COGS Indirect</t>
        </is>
      </c>
      <c r="C22" s="29">
        <f>C8*C13</f>
        <v/>
      </c>
      <c r="D22" s="29">
        <f>D8*D13</f>
        <v/>
      </c>
      <c r="E22" s="29">
        <f>E8*E13</f>
        <v/>
      </c>
      <c r="F22" s="29">
        <f>F8*F13</f>
        <v/>
      </c>
      <c r="G22" s="29">
        <f>G8*G13</f>
        <v/>
      </c>
      <c r="H22" s="29">
        <f>H8*H13</f>
        <v/>
      </c>
      <c r="I22" s="30">
        <f>SUM(C22:H22)</f>
        <v/>
      </c>
    </row>
    <row r="23">
      <c r="B23" s="28" t="inlineStr">
        <is>
          <t xml:space="preserve">   Cost of Sales</t>
        </is>
      </c>
      <c r="C23" s="29">
        <f>C21+C22</f>
        <v/>
      </c>
      <c r="D23" s="29">
        <f>D21+D22</f>
        <v/>
      </c>
      <c r="E23" s="29">
        <f>E21+E22</f>
        <v/>
      </c>
      <c r="F23" s="29">
        <f>F21+F22</f>
        <v/>
      </c>
      <c r="G23" s="29">
        <f>G21+G22</f>
        <v/>
      </c>
      <c r="H23" s="29">
        <f>H21+H22</f>
        <v/>
      </c>
      <c r="I23" s="30">
        <f>I21+I22</f>
        <v/>
      </c>
    </row>
    <row r="24">
      <c r="B24" s="23" t="inlineStr">
        <is>
          <t xml:space="preserve">   Gross Profit</t>
        </is>
      </c>
      <c r="C24" s="29">
        <f>C20-C23</f>
        <v/>
      </c>
      <c r="D24" s="29">
        <f>D20-D23</f>
        <v/>
      </c>
      <c r="E24" s="29">
        <f>E20-E23</f>
        <v/>
      </c>
      <c r="F24" s="29">
        <f>F20-F23</f>
        <v/>
      </c>
      <c r="G24" s="29">
        <f>G20-G23</f>
        <v/>
      </c>
      <c r="H24" s="29">
        <f>H20-H23</f>
        <v/>
      </c>
      <c r="I24" s="30">
        <f>I20-I23</f>
        <v/>
      </c>
    </row>
    <row r="25">
      <c r="B25" s="28" t="inlineStr">
        <is>
          <t xml:space="preserve">   GP %</t>
        </is>
      </c>
      <c r="C25" s="31">
        <f>IFERROR(C24/C20,0)</f>
        <v/>
      </c>
      <c r="D25" s="31">
        <f>IFERROR(D24/D20,0)</f>
        <v/>
      </c>
      <c r="E25" s="31">
        <f>IFERROR(E24/E20,0)</f>
        <v/>
      </c>
      <c r="F25" s="31">
        <f>IFERROR(F24/F20,0)</f>
        <v/>
      </c>
      <c r="G25" s="31">
        <f>IFERROR(G24/G20,0)</f>
        <v/>
      </c>
      <c r="H25" s="31">
        <f>IFERROR(H24/H20,0)</f>
        <v/>
      </c>
      <c r="I25" s="32">
        <f>IFERROR(I24/I20,0)</f>
        <v/>
      </c>
    </row>
    <row r="26">
      <c r="B26" s="28" t="inlineStr">
        <is>
          <t xml:space="preserve">   A&amp;P Total</t>
        </is>
      </c>
      <c r="C26" s="29">
        <f>C8*(C14+C15+C16)</f>
        <v/>
      </c>
      <c r="D26" s="29">
        <f>D8*(D14+D15+D16)</f>
        <v/>
      </c>
      <c r="E26" s="29">
        <f>E8*(E14+E15+E16)</f>
        <v/>
      </c>
      <c r="F26" s="29">
        <f>F8*(F14+F15+F16)</f>
        <v/>
      </c>
      <c r="G26" s="29">
        <f>G8*(G14+G15+G16)</f>
        <v/>
      </c>
      <c r="H26" s="29">
        <f>H8*(H14+H15+H16)</f>
        <v/>
      </c>
      <c r="I26" s="30">
        <f>SUM(C26:H26)</f>
        <v/>
      </c>
    </row>
    <row r="27">
      <c r="B27" s="23" t="inlineStr">
        <is>
          <t xml:space="preserve">   Contribution After A&amp;P</t>
        </is>
      </c>
      <c r="C27" s="29">
        <f>C24-C26</f>
        <v/>
      </c>
      <c r="D27" s="29">
        <f>D24-D26</f>
        <v/>
      </c>
      <c r="E27" s="29">
        <f>E24-E26</f>
        <v/>
      </c>
      <c r="F27" s="29">
        <f>F24-F26</f>
        <v/>
      </c>
      <c r="G27" s="29">
        <f>G24-G26</f>
        <v/>
      </c>
      <c r="H27" s="29">
        <f>H24-H26</f>
        <v/>
      </c>
      <c r="I27" s="30">
        <f>I24-I26</f>
        <v/>
      </c>
    </row>
    <row r="28">
      <c r="B28" s="28" t="inlineStr">
        <is>
          <t xml:space="preserve">   CAAP %</t>
        </is>
      </c>
      <c r="C28" s="31">
        <f>IFERROR(C27/C20,0)</f>
        <v/>
      </c>
      <c r="D28" s="31">
        <f>IFERROR(D27/D20,0)</f>
        <v/>
      </c>
      <c r="E28" s="31">
        <f>IFERROR(E27/E20,0)</f>
        <v/>
      </c>
      <c r="F28" s="31">
        <f>IFERROR(F27/F20,0)</f>
        <v/>
      </c>
      <c r="G28" s="31">
        <f>IFERROR(G27/G20,0)</f>
        <v/>
      </c>
      <c r="H28" s="31">
        <f>IFERROR(H27/H20,0)</f>
        <v/>
      </c>
      <c r="I28" s="32">
        <f>IFERROR(I27/I20,0)</f>
        <v/>
      </c>
    </row>
    <row r="29">
      <c r="B29" s="21" t="inlineStr">
        <is>
          <t>PER-CASE CHECK</t>
        </is>
      </c>
      <c r="C29" s="22" t="n"/>
      <c r="D29" s="22" t="n"/>
      <c r="E29" s="22" t="n"/>
      <c r="F29" s="22" t="n"/>
      <c r="G29" s="22" t="n"/>
      <c r="H29" s="22" t="n"/>
      <c r="I29" s="22" t="n"/>
    </row>
    <row r="30">
      <c r="B30" s="28" t="inlineStr">
        <is>
          <t xml:space="preserve">   Net Sales / case</t>
        </is>
      </c>
      <c r="C30" s="33">
        <f>IFERROR(C20/C8,0)</f>
        <v/>
      </c>
      <c r="D30" s="33">
        <f>IFERROR(D20/D8,0)</f>
        <v/>
      </c>
      <c r="E30" s="33">
        <f>IFERROR(E20/E8,0)</f>
        <v/>
      </c>
      <c r="F30" s="33">
        <f>IFERROR(F20/F8,0)</f>
        <v/>
      </c>
      <c r="G30" s="33">
        <f>IFERROR(G20/G8,0)</f>
        <v/>
      </c>
      <c r="H30" s="33">
        <f>IFERROR(H20/H8,0)</f>
        <v/>
      </c>
      <c r="I30" s="27">
        <f>IFERROR(I20/I8,0)</f>
        <v/>
      </c>
    </row>
    <row r="31">
      <c r="B31" s="28" t="inlineStr">
        <is>
          <t xml:space="preserve">   Gross Profit / case</t>
        </is>
      </c>
      <c r="C31" s="33">
        <f>IFERROR(C24/C8,0)</f>
        <v/>
      </c>
      <c r="D31" s="33">
        <f>IFERROR(D24/D8,0)</f>
        <v/>
      </c>
      <c r="E31" s="33">
        <f>IFERROR(E24/E8,0)</f>
        <v/>
      </c>
      <c r="F31" s="33">
        <f>IFERROR(F24/F8,0)</f>
        <v/>
      </c>
      <c r="G31" s="33">
        <f>IFERROR(G24/G8,0)</f>
        <v/>
      </c>
      <c r="H31" s="33">
        <f>IFERROR(H24/H8,0)</f>
        <v/>
      </c>
      <c r="I31" s="27">
        <f>IFERROR(I24/I8,0)</f>
        <v/>
      </c>
    </row>
  </sheetData>
  <mergeCells count="10">
    <mergeCell ref="B9:I9"/>
    <mergeCell ref="F5:H5"/>
    <mergeCell ref="C5:E5"/>
    <mergeCell ref="B7:I7"/>
    <mergeCell ref="B29:I29"/>
    <mergeCell ref="B2:I2"/>
    <mergeCell ref="B3:I3"/>
    <mergeCell ref="B1:I1"/>
    <mergeCell ref="I5:I6"/>
    <mergeCell ref="B17:I1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I31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5" t="inlineStr">
        <is>
          <t>Sparkling Daily — One-Year Plan (FY2026)</t>
        </is>
      </c>
    </row>
    <row r="2">
      <c r="B2" s="6" t="inlineStr">
        <is>
          <t>Scenario: STRETCH   •   Levers vs Base — Volume 160%, Price (CP) 105%</t>
        </is>
      </c>
    </row>
    <row r="3">
      <c r="B3" s="6" t="inlineStr">
        <is>
          <t>All $ figures CDN. Yellow cells are inputs — change volume &amp; CP per case to model scenarios. Everything else calculates.</t>
        </is>
      </c>
    </row>
    <row r="5" ht="18" customHeight="1">
      <c r="C5" s="19" t="inlineStr">
        <is>
          <t>SINGLES</t>
        </is>
      </c>
      <c r="F5" s="19" t="inlineStr">
        <is>
          <t>12-PACK</t>
        </is>
      </c>
      <c r="I5" s="19" t="inlineStr">
        <is>
          <t>TOTAL
DAILY</t>
        </is>
      </c>
    </row>
    <row r="6" ht="26" customHeight="1">
      <c r="B6" s="20" t="inlineStr">
        <is>
          <t>CDN $</t>
        </is>
      </c>
      <c r="C6" s="8" t="inlineStr">
        <is>
          <t>Flavour 1</t>
        </is>
      </c>
      <c r="D6" s="8" t="inlineStr">
        <is>
          <t>Flavour 2</t>
        </is>
      </c>
      <c r="E6" s="8" t="inlineStr">
        <is>
          <t>Flavour 3</t>
        </is>
      </c>
      <c r="F6" s="8" t="inlineStr">
        <is>
          <t>Flavour 1</t>
        </is>
      </c>
      <c r="G6" s="8" t="inlineStr">
        <is>
          <t>Flavour 2</t>
        </is>
      </c>
      <c r="H6" s="8" t="inlineStr">
        <is>
          <t>Flavour 3</t>
        </is>
      </c>
    </row>
    <row r="7">
      <c r="B7" s="21" t="inlineStr">
        <is>
          <t>VOLUME</t>
        </is>
      </c>
      <c r="C7" s="22" t="n"/>
      <c r="D7" s="22" t="n"/>
      <c r="E7" s="22" t="n"/>
      <c r="F7" s="22" t="n"/>
      <c r="G7" s="22" t="n"/>
      <c r="H7" s="22" t="n"/>
      <c r="I7" s="22" t="n"/>
    </row>
    <row r="8">
      <c r="B8" s="23" t="inlineStr">
        <is>
          <t xml:space="preserve">   Physical Cases</t>
        </is>
      </c>
      <c r="C8" s="24" t="n">
        <v>19200</v>
      </c>
      <c r="D8" s="24" t="n">
        <v>14400</v>
      </c>
      <c r="E8" s="24" t="n">
        <v>11200</v>
      </c>
      <c r="F8" s="24" t="n">
        <v>8000</v>
      </c>
      <c r="G8" s="24" t="n">
        <v>6400</v>
      </c>
      <c r="H8" s="24" t="n">
        <v>4800</v>
      </c>
      <c r="I8" s="25">
        <f>SUM(C8:H8)</f>
        <v/>
      </c>
    </row>
    <row r="9">
      <c r="B9" s="21" t="inlineStr">
        <is>
          <t>PRICING &amp; COST — PER CASE  (inputs)</t>
        </is>
      </c>
      <c r="C9" s="22" t="n"/>
      <c r="D9" s="22" t="n"/>
      <c r="E9" s="22" t="n"/>
      <c r="F9" s="22" t="n"/>
      <c r="G9" s="22" t="n"/>
      <c r="H9" s="22" t="n"/>
      <c r="I9" s="22" t="n"/>
    </row>
    <row r="10">
      <c r="B10" s="23" t="inlineStr">
        <is>
          <t xml:space="preserve">   CP  •  Gross Rev / case</t>
        </is>
      </c>
      <c r="C10" s="26" t="n">
        <v>29.4</v>
      </c>
      <c r="D10" s="26" t="n">
        <v>29.4</v>
      </c>
      <c r="E10" s="26" t="n">
        <v>27.3</v>
      </c>
      <c r="F10" s="26" t="n">
        <v>35.7</v>
      </c>
      <c r="G10" s="26" t="n">
        <v>35.7</v>
      </c>
      <c r="H10" s="26" t="n">
        <v>33.6</v>
      </c>
      <c r="I10" s="27">
        <f>IFERROR(SUMPRODUCT(C8:H8,C10:H10)/I8,0)</f>
        <v/>
      </c>
    </row>
    <row r="11">
      <c r="B11" s="28" t="inlineStr">
        <is>
          <t xml:space="preserve">   Discounts / case</t>
        </is>
      </c>
      <c r="C11" s="26" t="n">
        <v>2</v>
      </c>
      <c r="D11" s="26" t="n">
        <v>2</v>
      </c>
      <c r="E11" s="26" t="n">
        <v>2</v>
      </c>
      <c r="F11" s="26" t="n">
        <v>2.5</v>
      </c>
      <c r="G11" s="26" t="n">
        <v>2.5</v>
      </c>
      <c r="H11" s="26" t="n">
        <v>2.5</v>
      </c>
      <c r="I11" s="27">
        <f>IFERROR(SUMPRODUCT(C8:H8,C11:H11)/I8,0)</f>
        <v/>
      </c>
    </row>
    <row r="12">
      <c r="B12" s="28" t="inlineStr">
        <is>
          <t xml:space="preserve">   COGS Direct / case</t>
        </is>
      </c>
      <c r="C12" s="26" t="n">
        <v>13</v>
      </c>
      <c r="D12" s="26" t="n">
        <v>13</v>
      </c>
      <c r="E12" s="26" t="n">
        <v>12.5</v>
      </c>
      <c r="F12" s="26" t="n">
        <v>16</v>
      </c>
      <c r="G12" s="26" t="n">
        <v>16</v>
      </c>
      <c r="H12" s="26" t="n">
        <v>15.5</v>
      </c>
      <c r="I12" s="27">
        <f>IFERROR(SUMPRODUCT(C8:H8,C12:H12)/I8,0)</f>
        <v/>
      </c>
    </row>
    <row r="13">
      <c r="B13" s="28" t="inlineStr">
        <is>
          <t xml:space="preserve">   COGS Indirect / case</t>
        </is>
      </c>
      <c r="C13" s="26" t="n">
        <v>2</v>
      </c>
      <c r="D13" s="26" t="n">
        <v>2</v>
      </c>
      <c r="E13" s="26" t="n">
        <v>2</v>
      </c>
      <c r="F13" s="26" t="n">
        <v>2.25</v>
      </c>
      <c r="G13" s="26" t="n">
        <v>2.25</v>
      </c>
      <c r="H13" s="26" t="n">
        <v>2.25</v>
      </c>
      <c r="I13" s="27">
        <f>IFERROR(SUMPRODUCT(C8:H8,C13:H13)/I8,0)</f>
        <v/>
      </c>
    </row>
    <row r="14">
      <c r="B14" s="28" t="inlineStr">
        <is>
          <t xml:space="preserve">   A&amp;P Consumer / case</t>
        </is>
      </c>
      <c r="C14" s="26" t="n">
        <v>0.75</v>
      </c>
      <c r="D14" s="26" t="n">
        <v>0.75</v>
      </c>
      <c r="E14" s="26" t="n">
        <v>0.75</v>
      </c>
      <c r="F14" s="26" t="n">
        <v>0.75</v>
      </c>
      <c r="G14" s="26" t="n">
        <v>0.75</v>
      </c>
      <c r="H14" s="26" t="n">
        <v>0.75</v>
      </c>
      <c r="I14" s="27">
        <f>IFERROR(SUMPRODUCT(C8:H8,C14:H14)/I8,0)</f>
        <v/>
      </c>
    </row>
    <row r="15">
      <c r="B15" s="28" t="inlineStr">
        <is>
          <t xml:space="preserve">   A&amp;P Trade / case</t>
        </is>
      </c>
      <c r="C15" s="26" t="n">
        <v>1.25</v>
      </c>
      <c r="D15" s="26" t="n">
        <v>1.25</v>
      </c>
      <c r="E15" s="26" t="n">
        <v>1.25</v>
      </c>
      <c r="F15" s="26" t="n">
        <v>1.5</v>
      </c>
      <c r="G15" s="26" t="n">
        <v>1.5</v>
      </c>
      <c r="H15" s="26" t="n">
        <v>1.5</v>
      </c>
      <c r="I15" s="27">
        <f>IFERROR(SUMPRODUCT(C8:H8,C15:H15)/I8,0)</f>
        <v/>
      </c>
    </row>
    <row r="16">
      <c r="B16" s="28" t="inlineStr">
        <is>
          <t xml:space="preserve">   A&amp;P Sales / case</t>
        </is>
      </c>
      <c r="C16" s="26" t="n">
        <v>0.5</v>
      </c>
      <c r="D16" s="26" t="n">
        <v>0.5</v>
      </c>
      <c r="E16" s="26" t="n">
        <v>0.5</v>
      </c>
      <c r="F16" s="26" t="n">
        <v>0.5</v>
      </c>
      <c r="G16" s="26" t="n">
        <v>0.5</v>
      </c>
      <c r="H16" s="26" t="n">
        <v>0.5</v>
      </c>
      <c r="I16" s="27">
        <f>IFERROR(SUMPRODUCT(C8:H8,C16:H16)/I8,0)</f>
        <v/>
      </c>
    </row>
    <row r="17">
      <c r="B17" s="21" t="inlineStr">
        <is>
          <t>P&amp;L  ($)</t>
        </is>
      </c>
      <c r="C17" s="22" t="n"/>
      <c r="D17" s="22" t="n"/>
      <c r="E17" s="22" t="n"/>
      <c r="F17" s="22" t="n"/>
      <c r="G17" s="22" t="n"/>
      <c r="H17" s="22" t="n"/>
      <c r="I17" s="22" t="n"/>
    </row>
    <row r="18">
      <c r="B18" s="28" t="inlineStr">
        <is>
          <t xml:space="preserve">   Gross Revenue</t>
        </is>
      </c>
      <c r="C18" s="29">
        <f>C8*C10</f>
        <v/>
      </c>
      <c r="D18" s="29">
        <f>D8*D10</f>
        <v/>
      </c>
      <c r="E18" s="29">
        <f>E8*E10</f>
        <v/>
      </c>
      <c r="F18" s="29">
        <f>F8*F10</f>
        <v/>
      </c>
      <c r="G18" s="29">
        <f>G8*G10</f>
        <v/>
      </c>
      <c r="H18" s="29">
        <f>H8*H10</f>
        <v/>
      </c>
      <c r="I18" s="30">
        <f>SUM(C18:H18)</f>
        <v/>
      </c>
    </row>
    <row r="19">
      <c r="B19" s="28" t="inlineStr">
        <is>
          <t xml:space="preserve">   Discounts</t>
        </is>
      </c>
      <c r="C19" s="29">
        <f>C8*C11</f>
        <v/>
      </c>
      <c r="D19" s="29">
        <f>D8*D11</f>
        <v/>
      </c>
      <c r="E19" s="29">
        <f>E8*E11</f>
        <v/>
      </c>
      <c r="F19" s="29">
        <f>F8*F11</f>
        <v/>
      </c>
      <c r="G19" s="29">
        <f>G8*G11</f>
        <v/>
      </c>
      <c r="H19" s="29">
        <f>H8*H11</f>
        <v/>
      </c>
      <c r="I19" s="30">
        <f>SUM(C19:H19)</f>
        <v/>
      </c>
    </row>
    <row r="20">
      <c r="B20" s="23" t="inlineStr">
        <is>
          <t xml:space="preserve">   Net Sales</t>
        </is>
      </c>
      <c r="C20" s="29">
        <f>C18-C19</f>
        <v/>
      </c>
      <c r="D20" s="29">
        <f>D18-D19</f>
        <v/>
      </c>
      <c r="E20" s="29">
        <f>E18-E19</f>
        <v/>
      </c>
      <c r="F20" s="29">
        <f>F18-F19</f>
        <v/>
      </c>
      <c r="G20" s="29">
        <f>G18-G19</f>
        <v/>
      </c>
      <c r="H20" s="29">
        <f>H18-H19</f>
        <v/>
      </c>
      <c r="I20" s="30">
        <f>I18-I19</f>
        <v/>
      </c>
    </row>
    <row r="21">
      <c r="B21" s="28" t="inlineStr">
        <is>
          <t xml:space="preserve">   COGS Direct</t>
        </is>
      </c>
      <c r="C21" s="29">
        <f>C8*C12</f>
        <v/>
      </c>
      <c r="D21" s="29">
        <f>D8*D12</f>
        <v/>
      </c>
      <c r="E21" s="29">
        <f>E8*E12</f>
        <v/>
      </c>
      <c r="F21" s="29">
        <f>F8*F12</f>
        <v/>
      </c>
      <c r="G21" s="29">
        <f>G8*G12</f>
        <v/>
      </c>
      <c r="H21" s="29">
        <f>H8*H12</f>
        <v/>
      </c>
      <c r="I21" s="30">
        <f>SUM(C21:H21)</f>
        <v/>
      </c>
    </row>
    <row r="22">
      <c r="B22" s="28" t="inlineStr">
        <is>
          <t xml:space="preserve">   COGS Indirect</t>
        </is>
      </c>
      <c r="C22" s="29">
        <f>C8*C13</f>
        <v/>
      </c>
      <c r="D22" s="29">
        <f>D8*D13</f>
        <v/>
      </c>
      <c r="E22" s="29">
        <f>E8*E13</f>
        <v/>
      </c>
      <c r="F22" s="29">
        <f>F8*F13</f>
        <v/>
      </c>
      <c r="G22" s="29">
        <f>G8*G13</f>
        <v/>
      </c>
      <c r="H22" s="29">
        <f>H8*H13</f>
        <v/>
      </c>
      <c r="I22" s="30">
        <f>SUM(C22:H22)</f>
        <v/>
      </c>
    </row>
    <row r="23">
      <c r="B23" s="28" t="inlineStr">
        <is>
          <t xml:space="preserve">   Cost of Sales</t>
        </is>
      </c>
      <c r="C23" s="29">
        <f>C21+C22</f>
        <v/>
      </c>
      <c r="D23" s="29">
        <f>D21+D22</f>
        <v/>
      </c>
      <c r="E23" s="29">
        <f>E21+E22</f>
        <v/>
      </c>
      <c r="F23" s="29">
        <f>F21+F22</f>
        <v/>
      </c>
      <c r="G23" s="29">
        <f>G21+G22</f>
        <v/>
      </c>
      <c r="H23" s="29">
        <f>H21+H22</f>
        <v/>
      </c>
      <c r="I23" s="30">
        <f>I21+I22</f>
        <v/>
      </c>
    </row>
    <row r="24">
      <c r="B24" s="23" t="inlineStr">
        <is>
          <t xml:space="preserve">   Gross Profit</t>
        </is>
      </c>
      <c r="C24" s="29">
        <f>C20-C23</f>
        <v/>
      </c>
      <c r="D24" s="29">
        <f>D20-D23</f>
        <v/>
      </c>
      <c r="E24" s="29">
        <f>E20-E23</f>
        <v/>
      </c>
      <c r="F24" s="29">
        <f>F20-F23</f>
        <v/>
      </c>
      <c r="G24" s="29">
        <f>G20-G23</f>
        <v/>
      </c>
      <c r="H24" s="29">
        <f>H20-H23</f>
        <v/>
      </c>
      <c r="I24" s="30">
        <f>I20-I23</f>
        <v/>
      </c>
    </row>
    <row r="25">
      <c r="B25" s="28" t="inlineStr">
        <is>
          <t xml:space="preserve">   GP %</t>
        </is>
      </c>
      <c r="C25" s="31">
        <f>IFERROR(C24/C20,0)</f>
        <v/>
      </c>
      <c r="D25" s="31">
        <f>IFERROR(D24/D20,0)</f>
        <v/>
      </c>
      <c r="E25" s="31">
        <f>IFERROR(E24/E20,0)</f>
        <v/>
      </c>
      <c r="F25" s="31">
        <f>IFERROR(F24/F20,0)</f>
        <v/>
      </c>
      <c r="G25" s="31">
        <f>IFERROR(G24/G20,0)</f>
        <v/>
      </c>
      <c r="H25" s="31">
        <f>IFERROR(H24/H20,0)</f>
        <v/>
      </c>
      <c r="I25" s="32">
        <f>IFERROR(I24/I20,0)</f>
        <v/>
      </c>
    </row>
    <row r="26">
      <c r="B26" s="28" t="inlineStr">
        <is>
          <t xml:space="preserve">   A&amp;P Total</t>
        </is>
      </c>
      <c r="C26" s="29">
        <f>C8*(C14+C15+C16)</f>
        <v/>
      </c>
      <c r="D26" s="29">
        <f>D8*(D14+D15+D16)</f>
        <v/>
      </c>
      <c r="E26" s="29">
        <f>E8*(E14+E15+E16)</f>
        <v/>
      </c>
      <c r="F26" s="29">
        <f>F8*(F14+F15+F16)</f>
        <v/>
      </c>
      <c r="G26" s="29">
        <f>G8*(G14+G15+G16)</f>
        <v/>
      </c>
      <c r="H26" s="29">
        <f>H8*(H14+H15+H16)</f>
        <v/>
      </c>
      <c r="I26" s="30">
        <f>SUM(C26:H26)</f>
        <v/>
      </c>
    </row>
    <row r="27">
      <c r="B27" s="23" t="inlineStr">
        <is>
          <t xml:space="preserve">   Contribution After A&amp;P</t>
        </is>
      </c>
      <c r="C27" s="29">
        <f>C24-C26</f>
        <v/>
      </c>
      <c r="D27" s="29">
        <f>D24-D26</f>
        <v/>
      </c>
      <c r="E27" s="29">
        <f>E24-E26</f>
        <v/>
      </c>
      <c r="F27" s="29">
        <f>F24-F26</f>
        <v/>
      </c>
      <c r="G27" s="29">
        <f>G24-G26</f>
        <v/>
      </c>
      <c r="H27" s="29">
        <f>H24-H26</f>
        <v/>
      </c>
      <c r="I27" s="30">
        <f>I24-I26</f>
        <v/>
      </c>
    </row>
    <row r="28">
      <c r="B28" s="28" t="inlineStr">
        <is>
          <t xml:space="preserve">   CAAP %</t>
        </is>
      </c>
      <c r="C28" s="31">
        <f>IFERROR(C27/C20,0)</f>
        <v/>
      </c>
      <c r="D28" s="31">
        <f>IFERROR(D27/D20,0)</f>
        <v/>
      </c>
      <c r="E28" s="31">
        <f>IFERROR(E27/E20,0)</f>
        <v/>
      </c>
      <c r="F28" s="31">
        <f>IFERROR(F27/F20,0)</f>
        <v/>
      </c>
      <c r="G28" s="31">
        <f>IFERROR(G27/G20,0)</f>
        <v/>
      </c>
      <c r="H28" s="31">
        <f>IFERROR(H27/H20,0)</f>
        <v/>
      </c>
      <c r="I28" s="32">
        <f>IFERROR(I27/I20,0)</f>
        <v/>
      </c>
    </row>
    <row r="29">
      <c r="B29" s="21" t="inlineStr">
        <is>
          <t>PER-CASE CHECK</t>
        </is>
      </c>
      <c r="C29" s="22" t="n"/>
      <c r="D29" s="22" t="n"/>
      <c r="E29" s="22" t="n"/>
      <c r="F29" s="22" t="n"/>
      <c r="G29" s="22" t="n"/>
      <c r="H29" s="22" t="n"/>
      <c r="I29" s="22" t="n"/>
    </row>
    <row r="30">
      <c r="B30" s="28" t="inlineStr">
        <is>
          <t xml:space="preserve">   Net Sales / case</t>
        </is>
      </c>
      <c r="C30" s="33">
        <f>IFERROR(C20/C8,0)</f>
        <v/>
      </c>
      <c r="D30" s="33">
        <f>IFERROR(D20/D8,0)</f>
        <v/>
      </c>
      <c r="E30" s="33">
        <f>IFERROR(E20/E8,0)</f>
        <v/>
      </c>
      <c r="F30" s="33">
        <f>IFERROR(F20/F8,0)</f>
        <v/>
      </c>
      <c r="G30" s="33">
        <f>IFERROR(G20/G8,0)</f>
        <v/>
      </c>
      <c r="H30" s="33">
        <f>IFERROR(H20/H8,0)</f>
        <v/>
      </c>
      <c r="I30" s="27">
        <f>IFERROR(I20/I8,0)</f>
        <v/>
      </c>
    </row>
    <row r="31">
      <c r="B31" s="28" t="inlineStr">
        <is>
          <t xml:space="preserve">   Gross Profit / case</t>
        </is>
      </c>
      <c r="C31" s="33">
        <f>IFERROR(C24/C8,0)</f>
        <v/>
      </c>
      <c r="D31" s="33">
        <f>IFERROR(D24/D8,0)</f>
        <v/>
      </c>
      <c r="E31" s="33">
        <f>IFERROR(E24/E8,0)</f>
        <v/>
      </c>
      <c r="F31" s="33">
        <f>IFERROR(F24/F8,0)</f>
        <v/>
      </c>
      <c r="G31" s="33">
        <f>IFERROR(G24/G8,0)</f>
        <v/>
      </c>
      <c r="H31" s="33">
        <f>IFERROR(H24/H8,0)</f>
        <v/>
      </c>
      <c r="I31" s="27">
        <f>IFERROR(I24/I8,0)</f>
        <v/>
      </c>
    </row>
  </sheetData>
  <mergeCells count="10">
    <mergeCell ref="B9:I9"/>
    <mergeCell ref="F5:H5"/>
    <mergeCell ref="C5:E5"/>
    <mergeCell ref="B7:I7"/>
    <mergeCell ref="B29:I29"/>
    <mergeCell ref="B2:I2"/>
    <mergeCell ref="B3:I3"/>
    <mergeCell ref="B1:I1"/>
    <mergeCell ref="I5:I6"/>
    <mergeCell ref="B17:I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2026-06-04T01:14:50Z</dcterms:created>
  <dcterms:modified xsi:type="dcterms:W3CDTF">2026-06-04T01:14:50Z</dcterms:modified>
</cp:coreProperties>
</file>