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Assumptions" sheetId="2" state="visible" r:id="rId2"/>
    <sheet name="Dashboard" sheetId="3" state="visible" r:id="rId3"/>
    <sheet name="Base" sheetId="4" state="visible" r:id="rId4"/>
    <sheet name="Low" sheetId="5" state="visible" r:id="rId5"/>
    <sheet name="High" sheetId="6" state="visible" r:id="rId6"/>
    <sheet name="Stretch" sheetId="7" state="visible" r:id="rId7"/>
    <sheet name="Monthly" sheetId="8" state="visible" r:id="rId8"/>
    <sheet name="3-Year" sheetId="9" state="visible" r:id="rId9"/>
    <sheet name="Pricing Lab" sheetId="10" state="visible" r:id="rId10"/>
    <sheet name="Unit Economics" sheetId="11" state="visible" r:id="rId11"/>
    <sheet name="Targets" sheetId="12" state="visible" r:id="rId12"/>
    <sheet name="Sensitivity" sheetId="13" state="visible" r:id="rId13"/>
    <sheet name="Checks" sheetId="14" state="visible" r:id="rId14"/>
    <sheet name="Guide" sheetId="15" state="visible" r:id="rId15"/>
    <sheet name="Review Log" sheetId="16" state="visible" r:id="rId16"/>
    <sheet name="Cover" sheetId="17" state="visible" r:id="rId17"/>
  </sheets>
  <definedNames>
    <definedName name="CP_Pineapple_Singles">'Assumptions'!$C$11</definedName>
    <definedName name="BaseVolume_Total">'Assumptions'!$C$28:$H$28</definedName>
    <definedName name="TaxRate">'Assumptions'!$C$38</definedName>
    <definedName name="LogisticsPct">'Assumptions'!$C$35</definedName>
    <definedName name="_xlnm.Print_Titles" localSheetId="1">'Assumptions'!$4:$5</definedName>
    <definedName name="_xlnm.Print_Titles" localSheetId="2">'Dashboard'!$4:$4</definedName>
    <definedName name="_xlnm.Print_Titles" localSheetId="3">'Base'!$5:$6</definedName>
    <definedName name="_xlnm.Print_Titles" localSheetId="4">'Low'!$5:$6</definedName>
    <definedName name="_xlnm.Print_Titles" localSheetId="5">'High'!$5:$6</definedName>
    <definedName name="_xlnm.Print_Titles" localSheetId="6">'Stretch'!$5:$6</definedName>
    <definedName name="_xlnm.Print_Titles" localSheetId="7">'Monthly'!$6:$6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[Red]($#,##0.00)"/>
    <numFmt numFmtId="165" formatCode="0.0%"/>
    <numFmt numFmtId="166" formatCode="$#,##0;[Red]($#,##0)"/>
    <numFmt numFmtId="167" formatCode="0.0"/>
    <numFmt numFmtId="168" formatCode="0.00\x"/>
  </numFmts>
  <fonts count="18">
    <font>
      <name val="Calibri"/>
      <family val="2"/>
      <color theme="1"/>
      <sz val="11"/>
      <scheme val="minor"/>
    </font>
    <font>
      <name val="Calibri"/>
      <b val="1"/>
      <color rgb="001F2A44"/>
      <sz val="16"/>
    </font>
    <font>
      <name val="Calibri"/>
      <i val="1"/>
      <color rgb="00555555"/>
      <sz val="10"/>
    </font>
    <font>
      <name val="Calibri"/>
      <b val="1"/>
      <color rgb="00FFFFFF"/>
      <sz val="10"/>
    </font>
    <font>
      <name val="Calibri"/>
      <b val="1"/>
      <color rgb="001F2A44"/>
      <sz val="10"/>
    </font>
    <font>
      <name val="Calibri"/>
      <color rgb="00222222"/>
      <sz val="10"/>
    </font>
    <font>
      <name val="Calibri"/>
      <color rgb="000033AA"/>
      <sz val="10"/>
    </font>
    <font>
      <name val="Calibri"/>
      <b val="1"/>
      <color rgb="001F2A44"/>
      <sz val="12"/>
    </font>
    <font>
      <name val="Calibri"/>
      <b val="1"/>
      <color rgb="001E7B34"/>
      <sz val="10"/>
    </font>
    <font>
      <name val="Calibri"/>
      <b val="1"/>
      <color rgb="001F2A44"/>
      <sz val="14"/>
    </font>
    <font>
      <name val="Calibri"/>
      <b val="1"/>
      <color rgb="000A84FF"/>
      <sz val="11"/>
    </font>
    <font>
      <name val="Calibri"/>
      <b val="1"/>
      <color rgb="001F2A44"/>
      <sz val="30"/>
    </font>
    <font>
      <name val="Calibri"/>
      <color rgb="005B6472"/>
      <sz val="12"/>
    </font>
    <font>
      <name val="Calibri"/>
      <b val="1"/>
      <color rgb="005B6472"/>
      <sz val="9"/>
    </font>
    <font>
      <name val="Calibri"/>
      <b val="1"/>
      <color rgb="000033AA"/>
      <sz val="12"/>
    </font>
    <font>
      <name val="Calibri"/>
      <color rgb="005B6472"/>
      <sz val="10"/>
    </font>
    <font>
      <name val="Calibri"/>
      <b val="1"/>
      <color rgb="001F2A44"/>
      <sz val="18"/>
    </font>
    <font>
      <name val="Calibri"/>
      <b val="1"/>
      <color rgb="001F2A44"/>
      <sz val="11"/>
    </font>
  </fonts>
  <fills count="7">
    <fill>
      <patternFill/>
    </fill>
    <fill>
      <patternFill patternType="gray125"/>
    </fill>
    <fill>
      <patternFill patternType="solid">
        <fgColor rgb="002E4374"/>
      </patternFill>
    </fill>
    <fill>
      <patternFill patternType="solid">
        <fgColor rgb="00D7E3F4"/>
      </patternFill>
    </fill>
    <fill>
      <patternFill patternType="solid">
        <fgColor rgb="00FFF7CC"/>
      </patternFill>
    </fill>
    <fill>
      <patternFill patternType="solid">
        <fgColor rgb="00EAF0FB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 wrapText="1"/>
    </xf>
    <xf numFmtId="166" fontId="16" fillId="6" borderId="0" applyAlignment="1" pivotButton="0" quotePrefix="0" xfId="0">
      <alignment horizontal="center" vertical="center" wrapText="1"/>
    </xf>
    <xf numFmtId="165" fontId="16" fillId="6" borderId="0" applyAlignment="1" pivotButton="0" quotePrefix="0" xfId="0">
      <alignment horizontal="center" vertical="center" wrapText="1"/>
    </xf>
    <xf numFmtId="3" fontId="16" fillId="6" borderId="0" applyAlignment="1" pivotButton="0" quotePrefix="0" xfId="0">
      <alignment horizontal="center" vertical="center" wrapText="1"/>
    </xf>
    <xf numFmtId="3" fontId="16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5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8" fontId="6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8" fontId="3" fillId="2" borderId="1" applyAlignment="1" pivotButton="0" quotePrefix="0" xfId="0">
      <alignment horizontal="center" vertical="center" wrapText="1"/>
    </xf>
    <xf numFmtId="168" fontId="4" fillId="5" borderId="1" applyAlignment="1" pivotButton="0" quotePrefix="0" xfId="0">
      <alignment horizontal="center" vertical="center" wrapText="1"/>
    </xf>
    <xf numFmtId="168" fontId="5" fillId="5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 wrapText="1"/>
    </xf>
    <xf numFmtId="168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166" fontId="9" fillId="5" borderId="1" applyAlignment="1" pivotButton="0" quotePrefix="0" xfId="0">
      <alignment horizontal="center" vertical="center" wrapText="1"/>
    </xf>
    <xf numFmtId="165" fontId="9" fillId="5" borderId="1" applyAlignment="1" pivotButton="0" quotePrefix="0" xfId="0">
      <alignment horizontal="center" vertical="center" wrapText="1"/>
    </xf>
    <xf numFmtId="3" fontId="9" fillId="5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84FF"/>
    <outlinePr summaryBelow="1" summaryRight="1"/>
    <pageSetUpPr fitToPage="1"/>
  </sheetPr>
  <dimension ref="B2:G23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19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2">
      <c r="B2" s="1" t="inlineStr">
        <is>
          <t>ORGANIKA</t>
        </is>
      </c>
    </row>
    <row r="3" ht="40" customHeight="1">
      <c r="B3" s="2" t="inlineStr">
        <is>
          <t>Sparkling Daily</t>
        </is>
      </c>
    </row>
    <row r="4">
      <c r="B4" s="3" t="inlineStr">
        <is>
          <t>One-Year Operating Model  ·  FY2026</t>
        </is>
      </c>
    </row>
    <row r="6">
      <c r="B6" s="4" t="inlineStr">
        <is>
          <t>Scenario</t>
        </is>
      </c>
      <c r="C6" s="5" t="inlineStr">
        <is>
          <t>Base</t>
        </is>
      </c>
      <c r="D6" s="6" t="inlineStr">
        <is>
          <t>▼ pick a scenario — everything below updates</t>
        </is>
      </c>
    </row>
    <row r="8" ht="18" customHeight="1">
      <c r="B8" s="7" t="inlineStr">
        <is>
          <t>NET SALES</t>
        </is>
      </c>
      <c r="C8" s="7" t="inlineStr">
        <is>
          <t>GROSS PROFIT %</t>
        </is>
      </c>
      <c r="D8" s="7" t="inlineStr">
        <is>
          <t>EBITDA</t>
        </is>
      </c>
      <c r="E8" s="7" t="inlineStr">
        <is>
          <t>EBITDA %</t>
        </is>
      </c>
      <c r="F8" s="7" t="inlineStr">
        <is>
          <t>NET INCOME</t>
        </is>
      </c>
      <c r="G8" s="7" t="inlineStr">
        <is>
          <t>PHYSICAL CASES</t>
        </is>
      </c>
    </row>
    <row r="9" ht="30" customHeight="1">
      <c r="B9" s="8">
        <f>INDIRECT("'"&amp;$C$6&amp;"'!I18")</f>
        <v/>
      </c>
      <c r="C9" s="9">
        <f>INDIRECT("'"&amp;$C$6&amp;"'!I23")</f>
        <v/>
      </c>
      <c r="D9" s="8">
        <f>INDIRECT("'"&amp;$C$6&amp;"'!I34")</f>
        <v/>
      </c>
      <c r="E9" s="9">
        <f>INDIRECT("'"&amp;$C$6&amp;"'!I35")</f>
        <v/>
      </c>
      <c r="F9" s="8">
        <f>INDIRECT("'"&amp;$C$6&amp;"'!I41")</f>
        <v/>
      </c>
      <c r="G9" s="10">
        <f>INDIRECT("'"&amp;$C$6&amp;"'!I8")</f>
        <v/>
      </c>
    </row>
    <row r="11">
      <c r="B11" s="4" t="inlineStr">
        <is>
          <t>Break-even volume</t>
        </is>
      </c>
      <c r="C11" s="11">
        <f>'Sensitivity'!$C$23</f>
        <v/>
      </c>
      <c r="E11" s="4" t="inlineStr">
        <is>
          <t>Blended CP / case</t>
        </is>
      </c>
      <c r="F11" s="12">
        <f>INDIRECT("'"&amp;$C$6&amp;"'!I10")</f>
        <v/>
      </c>
    </row>
    <row r="13">
      <c r="B13" s="1" t="inlineStr">
        <is>
          <t>WHERE TO GO</t>
        </is>
      </c>
    </row>
    <row r="14">
      <c r="B14" s="13" t="inlineStr">
        <is>
          <t>1.  Assumptions</t>
        </is>
      </c>
      <c r="C14" s="6" t="inlineStr">
        <is>
          <t>The ONE place you type. Change a yellow cell, everything updates.</t>
        </is>
      </c>
    </row>
    <row r="15">
      <c r="B15" s="13" t="inlineStr">
        <is>
          <t>2.  Dashboard</t>
        </is>
      </c>
      <c r="C15" s="6" t="inlineStr">
        <is>
          <t>All four scenarios side by side.</t>
        </is>
      </c>
    </row>
    <row r="16">
      <c r="B16" s="13" t="inlineStr">
        <is>
          <t>Base · Low · High · Stretch</t>
        </is>
      </c>
      <c r="C16" s="6" t="inlineStr">
        <is>
          <t>The full profit story for each scenario.</t>
        </is>
      </c>
    </row>
    <row r="17">
      <c r="B17" s="13" t="inlineStr">
        <is>
          <t>Monthly</t>
        </is>
      </c>
      <c r="C17" s="6" t="inlineStr">
        <is>
          <t>The chosen scenario spread across the 12 months.</t>
        </is>
      </c>
    </row>
    <row r="18">
      <c r="B18" s="13" t="inlineStr">
        <is>
          <t>Pricing Lab</t>
        </is>
      </c>
      <c r="C18" s="6" t="inlineStr">
        <is>
          <t>See the wholesale price that makes the most money.</t>
        </is>
      </c>
    </row>
    <row r="19">
      <c r="B19" s="13" t="inlineStr">
        <is>
          <t>Targets</t>
        </is>
      </c>
      <c r="C19" s="6" t="inlineStr">
        <is>
          <t>Set a goal — it tells you the price or volume to get there.</t>
        </is>
      </c>
    </row>
    <row r="20">
      <c r="B20" s="13" t="inlineStr">
        <is>
          <t>Sensitivity</t>
        </is>
      </c>
      <c r="C20" s="6" t="inlineStr">
        <is>
          <t>How profit moves with price and volume.</t>
        </is>
      </c>
    </row>
    <row r="21">
      <c r="B21" s="13" t="inlineStr">
        <is>
          <t>Checks</t>
        </is>
      </c>
      <c r="C21" s="6" t="inlineStr">
        <is>
          <t>Built-in health check (should say ALL PASS).</t>
        </is>
      </c>
    </row>
    <row r="23">
      <c r="B23" s="6" t="inlineStr">
        <is>
          <t>v2.0  ·  built 2026-06-05  ·  all $ CDN  ·  figures are placeholders until you add real numbers</t>
        </is>
      </c>
    </row>
  </sheetData>
  <mergeCells count="12">
    <mergeCell ref="C20:D20"/>
    <mergeCell ref="C21:D21"/>
    <mergeCell ref="B4:E4"/>
    <mergeCell ref="C16:D16"/>
    <mergeCell ref="C15:D15"/>
    <mergeCell ref="D6:G6"/>
    <mergeCell ref="B23:G23"/>
    <mergeCell ref="C19:D19"/>
    <mergeCell ref="C14:D14"/>
    <mergeCell ref="B3:E3"/>
    <mergeCell ref="C18:D18"/>
    <mergeCell ref="C17:D17"/>
  </mergeCells>
  <dataValidations count="1">
    <dataValidation sqref="C6" showDropDown="0" showInputMessage="0" showErrorMessage="0" allowBlank="0" type="list">
      <formula1>"Low,Base,High,Stretch"</formula1>
    </dataValidation>
  </dataValidation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8A33D"/>
    <outlinePr summaryBelow="1" summaryRight="1"/>
    <pageSetUpPr fitToPage="1"/>
  </sheetPr>
  <dimension ref="B1:O53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B1" s="14" t="inlineStr">
        <is>
          <t>Sparkling Daily - Assumptions (single source of truth)</t>
        </is>
      </c>
    </row>
    <row r="2">
      <c r="B2" s="15" t="inlineStr">
        <is>
          <t>Edit YELLOW cells only. Every scenario, the monthly view, sensitivity and checks read from this sheet.</t>
        </is>
      </c>
    </row>
    <row r="4">
      <c r="C4" s="16" t="inlineStr">
        <is>
          <t>SINGLES</t>
        </is>
      </c>
      <c r="F4" s="16" t="inlineStr">
        <is>
          <t>4-PACK</t>
        </is>
      </c>
    </row>
    <row r="5">
      <c r="B5" s="17" t="inlineStr">
        <is>
          <t>Per case (CDN $)</t>
        </is>
      </c>
      <c r="C5" s="18" t="inlineStr">
        <is>
          <t>Pineapple</t>
        </is>
      </c>
      <c r="D5" s="18" t="inlineStr">
        <is>
          <t>Passionfruit</t>
        </is>
      </c>
      <c r="E5" s="18" t="inlineStr">
        <is>
          <t>Lime Lemon</t>
        </is>
      </c>
      <c r="F5" s="18" t="inlineStr">
        <is>
          <t>Pineapple</t>
        </is>
      </c>
      <c r="G5" s="18" t="inlineStr">
        <is>
          <t>Passionfruit</t>
        </is>
      </c>
      <c r="H5" s="18" t="inlineStr">
        <is>
          <t>Lime Lemon</t>
        </is>
      </c>
    </row>
    <row r="6">
      <c r="B6" s="19" t="inlineStr">
        <is>
          <t>SKU DEFINITION</t>
        </is>
      </c>
      <c r="C6" s="20" t="n"/>
      <c r="D6" s="20" t="n"/>
      <c r="E6" s="20" t="n"/>
      <c r="F6" s="20" t="n"/>
      <c r="G6" s="20" t="n"/>
      <c r="H6" s="20" t="n"/>
      <c r="I6" s="20" t="n"/>
    </row>
    <row r="7">
      <c r="B7" s="21" t="inlineStr">
        <is>
          <t xml:space="preserve">   Format</t>
        </is>
      </c>
      <c r="C7" s="22" t="inlineStr">
        <is>
          <t>Singles</t>
        </is>
      </c>
      <c r="D7" s="22" t="inlineStr">
        <is>
          <t>Singles</t>
        </is>
      </c>
      <c r="E7" s="22" t="inlineStr">
        <is>
          <t>Singles</t>
        </is>
      </c>
      <c r="F7" s="22" t="inlineStr">
        <is>
          <t>4-Pack</t>
        </is>
      </c>
      <c r="G7" s="22" t="inlineStr">
        <is>
          <t>4-Pack</t>
        </is>
      </c>
      <c r="H7" s="22" t="inlineStr">
        <is>
          <t>4-Pack</t>
        </is>
      </c>
    </row>
    <row r="8">
      <c r="B8" s="21" t="inlineStr">
        <is>
          <t xml:space="preserve">   Flavour</t>
        </is>
      </c>
      <c r="C8" s="22" t="inlineStr">
        <is>
          <t>Pineapple</t>
        </is>
      </c>
      <c r="D8" s="22" t="inlineStr">
        <is>
          <t>Passionfruit</t>
        </is>
      </c>
      <c r="E8" s="22" t="inlineStr">
        <is>
          <t>Lime Lemon</t>
        </is>
      </c>
      <c r="F8" s="22" t="inlineStr">
        <is>
          <t>Pineapple</t>
        </is>
      </c>
      <c r="G8" s="22" t="inlineStr">
        <is>
          <t>Passionfruit</t>
        </is>
      </c>
      <c r="H8" s="22" t="inlineStr">
        <is>
          <t>Lime Lemon</t>
        </is>
      </c>
    </row>
    <row r="9">
      <c r="B9" s="21" t="inlineStr">
        <is>
          <t xml:space="preserve">   Units per case</t>
        </is>
      </c>
      <c r="C9" s="23" t="n">
        <v>12</v>
      </c>
      <c r="D9" s="23" t="n">
        <v>12</v>
      </c>
      <c r="E9" s="23" t="n">
        <v>12</v>
      </c>
      <c r="F9" s="23" t="n">
        <v>6</v>
      </c>
      <c r="G9" s="23" t="n">
        <v>6</v>
      </c>
      <c r="H9" s="23" t="n">
        <v>6</v>
      </c>
    </row>
    <row r="10">
      <c r="B10" s="19" t="inlineStr">
        <is>
          <t>PRICE (per case)</t>
        </is>
      </c>
      <c r="C10" s="20" t="n"/>
      <c r="D10" s="20" t="n"/>
      <c r="E10" s="20" t="n"/>
      <c r="F10" s="20" t="n"/>
      <c r="G10" s="20" t="n"/>
      <c r="H10" s="20" t="n"/>
      <c r="I10" s="20" t="n"/>
    </row>
    <row r="11">
      <c r="B11" s="24" t="inlineStr">
        <is>
          <t xml:space="preserve">   CP - List price / case</t>
        </is>
      </c>
      <c r="C11" s="25" t="n">
        <v>15</v>
      </c>
      <c r="D11" s="25" t="n">
        <v>15</v>
      </c>
      <c r="E11" s="25" t="n">
        <v>14</v>
      </c>
      <c r="F11" s="25" t="n">
        <v>33</v>
      </c>
      <c r="G11" s="25" t="n">
        <v>33</v>
      </c>
      <c r="H11" s="25" t="n">
        <v>31</v>
      </c>
    </row>
    <row r="12">
      <c r="B12" s="21" t="inlineStr">
        <is>
          <t xml:space="preserve">   Trade discount (% of gross)</t>
        </is>
      </c>
      <c r="C12" s="26" t="n">
        <v>0.07000000000000001</v>
      </c>
      <c r="D12" s="26" t="n">
        <v>0.07000000000000001</v>
      </c>
      <c r="E12" s="26" t="n">
        <v>0.07000000000000001</v>
      </c>
      <c r="F12" s="26" t="n">
        <v>0.08</v>
      </c>
      <c r="G12" s="26" t="n">
        <v>0.08</v>
      </c>
      <c r="H12" s="26" t="n">
        <v>0.08</v>
      </c>
    </row>
    <row r="13">
      <c r="B13" s="21" t="inlineStr">
        <is>
          <t xml:space="preserve">   Price per unit (info)</t>
        </is>
      </c>
      <c r="C13" s="27">
        <f>IFERROR(C11/C9,0)</f>
        <v/>
      </c>
      <c r="D13" s="27">
        <f>IFERROR(D11/D9,0)</f>
        <v/>
      </c>
      <c r="E13" s="27">
        <f>IFERROR(E11/E9,0)</f>
        <v/>
      </c>
      <c r="F13" s="27">
        <f>IFERROR(F11/F9,0)</f>
        <v/>
      </c>
      <c r="G13" s="27">
        <f>IFERROR(G11/G9,0)</f>
        <v/>
      </c>
      <c r="H13" s="27">
        <f>IFERROR(H11/H9,0)</f>
        <v/>
      </c>
    </row>
    <row r="14">
      <c r="B14" s="19" t="inlineStr">
        <is>
          <t>COGS (per case)</t>
        </is>
      </c>
      <c r="C14" s="20" t="n"/>
      <c r="D14" s="20" t="n"/>
      <c r="E14" s="20" t="n"/>
      <c r="F14" s="20" t="n"/>
      <c r="G14" s="20" t="n"/>
      <c r="H14" s="20" t="n"/>
      <c r="I14" s="20" t="n"/>
    </row>
    <row r="15">
      <c r="B15" s="21" t="inlineStr">
        <is>
          <t xml:space="preserve">   Ingredients</t>
        </is>
      </c>
      <c r="C15" s="25" t="n">
        <v>2.16</v>
      </c>
      <c r="D15" s="25" t="n">
        <v>2.16</v>
      </c>
      <c r="E15" s="25" t="n">
        <v>2.06</v>
      </c>
      <c r="F15" s="25" t="n">
        <v>4.32</v>
      </c>
      <c r="G15" s="25" t="n">
        <v>4.32</v>
      </c>
      <c r="H15" s="25" t="n">
        <v>4.12</v>
      </c>
    </row>
    <row r="16">
      <c r="B16" s="21" t="inlineStr">
        <is>
          <t xml:space="preserve">   Packaging</t>
        </is>
      </c>
      <c r="C16" s="25" t="n">
        <v>2.64</v>
      </c>
      <c r="D16" s="25" t="n">
        <v>2.64</v>
      </c>
      <c r="E16" s="25" t="n">
        <v>2.54</v>
      </c>
      <c r="F16" s="25" t="n">
        <v>7.08</v>
      </c>
      <c r="G16" s="25" t="n">
        <v>7.08</v>
      </c>
      <c r="H16" s="25" t="n">
        <v>6.88</v>
      </c>
    </row>
    <row r="17">
      <c r="B17" s="21" t="inlineStr">
        <is>
          <t xml:space="preserve">   Manufacturing / Co-pack</t>
        </is>
      </c>
      <c r="C17" s="25" t="n">
        <v>1.44</v>
      </c>
      <c r="D17" s="25" t="n">
        <v>1.44</v>
      </c>
      <c r="E17" s="25" t="n">
        <v>1.4</v>
      </c>
      <c r="F17" s="25" t="n">
        <v>2.88</v>
      </c>
      <c r="G17" s="25" t="n">
        <v>2.88</v>
      </c>
      <c r="H17" s="25" t="n">
        <v>2.8</v>
      </c>
    </row>
    <row r="18">
      <c r="B18" s="21" t="inlineStr">
        <is>
          <t xml:space="preserve">   Inbound Freight</t>
        </is>
      </c>
      <c r="C18" s="25" t="n">
        <v>0.29</v>
      </c>
      <c r="D18" s="25" t="n">
        <v>0.29</v>
      </c>
      <c r="E18" s="25" t="n">
        <v>0.28</v>
      </c>
      <c r="F18" s="25" t="n">
        <v>0.58</v>
      </c>
      <c r="G18" s="25" t="n">
        <v>0.58</v>
      </c>
      <c r="H18" s="25" t="n">
        <v>0.5600000000000001</v>
      </c>
    </row>
    <row r="19">
      <c r="B19" s="24" t="inlineStr">
        <is>
          <t xml:space="preserve">   COGS Direct / case</t>
        </is>
      </c>
      <c r="C19" s="28">
        <f>SUM(C15:C18)</f>
        <v/>
      </c>
      <c r="D19" s="28">
        <f>SUM(D15:D18)</f>
        <v/>
      </c>
      <c r="E19" s="28">
        <f>SUM(E15:E18)</f>
        <v/>
      </c>
      <c r="F19" s="28">
        <f>SUM(F15:F18)</f>
        <v/>
      </c>
      <c r="G19" s="28">
        <f>SUM(G15:G18)</f>
        <v/>
      </c>
      <c r="H19" s="28">
        <f>SUM(H15:H18)</f>
        <v/>
      </c>
    </row>
    <row r="20">
      <c r="B20" s="21" t="inlineStr">
        <is>
          <t xml:space="preserve">   Warehousing / Indirect</t>
        </is>
      </c>
      <c r="C20" s="25" t="n">
        <v>0.72</v>
      </c>
      <c r="D20" s="25" t="n">
        <v>0.72</v>
      </c>
      <c r="E20" s="25" t="n">
        <v>0.7</v>
      </c>
      <c r="F20" s="25" t="n">
        <v>1.44</v>
      </c>
      <c r="G20" s="25" t="n">
        <v>1.44</v>
      </c>
      <c r="H20" s="25" t="n">
        <v>1.4</v>
      </c>
    </row>
    <row r="21">
      <c r="B21" s="24" t="inlineStr">
        <is>
          <t xml:space="preserve">   Cost of Sales / case</t>
        </is>
      </c>
      <c r="C21" s="28">
        <f>C19+C20</f>
        <v/>
      </c>
      <c r="D21" s="28">
        <f>D19+D20</f>
        <v/>
      </c>
      <c r="E21" s="28">
        <f>E19+E20</f>
        <v/>
      </c>
      <c r="F21" s="28">
        <f>F19+F20</f>
        <v/>
      </c>
      <c r="G21" s="28">
        <f>G19+G20</f>
        <v/>
      </c>
      <c r="H21" s="28">
        <f>H19+H20</f>
        <v/>
      </c>
    </row>
    <row r="22">
      <c r="B22" s="19" t="inlineStr">
        <is>
          <t>A&amp;P (per case)</t>
        </is>
      </c>
      <c r="C22" s="20" t="n"/>
      <c r="D22" s="20" t="n"/>
      <c r="E22" s="20" t="n"/>
      <c r="F22" s="20" t="n"/>
      <c r="G22" s="20" t="n"/>
      <c r="H22" s="20" t="n"/>
      <c r="I22" s="20" t="n"/>
    </row>
    <row r="23">
      <c r="B23" s="21" t="inlineStr">
        <is>
          <t xml:space="preserve">   Consumer</t>
        </is>
      </c>
      <c r="C23" s="25" t="n">
        <v>0.36</v>
      </c>
      <c r="D23" s="25" t="n">
        <v>0.36</v>
      </c>
      <c r="E23" s="25" t="n">
        <v>0.36</v>
      </c>
      <c r="F23" s="25" t="n">
        <v>0.72</v>
      </c>
      <c r="G23" s="25" t="n">
        <v>0.72</v>
      </c>
      <c r="H23" s="25" t="n">
        <v>0.72</v>
      </c>
    </row>
    <row r="24">
      <c r="B24" s="21" t="inlineStr">
        <is>
          <t xml:space="preserve">   Trade</t>
        </is>
      </c>
      <c r="C24" s="25" t="n">
        <v>0.6</v>
      </c>
      <c r="D24" s="25" t="n">
        <v>0.6</v>
      </c>
      <c r="E24" s="25" t="n">
        <v>0.6</v>
      </c>
      <c r="F24" s="25" t="n">
        <v>1.2</v>
      </c>
      <c r="G24" s="25" t="n">
        <v>1.2</v>
      </c>
      <c r="H24" s="25" t="n">
        <v>1.2</v>
      </c>
    </row>
    <row r="25">
      <c r="B25" s="21" t="inlineStr">
        <is>
          <t xml:space="preserve">   Sales / Broker</t>
        </is>
      </c>
      <c r="C25" s="25" t="n">
        <v>0.24</v>
      </c>
      <c r="D25" s="25" t="n">
        <v>0.24</v>
      </c>
      <c r="E25" s="25" t="n">
        <v>0.24</v>
      </c>
      <c r="F25" s="25" t="n">
        <v>0.48</v>
      </c>
      <c r="G25" s="25" t="n">
        <v>0.48</v>
      </c>
      <c r="H25" s="25" t="n">
        <v>0.48</v>
      </c>
    </row>
    <row r="26">
      <c r="B26" s="24" t="inlineStr">
        <is>
          <t xml:space="preserve">   A&amp;P / case</t>
        </is>
      </c>
      <c r="C26" s="28">
        <f>SUM(C23:C25)</f>
        <v/>
      </c>
      <c r="D26" s="28">
        <f>SUM(D23:D25)</f>
        <v/>
      </c>
      <c r="E26" s="28">
        <f>SUM(E23:E25)</f>
        <v/>
      </c>
      <c r="F26" s="28">
        <f>SUM(F23:F25)</f>
        <v/>
      </c>
      <c r="G26" s="28">
        <f>SUM(G23:G25)</f>
        <v/>
      </c>
      <c r="H26" s="28">
        <f>SUM(H23:H25)</f>
        <v/>
      </c>
    </row>
    <row r="27">
      <c r="B27" s="19" t="inlineStr">
        <is>
          <t>VOLUME</t>
        </is>
      </c>
      <c r="C27" s="20" t="n"/>
      <c r="D27" s="20" t="n"/>
      <c r="E27" s="20" t="n"/>
      <c r="F27" s="20" t="n"/>
      <c r="G27" s="20" t="n"/>
      <c r="H27" s="20" t="n"/>
      <c r="I27" s="20" t="n"/>
    </row>
    <row r="28">
      <c r="B28" s="24" t="inlineStr">
        <is>
          <t xml:space="preserve">   Base annual volume (cases)</t>
        </is>
      </c>
      <c r="C28" s="23" t="n">
        <v>15000</v>
      </c>
      <c r="D28" s="23" t="n">
        <v>11000</v>
      </c>
      <c r="E28" s="23" t="n">
        <v>9000</v>
      </c>
      <c r="F28" s="23" t="n">
        <v>6000</v>
      </c>
      <c r="G28" s="23" t="n">
        <v>5000</v>
      </c>
      <c r="H28" s="23" t="n">
        <v>4000</v>
      </c>
    </row>
    <row r="30">
      <c r="B30" s="19" t="inlineStr">
        <is>
          <t>COMPANY OPERATING ASSUMPTIONS (annual)</t>
        </is>
      </c>
      <c r="C30" s="20" t="n"/>
      <c r="D30" s="20" t="n"/>
      <c r="E30" s="20" t="n"/>
      <c r="F30" s="20" t="n"/>
      <c r="G30" s="20" t="n"/>
      <c r="H30" s="20" t="n"/>
      <c r="I30" s="20" t="n"/>
    </row>
    <row r="31">
      <c r="B31" s="21" t="inlineStr">
        <is>
          <t xml:space="preserve">   Salaries &amp; wages</t>
        </is>
      </c>
      <c r="C31" s="29" t="n">
        <v>180000</v>
      </c>
    </row>
    <row r="32">
      <c r="B32" s="21" t="inlineStr">
        <is>
          <t xml:space="preserve">   G&amp;A / overhead</t>
        </is>
      </c>
      <c r="C32" s="29" t="n">
        <v>60000</v>
      </c>
    </row>
    <row r="33">
      <c r="B33" s="21" t="inlineStr">
        <is>
          <t xml:space="preserve">   Marketing overhead (brand)</t>
        </is>
      </c>
      <c r="C33" s="29" t="n">
        <v>40000</v>
      </c>
    </row>
    <row r="34">
      <c r="B34" s="21" t="inlineStr">
        <is>
          <t xml:space="preserve">   Slotting / listing fees</t>
        </is>
      </c>
      <c r="C34" s="29" t="n">
        <v>20000</v>
      </c>
    </row>
    <row r="35">
      <c r="B35" s="21" t="inlineStr">
        <is>
          <t xml:space="preserve">   Outbound logistics (% of net sales)</t>
        </is>
      </c>
      <c r="C35" s="26" t="n">
        <v>0.04</v>
      </c>
    </row>
    <row r="36">
      <c r="B36" s="21" t="inlineStr">
        <is>
          <t xml:space="preserve">   Depreciation &amp; amortisation</t>
        </is>
      </c>
      <c r="C36" s="29" t="n">
        <v>25000</v>
      </c>
    </row>
    <row r="37">
      <c r="B37" s="21" t="inlineStr">
        <is>
          <t xml:space="preserve">   Interest expense</t>
        </is>
      </c>
      <c r="C37" s="29" t="n">
        <v>10000</v>
      </c>
    </row>
    <row r="38">
      <c r="B38" s="21" t="inlineStr">
        <is>
          <t xml:space="preserve">   Tax rate</t>
        </is>
      </c>
      <c r="C38" s="26" t="n">
        <v>0.27</v>
      </c>
    </row>
    <row r="39">
      <c r="B39" s="21" t="inlineStr">
        <is>
          <t xml:space="preserve">   Price elasticity (advanced; 0 = off)</t>
        </is>
      </c>
      <c r="C39" s="30" t="n">
        <v>0</v>
      </c>
    </row>
    <row r="40">
      <c r="B40" s="21" t="inlineStr">
        <is>
          <t xml:space="preserve">   3-yr volume growth / yr</t>
        </is>
      </c>
      <c r="C40" s="26" t="n">
        <v>0.25</v>
      </c>
    </row>
    <row r="41">
      <c r="B41" s="21" t="inlineStr">
        <is>
          <t xml:space="preserve">   3-yr price growth / yr</t>
        </is>
      </c>
      <c r="C41" s="26" t="n">
        <v>0.03</v>
      </c>
    </row>
    <row r="42">
      <c r="B42" s="21" t="inlineStr">
        <is>
          <t xml:space="preserve">   3-yr cost inflation / yr</t>
        </is>
      </c>
      <c r="C42" s="26" t="n">
        <v>0.02</v>
      </c>
    </row>
    <row r="44">
      <c r="B44" s="19" t="inlineStr">
        <is>
          <t>SCENARIO LEVERS</t>
        </is>
      </c>
      <c r="C44" s="20" t="n"/>
      <c r="D44" s="20" t="n"/>
      <c r="E44" s="20" t="n"/>
      <c r="F44" s="20" t="n"/>
      <c r="G44" s="20" t="n"/>
      <c r="H44" s="20" t="n"/>
      <c r="I44" s="20" t="n"/>
    </row>
    <row r="45">
      <c r="B45" s="17" t="inlineStr">
        <is>
          <t xml:space="preserve">   Scenario</t>
        </is>
      </c>
      <c r="C45" s="18" t="inlineStr">
        <is>
          <t>Volume x</t>
        </is>
      </c>
      <c r="D45" s="18" t="inlineStr">
        <is>
          <t>Price x</t>
        </is>
      </c>
      <c r="E45" s="18" t="inlineStr">
        <is>
          <t>Trade disc Δ</t>
        </is>
      </c>
    </row>
    <row r="46">
      <c r="B46" s="31" t="inlineStr">
        <is>
          <t xml:space="preserve">   Low</t>
        </is>
      </c>
      <c r="C46" s="32" t="n">
        <v>0.7</v>
      </c>
      <c r="D46" s="32" t="n">
        <v>0.95</v>
      </c>
      <c r="E46" s="26" t="n">
        <v>0.01</v>
      </c>
    </row>
    <row r="47">
      <c r="B47" s="31" t="inlineStr">
        <is>
          <t xml:space="preserve">   Base</t>
        </is>
      </c>
      <c r="C47" s="32" t="n">
        <v>1</v>
      </c>
      <c r="D47" s="32" t="n">
        <v>1</v>
      </c>
      <c r="E47" s="26" t="n">
        <v>0</v>
      </c>
    </row>
    <row r="48">
      <c r="B48" s="31" t="inlineStr">
        <is>
          <t xml:space="preserve">   High</t>
        </is>
      </c>
      <c r="C48" s="32" t="n">
        <v>1.3</v>
      </c>
      <c r="D48" s="32" t="n">
        <v>1</v>
      </c>
      <c r="E48" s="26" t="n">
        <v>0</v>
      </c>
    </row>
    <row r="49">
      <c r="B49" s="31" t="inlineStr">
        <is>
          <t xml:space="preserve">   Stretch</t>
        </is>
      </c>
      <c r="C49" s="32" t="n">
        <v>1.6</v>
      </c>
      <c r="D49" s="32" t="n">
        <v>1.05</v>
      </c>
      <c r="E49" s="26" t="n">
        <v>-0.01</v>
      </c>
    </row>
    <row r="51">
      <c r="B51" s="19" t="inlineStr">
        <is>
          <t>SEASONALITY (% of annual volume)</t>
        </is>
      </c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</row>
    <row r="52">
      <c r="C52" s="18" t="inlineStr">
        <is>
          <t>Jan</t>
        </is>
      </c>
      <c r="D52" s="18" t="inlineStr">
        <is>
          <t>Feb</t>
        </is>
      </c>
      <c r="E52" s="18" t="inlineStr">
        <is>
          <t>Mar</t>
        </is>
      </c>
      <c r="F52" s="18" t="inlineStr">
        <is>
          <t>Apr</t>
        </is>
      </c>
      <c r="G52" s="18" t="inlineStr">
        <is>
          <t>May</t>
        </is>
      </c>
      <c r="H52" s="18" t="inlineStr">
        <is>
          <t>Jun</t>
        </is>
      </c>
      <c r="I52" s="18" t="inlineStr">
        <is>
          <t>Jul</t>
        </is>
      </c>
      <c r="J52" s="18" t="inlineStr">
        <is>
          <t>Aug</t>
        </is>
      </c>
      <c r="K52" s="18" t="inlineStr">
        <is>
          <t>Sep</t>
        </is>
      </c>
      <c r="L52" s="18" t="inlineStr">
        <is>
          <t>Oct</t>
        </is>
      </c>
      <c r="M52" s="18" t="inlineStr">
        <is>
          <t>Nov</t>
        </is>
      </c>
      <c r="N52" s="18" t="inlineStr">
        <is>
          <t>Dec</t>
        </is>
      </c>
      <c r="O52" s="18" t="inlineStr">
        <is>
          <t>Check</t>
        </is>
      </c>
    </row>
    <row r="53">
      <c r="C53" s="26" t="n">
        <v>0.06</v>
      </c>
      <c r="D53" s="26" t="n">
        <v>0.06</v>
      </c>
      <c r="E53" s="26" t="n">
        <v>0.07000000000000001</v>
      </c>
      <c r="F53" s="26" t="n">
        <v>0.08</v>
      </c>
      <c r="G53" s="26" t="n">
        <v>0.1</v>
      </c>
      <c r="H53" s="26" t="n">
        <v>0.11</v>
      </c>
      <c r="I53" s="26" t="n">
        <v>0.12</v>
      </c>
      <c r="J53" s="26" t="n">
        <v>0.11</v>
      </c>
      <c r="K53" s="26" t="n">
        <v>0.09</v>
      </c>
      <c r="L53" s="26" t="n">
        <v>0.08</v>
      </c>
      <c r="M53" s="26" t="n">
        <v>0.06</v>
      </c>
      <c r="N53" s="26" t="n">
        <v>0.06</v>
      </c>
      <c r="O53" s="33">
        <f>SUM(C53:N53)</f>
        <v/>
      </c>
    </row>
  </sheetData>
  <mergeCells count="10">
    <mergeCell ref="B30:I30"/>
    <mergeCell ref="B44:I44"/>
    <mergeCell ref="B6:I6"/>
    <mergeCell ref="B10:I10"/>
    <mergeCell ref="C4:E4"/>
    <mergeCell ref="F4:H4"/>
    <mergeCell ref="B14:I14"/>
    <mergeCell ref="B22:I22"/>
    <mergeCell ref="B27:I27"/>
    <mergeCell ref="B51:N51"/>
  </mergeCell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B1:F20"/>
  <sheetViews>
    <sheetView showGridLines="0"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B1" s="14" t="inlineStr">
        <is>
          <t>Sparkling Daily - Scenario Dashboard (FY2026)</t>
        </is>
      </c>
    </row>
    <row r="2">
      <c r="B2" s="15" t="inlineStr">
        <is>
          <t>Company totals across the four scenarios. Driven live from each scenario tab.</t>
        </is>
      </c>
    </row>
    <row r="4">
      <c r="B4" s="17" t="inlineStr">
        <is>
          <t>Metric</t>
        </is>
      </c>
      <c r="C4" s="18" t="inlineStr">
        <is>
          <t>Low</t>
        </is>
      </c>
      <c r="D4" s="18" t="inlineStr">
        <is>
          <t>Base</t>
        </is>
      </c>
      <c r="E4" s="18" t="inlineStr">
        <is>
          <t>High</t>
        </is>
      </c>
      <c r="F4" s="18" t="inlineStr">
        <is>
          <t>Stretch</t>
        </is>
      </c>
    </row>
    <row r="5">
      <c r="B5" s="34" t="inlineStr">
        <is>
          <t>Physical Cases</t>
        </is>
      </c>
      <c r="C5" s="35">
        <f>'Low'!I8</f>
        <v/>
      </c>
      <c r="D5" s="36">
        <f>'Base'!I8</f>
        <v/>
      </c>
      <c r="E5" s="35">
        <f>'High'!I8</f>
        <v/>
      </c>
      <c r="F5" s="35">
        <f>'Stretch'!I8</f>
        <v/>
      </c>
    </row>
    <row r="6">
      <c r="B6" s="34" t="inlineStr">
        <is>
          <t>Gross Revenue</t>
        </is>
      </c>
      <c r="C6" s="37">
        <f>'Low'!I16</f>
        <v/>
      </c>
      <c r="D6" s="38">
        <f>'Base'!I16</f>
        <v/>
      </c>
      <c r="E6" s="37">
        <f>'High'!I16</f>
        <v/>
      </c>
      <c r="F6" s="37">
        <f>'Stretch'!I16</f>
        <v/>
      </c>
    </row>
    <row r="7">
      <c r="B7" s="34" t="inlineStr">
        <is>
          <t>Trade Discounts</t>
        </is>
      </c>
      <c r="C7" s="37">
        <f>'Low'!I17</f>
        <v/>
      </c>
      <c r="D7" s="38">
        <f>'Base'!I17</f>
        <v/>
      </c>
      <c r="E7" s="37">
        <f>'High'!I17</f>
        <v/>
      </c>
      <c r="F7" s="37">
        <f>'Stretch'!I17</f>
        <v/>
      </c>
    </row>
    <row r="8">
      <c r="B8" s="31" t="inlineStr">
        <is>
          <t>Net Sales</t>
        </is>
      </c>
      <c r="C8" s="37">
        <f>'Low'!I18</f>
        <v/>
      </c>
      <c r="D8" s="38">
        <f>'Base'!I18</f>
        <v/>
      </c>
      <c r="E8" s="37">
        <f>'High'!I18</f>
        <v/>
      </c>
      <c r="F8" s="37">
        <f>'Stretch'!I18</f>
        <v/>
      </c>
    </row>
    <row r="9">
      <c r="B9" s="31" t="inlineStr">
        <is>
          <t>Gross Profit</t>
        </is>
      </c>
      <c r="C9" s="37">
        <f>'Low'!I22</f>
        <v/>
      </c>
      <c r="D9" s="38">
        <f>'Base'!I22</f>
        <v/>
      </c>
      <c r="E9" s="37">
        <f>'High'!I22</f>
        <v/>
      </c>
      <c r="F9" s="37">
        <f>'Stretch'!I22</f>
        <v/>
      </c>
    </row>
    <row r="10">
      <c r="B10" s="34" t="inlineStr">
        <is>
          <t>GP %</t>
        </is>
      </c>
      <c r="C10" s="39">
        <f>'Low'!I23</f>
        <v/>
      </c>
      <c r="D10" s="40">
        <f>'Base'!I23</f>
        <v/>
      </c>
      <c r="E10" s="39">
        <f>'High'!I23</f>
        <v/>
      </c>
      <c r="F10" s="39">
        <f>'Stretch'!I23</f>
        <v/>
      </c>
    </row>
    <row r="11">
      <c r="B11" s="34" t="inlineStr">
        <is>
          <t>A&amp;P</t>
        </is>
      </c>
      <c r="C11" s="37">
        <f>'Low'!I24</f>
        <v/>
      </c>
      <c r="D11" s="38">
        <f>'Base'!I24</f>
        <v/>
      </c>
      <c r="E11" s="37">
        <f>'High'!I24</f>
        <v/>
      </c>
      <c r="F11" s="37">
        <f>'Stretch'!I24</f>
        <v/>
      </c>
    </row>
    <row r="12">
      <c r="B12" s="31" t="inlineStr">
        <is>
          <t>Contribution Margin</t>
        </is>
      </c>
      <c r="C12" s="37">
        <f>'Low'!I25</f>
        <v/>
      </c>
      <c r="D12" s="38">
        <f>'Base'!I25</f>
        <v/>
      </c>
      <c r="E12" s="37">
        <f>'High'!I25</f>
        <v/>
      </c>
      <c r="F12" s="37">
        <f>'Stretch'!I25</f>
        <v/>
      </c>
    </row>
    <row r="13">
      <c r="B13" s="34" t="inlineStr">
        <is>
          <t>CM %</t>
        </is>
      </c>
      <c r="C13" s="39">
        <f>'Low'!I26</f>
        <v/>
      </c>
      <c r="D13" s="40">
        <f>'Base'!I26</f>
        <v/>
      </c>
      <c r="E13" s="39">
        <f>'High'!I26</f>
        <v/>
      </c>
      <c r="F13" s="39">
        <f>'Stretch'!I26</f>
        <v/>
      </c>
    </row>
    <row r="14">
      <c r="B14" s="34" t="inlineStr">
        <is>
          <t>Total Opex</t>
        </is>
      </c>
      <c r="C14" s="37">
        <f>'Low'!I33</f>
        <v/>
      </c>
      <c r="D14" s="38">
        <f>'Base'!I33</f>
        <v/>
      </c>
      <c r="E14" s="37">
        <f>'High'!I33</f>
        <v/>
      </c>
      <c r="F14" s="37">
        <f>'Stretch'!I33</f>
        <v/>
      </c>
    </row>
    <row r="15">
      <c r="B15" s="31" t="inlineStr">
        <is>
          <t>EBITDA</t>
        </is>
      </c>
      <c r="C15" s="37">
        <f>'Low'!I34</f>
        <v/>
      </c>
      <c r="D15" s="38">
        <f>'Base'!I34</f>
        <v/>
      </c>
      <c r="E15" s="37">
        <f>'High'!I34</f>
        <v/>
      </c>
      <c r="F15" s="37">
        <f>'Stretch'!I34</f>
        <v/>
      </c>
    </row>
    <row r="16">
      <c r="B16" s="34" t="inlineStr">
        <is>
          <t>EBITDA %</t>
        </is>
      </c>
      <c r="C16" s="39">
        <f>'Low'!I35</f>
        <v/>
      </c>
      <c r="D16" s="40">
        <f>'Base'!I35</f>
        <v/>
      </c>
      <c r="E16" s="39">
        <f>'High'!I35</f>
        <v/>
      </c>
      <c r="F16" s="39">
        <f>'Stretch'!I35</f>
        <v/>
      </c>
    </row>
    <row r="17">
      <c r="B17" s="31" t="inlineStr">
        <is>
          <t>Net Income</t>
        </is>
      </c>
      <c r="C17" s="37">
        <f>'Low'!I41</f>
        <v/>
      </c>
      <c r="D17" s="38">
        <f>'Base'!I41</f>
        <v/>
      </c>
      <c r="E17" s="37">
        <f>'High'!I41</f>
        <v/>
      </c>
      <c r="F17" s="37">
        <f>'Stretch'!I41</f>
        <v/>
      </c>
    </row>
    <row r="18">
      <c r="B18" s="34" t="inlineStr">
        <is>
          <t>Net Income %</t>
        </is>
      </c>
      <c r="C18" s="39">
        <f>'Low'!I42</f>
        <v/>
      </c>
      <c r="D18" s="40">
        <f>'Base'!I42</f>
        <v/>
      </c>
      <c r="E18" s="39">
        <f>'High'!I42</f>
        <v/>
      </c>
      <c r="F18" s="39">
        <f>'Stretch'!I42</f>
        <v/>
      </c>
    </row>
    <row r="19">
      <c r="B19" s="34" t="inlineStr">
        <is>
          <t>Blended CP / case</t>
        </is>
      </c>
      <c r="C19" s="41">
        <f>'Low'!I10</f>
        <v/>
      </c>
      <c r="D19" s="27">
        <f>'Base'!I10</f>
        <v/>
      </c>
      <c r="E19" s="41">
        <f>'High'!I10</f>
        <v/>
      </c>
      <c r="F19" s="41">
        <f>'Stretch'!I10</f>
        <v/>
      </c>
    </row>
    <row r="20">
      <c r="B20" s="34" t="inlineStr">
        <is>
          <t>Net Sales / case</t>
        </is>
      </c>
      <c r="C20" s="41">
        <f>'Low'!I44</f>
        <v/>
      </c>
      <c r="D20" s="27">
        <f>'Base'!I44</f>
        <v/>
      </c>
      <c r="E20" s="41">
        <f>'High'!I44</f>
        <v/>
      </c>
      <c r="F20" s="41">
        <f>'Stretch'!I44</f>
        <v/>
      </c>
    </row>
  </sheetData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4374"/>
    <outlinePr summaryBelow="1" summaryRight="1"/>
    <pageSetUpPr fitToPage="1"/>
  </sheetPr>
  <dimension ref="B1:I45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B1" s="14" t="inlineStr">
        <is>
          <t>Sparkling Daily - BASE Scenario  (FY2026)</t>
        </is>
      </c>
    </row>
    <row r="2">
      <c r="B2" s="15" t="inlineStr">
        <is>
          <t>Levers vs Base:  Volume 100%  •  Price 100%  •  Trade-disc Δ +0%   (all driven from Assumptions)</t>
        </is>
      </c>
    </row>
    <row r="3">
      <c r="B3" s="15" t="inlineStr">
        <is>
          <t>CDN $.  All figures calculate from the Assumptions tab - nothing here is hand-keyed.</t>
        </is>
      </c>
    </row>
    <row r="5" ht="16" customHeight="1">
      <c r="C5" s="16" t="inlineStr">
        <is>
          <t>SINGLES</t>
        </is>
      </c>
      <c r="F5" s="16" t="inlineStr">
        <is>
          <t>4-PACK</t>
        </is>
      </c>
      <c r="I5" s="16" t="inlineStr">
        <is>
          <t>TOTAL
DAILY</t>
        </is>
      </c>
    </row>
    <row r="6" ht="26" customHeight="1">
      <c r="B6" s="17" t="inlineStr">
        <is>
          <t>CDN $</t>
        </is>
      </c>
      <c r="C6" s="18" t="inlineStr">
        <is>
          <t>Pineapple</t>
        </is>
      </c>
      <c r="D6" s="18" t="inlineStr">
        <is>
          <t>Passionfruit</t>
        </is>
      </c>
      <c r="E6" s="18" t="inlineStr">
        <is>
          <t>Lime Lemon</t>
        </is>
      </c>
      <c r="F6" s="18" t="inlineStr">
        <is>
          <t>Pineapple</t>
        </is>
      </c>
      <c r="G6" s="18" t="inlineStr">
        <is>
          <t>Passionfruit</t>
        </is>
      </c>
      <c r="H6" s="18" t="inlineStr">
        <is>
          <t>Lime Lemon</t>
        </is>
      </c>
    </row>
    <row r="7">
      <c r="B7" s="19" t="inlineStr">
        <is>
          <t>VOLUME</t>
        </is>
      </c>
      <c r="C7" s="20" t="n"/>
      <c r="D7" s="20" t="n"/>
      <c r="E7" s="20" t="n"/>
      <c r="F7" s="20" t="n"/>
      <c r="G7" s="20" t="n"/>
      <c r="H7" s="20" t="n"/>
      <c r="I7" s="20" t="n"/>
    </row>
    <row r="8">
      <c r="B8" s="24" t="inlineStr">
        <is>
          <t xml:space="preserve">   Physical Cases</t>
        </is>
      </c>
      <c r="C8" s="36">
        <f>'Assumptions'!C28*'Assumptions'!$C$47*('Assumptions'!$D$47^'Assumptions'!$C$39)</f>
        <v/>
      </c>
      <c r="D8" s="36">
        <f>'Assumptions'!D28*'Assumptions'!$C$47*('Assumptions'!$D$47^'Assumptions'!$C$39)</f>
        <v/>
      </c>
      <c r="E8" s="36">
        <f>'Assumptions'!E28*'Assumptions'!$C$47*('Assumptions'!$D$47^'Assumptions'!$C$39)</f>
        <v/>
      </c>
      <c r="F8" s="36">
        <f>'Assumptions'!F28*'Assumptions'!$C$47*('Assumptions'!$D$47^'Assumptions'!$C$39)</f>
        <v/>
      </c>
      <c r="G8" s="36">
        <f>'Assumptions'!G28*'Assumptions'!$C$47*('Assumptions'!$D$47^'Assumptions'!$C$39)</f>
        <v/>
      </c>
      <c r="H8" s="36">
        <f>'Assumptions'!H28*'Assumptions'!$C$47*('Assumptions'!$D$47^'Assumptions'!$C$39)</f>
        <v/>
      </c>
      <c r="I8" s="42">
        <f>SUM(C8:H8)</f>
        <v/>
      </c>
    </row>
    <row r="9">
      <c r="B9" s="19" t="inlineStr">
        <is>
          <t>PRICE &amp; COST - PER CASE (from Assumptions x levers)</t>
        </is>
      </c>
      <c r="C9" s="20" t="n"/>
      <c r="D9" s="20" t="n"/>
      <c r="E9" s="20" t="n"/>
      <c r="F9" s="20" t="n"/>
      <c r="G9" s="20" t="n"/>
      <c r="H9" s="20" t="n"/>
      <c r="I9" s="20" t="n"/>
    </row>
    <row r="10">
      <c r="B10" s="24" t="inlineStr">
        <is>
          <t xml:space="preserve">   CP - Gross Rev / case</t>
        </is>
      </c>
      <c r="C10" s="27">
        <f>'Assumptions'!C11*'Assumptions'!$D$47</f>
        <v/>
      </c>
      <c r="D10" s="27">
        <f>'Assumptions'!D11*'Assumptions'!$D$47</f>
        <v/>
      </c>
      <c r="E10" s="27">
        <f>'Assumptions'!E11*'Assumptions'!$D$47</f>
        <v/>
      </c>
      <c r="F10" s="27">
        <f>'Assumptions'!F11*'Assumptions'!$D$47</f>
        <v/>
      </c>
      <c r="G10" s="27">
        <f>'Assumptions'!G11*'Assumptions'!$D$47</f>
        <v/>
      </c>
      <c r="H10" s="27">
        <f>'Assumptions'!H11*'Assumptions'!$D$47</f>
        <v/>
      </c>
      <c r="I10" s="28">
        <f>IFERROR(I16/I8,0)</f>
        <v/>
      </c>
    </row>
    <row r="11">
      <c r="B11" s="21" t="inlineStr">
        <is>
          <t xml:space="preserve">   Trade discount %</t>
        </is>
      </c>
      <c r="C11" s="40">
        <f>'Assumptions'!C12+'Assumptions'!$E$47</f>
        <v/>
      </c>
      <c r="D11" s="40">
        <f>'Assumptions'!D12+'Assumptions'!$E$47</f>
        <v/>
      </c>
      <c r="E11" s="40">
        <f>'Assumptions'!E12+'Assumptions'!$E$47</f>
        <v/>
      </c>
      <c r="F11" s="40">
        <f>'Assumptions'!F12+'Assumptions'!$E$47</f>
        <v/>
      </c>
      <c r="G11" s="40">
        <f>'Assumptions'!G12+'Assumptions'!$E$47</f>
        <v/>
      </c>
      <c r="H11" s="40">
        <f>'Assumptions'!H12+'Assumptions'!$E$47</f>
        <v/>
      </c>
      <c r="I11" s="33">
        <f>IFERROR(I17/I16,0)</f>
        <v/>
      </c>
    </row>
    <row r="12">
      <c r="B12" s="21" t="inlineStr">
        <is>
          <t xml:space="preserve">   COGS Direct / case</t>
        </is>
      </c>
      <c r="C12" s="27">
        <f>'Assumptions'!C19</f>
        <v/>
      </c>
      <c r="D12" s="27">
        <f>'Assumptions'!D19</f>
        <v/>
      </c>
      <c r="E12" s="27">
        <f>'Assumptions'!E19</f>
        <v/>
      </c>
      <c r="F12" s="27">
        <f>'Assumptions'!F19</f>
        <v/>
      </c>
      <c r="G12" s="27">
        <f>'Assumptions'!G19</f>
        <v/>
      </c>
      <c r="H12" s="27">
        <f>'Assumptions'!H19</f>
        <v/>
      </c>
      <c r="I12" s="28">
        <f>IFERROR(I19/I8,0)</f>
        <v/>
      </c>
    </row>
    <row r="13">
      <c r="B13" s="21" t="inlineStr">
        <is>
          <t xml:space="preserve">   COGS Indirect / case</t>
        </is>
      </c>
      <c r="C13" s="27">
        <f>'Assumptions'!C20</f>
        <v/>
      </c>
      <c r="D13" s="27">
        <f>'Assumptions'!D20</f>
        <v/>
      </c>
      <c r="E13" s="27">
        <f>'Assumptions'!E20</f>
        <v/>
      </c>
      <c r="F13" s="27">
        <f>'Assumptions'!F20</f>
        <v/>
      </c>
      <c r="G13" s="27">
        <f>'Assumptions'!G20</f>
        <v/>
      </c>
      <c r="H13" s="27">
        <f>'Assumptions'!H20</f>
        <v/>
      </c>
      <c r="I13" s="28">
        <f>IFERROR(I20/I8,0)</f>
        <v/>
      </c>
    </row>
    <row r="14">
      <c r="B14" s="21" t="inlineStr">
        <is>
          <t xml:space="preserve">   A&amp;P / case</t>
        </is>
      </c>
      <c r="C14" s="27">
        <f>'Assumptions'!C26</f>
        <v/>
      </c>
      <c r="D14" s="27">
        <f>'Assumptions'!D26</f>
        <v/>
      </c>
      <c r="E14" s="27">
        <f>'Assumptions'!E26</f>
        <v/>
      </c>
      <c r="F14" s="27">
        <f>'Assumptions'!F26</f>
        <v/>
      </c>
      <c r="G14" s="27">
        <f>'Assumptions'!G26</f>
        <v/>
      </c>
      <c r="H14" s="27">
        <f>'Assumptions'!H26</f>
        <v/>
      </c>
      <c r="I14" s="28">
        <f>IFERROR(I24/I8,0)</f>
        <v/>
      </c>
    </row>
    <row r="15">
      <c r="B15" s="19" t="inlineStr">
        <is>
          <t>P&amp;L  ($)</t>
        </is>
      </c>
      <c r="C15" s="20" t="n"/>
      <c r="D15" s="20" t="n"/>
      <c r="E15" s="20" t="n"/>
      <c r="F15" s="20" t="n"/>
      <c r="G15" s="20" t="n"/>
      <c r="H15" s="20" t="n"/>
      <c r="I15" s="20" t="n"/>
    </row>
    <row r="16">
      <c r="B16" s="21" t="inlineStr">
        <is>
          <t xml:space="preserve">   Gross Revenue</t>
        </is>
      </c>
      <c r="C16" s="37">
        <f>C8*C10</f>
        <v/>
      </c>
      <c r="D16" s="37">
        <f>D8*D10</f>
        <v/>
      </c>
      <c r="E16" s="37">
        <f>E8*E10</f>
        <v/>
      </c>
      <c r="F16" s="37">
        <f>F8*F10</f>
        <v/>
      </c>
      <c r="G16" s="37">
        <f>G8*G10</f>
        <v/>
      </c>
      <c r="H16" s="37">
        <f>H8*H10</f>
        <v/>
      </c>
      <c r="I16" s="43">
        <f>SUM(C16:H16)</f>
        <v/>
      </c>
    </row>
    <row r="17">
      <c r="B17" s="21" t="inlineStr">
        <is>
          <t xml:space="preserve">   Trade Discounts</t>
        </is>
      </c>
      <c r="C17" s="37">
        <f>C16*C11</f>
        <v/>
      </c>
      <c r="D17" s="37">
        <f>D16*D11</f>
        <v/>
      </c>
      <c r="E17" s="37">
        <f>E16*E11</f>
        <v/>
      </c>
      <c r="F17" s="37">
        <f>F16*F11</f>
        <v/>
      </c>
      <c r="G17" s="37">
        <f>G16*G11</f>
        <v/>
      </c>
      <c r="H17" s="37">
        <f>H16*H11</f>
        <v/>
      </c>
      <c r="I17" s="43">
        <f>SUM(C17:H17)</f>
        <v/>
      </c>
    </row>
    <row r="18">
      <c r="B18" s="24" t="inlineStr">
        <is>
          <t xml:space="preserve">   Net Sales</t>
        </is>
      </c>
      <c r="C18" s="37">
        <f>C16-C17</f>
        <v/>
      </c>
      <c r="D18" s="37">
        <f>D16-D17</f>
        <v/>
      </c>
      <c r="E18" s="37">
        <f>E16-E17</f>
        <v/>
      </c>
      <c r="F18" s="37">
        <f>F16-F17</f>
        <v/>
      </c>
      <c r="G18" s="37">
        <f>G16-G17</f>
        <v/>
      </c>
      <c r="H18" s="37">
        <f>H16-H17</f>
        <v/>
      </c>
      <c r="I18" s="43">
        <f>I16-I17</f>
        <v/>
      </c>
    </row>
    <row r="19">
      <c r="B19" s="21" t="inlineStr">
        <is>
          <t xml:space="preserve">   COGS Direct</t>
        </is>
      </c>
      <c r="C19" s="37">
        <f>C8*C12</f>
        <v/>
      </c>
      <c r="D19" s="37">
        <f>D8*D12</f>
        <v/>
      </c>
      <c r="E19" s="37">
        <f>E8*E12</f>
        <v/>
      </c>
      <c r="F19" s="37">
        <f>F8*F12</f>
        <v/>
      </c>
      <c r="G19" s="37">
        <f>G8*G12</f>
        <v/>
      </c>
      <c r="H19" s="37">
        <f>H8*H12</f>
        <v/>
      </c>
      <c r="I19" s="43">
        <f>SUM(C19:H19)</f>
        <v/>
      </c>
    </row>
    <row r="20">
      <c r="B20" s="21" t="inlineStr">
        <is>
          <t xml:space="preserve">   COGS Indirect</t>
        </is>
      </c>
      <c r="C20" s="37">
        <f>C8*C13</f>
        <v/>
      </c>
      <c r="D20" s="37">
        <f>D8*D13</f>
        <v/>
      </c>
      <c r="E20" s="37">
        <f>E8*E13</f>
        <v/>
      </c>
      <c r="F20" s="37">
        <f>F8*F13</f>
        <v/>
      </c>
      <c r="G20" s="37">
        <f>G8*G13</f>
        <v/>
      </c>
      <c r="H20" s="37">
        <f>H8*H13</f>
        <v/>
      </c>
      <c r="I20" s="43">
        <f>SUM(C20:H20)</f>
        <v/>
      </c>
    </row>
    <row r="21">
      <c r="B21" s="21" t="inlineStr">
        <is>
          <t xml:space="preserve">   Cost of Sales</t>
        </is>
      </c>
      <c r="C21" s="37">
        <f>C19+C20</f>
        <v/>
      </c>
      <c r="D21" s="37">
        <f>D19+D20</f>
        <v/>
      </c>
      <c r="E21" s="37">
        <f>E19+E20</f>
        <v/>
      </c>
      <c r="F21" s="37">
        <f>F19+F20</f>
        <v/>
      </c>
      <c r="G21" s="37">
        <f>G19+G20</f>
        <v/>
      </c>
      <c r="H21" s="37">
        <f>H19+H20</f>
        <v/>
      </c>
      <c r="I21" s="43">
        <f>I19+I20</f>
        <v/>
      </c>
    </row>
    <row r="22">
      <c r="B22" s="24" t="inlineStr">
        <is>
          <t xml:space="preserve">   Gross Profit</t>
        </is>
      </c>
      <c r="C22" s="37">
        <f>C18-C21</f>
        <v/>
      </c>
      <c r="D22" s="37">
        <f>D18-D21</f>
        <v/>
      </c>
      <c r="E22" s="37">
        <f>E18-E21</f>
        <v/>
      </c>
      <c r="F22" s="37">
        <f>F18-F21</f>
        <v/>
      </c>
      <c r="G22" s="37">
        <f>G18-G21</f>
        <v/>
      </c>
      <c r="H22" s="37">
        <f>H18-H21</f>
        <v/>
      </c>
      <c r="I22" s="43">
        <f>I18-I21</f>
        <v/>
      </c>
    </row>
    <row r="23">
      <c r="B23" s="21" t="inlineStr">
        <is>
          <t xml:space="preserve">   GP %</t>
        </is>
      </c>
      <c r="C23" s="39">
        <f>IFERROR(C22/C18,0)</f>
        <v/>
      </c>
      <c r="D23" s="39">
        <f>IFERROR(D22/D18,0)</f>
        <v/>
      </c>
      <c r="E23" s="39">
        <f>IFERROR(E22/E18,0)</f>
        <v/>
      </c>
      <c r="F23" s="39">
        <f>IFERROR(F22/F18,0)</f>
        <v/>
      </c>
      <c r="G23" s="39">
        <f>IFERROR(G22/G18,0)</f>
        <v/>
      </c>
      <c r="H23" s="39">
        <f>IFERROR(H22/H18,0)</f>
        <v/>
      </c>
      <c r="I23" s="33">
        <f>IFERROR(I22/I18,0)</f>
        <v/>
      </c>
    </row>
    <row r="24">
      <c r="B24" s="21" t="inlineStr">
        <is>
          <t xml:space="preserve">   A&amp;P</t>
        </is>
      </c>
      <c r="C24" s="37">
        <f>C8*C14</f>
        <v/>
      </c>
      <c r="D24" s="37">
        <f>D8*D14</f>
        <v/>
      </c>
      <c r="E24" s="37">
        <f>E8*E14</f>
        <v/>
      </c>
      <c r="F24" s="37">
        <f>F8*F14</f>
        <v/>
      </c>
      <c r="G24" s="37">
        <f>G8*G14</f>
        <v/>
      </c>
      <c r="H24" s="37">
        <f>H8*H14</f>
        <v/>
      </c>
      <c r="I24" s="43">
        <f>SUM(C24:H24)</f>
        <v/>
      </c>
    </row>
    <row r="25">
      <c r="B25" s="24" t="inlineStr">
        <is>
          <t xml:space="preserve">   Contribution Margin</t>
        </is>
      </c>
      <c r="C25" s="37">
        <f>C22-C24</f>
        <v/>
      </c>
      <c r="D25" s="37">
        <f>D22-D24</f>
        <v/>
      </c>
      <c r="E25" s="37">
        <f>E22-E24</f>
        <v/>
      </c>
      <c r="F25" s="37">
        <f>F22-F24</f>
        <v/>
      </c>
      <c r="G25" s="37">
        <f>G22-G24</f>
        <v/>
      </c>
      <c r="H25" s="37">
        <f>H22-H24</f>
        <v/>
      </c>
      <c r="I25" s="43">
        <f>I22-I24</f>
        <v/>
      </c>
    </row>
    <row r="26">
      <c r="B26" s="21" t="inlineStr">
        <is>
          <t xml:space="preserve">   CM %</t>
        </is>
      </c>
      <c r="C26" s="39">
        <f>IFERROR(C25/C18,0)</f>
        <v/>
      </c>
      <c r="D26" s="39">
        <f>IFERROR(D25/D18,0)</f>
        <v/>
      </c>
      <c r="E26" s="39">
        <f>IFERROR(E25/E18,0)</f>
        <v/>
      </c>
      <c r="F26" s="39">
        <f>IFERROR(F25/F18,0)</f>
        <v/>
      </c>
      <c r="G26" s="39">
        <f>IFERROR(G25/G18,0)</f>
        <v/>
      </c>
      <c r="H26" s="39">
        <f>IFERROR(H25/H18,0)</f>
        <v/>
      </c>
      <c r="I26" s="33">
        <f>IFERROR(I25/I18,0)</f>
        <v/>
      </c>
    </row>
    <row r="27">
      <c r="B27" s="19" t="inlineStr">
        <is>
          <t>OPERATING EXPENSES &amp; PROFIT  (company total)</t>
        </is>
      </c>
      <c r="C27" s="20" t="n"/>
      <c r="D27" s="20" t="n"/>
      <c r="E27" s="20" t="n"/>
      <c r="F27" s="20" t="n"/>
      <c r="G27" s="20" t="n"/>
      <c r="H27" s="20" t="n"/>
      <c r="I27" s="20" t="n"/>
    </row>
    <row r="28">
      <c r="B28" s="21" t="inlineStr">
        <is>
          <t xml:space="preserve">   Salaries &amp; wages</t>
        </is>
      </c>
      <c r="I28" s="43">
        <f>'Assumptions'!$C$31</f>
        <v/>
      </c>
    </row>
    <row r="29">
      <c r="B29" s="21" t="inlineStr">
        <is>
          <t xml:space="preserve">   G&amp;A / overhead</t>
        </is>
      </c>
      <c r="I29" s="43">
        <f>'Assumptions'!$C$32</f>
        <v/>
      </c>
    </row>
    <row r="30">
      <c r="B30" s="21" t="inlineStr">
        <is>
          <t xml:space="preserve">   Marketing overhead</t>
        </is>
      </c>
      <c r="I30" s="43">
        <f>'Assumptions'!$C$33</f>
        <v/>
      </c>
    </row>
    <row r="31">
      <c r="B31" s="21" t="inlineStr">
        <is>
          <t xml:space="preserve">   Slotting / listing</t>
        </is>
      </c>
      <c r="I31" s="43">
        <f>'Assumptions'!$C$34</f>
        <v/>
      </c>
    </row>
    <row r="32">
      <c r="B32" s="21" t="inlineStr">
        <is>
          <t xml:space="preserve">   Outbound logistics</t>
        </is>
      </c>
      <c r="I32" s="43">
        <f>I18*'Assumptions'!$C$35</f>
        <v/>
      </c>
    </row>
    <row r="33">
      <c r="B33" s="24" t="inlineStr">
        <is>
          <t xml:space="preserve">   Total Operating Expenses</t>
        </is>
      </c>
      <c r="I33" s="43">
        <f>SUM(I28:I32)</f>
        <v/>
      </c>
    </row>
    <row r="34">
      <c r="B34" s="24" t="inlineStr">
        <is>
          <t xml:space="preserve">   EBITDA</t>
        </is>
      </c>
      <c r="I34" s="43">
        <f>I25-I33</f>
        <v/>
      </c>
    </row>
    <row r="35">
      <c r="B35" s="21" t="inlineStr">
        <is>
          <t xml:space="preserve">   EBITDA %</t>
        </is>
      </c>
      <c r="I35" s="33">
        <f>IFERROR(I34/I18,0)</f>
        <v/>
      </c>
    </row>
    <row r="36">
      <c r="B36" s="21" t="inlineStr">
        <is>
          <t xml:space="preserve">   Depreciation &amp; amort.</t>
        </is>
      </c>
      <c r="I36" s="43">
        <f>'Assumptions'!$C$36</f>
        <v/>
      </c>
    </row>
    <row r="37">
      <c r="B37" s="24" t="inlineStr">
        <is>
          <t xml:space="preserve">   EBIT</t>
        </is>
      </c>
      <c r="I37" s="43">
        <f>I34-I36</f>
        <v/>
      </c>
    </row>
    <row r="38">
      <c r="B38" s="21" t="inlineStr">
        <is>
          <t xml:space="preserve">   Interest</t>
        </is>
      </c>
      <c r="I38" s="43">
        <f>'Assumptions'!$C$37</f>
        <v/>
      </c>
    </row>
    <row r="39">
      <c r="B39" s="24" t="inlineStr">
        <is>
          <t xml:space="preserve">   Pre-tax Profit (EBT)</t>
        </is>
      </c>
      <c r="I39" s="43">
        <f>I37-I38</f>
        <v/>
      </c>
    </row>
    <row r="40">
      <c r="B40" s="21" t="inlineStr">
        <is>
          <t xml:space="preserve">   Tax</t>
        </is>
      </c>
      <c r="I40" s="43">
        <f>MAX(0,I39*'Assumptions'!$C$38)</f>
        <v/>
      </c>
    </row>
    <row r="41">
      <c r="B41" s="24" t="inlineStr">
        <is>
          <t xml:space="preserve">   Net Income</t>
        </is>
      </c>
      <c r="I41" s="43">
        <f>I39-I40</f>
        <v/>
      </c>
    </row>
    <row r="42">
      <c r="B42" s="21" t="inlineStr">
        <is>
          <t xml:space="preserve">   Net Income %</t>
        </is>
      </c>
      <c r="I42" s="33">
        <f>IFERROR(I41/I18,0)</f>
        <v/>
      </c>
    </row>
    <row r="43">
      <c r="B43" s="19" t="inlineStr">
        <is>
          <t>PER-CASE KPIs</t>
        </is>
      </c>
      <c r="C43" s="20" t="n"/>
      <c r="D43" s="20" t="n"/>
      <c r="E43" s="20" t="n"/>
      <c r="F43" s="20" t="n"/>
      <c r="G43" s="20" t="n"/>
      <c r="H43" s="20" t="n"/>
      <c r="I43" s="20" t="n"/>
    </row>
    <row r="44">
      <c r="B44" s="21" t="inlineStr">
        <is>
          <t xml:space="preserve">   Net Sales / case</t>
        </is>
      </c>
      <c r="C44" s="41">
        <f>IFERROR(C18/C8,0)</f>
        <v/>
      </c>
      <c r="D44" s="41">
        <f>IFERROR(D18/D8,0)</f>
        <v/>
      </c>
      <c r="E44" s="41">
        <f>IFERROR(E18/E8,0)</f>
        <v/>
      </c>
      <c r="F44" s="41">
        <f>IFERROR(F18/F8,0)</f>
        <v/>
      </c>
      <c r="G44" s="41">
        <f>IFERROR(G18/G8,0)</f>
        <v/>
      </c>
      <c r="H44" s="41">
        <f>IFERROR(H18/H8,0)</f>
        <v/>
      </c>
      <c r="I44" s="28">
        <f>IFERROR(I18/I8,0)</f>
        <v/>
      </c>
    </row>
    <row r="45">
      <c r="B45" s="21" t="inlineStr">
        <is>
          <t xml:space="preserve">   Contribution / case</t>
        </is>
      </c>
      <c r="C45" s="41">
        <f>IFERROR(C25/C8,0)</f>
        <v/>
      </c>
      <c r="D45" s="41">
        <f>IFERROR(D25/D8,0)</f>
        <v/>
      </c>
      <c r="E45" s="41">
        <f>IFERROR(E25/E8,0)</f>
        <v/>
      </c>
      <c r="F45" s="41">
        <f>IFERROR(F25/F8,0)</f>
        <v/>
      </c>
      <c r="G45" s="41">
        <f>IFERROR(G25/G8,0)</f>
        <v/>
      </c>
      <c r="H45" s="41">
        <f>IFERROR(H25/H8,0)</f>
        <v/>
      </c>
      <c r="I45" s="28">
        <f>IFERROR(I25/I8,0)</f>
        <v/>
      </c>
    </row>
  </sheetData>
  <mergeCells count="8">
    <mergeCell ref="B9:I9"/>
    <mergeCell ref="F5:H5"/>
    <mergeCell ref="C5:E5"/>
    <mergeCell ref="B7:I7"/>
    <mergeCell ref="B15:I15"/>
    <mergeCell ref="B27:I27"/>
    <mergeCell ref="I5:I6"/>
    <mergeCell ref="B43:I43"/>
  </mergeCell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B6FA6"/>
    <outlinePr summaryBelow="1" summaryRight="1"/>
    <pageSetUpPr fitToPage="1"/>
  </sheetPr>
  <dimension ref="B1:I45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B1" s="14" t="inlineStr">
        <is>
          <t>Sparkling Daily - LOW Scenario  (FY2026)</t>
        </is>
      </c>
    </row>
    <row r="2">
      <c r="B2" s="15" t="inlineStr">
        <is>
          <t>Levers vs Base:  Volume 70%  •  Price 95%  •  Trade-disc Δ +1%   (all driven from Assumptions)</t>
        </is>
      </c>
    </row>
    <row r="3">
      <c r="B3" s="15" t="inlineStr">
        <is>
          <t>CDN $.  All figures calculate from the Assumptions tab - nothing here is hand-keyed.</t>
        </is>
      </c>
    </row>
    <row r="5" ht="16" customHeight="1">
      <c r="C5" s="16" t="inlineStr">
        <is>
          <t>SINGLES</t>
        </is>
      </c>
      <c r="F5" s="16" t="inlineStr">
        <is>
          <t>4-PACK</t>
        </is>
      </c>
      <c r="I5" s="16" t="inlineStr">
        <is>
          <t>TOTAL
DAILY</t>
        </is>
      </c>
    </row>
    <row r="6" ht="26" customHeight="1">
      <c r="B6" s="17" t="inlineStr">
        <is>
          <t>CDN $</t>
        </is>
      </c>
      <c r="C6" s="18" t="inlineStr">
        <is>
          <t>Pineapple</t>
        </is>
      </c>
      <c r="D6" s="18" t="inlineStr">
        <is>
          <t>Passionfruit</t>
        </is>
      </c>
      <c r="E6" s="18" t="inlineStr">
        <is>
          <t>Lime Lemon</t>
        </is>
      </c>
      <c r="F6" s="18" t="inlineStr">
        <is>
          <t>Pineapple</t>
        </is>
      </c>
      <c r="G6" s="18" t="inlineStr">
        <is>
          <t>Passionfruit</t>
        </is>
      </c>
      <c r="H6" s="18" t="inlineStr">
        <is>
          <t>Lime Lemon</t>
        </is>
      </c>
    </row>
    <row r="7">
      <c r="B7" s="19" t="inlineStr">
        <is>
          <t>VOLUME</t>
        </is>
      </c>
      <c r="C7" s="20" t="n"/>
      <c r="D7" s="20" t="n"/>
      <c r="E7" s="20" t="n"/>
      <c r="F7" s="20" t="n"/>
      <c r="G7" s="20" t="n"/>
      <c r="H7" s="20" t="n"/>
      <c r="I7" s="20" t="n"/>
    </row>
    <row r="8">
      <c r="B8" s="24" t="inlineStr">
        <is>
          <t xml:space="preserve">   Physical Cases</t>
        </is>
      </c>
      <c r="C8" s="36">
        <f>'Assumptions'!C28*'Assumptions'!$C$46*('Assumptions'!$D$46^'Assumptions'!$C$39)</f>
        <v/>
      </c>
      <c r="D8" s="36">
        <f>'Assumptions'!D28*'Assumptions'!$C$46*('Assumptions'!$D$46^'Assumptions'!$C$39)</f>
        <v/>
      </c>
      <c r="E8" s="36">
        <f>'Assumptions'!E28*'Assumptions'!$C$46*('Assumptions'!$D$46^'Assumptions'!$C$39)</f>
        <v/>
      </c>
      <c r="F8" s="36">
        <f>'Assumptions'!F28*'Assumptions'!$C$46*('Assumptions'!$D$46^'Assumptions'!$C$39)</f>
        <v/>
      </c>
      <c r="G8" s="36">
        <f>'Assumptions'!G28*'Assumptions'!$C$46*('Assumptions'!$D$46^'Assumptions'!$C$39)</f>
        <v/>
      </c>
      <c r="H8" s="36">
        <f>'Assumptions'!H28*'Assumptions'!$C$46*('Assumptions'!$D$46^'Assumptions'!$C$39)</f>
        <v/>
      </c>
      <c r="I8" s="42">
        <f>SUM(C8:H8)</f>
        <v/>
      </c>
    </row>
    <row r="9">
      <c r="B9" s="19" t="inlineStr">
        <is>
          <t>PRICE &amp; COST - PER CASE (from Assumptions x levers)</t>
        </is>
      </c>
      <c r="C9" s="20" t="n"/>
      <c r="D9" s="20" t="n"/>
      <c r="E9" s="20" t="n"/>
      <c r="F9" s="20" t="n"/>
      <c r="G9" s="20" t="n"/>
      <c r="H9" s="20" t="n"/>
      <c r="I9" s="20" t="n"/>
    </row>
    <row r="10">
      <c r="B10" s="24" t="inlineStr">
        <is>
          <t xml:space="preserve">   CP - Gross Rev / case</t>
        </is>
      </c>
      <c r="C10" s="27">
        <f>'Assumptions'!C11*'Assumptions'!$D$46</f>
        <v/>
      </c>
      <c r="D10" s="27">
        <f>'Assumptions'!D11*'Assumptions'!$D$46</f>
        <v/>
      </c>
      <c r="E10" s="27">
        <f>'Assumptions'!E11*'Assumptions'!$D$46</f>
        <v/>
      </c>
      <c r="F10" s="27">
        <f>'Assumptions'!F11*'Assumptions'!$D$46</f>
        <v/>
      </c>
      <c r="G10" s="27">
        <f>'Assumptions'!G11*'Assumptions'!$D$46</f>
        <v/>
      </c>
      <c r="H10" s="27">
        <f>'Assumptions'!H11*'Assumptions'!$D$46</f>
        <v/>
      </c>
      <c r="I10" s="28">
        <f>IFERROR(I16/I8,0)</f>
        <v/>
      </c>
    </row>
    <row r="11">
      <c r="B11" s="21" t="inlineStr">
        <is>
          <t xml:space="preserve">   Trade discount %</t>
        </is>
      </c>
      <c r="C11" s="40">
        <f>'Assumptions'!C12+'Assumptions'!$E$46</f>
        <v/>
      </c>
      <c r="D11" s="40">
        <f>'Assumptions'!D12+'Assumptions'!$E$46</f>
        <v/>
      </c>
      <c r="E11" s="40">
        <f>'Assumptions'!E12+'Assumptions'!$E$46</f>
        <v/>
      </c>
      <c r="F11" s="40">
        <f>'Assumptions'!F12+'Assumptions'!$E$46</f>
        <v/>
      </c>
      <c r="G11" s="40">
        <f>'Assumptions'!G12+'Assumptions'!$E$46</f>
        <v/>
      </c>
      <c r="H11" s="40">
        <f>'Assumptions'!H12+'Assumptions'!$E$46</f>
        <v/>
      </c>
      <c r="I11" s="33">
        <f>IFERROR(I17/I16,0)</f>
        <v/>
      </c>
    </row>
    <row r="12">
      <c r="B12" s="21" t="inlineStr">
        <is>
          <t xml:space="preserve">   COGS Direct / case</t>
        </is>
      </c>
      <c r="C12" s="27">
        <f>'Assumptions'!C19</f>
        <v/>
      </c>
      <c r="D12" s="27">
        <f>'Assumptions'!D19</f>
        <v/>
      </c>
      <c r="E12" s="27">
        <f>'Assumptions'!E19</f>
        <v/>
      </c>
      <c r="F12" s="27">
        <f>'Assumptions'!F19</f>
        <v/>
      </c>
      <c r="G12" s="27">
        <f>'Assumptions'!G19</f>
        <v/>
      </c>
      <c r="H12" s="27">
        <f>'Assumptions'!H19</f>
        <v/>
      </c>
      <c r="I12" s="28">
        <f>IFERROR(I19/I8,0)</f>
        <v/>
      </c>
    </row>
    <row r="13">
      <c r="B13" s="21" t="inlineStr">
        <is>
          <t xml:space="preserve">   COGS Indirect / case</t>
        </is>
      </c>
      <c r="C13" s="27">
        <f>'Assumptions'!C20</f>
        <v/>
      </c>
      <c r="D13" s="27">
        <f>'Assumptions'!D20</f>
        <v/>
      </c>
      <c r="E13" s="27">
        <f>'Assumptions'!E20</f>
        <v/>
      </c>
      <c r="F13" s="27">
        <f>'Assumptions'!F20</f>
        <v/>
      </c>
      <c r="G13" s="27">
        <f>'Assumptions'!G20</f>
        <v/>
      </c>
      <c r="H13" s="27">
        <f>'Assumptions'!H20</f>
        <v/>
      </c>
      <c r="I13" s="28">
        <f>IFERROR(I20/I8,0)</f>
        <v/>
      </c>
    </row>
    <row r="14">
      <c r="B14" s="21" t="inlineStr">
        <is>
          <t xml:space="preserve">   A&amp;P / case</t>
        </is>
      </c>
      <c r="C14" s="27">
        <f>'Assumptions'!C26</f>
        <v/>
      </c>
      <c r="D14" s="27">
        <f>'Assumptions'!D26</f>
        <v/>
      </c>
      <c r="E14" s="27">
        <f>'Assumptions'!E26</f>
        <v/>
      </c>
      <c r="F14" s="27">
        <f>'Assumptions'!F26</f>
        <v/>
      </c>
      <c r="G14" s="27">
        <f>'Assumptions'!G26</f>
        <v/>
      </c>
      <c r="H14" s="27">
        <f>'Assumptions'!H26</f>
        <v/>
      </c>
      <c r="I14" s="28">
        <f>IFERROR(I24/I8,0)</f>
        <v/>
      </c>
    </row>
    <row r="15">
      <c r="B15" s="19" t="inlineStr">
        <is>
          <t>P&amp;L  ($)</t>
        </is>
      </c>
      <c r="C15" s="20" t="n"/>
      <c r="D15" s="20" t="n"/>
      <c r="E15" s="20" t="n"/>
      <c r="F15" s="20" t="n"/>
      <c r="G15" s="20" t="n"/>
      <c r="H15" s="20" t="n"/>
      <c r="I15" s="20" t="n"/>
    </row>
    <row r="16">
      <c r="B16" s="21" t="inlineStr">
        <is>
          <t xml:space="preserve">   Gross Revenue</t>
        </is>
      </c>
      <c r="C16" s="37">
        <f>C8*C10</f>
        <v/>
      </c>
      <c r="D16" s="37">
        <f>D8*D10</f>
        <v/>
      </c>
      <c r="E16" s="37">
        <f>E8*E10</f>
        <v/>
      </c>
      <c r="F16" s="37">
        <f>F8*F10</f>
        <v/>
      </c>
      <c r="G16" s="37">
        <f>G8*G10</f>
        <v/>
      </c>
      <c r="H16" s="37">
        <f>H8*H10</f>
        <v/>
      </c>
      <c r="I16" s="43">
        <f>SUM(C16:H16)</f>
        <v/>
      </c>
    </row>
    <row r="17">
      <c r="B17" s="21" t="inlineStr">
        <is>
          <t xml:space="preserve">   Trade Discounts</t>
        </is>
      </c>
      <c r="C17" s="37">
        <f>C16*C11</f>
        <v/>
      </c>
      <c r="D17" s="37">
        <f>D16*D11</f>
        <v/>
      </c>
      <c r="E17" s="37">
        <f>E16*E11</f>
        <v/>
      </c>
      <c r="F17" s="37">
        <f>F16*F11</f>
        <v/>
      </c>
      <c r="G17" s="37">
        <f>G16*G11</f>
        <v/>
      </c>
      <c r="H17" s="37">
        <f>H16*H11</f>
        <v/>
      </c>
      <c r="I17" s="43">
        <f>SUM(C17:H17)</f>
        <v/>
      </c>
    </row>
    <row r="18">
      <c r="B18" s="24" t="inlineStr">
        <is>
          <t xml:space="preserve">   Net Sales</t>
        </is>
      </c>
      <c r="C18" s="37">
        <f>C16-C17</f>
        <v/>
      </c>
      <c r="D18" s="37">
        <f>D16-D17</f>
        <v/>
      </c>
      <c r="E18" s="37">
        <f>E16-E17</f>
        <v/>
      </c>
      <c r="F18" s="37">
        <f>F16-F17</f>
        <v/>
      </c>
      <c r="G18" s="37">
        <f>G16-G17</f>
        <v/>
      </c>
      <c r="H18" s="37">
        <f>H16-H17</f>
        <v/>
      </c>
      <c r="I18" s="43">
        <f>I16-I17</f>
        <v/>
      </c>
    </row>
    <row r="19">
      <c r="B19" s="21" t="inlineStr">
        <is>
          <t xml:space="preserve">   COGS Direct</t>
        </is>
      </c>
      <c r="C19" s="37">
        <f>C8*C12</f>
        <v/>
      </c>
      <c r="D19" s="37">
        <f>D8*D12</f>
        <v/>
      </c>
      <c r="E19" s="37">
        <f>E8*E12</f>
        <v/>
      </c>
      <c r="F19" s="37">
        <f>F8*F12</f>
        <v/>
      </c>
      <c r="G19" s="37">
        <f>G8*G12</f>
        <v/>
      </c>
      <c r="H19" s="37">
        <f>H8*H12</f>
        <v/>
      </c>
      <c r="I19" s="43">
        <f>SUM(C19:H19)</f>
        <v/>
      </c>
    </row>
    <row r="20">
      <c r="B20" s="21" t="inlineStr">
        <is>
          <t xml:space="preserve">   COGS Indirect</t>
        </is>
      </c>
      <c r="C20" s="37">
        <f>C8*C13</f>
        <v/>
      </c>
      <c r="D20" s="37">
        <f>D8*D13</f>
        <v/>
      </c>
      <c r="E20" s="37">
        <f>E8*E13</f>
        <v/>
      </c>
      <c r="F20" s="37">
        <f>F8*F13</f>
        <v/>
      </c>
      <c r="G20" s="37">
        <f>G8*G13</f>
        <v/>
      </c>
      <c r="H20" s="37">
        <f>H8*H13</f>
        <v/>
      </c>
      <c r="I20" s="43">
        <f>SUM(C20:H20)</f>
        <v/>
      </c>
    </row>
    <row r="21">
      <c r="B21" s="21" t="inlineStr">
        <is>
          <t xml:space="preserve">   Cost of Sales</t>
        </is>
      </c>
      <c r="C21" s="37">
        <f>C19+C20</f>
        <v/>
      </c>
      <c r="D21" s="37">
        <f>D19+D20</f>
        <v/>
      </c>
      <c r="E21" s="37">
        <f>E19+E20</f>
        <v/>
      </c>
      <c r="F21" s="37">
        <f>F19+F20</f>
        <v/>
      </c>
      <c r="G21" s="37">
        <f>G19+G20</f>
        <v/>
      </c>
      <c r="H21" s="37">
        <f>H19+H20</f>
        <v/>
      </c>
      <c r="I21" s="43">
        <f>I19+I20</f>
        <v/>
      </c>
    </row>
    <row r="22">
      <c r="B22" s="24" t="inlineStr">
        <is>
          <t xml:space="preserve">   Gross Profit</t>
        </is>
      </c>
      <c r="C22" s="37">
        <f>C18-C21</f>
        <v/>
      </c>
      <c r="D22" s="37">
        <f>D18-D21</f>
        <v/>
      </c>
      <c r="E22" s="37">
        <f>E18-E21</f>
        <v/>
      </c>
      <c r="F22" s="37">
        <f>F18-F21</f>
        <v/>
      </c>
      <c r="G22" s="37">
        <f>G18-G21</f>
        <v/>
      </c>
      <c r="H22" s="37">
        <f>H18-H21</f>
        <v/>
      </c>
      <c r="I22" s="43">
        <f>I18-I21</f>
        <v/>
      </c>
    </row>
    <row r="23">
      <c r="B23" s="21" t="inlineStr">
        <is>
          <t xml:space="preserve">   GP %</t>
        </is>
      </c>
      <c r="C23" s="39">
        <f>IFERROR(C22/C18,0)</f>
        <v/>
      </c>
      <c r="D23" s="39">
        <f>IFERROR(D22/D18,0)</f>
        <v/>
      </c>
      <c r="E23" s="39">
        <f>IFERROR(E22/E18,0)</f>
        <v/>
      </c>
      <c r="F23" s="39">
        <f>IFERROR(F22/F18,0)</f>
        <v/>
      </c>
      <c r="G23" s="39">
        <f>IFERROR(G22/G18,0)</f>
        <v/>
      </c>
      <c r="H23" s="39">
        <f>IFERROR(H22/H18,0)</f>
        <v/>
      </c>
      <c r="I23" s="33">
        <f>IFERROR(I22/I18,0)</f>
        <v/>
      </c>
    </row>
    <row r="24">
      <c r="B24" s="21" t="inlineStr">
        <is>
          <t xml:space="preserve">   A&amp;P</t>
        </is>
      </c>
      <c r="C24" s="37">
        <f>C8*C14</f>
        <v/>
      </c>
      <c r="D24" s="37">
        <f>D8*D14</f>
        <v/>
      </c>
      <c r="E24" s="37">
        <f>E8*E14</f>
        <v/>
      </c>
      <c r="F24" s="37">
        <f>F8*F14</f>
        <v/>
      </c>
      <c r="G24" s="37">
        <f>G8*G14</f>
        <v/>
      </c>
      <c r="H24" s="37">
        <f>H8*H14</f>
        <v/>
      </c>
      <c r="I24" s="43">
        <f>SUM(C24:H24)</f>
        <v/>
      </c>
    </row>
    <row r="25">
      <c r="B25" s="24" t="inlineStr">
        <is>
          <t xml:space="preserve">   Contribution Margin</t>
        </is>
      </c>
      <c r="C25" s="37">
        <f>C22-C24</f>
        <v/>
      </c>
      <c r="D25" s="37">
        <f>D22-D24</f>
        <v/>
      </c>
      <c r="E25" s="37">
        <f>E22-E24</f>
        <v/>
      </c>
      <c r="F25" s="37">
        <f>F22-F24</f>
        <v/>
      </c>
      <c r="G25" s="37">
        <f>G22-G24</f>
        <v/>
      </c>
      <c r="H25" s="37">
        <f>H22-H24</f>
        <v/>
      </c>
      <c r="I25" s="43">
        <f>I22-I24</f>
        <v/>
      </c>
    </row>
    <row r="26">
      <c r="B26" s="21" t="inlineStr">
        <is>
          <t xml:space="preserve">   CM %</t>
        </is>
      </c>
      <c r="C26" s="39">
        <f>IFERROR(C25/C18,0)</f>
        <v/>
      </c>
      <c r="D26" s="39">
        <f>IFERROR(D25/D18,0)</f>
        <v/>
      </c>
      <c r="E26" s="39">
        <f>IFERROR(E25/E18,0)</f>
        <v/>
      </c>
      <c r="F26" s="39">
        <f>IFERROR(F25/F18,0)</f>
        <v/>
      </c>
      <c r="G26" s="39">
        <f>IFERROR(G25/G18,0)</f>
        <v/>
      </c>
      <c r="H26" s="39">
        <f>IFERROR(H25/H18,0)</f>
        <v/>
      </c>
      <c r="I26" s="33">
        <f>IFERROR(I25/I18,0)</f>
        <v/>
      </c>
    </row>
    <row r="27">
      <c r="B27" s="19" t="inlineStr">
        <is>
          <t>OPERATING EXPENSES &amp; PROFIT  (company total)</t>
        </is>
      </c>
      <c r="C27" s="20" t="n"/>
      <c r="D27" s="20" t="n"/>
      <c r="E27" s="20" t="n"/>
      <c r="F27" s="20" t="n"/>
      <c r="G27" s="20" t="n"/>
      <c r="H27" s="20" t="n"/>
      <c r="I27" s="20" t="n"/>
    </row>
    <row r="28">
      <c r="B28" s="21" t="inlineStr">
        <is>
          <t xml:space="preserve">   Salaries &amp; wages</t>
        </is>
      </c>
      <c r="I28" s="43">
        <f>'Assumptions'!$C$31</f>
        <v/>
      </c>
    </row>
    <row r="29">
      <c r="B29" s="21" t="inlineStr">
        <is>
          <t xml:space="preserve">   G&amp;A / overhead</t>
        </is>
      </c>
      <c r="I29" s="43">
        <f>'Assumptions'!$C$32</f>
        <v/>
      </c>
    </row>
    <row r="30">
      <c r="B30" s="21" t="inlineStr">
        <is>
          <t xml:space="preserve">   Marketing overhead</t>
        </is>
      </c>
      <c r="I30" s="43">
        <f>'Assumptions'!$C$33</f>
        <v/>
      </c>
    </row>
    <row r="31">
      <c r="B31" s="21" t="inlineStr">
        <is>
          <t xml:space="preserve">   Slotting / listing</t>
        </is>
      </c>
      <c r="I31" s="43">
        <f>'Assumptions'!$C$34</f>
        <v/>
      </c>
    </row>
    <row r="32">
      <c r="B32" s="21" t="inlineStr">
        <is>
          <t xml:space="preserve">   Outbound logistics</t>
        </is>
      </c>
      <c r="I32" s="43">
        <f>I18*'Assumptions'!$C$35</f>
        <v/>
      </c>
    </row>
    <row r="33">
      <c r="B33" s="24" t="inlineStr">
        <is>
          <t xml:space="preserve">   Total Operating Expenses</t>
        </is>
      </c>
      <c r="I33" s="43">
        <f>SUM(I28:I32)</f>
        <v/>
      </c>
    </row>
    <row r="34">
      <c r="B34" s="24" t="inlineStr">
        <is>
          <t xml:space="preserve">   EBITDA</t>
        </is>
      </c>
      <c r="I34" s="43">
        <f>I25-I33</f>
        <v/>
      </c>
    </row>
    <row r="35">
      <c r="B35" s="21" t="inlineStr">
        <is>
          <t xml:space="preserve">   EBITDA %</t>
        </is>
      </c>
      <c r="I35" s="33">
        <f>IFERROR(I34/I18,0)</f>
        <v/>
      </c>
    </row>
    <row r="36">
      <c r="B36" s="21" t="inlineStr">
        <is>
          <t xml:space="preserve">   Depreciation &amp; amort.</t>
        </is>
      </c>
      <c r="I36" s="43">
        <f>'Assumptions'!$C$36</f>
        <v/>
      </c>
    </row>
    <row r="37">
      <c r="B37" s="24" t="inlineStr">
        <is>
          <t xml:space="preserve">   EBIT</t>
        </is>
      </c>
      <c r="I37" s="43">
        <f>I34-I36</f>
        <v/>
      </c>
    </row>
    <row r="38">
      <c r="B38" s="21" t="inlineStr">
        <is>
          <t xml:space="preserve">   Interest</t>
        </is>
      </c>
      <c r="I38" s="43">
        <f>'Assumptions'!$C$37</f>
        <v/>
      </c>
    </row>
    <row r="39">
      <c r="B39" s="24" t="inlineStr">
        <is>
          <t xml:space="preserve">   Pre-tax Profit (EBT)</t>
        </is>
      </c>
      <c r="I39" s="43">
        <f>I37-I38</f>
        <v/>
      </c>
    </row>
    <row r="40">
      <c r="B40" s="21" t="inlineStr">
        <is>
          <t xml:space="preserve">   Tax</t>
        </is>
      </c>
      <c r="I40" s="43">
        <f>MAX(0,I39*'Assumptions'!$C$38)</f>
        <v/>
      </c>
    </row>
    <row r="41">
      <c r="B41" s="24" t="inlineStr">
        <is>
          <t xml:space="preserve">   Net Income</t>
        </is>
      </c>
      <c r="I41" s="43">
        <f>I39-I40</f>
        <v/>
      </c>
    </row>
    <row r="42">
      <c r="B42" s="21" t="inlineStr">
        <is>
          <t xml:space="preserve">   Net Income %</t>
        </is>
      </c>
      <c r="I42" s="33">
        <f>IFERROR(I41/I18,0)</f>
        <v/>
      </c>
    </row>
    <row r="43">
      <c r="B43" s="19" t="inlineStr">
        <is>
          <t>PER-CASE KPIs</t>
        </is>
      </c>
      <c r="C43" s="20" t="n"/>
      <c r="D43" s="20" t="n"/>
      <c r="E43" s="20" t="n"/>
      <c r="F43" s="20" t="n"/>
      <c r="G43" s="20" t="n"/>
      <c r="H43" s="20" t="n"/>
      <c r="I43" s="20" t="n"/>
    </row>
    <row r="44">
      <c r="B44" s="21" t="inlineStr">
        <is>
          <t xml:space="preserve">   Net Sales / case</t>
        </is>
      </c>
      <c r="C44" s="41">
        <f>IFERROR(C18/C8,0)</f>
        <v/>
      </c>
      <c r="D44" s="41">
        <f>IFERROR(D18/D8,0)</f>
        <v/>
      </c>
      <c r="E44" s="41">
        <f>IFERROR(E18/E8,0)</f>
        <v/>
      </c>
      <c r="F44" s="41">
        <f>IFERROR(F18/F8,0)</f>
        <v/>
      </c>
      <c r="G44" s="41">
        <f>IFERROR(G18/G8,0)</f>
        <v/>
      </c>
      <c r="H44" s="41">
        <f>IFERROR(H18/H8,0)</f>
        <v/>
      </c>
      <c r="I44" s="28">
        <f>IFERROR(I18/I8,0)</f>
        <v/>
      </c>
    </row>
    <row r="45">
      <c r="B45" s="21" t="inlineStr">
        <is>
          <t xml:space="preserve">   Contribution / case</t>
        </is>
      </c>
      <c r="C45" s="41">
        <f>IFERROR(C25/C8,0)</f>
        <v/>
      </c>
      <c r="D45" s="41">
        <f>IFERROR(D25/D8,0)</f>
        <v/>
      </c>
      <c r="E45" s="41">
        <f>IFERROR(E25/E8,0)</f>
        <v/>
      </c>
      <c r="F45" s="41">
        <f>IFERROR(F25/F8,0)</f>
        <v/>
      </c>
      <c r="G45" s="41">
        <f>IFERROR(G25/G8,0)</f>
        <v/>
      </c>
      <c r="H45" s="41">
        <f>IFERROR(H25/H8,0)</f>
        <v/>
      </c>
      <c r="I45" s="28">
        <f>IFERROR(I25/I8,0)</f>
        <v/>
      </c>
    </row>
  </sheetData>
  <mergeCells count="8">
    <mergeCell ref="B9:I9"/>
    <mergeCell ref="F5:H5"/>
    <mergeCell ref="C5:E5"/>
    <mergeCell ref="B7:I7"/>
    <mergeCell ref="B15:I15"/>
    <mergeCell ref="B27:I27"/>
    <mergeCell ref="I5:I6"/>
    <mergeCell ref="B43:I43"/>
  </mergeCell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5B6FA6"/>
    <outlinePr summaryBelow="1" summaryRight="1"/>
    <pageSetUpPr fitToPage="1"/>
  </sheetPr>
  <dimension ref="B1:I45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B1" s="14" t="inlineStr">
        <is>
          <t>Sparkling Daily - HIGH Scenario  (FY2026)</t>
        </is>
      </c>
    </row>
    <row r="2">
      <c r="B2" s="15" t="inlineStr">
        <is>
          <t>Levers vs Base:  Volume 130%  •  Price 100%  •  Trade-disc Δ +0%   (all driven from Assumptions)</t>
        </is>
      </c>
    </row>
    <row r="3">
      <c r="B3" s="15" t="inlineStr">
        <is>
          <t>CDN $.  All figures calculate from the Assumptions tab - nothing here is hand-keyed.</t>
        </is>
      </c>
    </row>
    <row r="5" ht="16" customHeight="1">
      <c r="C5" s="16" t="inlineStr">
        <is>
          <t>SINGLES</t>
        </is>
      </c>
      <c r="F5" s="16" t="inlineStr">
        <is>
          <t>4-PACK</t>
        </is>
      </c>
      <c r="I5" s="16" t="inlineStr">
        <is>
          <t>TOTAL
DAILY</t>
        </is>
      </c>
    </row>
    <row r="6" ht="26" customHeight="1">
      <c r="B6" s="17" t="inlineStr">
        <is>
          <t>CDN $</t>
        </is>
      </c>
      <c r="C6" s="18" t="inlineStr">
        <is>
          <t>Pineapple</t>
        </is>
      </c>
      <c r="D6" s="18" t="inlineStr">
        <is>
          <t>Passionfruit</t>
        </is>
      </c>
      <c r="E6" s="18" t="inlineStr">
        <is>
          <t>Lime Lemon</t>
        </is>
      </c>
      <c r="F6" s="18" t="inlineStr">
        <is>
          <t>Pineapple</t>
        </is>
      </c>
      <c r="G6" s="18" t="inlineStr">
        <is>
          <t>Passionfruit</t>
        </is>
      </c>
      <c r="H6" s="18" t="inlineStr">
        <is>
          <t>Lime Lemon</t>
        </is>
      </c>
    </row>
    <row r="7">
      <c r="B7" s="19" t="inlineStr">
        <is>
          <t>VOLUME</t>
        </is>
      </c>
      <c r="C7" s="20" t="n"/>
      <c r="D7" s="20" t="n"/>
      <c r="E7" s="20" t="n"/>
      <c r="F7" s="20" t="n"/>
      <c r="G7" s="20" t="n"/>
      <c r="H7" s="20" t="n"/>
      <c r="I7" s="20" t="n"/>
    </row>
    <row r="8">
      <c r="B8" s="24" t="inlineStr">
        <is>
          <t xml:space="preserve">   Physical Cases</t>
        </is>
      </c>
      <c r="C8" s="36">
        <f>'Assumptions'!C28*'Assumptions'!$C$48*('Assumptions'!$D$48^'Assumptions'!$C$39)</f>
        <v/>
      </c>
      <c r="D8" s="36">
        <f>'Assumptions'!D28*'Assumptions'!$C$48*('Assumptions'!$D$48^'Assumptions'!$C$39)</f>
        <v/>
      </c>
      <c r="E8" s="36">
        <f>'Assumptions'!E28*'Assumptions'!$C$48*('Assumptions'!$D$48^'Assumptions'!$C$39)</f>
        <v/>
      </c>
      <c r="F8" s="36">
        <f>'Assumptions'!F28*'Assumptions'!$C$48*('Assumptions'!$D$48^'Assumptions'!$C$39)</f>
        <v/>
      </c>
      <c r="G8" s="36">
        <f>'Assumptions'!G28*'Assumptions'!$C$48*('Assumptions'!$D$48^'Assumptions'!$C$39)</f>
        <v/>
      </c>
      <c r="H8" s="36">
        <f>'Assumptions'!H28*'Assumptions'!$C$48*('Assumptions'!$D$48^'Assumptions'!$C$39)</f>
        <v/>
      </c>
      <c r="I8" s="42">
        <f>SUM(C8:H8)</f>
        <v/>
      </c>
    </row>
    <row r="9">
      <c r="B9" s="19" t="inlineStr">
        <is>
          <t>PRICE &amp; COST - PER CASE (from Assumptions x levers)</t>
        </is>
      </c>
      <c r="C9" s="20" t="n"/>
      <c r="D9" s="20" t="n"/>
      <c r="E9" s="20" t="n"/>
      <c r="F9" s="20" t="n"/>
      <c r="G9" s="20" t="n"/>
      <c r="H9" s="20" t="n"/>
      <c r="I9" s="20" t="n"/>
    </row>
    <row r="10">
      <c r="B10" s="24" t="inlineStr">
        <is>
          <t xml:space="preserve">   CP - Gross Rev / case</t>
        </is>
      </c>
      <c r="C10" s="27">
        <f>'Assumptions'!C11*'Assumptions'!$D$48</f>
        <v/>
      </c>
      <c r="D10" s="27">
        <f>'Assumptions'!D11*'Assumptions'!$D$48</f>
        <v/>
      </c>
      <c r="E10" s="27">
        <f>'Assumptions'!E11*'Assumptions'!$D$48</f>
        <v/>
      </c>
      <c r="F10" s="27">
        <f>'Assumptions'!F11*'Assumptions'!$D$48</f>
        <v/>
      </c>
      <c r="G10" s="27">
        <f>'Assumptions'!G11*'Assumptions'!$D$48</f>
        <v/>
      </c>
      <c r="H10" s="27">
        <f>'Assumptions'!H11*'Assumptions'!$D$48</f>
        <v/>
      </c>
      <c r="I10" s="28">
        <f>IFERROR(I16/I8,0)</f>
        <v/>
      </c>
    </row>
    <row r="11">
      <c r="B11" s="21" t="inlineStr">
        <is>
          <t xml:space="preserve">   Trade discount %</t>
        </is>
      </c>
      <c r="C11" s="40">
        <f>'Assumptions'!C12+'Assumptions'!$E$48</f>
        <v/>
      </c>
      <c r="D11" s="40">
        <f>'Assumptions'!D12+'Assumptions'!$E$48</f>
        <v/>
      </c>
      <c r="E11" s="40">
        <f>'Assumptions'!E12+'Assumptions'!$E$48</f>
        <v/>
      </c>
      <c r="F11" s="40">
        <f>'Assumptions'!F12+'Assumptions'!$E$48</f>
        <v/>
      </c>
      <c r="G11" s="40">
        <f>'Assumptions'!G12+'Assumptions'!$E$48</f>
        <v/>
      </c>
      <c r="H11" s="40">
        <f>'Assumptions'!H12+'Assumptions'!$E$48</f>
        <v/>
      </c>
      <c r="I11" s="33">
        <f>IFERROR(I17/I16,0)</f>
        <v/>
      </c>
    </row>
    <row r="12">
      <c r="B12" s="21" t="inlineStr">
        <is>
          <t xml:space="preserve">   COGS Direct / case</t>
        </is>
      </c>
      <c r="C12" s="27">
        <f>'Assumptions'!C19</f>
        <v/>
      </c>
      <c r="D12" s="27">
        <f>'Assumptions'!D19</f>
        <v/>
      </c>
      <c r="E12" s="27">
        <f>'Assumptions'!E19</f>
        <v/>
      </c>
      <c r="F12" s="27">
        <f>'Assumptions'!F19</f>
        <v/>
      </c>
      <c r="G12" s="27">
        <f>'Assumptions'!G19</f>
        <v/>
      </c>
      <c r="H12" s="27">
        <f>'Assumptions'!H19</f>
        <v/>
      </c>
      <c r="I12" s="28">
        <f>IFERROR(I19/I8,0)</f>
        <v/>
      </c>
    </row>
    <row r="13">
      <c r="B13" s="21" t="inlineStr">
        <is>
          <t xml:space="preserve">   COGS Indirect / case</t>
        </is>
      </c>
      <c r="C13" s="27">
        <f>'Assumptions'!C20</f>
        <v/>
      </c>
      <c r="D13" s="27">
        <f>'Assumptions'!D20</f>
        <v/>
      </c>
      <c r="E13" s="27">
        <f>'Assumptions'!E20</f>
        <v/>
      </c>
      <c r="F13" s="27">
        <f>'Assumptions'!F20</f>
        <v/>
      </c>
      <c r="G13" s="27">
        <f>'Assumptions'!G20</f>
        <v/>
      </c>
      <c r="H13" s="27">
        <f>'Assumptions'!H20</f>
        <v/>
      </c>
      <c r="I13" s="28">
        <f>IFERROR(I20/I8,0)</f>
        <v/>
      </c>
    </row>
    <row r="14">
      <c r="B14" s="21" t="inlineStr">
        <is>
          <t xml:space="preserve">   A&amp;P / case</t>
        </is>
      </c>
      <c r="C14" s="27">
        <f>'Assumptions'!C26</f>
        <v/>
      </c>
      <c r="D14" s="27">
        <f>'Assumptions'!D26</f>
        <v/>
      </c>
      <c r="E14" s="27">
        <f>'Assumptions'!E26</f>
        <v/>
      </c>
      <c r="F14" s="27">
        <f>'Assumptions'!F26</f>
        <v/>
      </c>
      <c r="G14" s="27">
        <f>'Assumptions'!G26</f>
        <v/>
      </c>
      <c r="H14" s="27">
        <f>'Assumptions'!H26</f>
        <v/>
      </c>
      <c r="I14" s="28">
        <f>IFERROR(I24/I8,0)</f>
        <v/>
      </c>
    </row>
    <row r="15">
      <c r="B15" s="19" t="inlineStr">
        <is>
          <t>P&amp;L  ($)</t>
        </is>
      </c>
      <c r="C15" s="20" t="n"/>
      <c r="D15" s="20" t="n"/>
      <c r="E15" s="20" t="n"/>
      <c r="F15" s="20" t="n"/>
      <c r="G15" s="20" t="n"/>
      <c r="H15" s="20" t="n"/>
      <c r="I15" s="20" t="n"/>
    </row>
    <row r="16">
      <c r="B16" s="21" t="inlineStr">
        <is>
          <t xml:space="preserve">   Gross Revenue</t>
        </is>
      </c>
      <c r="C16" s="37">
        <f>C8*C10</f>
        <v/>
      </c>
      <c r="D16" s="37">
        <f>D8*D10</f>
        <v/>
      </c>
      <c r="E16" s="37">
        <f>E8*E10</f>
        <v/>
      </c>
      <c r="F16" s="37">
        <f>F8*F10</f>
        <v/>
      </c>
      <c r="G16" s="37">
        <f>G8*G10</f>
        <v/>
      </c>
      <c r="H16" s="37">
        <f>H8*H10</f>
        <v/>
      </c>
      <c r="I16" s="43">
        <f>SUM(C16:H16)</f>
        <v/>
      </c>
    </row>
    <row r="17">
      <c r="B17" s="21" t="inlineStr">
        <is>
          <t xml:space="preserve">   Trade Discounts</t>
        </is>
      </c>
      <c r="C17" s="37">
        <f>C16*C11</f>
        <v/>
      </c>
      <c r="D17" s="37">
        <f>D16*D11</f>
        <v/>
      </c>
      <c r="E17" s="37">
        <f>E16*E11</f>
        <v/>
      </c>
      <c r="F17" s="37">
        <f>F16*F11</f>
        <v/>
      </c>
      <c r="G17" s="37">
        <f>G16*G11</f>
        <v/>
      </c>
      <c r="H17" s="37">
        <f>H16*H11</f>
        <v/>
      </c>
      <c r="I17" s="43">
        <f>SUM(C17:H17)</f>
        <v/>
      </c>
    </row>
    <row r="18">
      <c r="B18" s="24" t="inlineStr">
        <is>
          <t xml:space="preserve">   Net Sales</t>
        </is>
      </c>
      <c r="C18" s="37">
        <f>C16-C17</f>
        <v/>
      </c>
      <c r="D18" s="37">
        <f>D16-D17</f>
        <v/>
      </c>
      <c r="E18" s="37">
        <f>E16-E17</f>
        <v/>
      </c>
      <c r="F18" s="37">
        <f>F16-F17</f>
        <v/>
      </c>
      <c r="G18" s="37">
        <f>G16-G17</f>
        <v/>
      </c>
      <c r="H18" s="37">
        <f>H16-H17</f>
        <v/>
      </c>
      <c r="I18" s="43">
        <f>I16-I17</f>
        <v/>
      </c>
    </row>
    <row r="19">
      <c r="B19" s="21" t="inlineStr">
        <is>
          <t xml:space="preserve">   COGS Direct</t>
        </is>
      </c>
      <c r="C19" s="37">
        <f>C8*C12</f>
        <v/>
      </c>
      <c r="D19" s="37">
        <f>D8*D12</f>
        <v/>
      </c>
      <c r="E19" s="37">
        <f>E8*E12</f>
        <v/>
      </c>
      <c r="F19" s="37">
        <f>F8*F12</f>
        <v/>
      </c>
      <c r="G19" s="37">
        <f>G8*G12</f>
        <v/>
      </c>
      <c r="H19" s="37">
        <f>H8*H12</f>
        <v/>
      </c>
      <c r="I19" s="43">
        <f>SUM(C19:H19)</f>
        <v/>
      </c>
    </row>
    <row r="20">
      <c r="B20" s="21" t="inlineStr">
        <is>
          <t xml:space="preserve">   COGS Indirect</t>
        </is>
      </c>
      <c r="C20" s="37">
        <f>C8*C13</f>
        <v/>
      </c>
      <c r="D20" s="37">
        <f>D8*D13</f>
        <v/>
      </c>
      <c r="E20" s="37">
        <f>E8*E13</f>
        <v/>
      </c>
      <c r="F20" s="37">
        <f>F8*F13</f>
        <v/>
      </c>
      <c r="G20" s="37">
        <f>G8*G13</f>
        <v/>
      </c>
      <c r="H20" s="37">
        <f>H8*H13</f>
        <v/>
      </c>
      <c r="I20" s="43">
        <f>SUM(C20:H20)</f>
        <v/>
      </c>
    </row>
    <row r="21">
      <c r="B21" s="21" t="inlineStr">
        <is>
          <t xml:space="preserve">   Cost of Sales</t>
        </is>
      </c>
      <c r="C21" s="37">
        <f>C19+C20</f>
        <v/>
      </c>
      <c r="D21" s="37">
        <f>D19+D20</f>
        <v/>
      </c>
      <c r="E21" s="37">
        <f>E19+E20</f>
        <v/>
      </c>
      <c r="F21" s="37">
        <f>F19+F20</f>
        <v/>
      </c>
      <c r="G21" s="37">
        <f>G19+G20</f>
        <v/>
      </c>
      <c r="H21" s="37">
        <f>H19+H20</f>
        <v/>
      </c>
      <c r="I21" s="43">
        <f>I19+I20</f>
        <v/>
      </c>
    </row>
    <row r="22">
      <c r="B22" s="24" t="inlineStr">
        <is>
          <t xml:space="preserve">   Gross Profit</t>
        </is>
      </c>
      <c r="C22" s="37">
        <f>C18-C21</f>
        <v/>
      </c>
      <c r="D22" s="37">
        <f>D18-D21</f>
        <v/>
      </c>
      <c r="E22" s="37">
        <f>E18-E21</f>
        <v/>
      </c>
      <c r="F22" s="37">
        <f>F18-F21</f>
        <v/>
      </c>
      <c r="G22" s="37">
        <f>G18-G21</f>
        <v/>
      </c>
      <c r="H22" s="37">
        <f>H18-H21</f>
        <v/>
      </c>
      <c r="I22" s="43">
        <f>I18-I21</f>
        <v/>
      </c>
    </row>
    <row r="23">
      <c r="B23" s="21" t="inlineStr">
        <is>
          <t xml:space="preserve">   GP %</t>
        </is>
      </c>
      <c r="C23" s="39">
        <f>IFERROR(C22/C18,0)</f>
        <v/>
      </c>
      <c r="D23" s="39">
        <f>IFERROR(D22/D18,0)</f>
        <v/>
      </c>
      <c r="E23" s="39">
        <f>IFERROR(E22/E18,0)</f>
        <v/>
      </c>
      <c r="F23" s="39">
        <f>IFERROR(F22/F18,0)</f>
        <v/>
      </c>
      <c r="G23" s="39">
        <f>IFERROR(G22/G18,0)</f>
        <v/>
      </c>
      <c r="H23" s="39">
        <f>IFERROR(H22/H18,0)</f>
        <v/>
      </c>
      <c r="I23" s="33">
        <f>IFERROR(I22/I18,0)</f>
        <v/>
      </c>
    </row>
    <row r="24">
      <c r="B24" s="21" t="inlineStr">
        <is>
          <t xml:space="preserve">   A&amp;P</t>
        </is>
      </c>
      <c r="C24" s="37">
        <f>C8*C14</f>
        <v/>
      </c>
      <c r="D24" s="37">
        <f>D8*D14</f>
        <v/>
      </c>
      <c r="E24" s="37">
        <f>E8*E14</f>
        <v/>
      </c>
      <c r="F24" s="37">
        <f>F8*F14</f>
        <v/>
      </c>
      <c r="G24" s="37">
        <f>G8*G14</f>
        <v/>
      </c>
      <c r="H24" s="37">
        <f>H8*H14</f>
        <v/>
      </c>
      <c r="I24" s="43">
        <f>SUM(C24:H24)</f>
        <v/>
      </c>
    </row>
    <row r="25">
      <c r="B25" s="24" t="inlineStr">
        <is>
          <t xml:space="preserve">   Contribution Margin</t>
        </is>
      </c>
      <c r="C25" s="37">
        <f>C22-C24</f>
        <v/>
      </c>
      <c r="D25" s="37">
        <f>D22-D24</f>
        <v/>
      </c>
      <c r="E25" s="37">
        <f>E22-E24</f>
        <v/>
      </c>
      <c r="F25" s="37">
        <f>F22-F24</f>
        <v/>
      </c>
      <c r="G25" s="37">
        <f>G22-G24</f>
        <v/>
      </c>
      <c r="H25" s="37">
        <f>H22-H24</f>
        <v/>
      </c>
      <c r="I25" s="43">
        <f>I22-I24</f>
        <v/>
      </c>
    </row>
    <row r="26">
      <c r="B26" s="21" t="inlineStr">
        <is>
          <t xml:space="preserve">   CM %</t>
        </is>
      </c>
      <c r="C26" s="39">
        <f>IFERROR(C25/C18,0)</f>
        <v/>
      </c>
      <c r="D26" s="39">
        <f>IFERROR(D25/D18,0)</f>
        <v/>
      </c>
      <c r="E26" s="39">
        <f>IFERROR(E25/E18,0)</f>
        <v/>
      </c>
      <c r="F26" s="39">
        <f>IFERROR(F25/F18,0)</f>
        <v/>
      </c>
      <c r="G26" s="39">
        <f>IFERROR(G25/G18,0)</f>
        <v/>
      </c>
      <c r="H26" s="39">
        <f>IFERROR(H25/H18,0)</f>
        <v/>
      </c>
      <c r="I26" s="33">
        <f>IFERROR(I25/I18,0)</f>
        <v/>
      </c>
    </row>
    <row r="27">
      <c r="B27" s="19" t="inlineStr">
        <is>
          <t>OPERATING EXPENSES &amp; PROFIT  (company total)</t>
        </is>
      </c>
      <c r="C27" s="20" t="n"/>
      <c r="D27" s="20" t="n"/>
      <c r="E27" s="20" t="n"/>
      <c r="F27" s="20" t="n"/>
      <c r="G27" s="20" t="n"/>
      <c r="H27" s="20" t="n"/>
      <c r="I27" s="20" t="n"/>
    </row>
    <row r="28">
      <c r="B28" s="21" t="inlineStr">
        <is>
          <t xml:space="preserve">   Salaries &amp; wages</t>
        </is>
      </c>
      <c r="I28" s="43">
        <f>'Assumptions'!$C$31</f>
        <v/>
      </c>
    </row>
    <row r="29">
      <c r="B29" s="21" t="inlineStr">
        <is>
          <t xml:space="preserve">   G&amp;A / overhead</t>
        </is>
      </c>
      <c r="I29" s="43">
        <f>'Assumptions'!$C$32</f>
        <v/>
      </c>
    </row>
    <row r="30">
      <c r="B30" s="21" t="inlineStr">
        <is>
          <t xml:space="preserve">   Marketing overhead</t>
        </is>
      </c>
      <c r="I30" s="43">
        <f>'Assumptions'!$C$33</f>
        <v/>
      </c>
    </row>
    <row r="31">
      <c r="B31" s="21" t="inlineStr">
        <is>
          <t xml:space="preserve">   Slotting / listing</t>
        </is>
      </c>
      <c r="I31" s="43">
        <f>'Assumptions'!$C$34</f>
        <v/>
      </c>
    </row>
    <row r="32">
      <c r="B32" s="21" t="inlineStr">
        <is>
          <t xml:space="preserve">   Outbound logistics</t>
        </is>
      </c>
      <c r="I32" s="43">
        <f>I18*'Assumptions'!$C$35</f>
        <v/>
      </c>
    </row>
    <row r="33">
      <c r="B33" s="24" t="inlineStr">
        <is>
          <t xml:space="preserve">   Total Operating Expenses</t>
        </is>
      </c>
      <c r="I33" s="43">
        <f>SUM(I28:I32)</f>
        <v/>
      </c>
    </row>
    <row r="34">
      <c r="B34" s="24" t="inlineStr">
        <is>
          <t xml:space="preserve">   EBITDA</t>
        </is>
      </c>
      <c r="I34" s="43">
        <f>I25-I33</f>
        <v/>
      </c>
    </row>
    <row r="35">
      <c r="B35" s="21" t="inlineStr">
        <is>
          <t xml:space="preserve">   EBITDA %</t>
        </is>
      </c>
      <c r="I35" s="33">
        <f>IFERROR(I34/I18,0)</f>
        <v/>
      </c>
    </row>
    <row r="36">
      <c r="B36" s="21" t="inlineStr">
        <is>
          <t xml:space="preserve">   Depreciation &amp; amort.</t>
        </is>
      </c>
      <c r="I36" s="43">
        <f>'Assumptions'!$C$36</f>
        <v/>
      </c>
    </row>
    <row r="37">
      <c r="B37" s="24" t="inlineStr">
        <is>
          <t xml:space="preserve">   EBIT</t>
        </is>
      </c>
      <c r="I37" s="43">
        <f>I34-I36</f>
        <v/>
      </c>
    </row>
    <row r="38">
      <c r="B38" s="21" t="inlineStr">
        <is>
          <t xml:space="preserve">   Interest</t>
        </is>
      </c>
      <c r="I38" s="43">
        <f>'Assumptions'!$C$37</f>
        <v/>
      </c>
    </row>
    <row r="39">
      <c r="B39" s="24" t="inlineStr">
        <is>
          <t xml:space="preserve">   Pre-tax Profit (EBT)</t>
        </is>
      </c>
      <c r="I39" s="43">
        <f>I37-I38</f>
        <v/>
      </c>
    </row>
    <row r="40">
      <c r="B40" s="21" t="inlineStr">
        <is>
          <t xml:space="preserve">   Tax</t>
        </is>
      </c>
      <c r="I40" s="43">
        <f>MAX(0,I39*'Assumptions'!$C$38)</f>
        <v/>
      </c>
    </row>
    <row r="41">
      <c r="B41" s="24" t="inlineStr">
        <is>
          <t xml:space="preserve">   Net Income</t>
        </is>
      </c>
      <c r="I41" s="43">
        <f>I39-I40</f>
        <v/>
      </c>
    </row>
    <row r="42">
      <c r="B42" s="21" t="inlineStr">
        <is>
          <t xml:space="preserve">   Net Income %</t>
        </is>
      </c>
      <c r="I42" s="33">
        <f>IFERROR(I41/I18,0)</f>
        <v/>
      </c>
    </row>
    <row r="43">
      <c r="B43" s="19" t="inlineStr">
        <is>
          <t>PER-CASE KPIs</t>
        </is>
      </c>
      <c r="C43" s="20" t="n"/>
      <c r="D43" s="20" t="n"/>
      <c r="E43" s="20" t="n"/>
      <c r="F43" s="20" t="n"/>
      <c r="G43" s="20" t="n"/>
      <c r="H43" s="20" t="n"/>
      <c r="I43" s="20" t="n"/>
    </row>
    <row r="44">
      <c r="B44" s="21" t="inlineStr">
        <is>
          <t xml:space="preserve">   Net Sales / case</t>
        </is>
      </c>
      <c r="C44" s="41">
        <f>IFERROR(C18/C8,0)</f>
        <v/>
      </c>
      <c r="D44" s="41">
        <f>IFERROR(D18/D8,0)</f>
        <v/>
      </c>
      <c r="E44" s="41">
        <f>IFERROR(E18/E8,0)</f>
        <v/>
      </c>
      <c r="F44" s="41">
        <f>IFERROR(F18/F8,0)</f>
        <v/>
      </c>
      <c r="G44" s="41">
        <f>IFERROR(G18/G8,0)</f>
        <v/>
      </c>
      <c r="H44" s="41">
        <f>IFERROR(H18/H8,0)</f>
        <v/>
      </c>
      <c r="I44" s="28">
        <f>IFERROR(I18/I8,0)</f>
        <v/>
      </c>
    </row>
    <row r="45">
      <c r="B45" s="21" t="inlineStr">
        <is>
          <t xml:space="preserve">   Contribution / case</t>
        </is>
      </c>
      <c r="C45" s="41">
        <f>IFERROR(C25/C8,0)</f>
        <v/>
      </c>
      <c r="D45" s="41">
        <f>IFERROR(D25/D8,0)</f>
        <v/>
      </c>
      <c r="E45" s="41">
        <f>IFERROR(E25/E8,0)</f>
        <v/>
      </c>
      <c r="F45" s="41">
        <f>IFERROR(F25/F8,0)</f>
        <v/>
      </c>
      <c r="G45" s="41">
        <f>IFERROR(G25/G8,0)</f>
        <v/>
      </c>
      <c r="H45" s="41">
        <f>IFERROR(H25/H8,0)</f>
        <v/>
      </c>
      <c r="I45" s="28">
        <f>IFERROR(I25/I8,0)</f>
        <v/>
      </c>
    </row>
  </sheetData>
  <mergeCells count="8">
    <mergeCell ref="B9:I9"/>
    <mergeCell ref="F5:H5"/>
    <mergeCell ref="C5:E5"/>
    <mergeCell ref="B7:I7"/>
    <mergeCell ref="B15:I15"/>
    <mergeCell ref="B27:I27"/>
    <mergeCell ref="I5:I6"/>
    <mergeCell ref="B43:I43"/>
  </mergeCell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5B6FA6"/>
    <outlinePr summaryBelow="1" summaryRight="1"/>
    <pageSetUpPr fitToPage="1"/>
  </sheetPr>
  <dimension ref="B1:I45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B1" s="14" t="inlineStr">
        <is>
          <t>Sparkling Daily - STRETCH Scenario  (FY2026)</t>
        </is>
      </c>
    </row>
    <row r="2">
      <c r="B2" s="15" t="inlineStr">
        <is>
          <t>Levers vs Base:  Volume 160%  •  Price 105%  •  Trade-disc Δ -1%   (all driven from Assumptions)</t>
        </is>
      </c>
    </row>
    <row r="3">
      <c r="B3" s="15" t="inlineStr">
        <is>
          <t>CDN $.  All figures calculate from the Assumptions tab - nothing here is hand-keyed.</t>
        </is>
      </c>
    </row>
    <row r="5" ht="16" customHeight="1">
      <c r="C5" s="16" t="inlineStr">
        <is>
          <t>SINGLES</t>
        </is>
      </c>
      <c r="F5" s="16" t="inlineStr">
        <is>
          <t>4-PACK</t>
        </is>
      </c>
      <c r="I5" s="16" t="inlineStr">
        <is>
          <t>TOTAL
DAILY</t>
        </is>
      </c>
    </row>
    <row r="6" ht="26" customHeight="1">
      <c r="B6" s="17" t="inlineStr">
        <is>
          <t>CDN $</t>
        </is>
      </c>
      <c r="C6" s="18" t="inlineStr">
        <is>
          <t>Pineapple</t>
        </is>
      </c>
      <c r="D6" s="18" t="inlineStr">
        <is>
          <t>Passionfruit</t>
        </is>
      </c>
      <c r="E6" s="18" t="inlineStr">
        <is>
          <t>Lime Lemon</t>
        </is>
      </c>
      <c r="F6" s="18" t="inlineStr">
        <is>
          <t>Pineapple</t>
        </is>
      </c>
      <c r="G6" s="18" t="inlineStr">
        <is>
          <t>Passionfruit</t>
        </is>
      </c>
      <c r="H6" s="18" t="inlineStr">
        <is>
          <t>Lime Lemon</t>
        </is>
      </c>
    </row>
    <row r="7">
      <c r="B7" s="19" t="inlineStr">
        <is>
          <t>VOLUME</t>
        </is>
      </c>
      <c r="C7" s="20" t="n"/>
      <c r="D7" s="20" t="n"/>
      <c r="E7" s="20" t="n"/>
      <c r="F7" s="20" t="n"/>
      <c r="G7" s="20" t="n"/>
      <c r="H7" s="20" t="n"/>
      <c r="I7" s="20" t="n"/>
    </row>
    <row r="8">
      <c r="B8" s="24" t="inlineStr">
        <is>
          <t xml:space="preserve">   Physical Cases</t>
        </is>
      </c>
      <c r="C8" s="36">
        <f>'Assumptions'!C28*'Assumptions'!$C$49*('Assumptions'!$D$49^'Assumptions'!$C$39)</f>
        <v/>
      </c>
      <c r="D8" s="36">
        <f>'Assumptions'!D28*'Assumptions'!$C$49*('Assumptions'!$D$49^'Assumptions'!$C$39)</f>
        <v/>
      </c>
      <c r="E8" s="36">
        <f>'Assumptions'!E28*'Assumptions'!$C$49*('Assumptions'!$D$49^'Assumptions'!$C$39)</f>
        <v/>
      </c>
      <c r="F8" s="36">
        <f>'Assumptions'!F28*'Assumptions'!$C$49*('Assumptions'!$D$49^'Assumptions'!$C$39)</f>
        <v/>
      </c>
      <c r="G8" s="36">
        <f>'Assumptions'!G28*'Assumptions'!$C$49*('Assumptions'!$D$49^'Assumptions'!$C$39)</f>
        <v/>
      </c>
      <c r="H8" s="36">
        <f>'Assumptions'!H28*'Assumptions'!$C$49*('Assumptions'!$D$49^'Assumptions'!$C$39)</f>
        <v/>
      </c>
      <c r="I8" s="42">
        <f>SUM(C8:H8)</f>
        <v/>
      </c>
    </row>
    <row r="9">
      <c r="B9" s="19" t="inlineStr">
        <is>
          <t>PRICE &amp; COST - PER CASE (from Assumptions x levers)</t>
        </is>
      </c>
      <c r="C9" s="20" t="n"/>
      <c r="D9" s="20" t="n"/>
      <c r="E9" s="20" t="n"/>
      <c r="F9" s="20" t="n"/>
      <c r="G9" s="20" t="n"/>
      <c r="H9" s="20" t="n"/>
      <c r="I9" s="20" t="n"/>
    </row>
    <row r="10">
      <c r="B10" s="24" t="inlineStr">
        <is>
          <t xml:space="preserve">   CP - Gross Rev / case</t>
        </is>
      </c>
      <c r="C10" s="27">
        <f>'Assumptions'!C11*'Assumptions'!$D$49</f>
        <v/>
      </c>
      <c r="D10" s="27">
        <f>'Assumptions'!D11*'Assumptions'!$D$49</f>
        <v/>
      </c>
      <c r="E10" s="27">
        <f>'Assumptions'!E11*'Assumptions'!$D$49</f>
        <v/>
      </c>
      <c r="F10" s="27">
        <f>'Assumptions'!F11*'Assumptions'!$D$49</f>
        <v/>
      </c>
      <c r="G10" s="27">
        <f>'Assumptions'!G11*'Assumptions'!$D$49</f>
        <v/>
      </c>
      <c r="H10" s="27">
        <f>'Assumptions'!H11*'Assumptions'!$D$49</f>
        <v/>
      </c>
      <c r="I10" s="28">
        <f>IFERROR(I16/I8,0)</f>
        <v/>
      </c>
    </row>
    <row r="11">
      <c r="B11" s="21" t="inlineStr">
        <is>
          <t xml:space="preserve">   Trade discount %</t>
        </is>
      </c>
      <c r="C11" s="40">
        <f>'Assumptions'!C12+'Assumptions'!$E$49</f>
        <v/>
      </c>
      <c r="D11" s="40">
        <f>'Assumptions'!D12+'Assumptions'!$E$49</f>
        <v/>
      </c>
      <c r="E11" s="40">
        <f>'Assumptions'!E12+'Assumptions'!$E$49</f>
        <v/>
      </c>
      <c r="F11" s="40">
        <f>'Assumptions'!F12+'Assumptions'!$E$49</f>
        <v/>
      </c>
      <c r="G11" s="40">
        <f>'Assumptions'!G12+'Assumptions'!$E$49</f>
        <v/>
      </c>
      <c r="H11" s="40">
        <f>'Assumptions'!H12+'Assumptions'!$E$49</f>
        <v/>
      </c>
      <c r="I11" s="33">
        <f>IFERROR(I17/I16,0)</f>
        <v/>
      </c>
    </row>
    <row r="12">
      <c r="B12" s="21" t="inlineStr">
        <is>
          <t xml:space="preserve">   COGS Direct / case</t>
        </is>
      </c>
      <c r="C12" s="27">
        <f>'Assumptions'!C19</f>
        <v/>
      </c>
      <c r="D12" s="27">
        <f>'Assumptions'!D19</f>
        <v/>
      </c>
      <c r="E12" s="27">
        <f>'Assumptions'!E19</f>
        <v/>
      </c>
      <c r="F12" s="27">
        <f>'Assumptions'!F19</f>
        <v/>
      </c>
      <c r="G12" s="27">
        <f>'Assumptions'!G19</f>
        <v/>
      </c>
      <c r="H12" s="27">
        <f>'Assumptions'!H19</f>
        <v/>
      </c>
      <c r="I12" s="28">
        <f>IFERROR(I19/I8,0)</f>
        <v/>
      </c>
    </row>
    <row r="13">
      <c r="B13" s="21" t="inlineStr">
        <is>
          <t xml:space="preserve">   COGS Indirect / case</t>
        </is>
      </c>
      <c r="C13" s="27">
        <f>'Assumptions'!C20</f>
        <v/>
      </c>
      <c r="D13" s="27">
        <f>'Assumptions'!D20</f>
        <v/>
      </c>
      <c r="E13" s="27">
        <f>'Assumptions'!E20</f>
        <v/>
      </c>
      <c r="F13" s="27">
        <f>'Assumptions'!F20</f>
        <v/>
      </c>
      <c r="G13" s="27">
        <f>'Assumptions'!G20</f>
        <v/>
      </c>
      <c r="H13" s="27">
        <f>'Assumptions'!H20</f>
        <v/>
      </c>
      <c r="I13" s="28">
        <f>IFERROR(I20/I8,0)</f>
        <v/>
      </c>
    </row>
    <row r="14">
      <c r="B14" s="21" t="inlineStr">
        <is>
          <t xml:space="preserve">   A&amp;P / case</t>
        </is>
      </c>
      <c r="C14" s="27">
        <f>'Assumptions'!C26</f>
        <v/>
      </c>
      <c r="D14" s="27">
        <f>'Assumptions'!D26</f>
        <v/>
      </c>
      <c r="E14" s="27">
        <f>'Assumptions'!E26</f>
        <v/>
      </c>
      <c r="F14" s="27">
        <f>'Assumptions'!F26</f>
        <v/>
      </c>
      <c r="G14" s="27">
        <f>'Assumptions'!G26</f>
        <v/>
      </c>
      <c r="H14" s="27">
        <f>'Assumptions'!H26</f>
        <v/>
      </c>
      <c r="I14" s="28">
        <f>IFERROR(I24/I8,0)</f>
        <v/>
      </c>
    </row>
    <row r="15">
      <c r="B15" s="19" t="inlineStr">
        <is>
          <t>P&amp;L  ($)</t>
        </is>
      </c>
      <c r="C15" s="20" t="n"/>
      <c r="D15" s="20" t="n"/>
      <c r="E15" s="20" t="n"/>
      <c r="F15" s="20" t="n"/>
      <c r="G15" s="20" t="n"/>
      <c r="H15" s="20" t="n"/>
      <c r="I15" s="20" t="n"/>
    </row>
    <row r="16">
      <c r="B16" s="21" t="inlineStr">
        <is>
          <t xml:space="preserve">   Gross Revenue</t>
        </is>
      </c>
      <c r="C16" s="37">
        <f>C8*C10</f>
        <v/>
      </c>
      <c r="D16" s="37">
        <f>D8*D10</f>
        <v/>
      </c>
      <c r="E16" s="37">
        <f>E8*E10</f>
        <v/>
      </c>
      <c r="F16" s="37">
        <f>F8*F10</f>
        <v/>
      </c>
      <c r="G16" s="37">
        <f>G8*G10</f>
        <v/>
      </c>
      <c r="H16" s="37">
        <f>H8*H10</f>
        <v/>
      </c>
      <c r="I16" s="43">
        <f>SUM(C16:H16)</f>
        <v/>
      </c>
    </row>
    <row r="17">
      <c r="B17" s="21" t="inlineStr">
        <is>
          <t xml:space="preserve">   Trade Discounts</t>
        </is>
      </c>
      <c r="C17" s="37">
        <f>C16*C11</f>
        <v/>
      </c>
      <c r="D17" s="37">
        <f>D16*D11</f>
        <v/>
      </c>
      <c r="E17" s="37">
        <f>E16*E11</f>
        <v/>
      </c>
      <c r="F17" s="37">
        <f>F16*F11</f>
        <v/>
      </c>
      <c r="G17" s="37">
        <f>G16*G11</f>
        <v/>
      </c>
      <c r="H17" s="37">
        <f>H16*H11</f>
        <v/>
      </c>
      <c r="I17" s="43">
        <f>SUM(C17:H17)</f>
        <v/>
      </c>
    </row>
    <row r="18">
      <c r="B18" s="24" t="inlineStr">
        <is>
          <t xml:space="preserve">   Net Sales</t>
        </is>
      </c>
      <c r="C18" s="37">
        <f>C16-C17</f>
        <v/>
      </c>
      <c r="D18" s="37">
        <f>D16-D17</f>
        <v/>
      </c>
      <c r="E18" s="37">
        <f>E16-E17</f>
        <v/>
      </c>
      <c r="F18" s="37">
        <f>F16-F17</f>
        <v/>
      </c>
      <c r="G18" s="37">
        <f>G16-G17</f>
        <v/>
      </c>
      <c r="H18" s="37">
        <f>H16-H17</f>
        <v/>
      </c>
      <c r="I18" s="43">
        <f>I16-I17</f>
        <v/>
      </c>
    </row>
    <row r="19">
      <c r="B19" s="21" t="inlineStr">
        <is>
          <t xml:space="preserve">   COGS Direct</t>
        </is>
      </c>
      <c r="C19" s="37">
        <f>C8*C12</f>
        <v/>
      </c>
      <c r="D19" s="37">
        <f>D8*D12</f>
        <v/>
      </c>
      <c r="E19" s="37">
        <f>E8*E12</f>
        <v/>
      </c>
      <c r="F19" s="37">
        <f>F8*F12</f>
        <v/>
      </c>
      <c r="G19" s="37">
        <f>G8*G12</f>
        <v/>
      </c>
      <c r="H19" s="37">
        <f>H8*H12</f>
        <v/>
      </c>
      <c r="I19" s="43">
        <f>SUM(C19:H19)</f>
        <v/>
      </c>
    </row>
    <row r="20">
      <c r="B20" s="21" t="inlineStr">
        <is>
          <t xml:space="preserve">   COGS Indirect</t>
        </is>
      </c>
      <c r="C20" s="37">
        <f>C8*C13</f>
        <v/>
      </c>
      <c r="D20" s="37">
        <f>D8*D13</f>
        <v/>
      </c>
      <c r="E20" s="37">
        <f>E8*E13</f>
        <v/>
      </c>
      <c r="F20" s="37">
        <f>F8*F13</f>
        <v/>
      </c>
      <c r="G20" s="37">
        <f>G8*G13</f>
        <v/>
      </c>
      <c r="H20" s="37">
        <f>H8*H13</f>
        <v/>
      </c>
      <c r="I20" s="43">
        <f>SUM(C20:H20)</f>
        <v/>
      </c>
    </row>
    <row r="21">
      <c r="B21" s="21" t="inlineStr">
        <is>
          <t xml:space="preserve">   Cost of Sales</t>
        </is>
      </c>
      <c r="C21" s="37">
        <f>C19+C20</f>
        <v/>
      </c>
      <c r="D21" s="37">
        <f>D19+D20</f>
        <v/>
      </c>
      <c r="E21" s="37">
        <f>E19+E20</f>
        <v/>
      </c>
      <c r="F21" s="37">
        <f>F19+F20</f>
        <v/>
      </c>
      <c r="G21" s="37">
        <f>G19+G20</f>
        <v/>
      </c>
      <c r="H21" s="37">
        <f>H19+H20</f>
        <v/>
      </c>
      <c r="I21" s="43">
        <f>I19+I20</f>
        <v/>
      </c>
    </row>
    <row r="22">
      <c r="B22" s="24" t="inlineStr">
        <is>
          <t xml:space="preserve">   Gross Profit</t>
        </is>
      </c>
      <c r="C22" s="37">
        <f>C18-C21</f>
        <v/>
      </c>
      <c r="D22" s="37">
        <f>D18-D21</f>
        <v/>
      </c>
      <c r="E22" s="37">
        <f>E18-E21</f>
        <v/>
      </c>
      <c r="F22" s="37">
        <f>F18-F21</f>
        <v/>
      </c>
      <c r="G22" s="37">
        <f>G18-G21</f>
        <v/>
      </c>
      <c r="H22" s="37">
        <f>H18-H21</f>
        <v/>
      </c>
      <c r="I22" s="43">
        <f>I18-I21</f>
        <v/>
      </c>
    </row>
    <row r="23">
      <c r="B23" s="21" t="inlineStr">
        <is>
          <t xml:space="preserve">   GP %</t>
        </is>
      </c>
      <c r="C23" s="39">
        <f>IFERROR(C22/C18,0)</f>
        <v/>
      </c>
      <c r="D23" s="39">
        <f>IFERROR(D22/D18,0)</f>
        <v/>
      </c>
      <c r="E23" s="39">
        <f>IFERROR(E22/E18,0)</f>
        <v/>
      </c>
      <c r="F23" s="39">
        <f>IFERROR(F22/F18,0)</f>
        <v/>
      </c>
      <c r="G23" s="39">
        <f>IFERROR(G22/G18,0)</f>
        <v/>
      </c>
      <c r="H23" s="39">
        <f>IFERROR(H22/H18,0)</f>
        <v/>
      </c>
      <c r="I23" s="33">
        <f>IFERROR(I22/I18,0)</f>
        <v/>
      </c>
    </row>
    <row r="24">
      <c r="B24" s="21" t="inlineStr">
        <is>
          <t xml:space="preserve">   A&amp;P</t>
        </is>
      </c>
      <c r="C24" s="37">
        <f>C8*C14</f>
        <v/>
      </c>
      <c r="D24" s="37">
        <f>D8*D14</f>
        <v/>
      </c>
      <c r="E24" s="37">
        <f>E8*E14</f>
        <v/>
      </c>
      <c r="F24" s="37">
        <f>F8*F14</f>
        <v/>
      </c>
      <c r="G24" s="37">
        <f>G8*G14</f>
        <v/>
      </c>
      <c r="H24" s="37">
        <f>H8*H14</f>
        <v/>
      </c>
      <c r="I24" s="43">
        <f>SUM(C24:H24)</f>
        <v/>
      </c>
    </row>
    <row r="25">
      <c r="B25" s="24" t="inlineStr">
        <is>
          <t xml:space="preserve">   Contribution Margin</t>
        </is>
      </c>
      <c r="C25" s="37">
        <f>C22-C24</f>
        <v/>
      </c>
      <c r="D25" s="37">
        <f>D22-D24</f>
        <v/>
      </c>
      <c r="E25" s="37">
        <f>E22-E24</f>
        <v/>
      </c>
      <c r="F25" s="37">
        <f>F22-F24</f>
        <v/>
      </c>
      <c r="G25" s="37">
        <f>G22-G24</f>
        <v/>
      </c>
      <c r="H25" s="37">
        <f>H22-H24</f>
        <v/>
      </c>
      <c r="I25" s="43">
        <f>I22-I24</f>
        <v/>
      </c>
    </row>
    <row r="26">
      <c r="B26" s="21" t="inlineStr">
        <is>
          <t xml:space="preserve">   CM %</t>
        </is>
      </c>
      <c r="C26" s="39">
        <f>IFERROR(C25/C18,0)</f>
        <v/>
      </c>
      <c r="D26" s="39">
        <f>IFERROR(D25/D18,0)</f>
        <v/>
      </c>
      <c r="E26" s="39">
        <f>IFERROR(E25/E18,0)</f>
        <v/>
      </c>
      <c r="F26" s="39">
        <f>IFERROR(F25/F18,0)</f>
        <v/>
      </c>
      <c r="G26" s="39">
        <f>IFERROR(G25/G18,0)</f>
        <v/>
      </c>
      <c r="H26" s="39">
        <f>IFERROR(H25/H18,0)</f>
        <v/>
      </c>
      <c r="I26" s="33">
        <f>IFERROR(I25/I18,0)</f>
        <v/>
      </c>
    </row>
    <row r="27">
      <c r="B27" s="19" t="inlineStr">
        <is>
          <t>OPERATING EXPENSES &amp; PROFIT  (company total)</t>
        </is>
      </c>
      <c r="C27" s="20" t="n"/>
      <c r="D27" s="20" t="n"/>
      <c r="E27" s="20" t="n"/>
      <c r="F27" s="20" t="n"/>
      <c r="G27" s="20" t="n"/>
      <c r="H27" s="20" t="n"/>
      <c r="I27" s="20" t="n"/>
    </row>
    <row r="28">
      <c r="B28" s="21" t="inlineStr">
        <is>
          <t xml:space="preserve">   Salaries &amp; wages</t>
        </is>
      </c>
      <c r="I28" s="43">
        <f>'Assumptions'!$C$31</f>
        <v/>
      </c>
    </row>
    <row r="29">
      <c r="B29" s="21" t="inlineStr">
        <is>
          <t xml:space="preserve">   G&amp;A / overhead</t>
        </is>
      </c>
      <c r="I29" s="43">
        <f>'Assumptions'!$C$32</f>
        <v/>
      </c>
    </row>
    <row r="30">
      <c r="B30" s="21" t="inlineStr">
        <is>
          <t xml:space="preserve">   Marketing overhead</t>
        </is>
      </c>
      <c r="I30" s="43">
        <f>'Assumptions'!$C$33</f>
        <v/>
      </c>
    </row>
    <row r="31">
      <c r="B31" s="21" t="inlineStr">
        <is>
          <t xml:space="preserve">   Slotting / listing</t>
        </is>
      </c>
      <c r="I31" s="43">
        <f>'Assumptions'!$C$34</f>
        <v/>
      </c>
    </row>
    <row r="32">
      <c r="B32" s="21" t="inlineStr">
        <is>
          <t xml:space="preserve">   Outbound logistics</t>
        </is>
      </c>
      <c r="I32" s="43">
        <f>I18*'Assumptions'!$C$35</f>
        <v/>
      </c>
    </row>
    <row r="33">
      <c r="B33" s="24" t="inlineStr">
        <is>
          <t xml:space="preserve">   Total Operating Expenses</t>
        </is>
      </c>
      <c r="I33" s="43">
        <f>SUM(I28:I32)</f>
        <v/>
      </c>
    </row>
    <row r="34">
      <c r="B34" s="24" t="inlineStr">
        <is>
          <t xml:space="preserve">   EBITDA</t>
        </is>
      </c>
      <c r="I34" s="43">
        <f>I25-I33</f>
        <v/>
      </c>
    </row>
    <row r="35">
      <c r="B35" s="21" t="inlineStr">
        <is>
          <t xml:space="preserve">   EBITDA %</t>
        </is>
      </c>
      <c r="I35" s="33">
        <f>IFERROR(I34/I18,0)</f>
        <v/>
      </c>
    </row>
    <row r="36">
      <c r="B36" s="21" t="inlineStr">
        <is>
          <t xml:space="preserve">   Depreciation &amp; amort.</t>
        </is>
      </c>
      <c r="I36" s="43">
        <f>'Assumptions'!$C$36</f>
        <v/>
      </c>
    </row>
    <row r="37">
      <c r="B37" s="24" t="inlineStr">
        <is>
          <t xml:space="preserve">   EBIT</t>
        </is>
      </c>
      <c r="I37" s="43">
        <f>I34-I36</f>
        <v/>
      </c>
    </row>
    <row r="38">
      <c r="B38" s="21" t="inlineStr">
        <is>
          <t xml:space="preserve">   Interest</t>
        </is>
      </c>
      <c r="I38" s="43">
        <f>'Assumptions'!$C$37</f>
        <v/>
      </c>
    </row>
    <row r="39">
      <c r="B39" s="24" t="inlineStr">
        <is>
          <t xml:space="preserve">   Pre-tax Profit (EBT)</t>
        </is>
      </c>
      <c r="I39" s="43">
        <f>I37-I38</f>
        <v/>
      </c>
    </row>
    <row r="40">
      <c r="B40" s="21" t="inlineStr">
        <is>
          <t xml:space="preserve">   Tax</t>
        </is>
      </c>
      <c r="I40" s="43">
        <f>MAX(0,I39*'Assumptions'!$C$38)</f>
        <v/>
      </c>
    </row>
    <row r="41">
      <c r="B41" s="24" t="inlineStr">
        <is>
          <t xml:space="preserve">   Net Income</t>
        </is>
      </c>
      <c r="I41" s="43">
        <f>I39-I40</f>
        <v/>
      </c>
    </row>
    <row r="42">
      <c r="B42" s="21" t="inlineStr">
        <is>
          <t xml:space="preserve">   Net Income %</t>
        </is>
      </c>
      <c r="I42" s="33">
        <f>IFERROR(I41/I18,0)</f>
        <v/>
      </c>
    </row>
    <row r="43">
      <c r="B43" s="19" t="inlineStr">
        <is>
          <t>PER-CASE KPIs</t>
        </is>
      </c>
      <c r="C43" s="20" t="n"/>
      <c r="D43" s="20" t="n"/>
      <c r="E43" s="20" t="n"/>
      <c r="F43" s="20" t="n"/>
      <c r="G43" s="20" t="n"/>
      <c r="H43" s="20" t="n"/>
      <c r="I43" s="20" t="n"/>
    </row>
    <row r="44">
      <c r="B44" s="21" t="inlineStr">
        <is>
          <t xml:space="preserve">   Net Sales / case</t>
        </is>
      </c>
      <c r="C44" s="41">
        <f>IFERROR(C18/C8,0)</f>
        <v/>
      </c>
      <c r="D44" s="41">
        <f>IFERROR(D18/D8,0)</f>
        <v/>
      </c>
      <c r="E44" s="41">
        <f>IFERROR(E18/E8,0)</f>
        <v/>
      </c>
      <c r="F44" s="41">
        <f>IFERROR(F18/F8,0)</f>
        <v/>
      </c>
      <c r="G44" s="41">
        <f>IFERROR(G18/G8,0)</f>
        <v/>
      </c>
      <c r="H44" s="41">
        <f>IFERROR(H18/H8,0)</f>
        <v/>
      </c>
      <c r="I44" s="28">
        <f>IFERROR(I18/I8,0)</f>
        <v/>
      </c>
    </row>
    <row r="45">
      <c r="B45" s="21" t="inlineStr">
        <is>
          <t xml:space="preserve">   Contribution / case</t>
        </is>
      </c>
      <c r="C45" s="41">
        <f>IFERROR(C25/C8,0)</f>
        <v/>
      </c>
      <c r="D45" s="41">
        <f>IFERROR(D25/D8,0)</f>
        <v/>
      </c>
      <c r="E45" s="41">
        <f>IFERROR(E25/E8,0)</f>
        <v/>
      </c>
      <c r="F45" s="41">
        <f>IFERROR(F25/F8,0)</f>
        <v/>
      </c>
      <c r="G45" s="41">
        <f>IFERROR(G25/G8,0)</f>
        <v/>
      </c>
      <c r="H45" s="41">
        <f>IFERROR(H25/H8,0)</f>
        <v/>
      </c>
      <c r="I45" s="28">
        <f>IFERROR(I25/I8,0)</f>
        <v/>
      </c>
    </row>
  </sheetData>
  <mergeCells count="8">
    <mergeCell ref="B9:I9"/>
    <mergeCell ref="F5:H5"/>
    <mergeCell ref="C5:E5"/>
    <mergeCell ref="B7:I7"/>
    <mergeCell ref="B15:I15"/>
    <mergeCell ref="B27:I27"/>
    <mergeCell ref="I5:I6"/>
    <mergeCell ref="B43:I43"/>
  </mergeCell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0838F"/>
    <outlinePr summaryBelow="1" summaryRight="1"/>
    <pageSetUpPr fitToPage="1"/>
  </sheetPr>
  <dimension ref="B1:O21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3" customWidth="1" min="15" max="15"/>
  </cols>
  <sheetData>
    <row r="1">
      <c r="B1" s="14" t="inlineStr">
        <is>
          <t>Sparkling Daily - Monthly Phasing (FY2026)</t>
        </is>
      </c>
    </row>
    <row r="2">
      <c r="B2" s="15" t="inlineStr">
        <is>
          <t>Pick a scenario; volume-driven lines follow the seasonality curve, fixed costs spread evenly.</t>
        </is>
      </c>
    </row>
    <row r="4">
      <c r="B4" s="24" t="inlineStr">
        <is>
          <t>Scenario:</t>
        </is>
      </c>
      <c r="C4" s="44" t="inlineStr">
        <is>
          <t>Base</t>
        </is>
      </c>
      <c r="D4" s="45" t="inlineStr">
        <is>
          <t>← change me</t>
        </is>
      </c>
    </row>
    <row r="6">
      <c r="B6" s="17" t="inlineStr">
        <is>
          <t>CDN $</t>
        </is>
      </c>
      <c r="C6" s="18" t="inlineStr">
        <is>
          <t>Jan</t>
        </is>
      </c>
      <c r="D6" s="18" t="inlineStr">
        <is>
          <t>Feb</t>
        </is>
      </c>
      <c r="E6" s="18" t="inlineStr">
        <is>
          <t>Mar</t>
        </is>
      </c>
      <c r="F6" s="18" t="inlineStr">
        <is>
          <t>Apr</t>
        </is>
      </c>
      <c r="G6" s="18" t="inlineStr">
        <is>
          <t>May</t>
        </is>
      </c>
      <c r="H6" s="18" t="inlineStr">
        <is>
          <t>Jun</t>
        </is>
      </c>
      <c r="I6" s="18" t="inlineStr">
        <is>
          <t>Jul</t>
        </is>
      </c>
      <c r="J6" s="18" t="inlineStr">
        <is>
          <t>Aug</t>
        </is>
      </c>
      <c r="K6" s="18" t="inlineStr">
        <is>
          <t>Sep</t>
        </is>
      </c>
      <c r="L6" s="18" t="inlineStr">
        <is>
          <t>Oct</t>
        </is>
      </c>
      <c r="M6" s="18" t="inlineStr">
        <is>
          <t>Nov</t>
        </is>
      </c>
      <c r="N6" s="18" t="inlineStr">
        <is>
          <t>Dec</t>
        </is>
      </c>
      <c r="O6" s="18" t="inlineStr">
        <is>
          <t>FY</t>
        </is>
      </c>
    </row>
    <row r="7">
      <c r="B7" s="24" t="inlineStr">
        <is>
          <t xml:space="preserve">   Physical Cases</t>
        </is>
      </c>
      <c r="C7" s="35">
        <f>INDIRECT("'"&amp;$C$4&amp;"'!I8")*'Assumptions'!C$53</f>
        <v/>
      </c>
      <c r="D7" s="35">
        <f>INDIRECT("'"&amp;$C$4&amp;"'!I8")*'Assumptions'!D$53</f>
        <v/>
      </c>
      <c r="E7" s="35">
        <f>INDIRECT("'"&amp;$C$4&amp;"'!I8")*'Assumptions'!E$53</f>
        <v/>
      </c>
      <c r="F7" s="35">
        <f>INDIRECT("'"&amp;$C$4&amp;"'!I8")*'Assumptions'!F$53</f>
        <v/>
      </c>
      <c r="G7" s="35">
        <f>INDIRECT("'"&amp;$C$4&amp;"'!I8")*'Assumptions'!G$53</f>
        <v/>
      </c>
      <c r="H7" s="35">
        <f>INDIRECT("'"&amp;$C$4&amp;"'!I8")*'Assumptions'!H$53</f>
        <v/>
      </c>
      <c r="I7" s="35">
        <f>INDIRECT("'"&amp;$C$4&amp;"'!I8")*'Assumptions'!I$53</f>
        <v/>
      </c>
      <c r="J7" s="35">
        <f>INDIRECT("'"&amp;$C$4&amp;"'!I8")*'Assumptions'!J$53</f>
        <v/>
      </c>
      <c r="K7" s="35">
        <f>INDIRECT("'"&amp;$C$4&amp;"'!I8")*'Assumptions'!K$53</f>
        <v/>
      </c>
      <c r="L7" s="35">
        <f>INDIRECT("'"&amp;$C$4&amp;"'!I8")*'Assumptions'!L$53</f>
        <v/>
      </c>
      <c r="M7" s="35">
        <f>INDIRECT("'"&amp;$C$4&amp;"'!I8")*'Assumptions'!M$53</f>
        <v/>
      </c>
      <c r="N7" s="35">
        <f>INDIRECT("'"&amp;$C$4&amp;"'!I8")*'Assumptions'!N$53</f>
        <v/>
      </c>
      <c r="O7" s="42">
        <f>SUM(C7:N7)</f>
        <v/>
      </c>
    </row>
    <row r="8">
      <c r="B8" s="24" t="inlineStr">
        <is>
          <t xml:space="preserve">   Net Sales</t>
        </is>
      </c>
      <c r="C8" s="37">
        <f>INDIRECT("'"&amp;$C$4&amp;"'!I18")*'Assumptions'!C$53</f>
        <v/>
      </c>
      <c r="D8" s="37">
        <f>INDIRECT("'"&amp;$C$4&amp;"'!I18")*'Assumptions'!D$53</f>
        <v/>
      </c>
      <c r="E8" s="37">
        <f>INDIRECT("'"&amp;$C$4&amp;"'!I18")*'Assumptions'!E$53</f>
        <v/>
      </c>
      <c r="F8" s="37">
        <f>INDIRECT("'"&amp;$C$4&amp;"'!I18")*'Assumptions'!F$53</f>
        <v/>
      </c>
      <c r="G8" s="37">
        <f>INDIRECT("'"&amp;$C$4&amp;"'!I18")*'Assumptions'!G$53</f>
        <v/>
      </c>
      <c r="H8" s="37">
        <f>INDIRECT("'"&amp;$C$4&amp;"'!I18")*'Assumptions'!H$53</f>
        <v/>
      </c>
      <c r="I8" s="37">
        <f>INDIRECT("'"&amp;$C$4&amp;"'!I18")*'Assumptions'!I$53</f>
        <v/>
      </c>
      <c r="J8" s="37">
        <f>INDIRECT("'"&amp;$C$4&amp;"'!I18")*'Assumptions'!J$53</f>
        <v/>
      </c>
      <c r="K8" s="37">
        <f>INDIRECT("'"&amp;$C$4&amp;"'!I18")*'Assumptions'!K$53</f>
        <v/>
      </c>
      <c r="L8" s="37">
        <f>INDIRECT("'"&amp;$C$4&amp;"'!I18")*'Assumptions'!L$53</f>
        <v/>
      </c>
      <c r="M8" s="37">
        <f>INDIRECT("'"&amp;$C$4&amp;"'!I18")*'Assumptions'!M$53</f>
        <v/>
      </c>
      <c r="N8" s="37">
        <f>INDIRECT("'"&amp;$C$4&amp;"'!I18")*'Assumptions'!N$53</f>
        <v/>
      </c>
      <c r="O8" s="43">
        <f>SUM(C8:N8)</f>
        <v/>
      </c>
    </row>
    <row r="9">
      <c r="B9" s="21" t="inlineStr">
        <is>
          <t xml:space="preserve">   Gross Profit</t>
        </is>
      </c>
      <c r="C9" s="37">
        <f>INDIRECT("'"&amp;$C$4&amp;"'!I22")*'Assumptions'!C$53</f>
        <v/>
      </c>
      <c r="D9" s="37">
        <f>INDIRECT("'"&amp;$C$4&amp;"'!I22")*'Assumptions'!D$53</f>
        <v/>
      </c>
      <c r="E9" s="37">
        <f>INDIRECT("'"&amp;$C$4&amp;"'!I22")*'Assumptions'!E$53</f>
        <v/>
      </c>
      <c r="F9" s="37">
        <f>INDIRECT("'"&amp;$C$4&amp;"'!I22")*'Assumptions'!F$53</f>
        <v/>
      </c>
      <c r="G9" s="37">
        <f>INDIRECT("'"&amp;$C$4&amp;"'!I22")*'Assumptions'!G$53</f>
        <v/>
      </c>
      <c r="H9" s="37">
        <f>INDIRECT("'"&amp;$C$4&amp;"'!I22")*'Assumptions'!H$53</f>
        <v/>
      </c>
      <c r="I9" s="37">
        <f>INDIRECT("'"&amp;$C$4&amp;"'!I22")*'Assumptions'!I$53</f>
        <v/>
      </c>
      <c r="J9" s="37">
        <f>INDIRECT("'"&amp;$C$4&amp;"'!I22")*'Assumptions'!J$53</f>
        <v/>
      </c>
      <c r="K9" s="37">
        <f>INDIRECT("'"&amp;$C$4&amp;"'!I22")*'Assumptions'!K$53</f>
        <v/>
      </c>
      <c r="L9" s="37">
        <f>INDIRECT("'"&amp;$C$4&amp;"'!I22")*'Assumptions'!L$53</f>
        <v/>
      </c>
      <c r="M9" s="37">
        <f>INDIRECT("'"&amp;$C$4&amp;"'!I22")*'Assumptions'!M$53</f>
        <v/>
      </c>
      <c r="N9" s="37">
        <f>INDIRECT("'"&amp;$C$4&amp;"'!I22")*'Assumptions'!N$53</f>
        <v/>
      </c>
      <c r="O9" s="43">
        <f>SUM(C9:N9)</f>
        <v/>
      </c>
    </row>
    <row r="10">
      <c r="B10" s="21" t="inlineStr">
        <is>
          <t xml:space="preserve">   A&amp;P</t>
        </is>
      </c>
      <c r="C10" s="37">
        <f>INDIRECT("'"&amp;$C$4&amp;"'!I24")*'Assumptions'!C$53</f>
        <v/>
      </c>
      <c r="D10" s="37">
        <f>INDIRECT("'"&amp;$C$4&amp;"'!I24")*'Assumptions'!D$53</f>
        <v/>
      </c>
      <c r="E10" s="37">
        <f>INDIRECT("'"&amp;$C$4&amp;"'!I24")*'Assumptions'!E$53</f>
        <v/>
      </c>
      <c r="F10" s="37">
        <f>INDIRECT("'"&amp;$C$4&amp;"'!I24")*'Assumptions'!F$53</f>
        <v/>
      </c>
      <c r="G10" s="37">
        <f>INDIRECT("'"&amp;$C$4&amp;"'!I24")*'Assumptions'!G$53</f>
        <v/>
      </c>
      <c r="H10" s="37">
        <f>INDIRECT("'"&amp;$C$4&amp;"'!I24")*'Assumptions'!H$53</f>
        <v/>
      </c>
      <c r="I10" s="37">
        <f>INDIRECT("'"&amp;$C$4&amp;"'!I24")*'Assumptions'!I$53</f>
        <v/>
      </c>
      <c r="J10" s="37">
        <f>INDIRECT("'"&amp;$C$4&amp;"'!I24")*'Assumptions'!J$53</f>
        <v/>
      </c>
      <c r="K10" s="37">
        <f>INDIRECT("'"&amp;$C$4&amp;"'!I24")*'Assumptions'!K$53</f>
        <v/>
      </c>
      <c r="L10" s="37">
        <f>INDIRECT("'"&amp;$C$4&amp;"'!I24")*'Assumptions'!L$53</f>
        <v/>
      </c>
      <c r="M10" s="37">
        <f>INDIRECT("'"&amp;$C$4&amp;"'!I24")*'Assumptions'!M$53</f>
        <v/>
      </c>
      <c r="N10" s="37">
        <f>INDIRECT("'"&amp;$C$4&amp;"'!I24")*'Assumptions'!N$53</f>
        <v/>
      </c>
      <c r="O10" s="43">
        <f>SUM(C10:N10)</f>
        <v/>
      </c>
    </row>
    <row r="11">
      <c r="B11" s="24" t="inlineStr">
        <is>
          <t xml:space="preserve">   Contribution Margin</t>
        </is>
      </c>
      <c r="C11" s="37">
        <f>INDIRECT("'"&amp;$C$4&amp;"'!I25")*'Assumptions'!C$53</f>
        <v/>
      </c>
      <c r="D11" s="37">
        <f>INDIRECT("'"&amp;$C$4&amp;"'!I25")*'Assumptions'!D$53</f>
        <v/>
      </c>
      <c r="E11" s="37">
        <f>INDIRECT("'"&amp;$C$4&amp;"'!I25")*'Assumptions'!E$53</f>
        <v/>
      </c>
      <c r="F11" s="37">
        <f>INDIRECT("'"&amp;$C$4&amp;"'!I25")*'Assumptions'!F$53</f>
        <v/>
      </c>
      <c r="G11" s="37">
        <f>INDIRECT("'"&amp;$C$4&amp;"'!I25")*'Assumptions'!G$53</f>
        <v/>
      </c>
      <c r="H11" s="37">
        <f>INDIRECT("'"&amp;$C$4&amp;"'!I25")*'Assumptions'!H$53</f>
        <v/>
      </c>
      <c r="I11" s="37">
        <f>INDIRECT("'"&amp;$C$4&amp;"'!I25")*'Assumptions'!I$53</f>
        <v/>
      </c>
      <c r="J11" s="37">
        <f>INDIRECT("'"&amp;$C$4&amp;"'!I25")*'Assumptions'!J$53</f>
        <v/>
      </c>
      <c r="K11" s="37">
        <f>INDIRECT("'"&amp;$C$4&amp;"'!I25")*'Assumptions'!K$53</f>
        <v/>
      </c>
      <c r="L11" s="37">
        <f>INDIRECT("'"&amp;$C$4&amp;"'!I25")*'Assumptions'!L$53</f>
        <v/>
      </c>
      <c r="M11" s="37">
        <f>INDIRECT("'"&amp;$C$4&amp;"'!I25")*'Assumptions'!M$53</f>
        <v/>
      </c>
      <c r="N11" s="37">
        <f>INDIRECT("'"&amp;$C$4&amp;"'!I25")*'Assumptions'!N$53</f>
        <v/>
      </c>
      <c r="O11" s="43">
        <f>SUM(C11:N11)</f>
        <v/>
      </c>
    </row>
    <row r="12">
      <c r="B12" s="21" t="inlineStr">
        <is>
          <t xml:space="preserve">   Outbound logistics</t>
        </is>
      </c>
      <c r="C12" s="37">
        <f>C8*'Assumptions'!$C$35</f>
        <v/>
      </c>
      <c r="D12" s="37">
        <f>D8*'Assumptions'!$C$35</f>
        <v/>
      </c>
      <c r="E12" s="37">
        <f>E8*'Assumptions'!$C$35</f>
        <v/>
      </c>
      <c r="F12" s="37">
        <f>F8*'Assumptions'!$C$35</f>
        <v/>
      </c>
      <c r="G12" s="37">
        <f>G8*'Assumptions'!$C$35</f>
        <v/>
      </c>
      <c r="H12" s="37">
        <f>H8*'Assumptions'!$C$35</f>
        <v/>
      </c>
      <c r="I12" s="37">
        <f>I8*'Assumptions'!$C$35</f>
        <v/>
      </c>
      <c r="J12" s="37">
        <f>J8*'Assumptions'!$C$35</f>
        <v/>
      </c>
      <c r="K12" s="37">
        <f>K8*'Assumptions'!$C$35</f>
        <v/>
      </c>
      <c r="L12" s="37">
        <f>L8*'Assumptions'!$C$35</f>
        <v/>
      </c>
      <c r="M12" s="37">
        <f>M8*'Assumptions'!$C$35</f>
        <v/>
      </c>
      <c r="N12" s="37">
        <f>N8*'Assumptions'!$C$35</f>
        <v/>
      </c>
      <c r="O12" s="43">
        <f>SUM(C12:N12)</f>
        <v/>
      </c>
    </row>
    <row r="13">
      <c r="B13" s="21" t="inlineStr">
        <is>
          <t xml:space="preserve">   Fixed opex (salaries, G&amp;A, mktg, slotting)</t>
        </is>
      </c>
      <c r="C13" s="37">
        <f>('Assumptions'!$C$31+'Assumptions'!$C$32+'Assumptions'!$C$33+'Assumptions'!$C$34)/12</f>
        <v/>
      </c>
      <c r="D13" s="37">
        <f>('Assumptions'!$C$31+'Assumptions'!$C$32+'Assumptions'!$C$33+'Assumptions'!$C$34)/12</f>
        <v/>
      </c>
      <c r="E13" s="37">
        <f>('Assumptions'!$C$31+'Assumptions'!$C$32+'Assumptions'!$C$33+'Assumptions'!$C$34)/12</f>
        <v/>
      </c>
      <c r="F13" s="37">
        <f>('Assumptions'!$C$31+'Assumptions'!$C$32+'Assumptions'!$C$33+'Assumptions'!$C$34)/12</f>
        <v/>
      </c>
      <c r="G13" s="37">
        <f>('Assumptions'!$C$31+'Assumptions'!$C$32+'Assumptions'!$C$33+'Assumptions'!$C$34)/12</f>
        <v/>
      </c>
      <c r="H13" s="37">
        <f>('Assumptions'!$C$31+'Assumptions'!$C$32+'Assumptions'!$C$33+'Assumptions'!$C$34)/12</f>
        <v/>
      </c>
      <c r="I13" s="37">
        <f>('Assumptions'!$C$31+'Assumptions'!$C$32+'Assumptions'!$C$33+'Assumptions'!$C$34)/12</f>
        <v/>
      </c>
      <c r="J13" s="37">
        <f>('Assumptions'!$C$31+'Assumptions'!$C$32+'Assumptions'!$C$33+'Assumptions'!$C$34)/12</f>
        <v/>
      </c>
      <c r="K13" s="37">
        <f>('Assumptions'!$C$31+'Assumptions'!$C$32+'Assumptions'!$C$33+'Assumptions'!$C$34)/12</f>
        <v/>
      </c>
      <c r="L13" s="37">
        <f>('Assumptions'!$C$31+'Assumptions'!$C$32+'Assumptions'!$C$33+'Assumptions'!$C$34)/12</f>
        <v/>
      </c>
      <c r="M13" s="37">
        <f>('Assumptions'!$C$31+'Assumptions'!$C$32+'Assumptions'!$C$33+'Assumptions'!$C$34)/12</f>
        <v/>
      </c>
      <c r="N13" s="37">
        <f>('Assumptions'!$C$31+'Assumptions'!$C$32+'Assumptions'!$C$33+'Assumptions'!$C$34)/12</f>
        <v/>
      </c>
      <c r="O13" s="43">
        <f>SUM(C13:N13)</f>
        <v/>
      </c>
    </row>
    <row r="14">
      <c r="B14" s="24" t="inlineStr">
        <is>
          <t xml:space="preserve">   EBITDA</t>
        </is>
      </c>
      <c r="C14" s="37">
        <f>C11-C12-C13</f>
        <v/>
      </c>
      <c r="D14" s="37">
        <f>D11-D12-D13</f>
        <v/>
      </c>
      <c r="E14" s="37">
        <f>E11-E12-E13</f>
        <v/>
      </c>
      <c r="F14" s="37">
        <f>F11-F12-F13</f>
        <v/>
      </c>
      <c r="G14" s="37">
        <f>G11-G12-G13</f>
        <v/>
      </c>
      <c r="H14" s="37">
        <f>H11-H12-H13</f>
        <v/>
      </c>
      <c r="I14" s="37">
        <f>I11-I12-I13</f>
        <v/>
      </c>
      <c r="J14" s="37">
        <f>J11-J12-J13</f>
        <v/>
      </c>
      <c r="K14" s="37">
        <f>K11-K12-K13</f>
        <v/>
      </c>
      <c r="L14" s="37">
        <f>L11-L12-L13</f>
        <v/>
      </c>
      <c r="M14" s="37">
        <f>M11-M12-M13</f>
        <v/>
      </c>
      <c r="N14" s="37">
        <f>N11-N12-N13</f>
        <v/>
      </c>
      <c r="O14" s="43">
        <f>SUM(C14:N14)</f>
        <v/>
      </c>
    </row>
    <row r="15">
      <c r="B15" s="21" t="inlineStr">
        <is>
          <t xml:space="preserve">   Depreciation &amp; amort.</t>
        </is>
      </c>
      <c r="C15" s="37">
        <f>'Assumptions'!$C$36/12</f>
        <v/>
      </c>
      <c r="D15" s="37">
        <f>'Assumptions'!$C$36/12</f>
        <v/>
      </c>
      <c r="E15" s="37">
        <f>'Assumptions'!$C$36/12</f>
        <v/>
      </c>
      <c r="F15" s="37">
        <f>'Assumptions'!$C$36/12</f>
        <v/>
      </c>
      <c r="G15" s="37">
        <f>'Assumptions'!$C$36/12</f>
        <v/>
      </c>
      <c r="H15" s="37">
        <f>'Assumptions'!$C$36/12</f>
        <v/>
      </c>
      <c r="I15" s="37">
        <f>'Assumptions'!$C$36/12</f>
        <v/>
      </c>
      <c r="J15" s="37">
        <f>'Assumptions'!$C$36/12</f>
        <v/>
      </c>
      <c r="K15" s="37">
        <f>'Assumptions'!$C$36/12</f>
        <v/>
      </c>
      <c r="L15" s="37">
        <f>'Assumptions'!$C$36/12</f>
        <v/>
      </c>
      <c r="M15" s="37">
        <f>'Assumptions'!$C$36/12</f>
        <v/>
      </c>
      <c r="N15" s="37">
        <f>'Assumptions'!$C$36/12</f>
        <v/>
      </c>
      <c r="O15" s="43">
        <f>SUM(C15:N15)</f>
        <v/>
      </c>
    </row>
    <row r="16">
      <c r="B16" s="24" t="inlineStr">
        <is>
          <t xml:space="preserve">   EBIT</t>
        </is>
      </c>
      <c r="C16" s="37">
        <f>C14-C15</f>
        <v/>
      </c>
      <c r="D16" s="37">
        <f>D14-D15</f>
        <v/>
      </c>
      <c r="E16" s="37">
        <f>E14-E15</f>
        <v/>
      </c>
      <c r="F16" s="37">
        <f>F14-F15</f>
        <v/>
      </c>
      <c r="G16" s="37">
        <f>G14-G15</f>
        <v/>
      </c>
      <c r="H16" s="37">
        <f>H14-H15</f>
        <v/>
      </c>
      <c r="I16" s="37">
        <f>I14-I15</f>
        <v/>
      </c>
      <c r="J16" s="37">
        <f>J14-J15</f>
        <v/>
      </c>
      <c r="K16" s="37">
        <f>K14-K15</f>
        <v/>
      </c>
      <c r="L16" s="37">
        <f>L14-L15</f>
        <v/>
      </c>
      <c r="M16" s="37">
        <f>M14-M15</f>
        <v/>
      </c>
      <c r="N16" s="37">
        <f>N14-N15</f>
        <v/>
      </c>
      <c r="O16" s="43">
        <f>SUM(C16:N16)</f>
        <v/>
      </c>
    </row>
    <row r="17">
      <c r="B17" s="21" t="inlineStr">
        <is>
          <t xml:space="preserve">   Interest</t>
        </is>
      </c>
      <c r="C17" s="37">
        <f>'Assumptions'!$C$37/12</f>
        <v/>
      </c>
      <c r="D17" s="37">
        <f>'Assumptions'!$C$37/12</f>
        <v/>
      </c>
      <c r="E17" s="37">
        <f>'Assumptions'!$C$37/12</f>
        <v/>
      </c>
      <c r="F17" s="37">
        <f>'Assumptions'!$C$37/12</f>
        <v/>
      </c>
      <c r="G17" s="37">
        <f>'Assumptions'!$C$37/12</f>
        <v/>
      </c>
      <c r="H17" s="37">
        <f>'Assumptions'!$C$37/12</f>
        <v/>
      </c>
      <c r="I17" s="37">
        <f>'Assumptions'!$C$37/12</f>
        <v/>
      </c>
      <c r="J17" s="37">
        <f>'Assumptions'!$C$37/12</f>
        <v/>
      </c>
      <c r="K17" s="37">
        <f>'Assumptions'!$C$37/12</f>
        <v/>
      </c>
      <c r="L17" s="37">
        <f>'Assumptions'!$C$37/12</f>
        <v/>
      </c>
      <c r="M17" s="37">
        <f>'Assumptions'!$C$37/12</f>
        <v/>
      </c>
      <c r="N17" s="37">
        <f>'Assumptions'!$C$37/12</f>
        <v/>
      </c>
      <c r="O17" s="43">
        <f>SUM(C17:N17)</f>
        <v/>
      </c>
    </row>
    <row r="18">
      <c r="B18" s="24" t="inlineStr">
        <is>
          <t xml:space="preserve">   Pre-tax Profit</t>
        </is>
      </c>
      <c r="C18" s="37">
        <f>C16-C17</f>
        <v/>
      </c>
      <c r="D18" s="37">
        <f>D16-D17</f>
        <v/>
      </c>
      <c r="E18" s="37">
        <f>E16-E17</f>
        <v/>
      </c>
      <c r="F18" s="37">
        <f>F16-F17</f>
        <v/>
      </c>
      <c r="G18" s="37">
        <f>G16-G17</f>
        <v/>
      </c>
      <c r="H18" s="37">
        <f>H16-H17</f>
        <v/>
      </c>
      <c r="I18" s="37">
        <f>I16-I17</f>
        <v/>
      </c>
      <c r="J18" s="37">
        <f>J16-J17</f>
        <v/>
      </c>
      <c r="K18" s="37">
        <f>K16-K17</f>
        <v/>
      </c>
      <c r="L18" s="37">
        <f>L16-L17</f>
        <v/>
      </c>
      <c r="M18" s="37">
        <f>M16-M17</f>
        <v/>
      </c>
      <c r="N18" s="37">
        <f>N16-N17</f>
        <v/>
      </c>
      <c r="O18" s="43">
        <f>SUM(C18:N18)</f>
        <v/>
      </c>
    </row>
    <row r="19">
      <c r="B19" s="21" t="inlineStr">
        <is>
          <t xml:space="preserve">   Tax</t>
        </is>
      </c>
      <c r="C19" s="37">
        <f>MAX(0,C18*'Assumptions'!$C$38)</f>
        <v/>
      </c>
      <c r="D19" s="37">
        <f>MAX(0,D18*'Assumptions'!$C$38)</f>
        <v/>
      </c>
      <c r="E19" s="37">
        <f>MAX(0,E18*'Assumptions'!$C$38)</f>
        <v/>
      </c>
      <c r="F19" s="37">
        <f>MAX(0,F18*'Assumptions'!$C$38)</f>
        <v/>
      </c>
      <c r="G19" s="37">
        <f>MAX(0,G18*'Assumptions'!$C$38)</f>
        <v/>
      </c>
      <c r="H19" s="37">
        <f>MAX(0,H18*'Assumptions'!$C$38)</f>
        <v/>
      </c>
      <c r="I19" s="37">
        <f>MAX(0,I18*'Assumptions'!$C$38)</f>
        <v/>
      </c>
      <c r="J19" s="37">
        <f>MAX(0,J18*'Assumptions'!$C$38)</f>
        <v/>
      </c>
      <c r="K19" s="37">
        <f>MAX(0,K18*'Assumptions'!$C$38)</f>
        <v/>
      </c>
      <c r="L19" s="37">
        <f>MAX(0,L18*'Assumptions'!$C$38)</f>
        <v/>
      </c>
      <c r="M19" s="37">
        <f>MAX(0,M18*'Assumptions'!$C$38)</f>
        <v/>
      </c>
      <c r="N19" s="37">
        <f>MAX(0,N18*'Assumptions'!$C$38)</f>
        <v/>
      </c>
      <c r="O19" s="43">
        <f>SUM(C19:N19)</f>
        <v/>
      </c>
    </row>
    <row r="20">
      <c r="B20" s="24" t="inlineStr">
        <is>
          <t xml:space="preserve">   Net Income</t>
        </is>
      </c>
      <c r="C20" s="37">
        <f>C18-C19</f>
        <v/>
      </c>
      <c r="D20" s="37">
        <f>D18-D19</f>
        <v/>
      </c>
      <c r="E20" s="37">
        <f>E18-E19</f>
        <v/>
      </c>
      <c r="F20" s="37">
        <f>F18-F19</f>
        <v/>
      </c>
      <c r="G20" s="37">
        <f>G18-G19</f>
        <v/>
      </c>
      <c r="H20" s="37">
        <f>H18-H19</f>
        <v/>
      </c>
      <c r="I20" s="37">
        <f>I18-I19</f>
        <v/>
      </c>
      <c r="J20" s="37">
        <f>J18-J19</f>
        <v/>
      </c>
      <c r="K20" s="37">
        <f>K18-K19</f>
        <v/>
      </c>
      <c r="L20" s="37">
        <f>L18-L19</f>
        <v/>
      </c>
      <c r="M20" s="37">
        <f>M18-M19</f>
        <v/>
      </c>
      <c r="N20" s="37">
        <f>N18-N19</f>
        <v/>
      </c>
      <c r="O20" s="43">
        <f>SUM(C20:N20)</f>
        <v/>
      </c>
    </row>
    <row r="21">
      <c r="B21" s="24" t="inlineStr">
        <is>
          <t xml:space="preserve">   Cumulative Net Income</t>
        </is>
      </c>
      <c r="C21" s="37">
        <f>C20</f>
        <v/>
      </c>
      <c r="D21" s="37">
        <f>C21+D20</f>
        <v/>
      </c>
      <c r="E21" s="37">
        <f>D21+E20</f>
        <v/>
      </c>
      <c r="F21" s="37">
        <f>E21+F20</f>
        <v/>
      </c>
      <c r="G21" s="37">
        <f>F21+G20</f>
        <v/>
      </c>
      <c r="H21" s="37">
        <f>G21+H20</f>
        <v/>
      </c>
      <c r="I21" s="37">
        <f>H21+I20</f>
        <v/>
      </c>
      <c r="J21" s="37">
        <f>I21+J20</f>
        <v/>
      </c>
      <c r="K21" s="37">
        <f>J21+K20</f>
        <v/>
      </c>
      <c r="L21" s="37">
        <f>K21+L20</f>
        <v/>
      </c>
      <c r="M21" s="37">
        <f>L21+M20</f>
        <v/>
      </c>
      <c r="N21" s="37">
        <f>M21+N20</f>
        <v/>
      </c>
      <c r="O21" s="43">
        <f>N21</f>
        <v/>
      </c>
    </row>
  </sheetData>
  <dataValidations count="1">
    <dataValidation sqref="C4" showDropDown="0" showInputMessage="0" showErrorMessage="0" allowBlank="0" type="list">
      <formula1>"Low,Base,High,Stretch"</formula1>
    </dataValidation>
  </dataValidations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00695C"/>
    <outlinePr summaryBelow="1" summaryRight="1"/>
    <pageSetUpPr fitToPage="1"/>
  </sheetPr>
  <dimension ref="B1:F31"/>
  <sheetViews>
    <sheetView showGridLines="0" tabSelected="0"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B1" s="14" t="inlineStr">
        <is>
          <t>Sparkling Daily - 3-Year Projection</t>
        </is>
      </c>
    </row>
    <row r="2">
      <c r="B2" s="15" t="inlineStr">
        <is>
          <t>Grows the base year by the growth rates on Assumptions. Year 1 = base year, unlevered.</t>
        </is>
      </c>
    </row>
    <row r="4">
      <c r="B4" s="21" t="inlineStr">
        <is>
          <t>Kgr  base net (Σ vol·cp·(1-d))</t>
        </is>
      </c>
      <c r="C4" s="38">
        <f>SUMPRODUCT('Assumptions'!C28:H28,'Assumptions'!C11:H11,(1-'Assumptions'!C12:H12))</f>
        <v/>
      </c>
    </row>
    <row r="5">
      <c r="B5" s="21" t="inlineStr">
        <is>
          <t>Kcos  base COGS (Σ vol·COS/case)</t>
        </is>
      </c>
      <c r="C5" s="38">
        <f>SUMPRODUCT('Assumptions'!C28:H28,'Assumptions'!C21:H21)</f>
        <v/>
      </c>
    </row>
    <row r="6">
      <c r="B6" s="21" t="inlineStr">
        <is>
          <t>Kap  base A&amp;P (Σ vol·A&amp;P/case)</t>
        </is>
      </c>
      <c r="C6" s="38">
        <f>SUMPRODUCT('Assumptions'!C28:H28,'Assumptions'!C26:H26)</f>
        <v/>
      </c>
    </row>
    <row r="7">
      <c r="B7" s="21" t="inlineStr">
        <is>
          <t>Fixed opex</t>
        </is>
      </c>
      <c r="C7" s="38">
        <f>'Assumptions'!C31+'Assumptions'!C32+'Assumptions'!C33+'Assumptions'!C34</f>
        <v/>
      </c>
    </row>
    <row r="8">
      <c r="B8" s="21" t="inlineStr">
        <is>
          <t>Logistics % of net</t>
        </is>
      </c>
      <c r="C8" s="40">
        <f>'Assumptions'!C35</f>
        <v/>
      </c>
    </row>
    <row r="9">
      <c r="B9" s="21" t="inlineStr">
        <is>
          <t>Base total cases</t>
        </is>
      </c>
      <c r="C9" s="36">
        <f>SUM('Assumptions'!C28:H28)</f>
        <v/>
      </c>
    </row>
    <row r="12">
      <c r="B12" s="17" t="inlineStr">
        <is>
          <t>3-Year (CDN $)</t>
        </is>
      </c>
      <c r="C12" s="18" t="inlineStr">
        <is>
          <t>Year 1</t>
        </is>
      </c>
      <c r="D12" s="18" t="inlineStr">
        <is>
          <t>Year 2</t>
        </is>
      </c>
      <c r="E12" s="18" t="inlineStr">
        <is>
          <t>Year 3</t>
        </is>
      </c>
      <c r="F12" s="18" t="inlineStr">
        <is>
          <t>CAGR</t>
        </is>
      </c>
    </row>
    <row r="13">
      <c r="B13" s="24" t="inlineStr">
        <is>
          <t xml:space="preserve">   Physical Cases</t>
        </is>
      </c>
      <c r="C13" s="46">
        <f>(1+'Assumptions'!$C$40)^0*$C$9</f>
        <v/>
      </c>
      <c r="D13" s="46">
        <f>(1+'Assumptions'!$C$40)^1*$C$9</f>
        <v/>
      </c>
      <c r="E13" s="46">
        <f>(1+'Assumptions'!$C$40)^2*$C$9</f>
        <v/>
      </c>
      <c r="F13" s="40">
        <f>IFERROR((E13/C13)^(1/2)-1,"")</f>
        <v/>
      </c>
    </row>
    <row r="14">
      <c r="B14" s="24" t="inlineStr">
        <is>
          <t xml:space="preserve">   Net Sales</t>
        </is>
      </c>
      <c r="C14" s="47">
        <f>(1+'Assumptions'!$C$40)^0*(1+'Assumptions'!$C$41)^0*$C$4</f>
        <v/>
      </c>
      <c r="D14" s="47">
        <f>(1+'Assumptions'!$C$40)^1*(1+'Assumptions'!$C$41)^1*$C$4</f>
        <v/>
      </c>
      <c r="E14" s="47">
        <f>(1+'Assumptions'!$C$40)^2*(1+'Assumptions'!$C$41)^2*$C$4</f>
        <v/>
      </c>
      <c r="F14" s="40">
        <f>IFERROR((E14/C14)^(1/2)-1,"")</f>
        <v/>
      </c>
    </row>
    <row r="15">
      <c r="B15" s="21" t="inlineStr">
        <is>
          <t xml:space="preserve">   Cost of Sales</t>
        </is>
      </c>
      <c r="C15" s="37">
        <f>(1+'Assumptions'!$C$40)^0*(1+'Assumptions'!$C$42)^0*$C$5</f>
        <v/>
      </c>
      <c r="D15" s="37">
        <f>(1+'Assumptions'!$C$40)^1*(1+'Assumptions'!$C$42)^1*$C$5</f>
        <v/>
      </c>
      <c r="E15" s="37">
        <f>(1+'Assumptions'!$C$40)^2*(1+'Assumptions'!$C$42)^2*$C$5</f>
        <v/>
      </c>
      <c r="F15" s="40">
        <f>IFERROR((E15/C15)^(1/2)-1,"")</f>
        <v/>
      </c>
    </row>
    <row r="16">
      <c r="B16" s="24" t="inlineStr">
        <is>
          <t xml:space="preserve">   Gross Profit</t>
        </is>
      </c>
      <c r="C16" s="47">
        <f>C14-C15</f>
        <v/>
      </c>
      <c r="D16" s="47">
        <f>D14-D15</f>
        <v/>
      </c>
      <c r="E16" s="47">
        <f>E14-E15</f>
        <v/>
      </c>
      <c r="F16" s="40">
        <f>IFERROR((E16/C16)^(1/2)-1,"")</f>
        <v/>
      </c>
    </row>
    <row r="17">
      <c r="B17" s="21" t="inlineStr">
        <is>
          <t xml:space="preserve">   GP %</t>
        </is>
      </c>
      <c r="C17" s="39">
        <f>IFERROR(C16/C14,0)</f>
        <v/>
      </c>
      <c r="D17" s="39">
        <f>IFERROR(D16/D14,0)</f>
        <v/>
      </c>
      <c r="E17" s="39">
        <f>IFERROR(E16/E14,0)</f>
        <v/>
      </c>
    </row>
    <row r="18">
      <c r="B18" s="21" t="inlineStr">
        <is>
          <t xml:space="preserve">   A&amp;P</t>
        </is>
      </c>
      <c r="C18" s="37">
        <f>(1+'Assumptions'!$C$40)^0*$C$6</f>
        <v/>
      </c>
      <c r="D18" s="37">
        <f>(1+'Assumptions'!$C$40)^1*$C$6</f>
        <v/>
      </c>
      <c r="E18" s="37">
        <f>(1+'Assumptions'!$C$40)^2*$C$6</f>
        <v/>
      </c>
      <c r="F18" s="40">
        <f>IFERROR((E18/C18)^(1/2)-1,"")</f>
        <v/>
      </c>
    </row>
    <row r="19">
      <c r="B19" s="24" t="inlineStr">
        <is>
          <t xml:space="preserve">   Contribution</t>
        </is>
      </c>
      <c r="C19" s="47">
        <f>C16-C18</f>
        <v/>
      </c>
      <c r="D19" s="47">
        <f>D16-D18</f>
        <v/>
      </c>
      <c r="E19" s="47">
        <f>E16-E18</f>
        <v/>
      </c>
      <c r="F19" s="40">
        <f>IFERROR((E19/C19)^(1/2)-1,"")</f>
        <v/>
      </c>
    </row>
    <row r="20">
      <c r="B20" s="21" t="inlineStr">
        <is>
          <t xml:space="preserve">   Logistics</t>
        </is>
      </c>
      <c r="C20" s="37">
        <f>$C$8*C14</f>
        <v/>
      </c>
      <c r="D20" s="37">
        <f>$C$8*D14</f>
        <v/>
      </c>
      <c r="E20" s="37">
        <f>$C$8*E14</f>
        <v/>
      </c>
      <c r="F20" s="40">
        <f>IFERROR((E20/C20)^(1/2)-1,"")</f>
        <v/>
      </c>
    </row>
    <row r="21">
      <c r="B21" s="21" t="inlineStr">
        <is>
          <t xml:space="preserve">   Fixed opex</t>
        </is>
      </c>
      <c r="C21" s="37">
        <f>$C$7</f>
        <v/>
      </c>
      <c r="D21" s="37">
        <f>$C$7</f>
        <v/>
      </c>
      <c r="E21" s="37">
        <f>$C$7</f>
        <v/>
      </c>
      <c r="F21" s="40">
        <f>IFERROR((E21/C21)^(1/2)-1,"")</f>
        <v/>
      </c>
    </row>
    <row r="22">
      <c r="B22" s="24" t="inlineStr">
        <is>
          <t xml:space="preserve">   EBITDA</t>
        </is>
      </c>
      <c r="C22" s="47">
        <f>C19-C20-C21</f>
        <v/>
      </c>
      <c r="D22" s="47">
        <f>D19-D20-D21</f>
        <v/>
      </c>
      <c r="E22" s="47">
        <f>E19-E20-E21</f>
        <v/>
      </c>
      <c r="F22" s="40">
        <f>IFERROR((E22/C22)^(1/2)-1,"")</f>
        <v/>
      </c>
    </row>
    <row r="23">
      <c r="B23" s="21" t="inlineStr">
        <is>
          <t xml:space="preserve">   EBITDA %</t>
        </is>
      </c>
      <c r="C23" s="39">
        <f>IFERROR(C22/C14,0)</f>
        <v/>
      </c>
      <c r="D23" s="39">
        <f>IFERROR(D22/D14,0)</f>
        <v/>
      </c>
      <c r="E23" s="39">
        <f>IFERROR(E22/E14,0)</f>
        <v/>
      </c>
    </row>
    <row r="24">
      <c r="B24" s="21" t="inlineStr">
        <is>
          <t xml:space="preserve">   D&amp;A</t>
        </is>
      </c>
      <c r="C24" s="37">
        <f>'Assumptions'!$C$36</f>
        <v/>
      </c>
      <c r="D24" s="37">
        <f>'Assumptions'!$C$36</f>
        <v/>
      </c>
      <c r="E24" s="37">
        <f>'Assumptions'!$C$36</f>
        <v/>
      </c>
      <c r="F24" s="40">
        <f>IFERROR((E24/C24)^(1/2)-1,"")</f>
        <v/>
      </c>
    </row>
    <row r="25">
      <c r="B25" s="24" t="inlineStr">
        <is>
          <t xml:space="preserve">   EBIT</t>
        </is>
      </c>
      <c r="C25" s="47">
        <f>C22-C24</f>
        <v/>
      </c>
      <c r="D25" s="47">
        <f>D22-D24</f>
        <v/>
      </c>
      <c r="E25" s="47">
        <f>E22-E24</f>
        <v/>
      </c>
      <c r="F25" s="40">
        <f>IFERROR((E25/C25)^(1/2)-1,"")</f>
        <v/>
      </c>
    </row>
    <row r="26">
      <c r="B26" s="21" t="inlineStr">
        <is>
          <t xml:space="preserve">   Interest</t>
        </is>
      </c>
      <c r="C26" s="37">
        <f>'Assumptions'!$C$37</f>
        <v/>
      </c>
      <c r="D26" s="37">
        <f>'Assumptions'!$C$37</f>
        <v/>
      </c>
      <c r="E26" s="37">
        <f>'Assumptions'!$C$37</f>
        <v/>
      </c>
      <c r="F26" s="40">
        <f>IFERROR((E26/C26)^(1/2)-1,"")</f>
        <v/>
      </c>
    </row>
    <row r="27">
      <c r="B27" s="24" t="inlineStr">
        <is>
          <t xml:space="preserve">   Pre-tax Profit</t>
        </is>
      </c>
      <c r="C27" s="47">
        <f>C25-C26</f>
        <v/>
      </c>
      <c r="D27" s="47">
        <f>D25-D26</f>
        <v/>
      </c>
      <c r="E27" s="47">
        <f>E25-E26</f>
        <v/>
      </c>
      <c r="F27" s="40">
        <f>IFERROR((E27/C27)^(1/2)-1,"")</f>
        <v/>
      </c>
    </row>
    <row r="28">
      <c r="B28" s="21" t="inlineStr">
        <is>
          <t xml:space="preserve">   Tax</t>
        </is>
      </c>
      <c r="C28" s="37">
        <f>MAX(0,C27*'Assumptions'!$C$38)</f>
        <v/>
      </c>
      <c r="D28" s="37">
        <f>MAX(0,D27*'Assumptions'!$C$38)</f>
        <v/>
      </c>
      <c r="E28" s="37">
        <f>MAX(0,E27*'Assumptions'!$C$38)</f>
        <v/>
      </c>
      <c r="F28" s="40">
        <f>IFERROR((E28/C28)^(1/2)-1,"")</f>
        <v/>
      </c>
    </row>
    <row r="29">
      <c r="B29" s="24" t="inlineStr">
        <is>
          <t xml:space="preserve">   Net Income</t>
        </is>
      </c>
      <c r="C29" s="47">
        <f>C27-C28</f>
        <v/>
      </c>
      <c r="D29" s="47">
        <f>D27-D28</f>
        <v/>
      </c>
      <c r="E29" s="47">
        <f>E27-E28</f>
        <v/>
      </c>
      <c r="F29" s="40">
        <f>IFERROR((E29/C29)^(1/2)-1,"")</f>
        <v/>
      </c>
    </row>
    <row r="31">
      <c r="B31" s="15" t="inlineStr">
        <is>
          <t>Year 1 = base year. Years 2-3 compound the growth rates. CAGR = annual growth across the 3 years.</t>
        </is>
      </c>
    </row>
  </sheetData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6A1B9A"/>
    <outlinePr summaryBelow="1" summaryRight="1"/>
    <pageSetUpPr fitToPage="1"/>
  </sheetPr>
  <dimension ref="B1:K21"/>
  <sheetViews>
    <sheetView showGridLines="0"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1" max="11"/>
  </cols>
  <sheetData>
    <row r="1">
      <c r="B1" s="14" t="inlineStr">
        <is>
          <t>Sparkling Daily - Pricing Lab (FY2026)</t>
        </is>
      </c>
    </row>
    <row r="2">
      <c r="B2" s="15" t="inlineStr">
        <is>
          <t>How wholesale price (CP) drives margin. Each column flexes every SKU's CP vs its Assumptions base; volume &amp; costs held at base.</t>
        </is>
      </c>
    </row>
    <row r="4">
      <c r="B4" s="48" t="inlineStr">
        <is>
          <t>Gross Profit %  (by SKU, by CP)</t>
        </is>
      </c>
    </row>
    <row r="5">
      <c r="B5" s="17" t="inlineStr">
        <is>
          <t>SKU  \  CP vs base</t>
        </is>
      </c>
      <c r="C5" s="49" t="n">
        <v>0.85</v>
      </c>
      <c r="D5" s="49" t="n">
        <v>0.9</v>
      </c>
      <c r="E5" s="49" t="n">
        <v>0.95</v>
      </c>
      <c r="F5" s="49" t="n">
        <v>1</v>
      </c>
      <c r="G5" s="49" t="n">
        <v>1.05</v>
      </c>
      <c r="H5" s="49" t="n">
        <v>1.1</v>
      </c>
      <c r="I5" s="49" t="n">
        <v>1.15</v>
      </c>
    </row>
    <row r="6">
      <c r="B6" s="34" t="inlineStr">
        <is>
          <t xml:space="preserve">   Pineapple Singles</t>
        </is>
      </c>
      <c r="C6" s="39">
        <f>IFERROR(1-'Assumptions'!$C$21/('Assumptions'!$C$11*C$5*(1-'Assumptions'!$C$12)),0)</f>
        <v/>
      </c>
      <c r="D6" s="39">
        <f>IFERROR(1-'Assumptions'!$C$21/('Assumptions'!$C$11*D$5*(1-'Assumptions'!$C$12)),0)</f>
        <v/>
      </c>
      <c r="E6" s="39">
        <f>IFERROR(1-'Assumptions'!$C$21/('Assumptions'!$C$11*E$5*(1-'Assumptions'!$C$12)),0)</f>
        <v/>
      </c>
      <c r="F6" s="40">
        <f>IFERROR(1-'Assumptions'!$C$21/('Assumptions'!$C$11*F$5*(1-'Assumptions'!$C$12)),0)</f>
        <v/>
      </c>
      <c r="G6" s="39">
        <f>IFERROR(1-'Assumptions'!$C$21/('Assumptions'!$C$11*G$5*(1-'Assumptions'!$C$12)),0)</f>
        <v/>
      </c>
      <c r="H6" s="39">
        <f>IFERROR(1-'Assumptions'!$C$21/('Assumptions'!$C$11*H$5*(1-'Assumptions'!$C$12)),0)</f>
        <v/>
      </c>
      <c r="I6" s="39">
        <f>IFERROR(1-'Assumptions'!$C$21/('Assumptions'!$C$11*I$5*(1-'Assumptions'!$C$12)),0)</f>
        <v/>
      </c>
    </row>
    <row r="7">
      <c r="B7" s="34" t="inlineStr">
        <is>
          <t xml:space="preserve">   Passionfruit Singles</t>
        </is>
      </c>
      <c r="C7" s="39">
        <f>IFERROR(1-'Assumptions'!$D$21/('Assumptions'!$D$11*C$5*(1-'Assumptions'!$D$12)),0)</f>
        <v/>
      </c>
      <c r="D7" s="39">
        <f>IFERROR(1-'Assumptions'!$D$21/('Assumptions'!$D$11*D$5*(1-'Assumptions'!$D$12)),0)</f>
        <v/>
      </c>
      <c r="E7" s="39">
        <f>IFERROR(1-'Assumptions'!$D$21/('Assumptions'!$D$11*E$5*(1-'Assumptions'!$D$12)),0)</f>
        <v/>
      </c>
      <c r="F7" s="40">
        <f>IFERROR(1-'Assumptions'!$D$21/('Assumptions'!$D$11*F$5*(1-'Assumptions'!$D$12)),0)</f>
        <v/>
      </c>
      <c r="G7" s="39">
        <f>IFERROR(1-'Assumptions'!$D$21/('Assumptions'!$D$11*G$5*(1-'Assumptions'!$D$12)),0)</f>
        <v/>
      </c>
      <c r="H7" s="39">
        <f>IFERROR(1-'Assumptions'!$D$21/('Assumptions'!$D$11*H$5*(1-'Assumptions'!$D$12)),0)</f>
        <v/>
      </c>
      <c r="I7" s="39">
        <f>IFERROR(1-'Assumptions'!$D$21/('Assumptions'!$D$11*I$5*(1-'Assumptions'!$D$12)),0)</f>
        <v/>
      </c>
    </row>
    <row r="8">
      <c r="B8" s="34" t="inlineStr">
        <is>
          <t xml:space="preserve">   Lime Lemon Singles</t>
        </is>
      </c>
      <c r="C8" s="39">
        <f>IFERROR(1-'Assumptions'!$E$21/('Assumptions'!$E$11*C$5*(1-'Assumptions'!$E$12)),0)</f>
        <v/>
      </c>
      <c r="D8" s="39">
        <f>IFERROR(1-'Assumptions'!$E$21/('Assumptions'!$E$11*D$5*(1-'Assumptions'!$E$12)),0)</f>
        <v/>
      </c>
      <c r="E8" s="39">
        <f>IFERROR(1-'Assumptions'!$E$21/('Assumptions'!$E$11*E$5*(1-'Assumptions'!$E$12)),0)</f>
        <v/>
      </c>
      <c r="F8" s="40">
        <f>IFERROR(1-'Assumptions'!$E$21/('Assumptions'!$E$11*F$5*(1-'Assumptions'!$E$12)),0)</f>
        <v/>
      </c>
      <c r="G8" s="39">
        <f>IFERROR(1-'Assumptions'!$E$21/('Assumptions'!$E$11*G$5*(1-'Assumptions'!$E$12)),0)</f>
        <v/>
      </c>
      <c r="H8" s="39">
        <f>IFERROR(1-'Assumptions'!$E$21/('Assumptions'!$E$11*H$5*(1-'Assumptions'!$E$12)),0)</f>
        <v/>
      </c>
      <c r="I8" s="39">
        <f>IFERROR(1-'Assumptions'!$E$21/('Assumptions'!$E$11*I$5*(1-'Assumptions'!$E$12)),0)</f>
        <v/>
      </c>
    </row>
    <row r="9">
      <c r="B9" s="34" t="inlineStr">
        <is>
          <t xml:space="preserve">   Pineapple 4-Pack</t>
        </is>
      </c>
      <c r="C9" s="39">
        <f>IFERROR(1-'Assumptions'!$F$21/('Assumptions'!$F$11*C$5*(1-'Assumptions'!$F$12)),0)</f>
        <v/>
      </c>
      <c r="D9" s="39">
        <f>IFERROR(1-'Assumptions'!$F$21/('Assumptions'!$F$11*D$5*(1-'Assumptions'!$F$12)),0)</f>
        <v/>
      </c>
      <c r="E9" s="39">
        <f>IFERROR(1-'Assumptions'!$F$21/('Assumptions'!$F$11*E$5*(1-'Assumptions'!$F$12)),0)</f>
        <v/>
      </c>
      <c r="F9" s="40">
        <f>IFERROR(1-'Assumptions'!$F$21/('Assumptions'!$F$11*F$5*(1-'Assumptions'!$F$12)),0)</f>
        <v/>
      </c>
      <c r="G9" s="39">
        <f>IFERROR(1-'Assumptions'!$F$21/('Assumptions'!$F$11*G$5*(1-'Assumptions'!$F$12)),0)</f>
        <v/>
      </c>
      <c r="H9" s="39">
        <f>IFERROR(1-'Assumptions'!$F$21/('Assumptions'!$F$11*H$5*(1-'Assumptions'!$F$12)),0)</f>
        <v/>
      </c>
      <c r="I9" s="39">
        <f>IFERROR(1-'Assumptions'!$F$21/('Assumptions'!$F$11*I$5*(1-'Assumptions'!$F$12)),0)</f>
        <v/>
      </c>
    </row>
    <row r="10">
      <c r="B10" s="34" t="inlineStr">
        <is>
          <t xml:space="preserve">   Passionfruit 4-Pack</t>
        </is>
      </c>
      <c r="C10" s="39">
        <f>IFERROR(1-'Assumptions'!$G$21/('Assumptions'!$G$11*C$5*(1-'Assumptions'!$G$12)),0)</f>
        <v/>
      </c>
      <c r="D10" s="39">
        <f>IFERROR(1-'Assumptions'!$G$21/('Assumptions'!$G$11*D$5*(1-'Assumptions'!$G$12)),0)</f>
        <v/>
      </c>
      <c r="E10" s="39">
        <f>IFERROR(1-'Assumptions'!$G$21/('Assumptions'!$G$11*E$5*(1-'Assumptions'!$G$12)),0)</f>
        <v/>
      </c>
      <c r="F10" s="40">
        <f>IFERROR(1-'Assumptions'!$G$21/('Assumptions'!$G$11*F$5*(1-'Assumptions'!$G$12)),0)</f>
        <v/>
      </c>
      <c r="G10" s="39">
        <f>IFERROR(1-'Assumptions'!$G$21/('Assumptions'!$G$11*G$5*(1-'Assumptions'!$G$12)),0)</f>
        <v/>
      </c>
      <c r="H10" s="39">
        <f>IFERROR(1-'Assumptions'!$G$21/('Assumptions'!$G$11*H$5*(1-'Assumptions'!$G$12)),0)</f>
        <v/>
      </c>
      <c r="I10" s="39">
        <f>IFERROR(1-'Assumptions'!$G$21/('Assumptions'!$G$11*I$5*(1-'Assumptions'!$G$12)),0)</f>
        <v/>
      </c>
    </row>
    <row r="11">
      <c r="B11" s="34" t="inlineStr">
        <is>
          <t xml:space="preserve">   Lime Lemon 4-Pack</t>
        </is>
      </c>
      <c r="C11" s="39">
        <f>IFERROR(1-'Assumptions'!$H$21/('Assumptions'!$H$11*C$5*(1-'Assumptions'!$H$12)),0)</f>
        <v/>
      </c>
      <c r="D11" s="39">
        <f>IFERROR(1-'Assumptions'!$H$21/('Assumptions'!$H$11*D$5*(1-'Assumptions'!$H$12)),0)</f>
        <v/>
      </c>
      <c r="E11" s="39">
        <f>IFERROR(1-'Assumptions'!$H$21/('Assumptions'!$H$11*E$5*(1-'Assumptions'!$H$12)),0)</f>
        <v/>
      </c>
      <c r="F11" s="40">
        <f>IFERROR(1-'Assumptions'!$H$21/('Assumptions'!$H$11*F$5*(1-'Assumptions'!$H$12)),0)</f>
        <v/>
      </c>
      <c r="G11" s="39">
        <f>IFERROR(1-'Assumptions'!$H$21/('Assumptions'!$H$11*G$5*(1-'Assumptions'!$H$12)),0)</f>
        <v/>
      </c>
      <c r="H11" s="39">
        <f>IFERROR(1-'Assumptions'!$H$21/('Assumptions'!$H$11*H$5*(1-'Assumptions'!$H$12)),0)</f>
        <v/>
      </c>
      <c r="I11" s="39">
        <f>IFERROR(1-'Assumptions'!$H$21/('Assumptions'!$H$11*I$5*(1-'Assumptions'!$H$12)),0)</f>
        <v/>
      </c>
    </row>
    <row r="14">
      <c r="B14" s="48" t="inlineStr">
        <is>
          <t>Annual Contribution $  (by SKU, by CP — demand-adjusted)</t>
        </is>
      </c>
    </row>
    <row r="15">
      <c r="B15" s="17" t="inlineStr">
        <is>
          <t>SKU  \  CP vs base</t>
        </is>
      </c>
      <c r="C15" s="49" t="n">
        <v>0.85</v>
      </c>
      <c r="D15" s="49" t="n">
        <v>0.9</v>
      </c>
      <c r="E15" s="49" t="n">
        <v>0.95</v>
      </c>
      <c r="F15" s="49" t="n">
        <v>1</v>
      </c>
      <c r="G15" s="49" t="n">
        <v>1.05</v>
      </c>
      <c r="H15" s="49" t="n">
        <v>1.1</v>
      </c>
      <c r="I15" s="49" t="n">
        <v>1.15</v>
      </c>
      <c r="K15" s="18" t="inlineStr">
        <is>
          <t>Best CP ×</t>
        </is>
      </c>
    </row>
    <row r="16">
      <c r="B16" s="34" t="inlineStr">
        <is>
          <t xml:space="preserve">   Pineapple Singles</t>
        </is>
      </c>
      <c r="C16" s="37">
        <f>'Assumptions'!$C$28*(C$15^'Assumptions'!$C$39)*(('Assumptions'!$C$11*C$15*(1-'Assumptions'!$C$12))-'Assumptions'!$C$21-'Assumptions'!$C$26)</f>
        <v/>
      </c>
      <c r="D16" s="37">
        <f>'Assumptions'!$C$28*(D$15^'Assumptions'!$C$39)*(('Assumptions'!$C$11*D$15*(1-'Assumptions'!$C$12))-'Assumptions'!$C$21-'Assumptions'!$C$26)</f>
        <v/>
      </c>
      <c r="E16" s="37">
        <f>'Assumptions'!$C$28*(E$15^'Assumptions'!$C$39)*(('Assumptions'!$C$11*E$15*(1-'Assumptions'!$C$12))-'Assumptions'!$C$21-'Assumptions'!$C$26)</f>
        <v/>
      </c>
      <c r="F16" s="38">
        <f>'Assumptions'!$C$28*(F$15^'Assumptions'!$C$39)*(('Assumptions'!$C$11*F$15*(1-'Assumptions'!$C$12))-'Assumptions'!$C$21-'Assumptions'!$C$26)</f>
        <v/>
      </c>
      <c r="G16" s="37">
        <f>'Assumptions'!$C$28*(G$15^'Assumptions'!$C$39)*(('Assumptions'!$C$11*G$15*(1-'Assumptions'!$C$12))-'Assumptions'!$C$21-'Assumptions'!$C$26)</f>
        <v/>
      </c>
      <c r="H16" s="37">
        <f>'Assumptions'!$C$28*(H$15^'Assumptions'!$C$39)*(('Assumptions'!$C$11*H$15*(1-'Assumptions'!$C$12))-'Assumptions'!$C$21-'Assumptions'!$C$26)</f>
        <v/>
      </c>
      <c r="I16" s="37">
        <f>'Assumptions'!$C$28*(I$15^'Assumptions'!$C$39)*(('Assumptions'!$C$11*I$15*(1-'Assumptions'!$C$12))-'Assumptions'!$C$21-'Assumptions'!$C$26)</f>
        <v/>
      </c>
      <c r="K16" s="50">
        <f>INDEX($C$15:$I$15,MATCH(MAX(C16:I16),C16:I16,0))</f>
        <v/>
      </c>
    </row>
    <row r="17">
      <c r="B17" s="34" t="inlineStr">
        <is>
          <t xml:space="preserve">   Passionfruit Singles</t>
        </is>
      </c>
      <c r="C17" s="37">
        <f>'Assumptions'!$D$28*(C$15^'Assumptions'!$C$39)*(('Assumptions'!$D$11*C$15*(1-'Assumptions'!$D$12))-'Assumptions'!$D$21-'Assumptions'!$D$26)</f>
        <v/>
      </c>
      <c r="D17" s="37">
        <f>'Assumptions'!$D$28*(D$15^'Assumptions'!$C$39)*(('Assumptions'!$D$11*D$15*(1-'Assumptions'!$D$12))-'Assumptions'!$D$21-'Assumptions'!$D$26)</f>
        <v/>
      </c>
      <c r="E17" s="37">
        <f>'Assumptions'!$D$28*(E$15^'Assumptions'!$C$39)*(('Assumptions'!$D$11*E$15*(1-'Assumptions'!$D$12))-'Assumptions'!$D$21-'Assumptions'!$D$26)</f>
        <v/>
      </c>
      <c r="F17" s="38">
        <f>'Assumptions'!$D$28*(F$15^'Assumptions'!$C$39)*(('Assumptions'!$D$11*F$15*(1-'Assumptions'!$D$12))-'Assumptions'!$D$21-'Assumptions'!$D$26)</f>
        <v/>
      </c>
      <c r="G17" s="37">
        <f>'Assumptions'!$D$28*(G$15^'Assumptions'!$C$39)*(('Assumptions'!$D$11*G$15*(1-'Assumptions'!$D$12))-'Assumptions'!$D$21-'Assumptions'!$D$26)</f>
        <v/>
      </c>
      <c r="H17" s="37">
        <f>'Assumptions'!$D$28*(H$15^'Assumptions'!$C$39)*(('Assumptions'!$D$11*H$15*(1-'Assumptions'!$D$12))-'Assumptions'!$D$21-'Assumptions'!$D$26)</f>
        <v/>
      </c>
      <c r="I17" s="37">
        <f>'Assumptions'!$D$28*(I$15^'Assumptions'!$C$39)*(('Assumptions'!$D$11*I$15*(1-'Assumptions'!$D$12))-'Assumptions'!$D$21-'Assumptions'!$D$26)</f>
        <v/>
      </c>
      <c r="K17" s="50">
        <f>INDEX($C$15:$I$15,MATCH(MAX(C17:I17),C17:I17,0))</f>
        <v/>
      </c>
    </row>
    <row r="18">
      <c r="B18" s="34" t="inlineStr">
        <is>
          <t xml:space="preserve">   Lime Lemon Singles</t>
        </is>
      </c>
      <c r="C18" s="37">
        <f>'Assumptions'!$E$28*(C$15^'Assumptions'!$C$39)*(('Assumptions'!$E$11*C$15*(1-'Assumptions'!$E$12))-'Assumptions'!$E$21-'Assumptions'!$E$26)</f>
        <v/>
      </c>
      <c r="D18" s="37">
        <f>'Assumptions'!$E$28*(D$15^'Assumptions'!$C$39)*(('Assumptions'!$E$11*D$15*(1-'Assumptions'!$E$12))-'Assumptions'!$E$21-'Assumptions'!$E$26)</f>
        <v/>
      </c>
      <c r="E18" s="37">
        <f>'Assumptions'!$E$28*(E$15^'Assumptions'!$C$39)*(('Assumptions'!$E$11*E$15*(1-'Assumptions'!$E$12))-'Assumptions'!$E$21-'Assumptions'!$E$26)</f>
        <v/>
      </c>
      <c r="F18" s="38">
        <f>'Assumptions'!$E$28*(F$15^'Assumptions'!$C$39)*(('Assumptions'!$E$11*F$15*(1-'Assumptions'!$E$12))-'Assumptions'!$E$21-'Assumptions'!$E$26)</f>
        <v/>
      </c>
      <c r="G18" s="37">
        <f>'Assumptions'!$E$28*(G$15^'Assumptions'!$C$39)*(('Assumptions'!$E$11*G$15*(1-'Assumptions'!$E$12))-'Assumptions'!$E$21-'Assumptions'!$E$26)</f>
        <v/>
      </c>
      <c r="H18" s="37">
        <f>'Assumptions'!$E$28*(H$15^'Assumptions'!$C$39)*(('Assumptions'!$E$11*H$15*(1-'Assumptions'!$E$12))-'Assumptions'!$E$21-'Assumptions'!$E$26)</f>
        <v/>
      </c>
      <c r="I18" s="37">
        <f>'Assumptions'!$E$28*(I$15^'Assumptions'!$C$39)*(('Assumptions'!$E$11*I$15*(1-'Assumptions'!$E$12))-'Assumptions'!$E$21-'Assumptions'!$E$26)</f>
        <v/>
      </c>
      <c r="K18" s="50">
        <f>INDEX($C$15:$I$15,MATCH(MAX(C18:I18),C18:I18,0))</f>
        <v/>
      </c>
    </row>
    <row r="19">
      <c r="B19" s="34" t="inlineStr">
        <is>
          <t xml:space="preserve">   Pineapple 4-Pack</t>
        </is>
      </c>
      <c r="C19" s="37">
        <f>'Assumptions'!$F$28*(C$15^'Assumptions'!$C$39)*(('Assumptions'!$F$11*C$15*(1-'Assumptions'!$F$12))-'Assumptions'!$F$21-'Assumptions'!$F$26)</f>
        <v/>
      </c>
      <c r="D19" s="37">
        <f>'Assumptions'!$F$28*(D$15^'Assumptions'!$C$39)*(('Assumptions'!$F$11*D$15*(1-'Assumptions'!$F$12))-'Assumptions'!$F$21-'Assumptions'!$F$26)</f>
        <v/>
      </c>
      <c r="E19" s="37">
        <f>'Assumptions'!$F$28*(E$15^'Assumptions'!$C$39)*(('Assumptions'!$F$11*E$15*(1-'Assumptions'!$F$12))-'Assumptions'!$F$21-'Assumptions'!$F$26)</f>
        <v/>
      </c>
      <c r="F19" s="38">
        <f>'Assumptions'!$F$28*(F$15^'Assumptions'!$C$39)*(('Assumptions'!$F$11*F$15*(1-'Assumptions'!$F$12))-'Assumptions'!$F$21-'Assumptions'!$F$26)</f>
        <v/>
      </c>
      <c r="G19" s="37">
        <f>'Assumptions'!$F$28*(G$15^'Assumptions'!$C$39)*(('Assumptions'!$F$11*G$15*(1-'Assumptions'!$F$12))-'Assumptions'!$F$21-'Assumptions'!$F$26)</f>
        <v/>
      </c>
      <c r="H19" s="37">
        <f>'Assumptions'!$F$28*(H$15^'Assumptions'!$C$39)*(('Assumptions'!$F$11*H$15*(1-'Assumptions'!$F$12))-'Assumptions'!$F$21-'Assumptions'!$F$26)</f>
        <v/>
      </c>
      <c r="I19" s="37">
        <f>'Assumptions'!$F$28*(I$15^'Assumptions'!$C$39)*(('Assumptions'!$F$11*I$15*(1-'Assumptions'!$F$12))-'Assumptions'!$F$21-'Assumptions'!$F$26)</f>
        <v/>
      </c>
      <c r="K19" s="50">
        <f>INDEX($C$15:$I$15,MATCH(MAX(C19:I19),C19:I19,0))</f>
        <v/>
      </c>
    </row>
    <row r="20">
      <c r="B20" s="34" t="inlineStr">
        <is>
          <t xml:space="preserve">   Passionfruit 4-Pack</t>
        </is>
      </c>
      <c r="C20" s="37">
        <f>'Assumptions'!$G$28*(C$15^'Assumptions'!$C$39)*(('Assumptions'!$G$11*C$15*(1-'Assumptions'!$G$12))-'Assumptions'!$G$21-'Assumptions'!$G$26)</f>
        <v/>
      </c>
      <c r="D20" s="37">
        <f>'Assumptions'!$G$28*(D$15^'Assumptions'!$C$39)*(('Assumptions'!$G$11*D$15*(1-'Assumptions'!$G$12))-'Assumptions'!$G$21-'Assumptions'!$G$26)</f>
        <v/>
      </c>
      <c r="E20" s="37">
        <f>'Assumptions'!$G$28*(E$15^'Assumptions'!$C$39)*(('Assumptions'!$G$11*E$15*(1-'Assumptions'!$G$12))-'Assumptions'!$G$21-'Assumptions'!$G$26)</f>
        <v/>
      </c>
      <c r="F20" s="38">
        <f>'Assumptions'!$G$28*(F$15^'Assumptions'!$C$39)*(('Assumptions'!$G$11*F$15*(1-'Assumptions'!$G$12))-'Assumptions'!$G$21-'Assumptions'!$G$26)</f>
        <v/>
      </c>
      <c r="G20" s="37">
        <f>'Assumptions'!$G$28*(G$15^'Assumptions'!$C$39)*(('Assumptions'!$G$11*G$15*(1-'Assumptions'!$G$12))-'Assumptions'!$G$21-'Assumptions'!$G$26)</f>
        <v/>
      </c>
      <c r="H20" s="37">
        <f>'Assumptions'!$G$28*(H$15^'Assumptions'!$C$39)*(('Assumptions'!$G$11*H$15*(1-'Assumptions'!$G$12))-'Assumptions'!$G$21-'Assumptions'!$G$26)</f>
        <v/>
      </c>
      <c r="I20" s="37">
        <f>'Assumptions'!$G$28*(I$15^'Assumptions'!$C$39)*(('Assumptions'!$G$11*I$15*(1-'Assumptions'!$G$12))-'Assumptions'!$G$21-'Assumptions'!$G$26)</f>
        <v/>
      </c>
      <c r="K20" s="50">
        <f>INDEX($C$15:$I$15,MATCH(MAX(C20:I20),C20:I20,0))</f>
        <v/>
      </c>
    </row>
    <row r="21">
      <c r="B21" s="34" t="inlineStr">
        <is>
          <t xml:space="preserve">   Lime Lemon 4-Pack</t>
        </is>
      </c>
      <c r="C21" s="37">
        <f>'Assumptions'!$H$28*(C$15^'Assumptions'!$C$39)*(('Assumptions'!$H$11*C$15*(1-'Assumptions'!$H$12))-'Assumptions'!$H$21-'Assumptions'!$H$26)</f>
        <v/>
      </c>
      <c r="D21" s="37">
        <f>'Assumptions'!$H$28*(D$15^'Assumptions'!$C$39)*(('Assumptions'!$H$11*D$15*(1-'Assumptions'!$H$12))-'Assumptions'!$H$21-'Assumptions'!$H$26)</f>
        <v/>
      </c>
      <c r="E21" s="37">
        <f>'Assumptions'!$H$28*(E$15^'Assumptions'!$C$39)*(('Assumptions'!$H$11*E$15*(1-'Assumptions'!$H$12))-'Assumptions'!$H$21-'Assumptions'!$H$26)</f>
        <v/>
      </c>
      <c r="F21" s="38">
        <f>'Assumptions'!$H$28*(F$15^'Assumptions'!$C$39)*(('Assumptions'!$H$11*F$15*(1-'Assumptions'!$H$12))-'Assumptions'!$H$21-'Assumptions'!$H$26)</f>
        <v/>
      </c>
      <c r="G21" s="37">
        <f>'Assumptions'!$H$28*(G$15^'Assumptions'!$C$39)*(('Assumptions'!$H$11*G$15*(1-'Assumptions'!$H$12))-'Assumptions'!$H$21-'Assumptions'!$H$26)</f>
        <v/>
      </c>
      <c r="H21" s="37">
        <f>'Assumptions'!$H$28*(H$15^'Assumptions'!$C$39)*(('Assumptions'!$H$11*H$15*(1-'Assumptions'!$H$12))-'Assumptions'!$H$21-'Assumptions'!$H$26)</f>
        <v/>
      </c>
      <c r="I21" s="37">
        <f>'Assumptions'!$H$28*(I$15^'Assumptions'!$C$39)*(('Assumptions'!$H$11*I$15*(1-'Assumptions'!$H$12))-'Assumptions'!$H$21-'Assumptions'!$H$26)</f>
        <v/>
      </c>
      <c r="K21" s="50">
        <f>INDEX($C$15:$I$15,MATCH(MAX(C21:I21),C21:I21,0))</f>
        <v/>
      </c>
    </row>
  </sheetData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6A1B9A"/>
    <outlinePr summaryBelow="1" summaryRight="1"/>
    <pageSetUpPr fitToPage="1"/>
  </sheetPr>
  <dimension ref="B1:H13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B1" s="14" t="inlineStr">
        <is>
          <t>Sparkling Daily - Unit Economics &amp; Retail Price (FY2026)</t>
        </is>
      </c>
    </row>
    <row r="2">
      <c r="B2" s="15" t="inlineStr">
        <is>
          <t>Per-unit view of each SKU, plus the suggested shelf price at your retailer's margin.</t>
        </is>
      </c>
    </row>
    <row r="4">
      <c r="B4" s="24" t="inlineStr">
        <is>
          <t>Retailer margin</t>
        </is>
      </c>
      <c r="C4" s="26" t="n">
        <v>0.35</v>
      </c>
      <c r="D4" s="45" t="inlineStr">
        <is>
          <t>shelf price = wholesale unit price / (1 - margin)</t>
        </is>
      </c>
    </row>
    <row r="6">
      <c r="B6" s="17" t="inlineStr">
        <is>
          <t>Per unit (CDN $)</t>
        </is>
      </c>
      <c r="C6" s="18" t="inlineStr">
        <is>
          <t>Pineapple</t>
        </is>
      </c>
      <c r="D6" s="18" t="inlineStr">
        <is>
          <t>Passionfruit</t>
        </is>
      </c>
      <c r="E6" s="18" t="inlineStr">
        <is>
          <t>Lime Lemon</t>
        </is>
      </c>
      <c r="F6" s="18" t="inlineStr">
        <is>
          <t>Pineapple</t>
        </is>
      </c>
      <c r="G6" s="18" t="inlineStr">
        <is>
          <t>Passionfruit</t>
        </is>
      </c>
      <c r="H6" s="18" t="inlineStr">
        <is>
          <t>Lime Lemon</t>
        </is>
      </c>
    </row>
    <row r="7">
      <c r="B7" s="21" t="inlineStr">
        <is>
          <t xml:space="preserve">   Units per case</t>
        </is>
      </c>
      <c r="C7" s="36">
        <f>'Assumptions'!C9</f>
        <v/>
      </c>
      <c r="D7" s="36">
        <f>'Assumptions'!D9</f>
        <v/>
      </c>
      <c r="E7" s="36">
        <f>'Assumptions'!E9</f>
        <v/>
      </c>
      <c r="F7" s="36">
        <f>'Assumptions'!F9</f>
        <v/>
      </c>
      <c r="G7" s="36">
        <f>'Assumptions'!G9</f>
        <v/>
      </c>
      <c r="H7" s="36">
        <f>'Assumptions'!H9</f>
        <v/>
      </c>
    </row>
    <row r="8">
      <c r="B8" s="21" t="inlineStr">
        <is>
          <t xml:space="preserve">   Wholesale (CP) / unit</t>
        </is>
      </c>
      <c r="C8" s="27">
        <f>IFERROR('Assumptions'!C11/'Assumptions'!C9,0)</f>
        <v/>
      </c>
      <c r="D8" s="27">
        <f>IFERROR('Assumptions'!D11/'Assumptions'!D9,0)</f>
        <v/>
      </c>
      <c r="E8" s="27">
        <f>IFERROR('Assumptions'!E11/'Assumptions'!E9,0)</f>
        <v/>
      </c>
      <c r="F8" s="27">
        <f>IFERROR('Assumptions'!F11/'Assumptions'!F9,0)</f>
        <v/>
      </c>
      <c r="G8" s="27">
        <f>IFERROR('Assumptions'!G11/'Assumptions'!G9,0)</f>
        <v/>
      </c>
      <c r="H8" s="27">
        <f>IFERROR('Assumptions'!H11/'Assumptions'!H9,0)</f>
        <v/>
      </c>
    </row>
    <row r="9">
      <c r="B9" s="21" t="inlineStr">
        <is>
          <t xml:space="preserve">   Net / unit (after disc)</t>
        </is>
      </c>
      <c r="C9" s="27">
        <f>IFERROR('Assumptions'!C11*(1-'Assumptions'!C12)/'Assumptions'!C9,0)</f>
        <v/>
      </c>
      <c r="D9" s="27">
        <f>IFERROR('Assumptions'!D11*(1-'Assumptions'!D12)/'Assumptions'!D9,0)</f>
        <v/>
      </c>
      <c r="E9" s="27">
        <f>IFERROR('Assumptions'!E11*(1-'Assumptions'!E12)/'Assumptions'!E9,0)</f>
        <v/>
      </c>
      <c r="F9" s="27">
        <f>IFERROR('Assumptions'!F11*(1-'Assumptions'!F12)/'Assumptions'!F9,0)</f>
        <v/>
      </c>
      <c r="G9" s="27">
        <f>IFERROR('Assumptions'!G11*(1-'Assumptions'!G12)/'Assumptions'!G9,0)</f>
        <v/>
      </c>
      <c r="H9" s="27">
        <f>IFERROR('Assumptions'!H11*(1-'Assumptions'!H12)/'Assumptions'!H9,0)</f>
        <v/>
      </c>
    </row>
    <row r="10">
      <c r="B10" s="21" t="inlineStr">
        <is>
          <t xml:space="preserve">   COGS / unit</t>
        </is>
      </c>
      <c r="C10" s="27">
        <f>IFERROR('Assumptions'!C21/'Assumptions'!C9,0)</f>
        <v/>
      </c>
      <c r="D10" s="27">
        <f>IFERROR('Assumptions'!D21/'Assumptions'!D9,0)</f>
        <v/>
      </c>
      <c r="E10" s="27">
        <f>IFERROR('Assumptions'!E21/'Assumptions'!E9,0)</f>
        <v/>
      </c>
      <c r="F10" s="27">
        <f>IFERROR('Assumptions'!F21/'Assumptions'!F9,0)</f>
        <v/>
      </c>
      <c r="G10" s="27">
        <f>IFERROR('Assumptions'!G21/'Assumptions'!G9,0)</f>
        <v/>
      </c>
      <c r="H10" s="27">
        <f>IFERROR('Assumptions'!H21/'Assumptions'!H9,0)</f>
        <v/>
      </c>
    </row>
    <row r="11">
      <c r="B11" s="24" t="inlineStr">
        <is>
          <t xml:space="preserve">   Gross profit / unit</t>
        </is>
      </c>
      <c r="C11" s="28">
        <f>C9-C10</f>
        <v/>
      </c>
      <c r="D11" s="28">
        <f>D9-D10</f>
        <v/>
      </c>
      <c r="E11" s="28">
        <f>E9-E10</f>
        <v/>
      </c>
      <c r="F11" s="28">
        <f>F9-F10</f>
        <v/>
      </c>
      <c r="G11" s="28">
        <f>G9-G10</f>
        <v/>
      </c>
      <c r="H11" s="28">
        <f>H9-H10</f>
        <v/>
      </c>
    </row>
    <row r="12">
      <c r="B12" s="21" t="inlineStr">
        <is>
          <t xml:space="preserve">   GP %</t>
        </is>
      </c>
      <c r="C12" s="40">
        <f>IFERROR(C11/C9,0)</f>
        <v/>
      </c>
      <c r="D12" s="40">
        <f>IFERROR(D11/D9,0)</f>
        <v/>
      </c>
      <c r="E12" s="40">
        <f>IFERROR(E11/E9,0)</f>
        <v/>
      </c>
      <c r="F12" s="40">
        <f>IFERROR(F11/F9,0)</f>
        <v/>
      </c>
      <c r="G12" s="40">
        <f>IFERROR(G11/G9,0)</f>
        <v/>
      </c>
      <c r="H12" s="40">
        <f>IFERROR(H11/H9,0)</f>
        <v/>
      </c>
    </row>
    <row r="13">
      <c r="B13" s="24" t="inlineStr">
        <is>
          <t xml:space="preserve">   Suggested shelf / unit</t>
        </is>
      </c>
      <c r="C13" s="28">
        <f>IFERROR(C8/(1-$C$4),0)</f>
        <v/>
      </c>
      <c r="D13" s="28">
        <f>IFERROR(D8/(1-$C$4),0)</f>
        <v/>
      </c>
      <c r="E13" s="28">
        <f>IFERROR(E8/(1-$C$4),0)</f>
        <v/>
      </c>
      <c r="F13" s="28">
        <f>IFERROR(F8/(1-$C$4),0)</f>
        <v/>
      </c>
      <c r="G13" s="28">
        <f>IFERROR(G8/(1-$C$4),0)</f>
        <v/>
      </c>
      <c r="H13" s="28">
        <f>IFERROR(H8/(1-$C$4),0)</f>
        <v/>
      </c>
    </row>
  </sheetData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6A1B9A"/>
    <outlinePr summaryBelow="1" summaryRight="1"/>
    <pageSetUpPr fitToPage="1"/>
  </sheetPr>
  <dimension ref="B1:C24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6" customWidth="1" min="3" max="3"/>
  </cols>
  <sheetData>
    <row r="1">
      <c r="B1" s="14" t="inlineStr">
        <is>
          <t>Sparkling Daily - Targets / Goal-Seek (FY2026)</t>
        </is>
      </c>
    </row>
    <row r="2">
      <c r="B2" s="15" t="inlineStr">
        <is>
          <t>Set a goal; the model solves the price or volume needed - exact closed form, no iteration.</t>
        </is>
      </c>
    </row>
    <row r="4">
      <c r="B4" s="48" t="inlineStr">
        <is>
          <t>Model constants (from Assumptions)</t>
        </is>
      </c>
    </row>
    <row r="5">
      <c r="B5" s="21" t="inlineStr">
        <is>
          <t xml:space="preserve">   K1  Net @ base (Σ vol·cp·(1-d))</t>
        </is>
      </c>
      <c r="C5" s="38">
        <f>SUMPRODUCT('Assumptions'!C28:H28,'Assumptions'!C11:H11,(1-'Assumptions'!C12:H12))</f>
        <v/>
      </c>
    </row>
    <row r="6">
      <c r="B6" s="21" t="inlineStr">
        <is>
          <t xml:space="preserve">   Kcos  Σ vol·Cost of Sales</t>
        </is>
      </c>
      <c r="C6" s="38">
        <f>SUMPRODUCT('Assumptions'!C28:H28,'Assumptions'!C21:H21)</f>
        <v/>
      </c>
    </row>
    <row r="7">
      <c r="B7" s="21" t="inlineStr">
        <is>
          <t xml:space="preserve">   Kap  Σ vol·A&amp;P</t>
        </is>
      </c>
      <c r="C7" s="38">
        <f>SUMPRODUCT('Assumptions'!C28:H28,'Assumptions'!C26:H26)</f>
        <v/>
      </c>
    </row>
    <row r="8">
      <c r="B8" s="21" t="inlineStr">
        <is>
          <t xml:space="preserve">   Fixed opex</t>
        </is>
      </c>
      <c r="C8" s="38">
        <f>'Assumptions'!C31+'Assumptions'!C32+'Assumptions'!C33+'Assumptions'!C34</f>
        <v/>
      </c>
    </row>
    <row r="9">
      <c r="B9" s="21" t="inlineStr">
        <is>
          <t xml:space="preserve">   Logistics % of net</t>
        </is>
      </c>
      <c r="C9" s="40">
        <f>'Assumptions'!C35</f>
        <v/>
      </c>
    </row>
    <row r="10">
      <c r="B10" s="21" t="inlineStr">
        <is>
          <t xml:space="preserve">   Base total cases</t>
        </is>
      </c>
      <c r="C10" s="36">
        <f>SUM('Assumptions'!C28:H28)</f>
        <v/>
      </c>
    </row>
    <row r="13">
      <c r="B13" s="48" t="inlineStr">
        <is>
          <t>Your targets (edit yellow)</t>
        </is>
      </c>
    </row>
    <row r="14">
      <c r="B14" s="21" t="inlineStr">
        <is>
          <t xml:space="preserve">   Target company GP %</t>
        </is>
      </c>
      <c r="C14" s="26" t="n">
        <v>0.45</v>
      </c>
    </row>
    <row r="15">
      <c r="B15" s="21" t="inlineStr">
        <is>
          <t xml:space="preserve">   Target EBITDA ($)</t>
        </is>
      </c>
      <c r="C15" s="29" t="n">
        <v>150000</v>
      </c>
    </row>
    <row r="17">
      <c r="B17" s="48" t="inlineStr">
        <is>
          <t>Solved answers</t>
        </is>
      </c>
    </row>
    <row r="18">
      <c r="B18" s="24" t="inlineStr">
        <is>
          <t xml:space="preserve">   Price × to hit target GP % (base volume)</t>
        </is>
      </c>
      <c r="C18" s="51">
        <f>IFERROR($C$6/($C$5*(1-$C$14)),"n/a")</f>
        <v/>
      </c>
    </row>
    <row r="19">
      <c r="B19" s="21" t="inlineStr">
        <is>
          <t xml:space="preserve">   → implied blended CP change</t>
        </is>
      </c>
      <c r="C19" s="40">
        <f>IFERROR($C$6/($C$5*(1-$C$14))-1,"n/a")</f>
        <v/>
      </c>
    </row>
    <row r="20">
      <c r="B20" s="24" t="inlineStr">
        <is>
          <t xml:space="preserve">   Volume × to hit target EBITDA (base price)</t>
        </is>
      </c>
      <c r="C20" s="51">
        <f>IFERROR(($C$15+$C$8)/(($C$5-$C$6-$C$7)-$C$9*$C$5),"n/a")</f>
        <v/>
      </c>
    </row>
    <row r="21">
      <c r="B21" s="21" t="inlineStr">
        <is>
          <t xml:space="preserve">   → implied total cases</t>
        </is>
      </c>
      <c r="C21" s="36">
        <f>IFERROR(($C$15+$C$8)/(($C$5-$C$6-$C$7)-$C$9*$C$5)*$C$10,"n/a")</f>
        <v/>
      </c>
    </row>
    <row r="22">
      <c r="B22" s="24" t="inlineStr">
        <is>
          <t xml:space="preserve">   Price × to hit target EBITDA (base vol; ε=0 approx)</t>
        </is>
      </c>
      <c r="C22" s="51">
        <f>IFERROR(($C$15+$C$8+$C$6+$C$7)/($C$5*(1-$C$9)),"n/a")</f>
        <v/>
      </c>
    </row>
    <row r="23">
      <c r="B23" s="24" t="inlineStr">
        <is>
          <t xml:space="preserve">   Break-even volume × (EBITDA = 0, base price)</t>
        </is>
      </c>
      <c r="C23" s="51">
        <f>IFERROR($C$8/(($C$5-$C$6-$C$7)-$C$9*$C$5),"n/a")</f>
        <v/>
      </c>
    </row>
    <row r="24">
      <c r="B24" s="21" t="inlineStr">
        <is>
          <t xml:space="preserve">   → break-even cases</t>
        </is>
      </c>
      <c r="C24" s="36">
        <f>IFERROR($C$8/(($C$5-$C$6-$C$7)-$C$9*$C$5)*$C$10,"n/a")</f>
        <v/>
      </c>
    </row>
  </sheetData>
  <pageMargins left="0.4" right="0.4" top="0.6" bottom="0.6" header="0.5" footer="0.5"/>
  <pageSetup orientation="portrait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EF6C00"/>
    <outlinePr summaryBelow="1" summaryRight="1"/>
    <pageSetUpPr fitToPage="1"/>
  </sheetPr>
  <dimension ref="B1:I24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B1" s="14" t="inlineStr">
        <is>
          <t>Sparkling Daily - Sensitivity &amp; Break-even (FY2026)</t>
        </is>
      </c>
    </row>
    <row r="2">
      <c r="B2" s="15" t="inlineStr">
        <is>
          <t>EBITDA as price and volume flex around Base. Exact closed-form from Assumptions.</t>
        </is>
      </c>
    </row>
    <row r="4">
      <c r="B4" s="21" t="inlineStr">
        <is>
          <t>K1  Base gross-less-disc (Σ vol·cp·(1-d))</t>
        </is>
      </c>
      <c r="C4" s="38">
        <f>SUMPRODUCT('Assumptions'!C28:H28,'Assumptions'!C11:H11,(1-'Assumptions'!C12:H12))</f>
        <v/>
      </c>
    </row>
    <row r="5">
      <c r="B5" s="21" t="inlineStr">
        <is>
          <t>K2  Base variable cost (Σ vol·(COS+A&amp;P))</t>
        </is>
      </c>
      <c r="C5" s="38">
        <f>SUMPRODUCT('Assumptions'!C28:H28,('Assumptions'!C21:H21+'Assumptions'!C26:H26))</f>
        <v/>
      </c>
    </row>
    <row r="6">
      <c r="B6" s="21" t="inlineStr">
        <is>
          <t>Fixed opex (sal+G&amp;A+mktg+slot)</t>
        </is>
      </c>
      <c r="C6" s="38">
        <f>'Assumptions'!C31+'Assumptions'!C32+'Assumptions'!C33+'Assumptions'!C34</f>
        <v/>
      </c>
    </row>
    <row r="7">
      <c r="B7" s="21" t="inlineStr">
        <is>
          <t>Logistics % of net</t>
        </is>
      </c>
      <c r="C7" s="40">
        <f>'Assumptions'!C35</f>
        <v/>
      </c>
    </row>
    <row r="8">
      <c r="B8" s="21" t="inlineStr">
        <is>
          <t>Base total cases</t>
        </is>
      </c>
      <c r="C8" s="36">
        <f>SUM('Assumptions'!C28:H28)</f>
        <v/>
      </c>
    </row>
    <row r="9">
      <c r="B9" s="21" t="inlineStr">
        <is>
          <t>Price elasticity (from Assumptions)</t>
        </is>
      </c>
      <c r="C9" s="52">
        <f>'Assumptions'!C39</f>
        <v/>
      </c>
    </row>
    <row r="11">
      <c r="B11" s="48" t="inlineStr">
        <is>
          <t>EBITDA  ($)</t>
        </is>
      </c>
    </row>
    <row r="12">
      <c r="B12" s="18" t="inlineStr">
        <is>
          <t>Price x  \  Volume x</t>
        </is>
      </c>
      <c r="C12" s="49" t="n">
        <v>0.7</v>
      </c>
      <c r="D12" s="49" t="n">
        <v>0.9</v>
      </c>
      <c r="E12" s="49" t="n">
        <v>1</v>
      </c>
      <c r="F12" s="49" t="n">
        <v>1.1</v>
      </c>
      <c r="G12" s="49" t="n">
        <v>1.3</v>
      </c>
      <c r="H12" s="49" t="n">
        <v>1.5</v>
      </c>
      <c r="I12" s="49" t="n">
        <v>1.7</v>
      </c>
    </row>
    <row r="13">
      <c r="B13" s="49" t="n">
        <v>0.9</v>
      </c>
      <c r="C13" s="37">
        <f>C$12*($B13^$C$9)*($B13*$C$4-$C$5)-$C$6-$C$7*C$12*($B13^($C$9+1))*$C$4</f>
        <v/>
      </c>
      <c r="D13" s="37">
        <f>D$12*($B13^$C$9)*($B13*$C$4-$C$5)-$C$6-$C$7*D$12*($B13^($C$9+1))*$C$4</f>
        <v/>
      </c>
      <c r="E13" s="37">
        <f>E$12*($B13^$C$9)*($B13*$C$4-$C$5)-$C$6-$C$7*E$12*($B13^($C$9+1))*$C$4</f>
        <v/>
      </c>
      <c r="F13" s="37">
        <f>F$12*($B13^$C$9)*($B13*$C$4-$C$5)-$C$6-$C$7*F$12*($B13^($C$9+1))*$C$4</f>
        <v/>
      </c>
      <c r="G13" s="37">
        <f>G$12*($B13^$C$9)*($B13*$C$4-$C$5)-$C$6-$C$7*G$12*($B13^($C$9+1))*$C$4</f>
        <v/>
      </c>
      <c r="H13" s="37">
        <f>H$12*($B13^$C$9)*($B13*$C$4-$C$5)-$C$6-$C$7*H$12*($B13^($C$9+1))*$C$4</f>
        <v/>
      </c>
      <c r="I13" s="37">
        <f>I$12*($B13^$C$9)*($B13*$C$4-$C$5)-$C$6-$C$7*I$12*($B13^($C$9+1))*$C$4</f>
        <v/>
      </c>
    </row>
    <row r="14">
      <c r="B14" s="49" t="n">
        <v>0.95</v>
      </c>
      <c r="C14" s="37">
        <f>C$12*($B14^$C$9)*($B14*$C$4-$C$5)-$C$6-$C$7*C$12*($B14^($C$9+1))*$C$4</f>
        <v/>
      </c>
      <c r="D14" s="37">
        <f>D$12*($B14^$C$9)*($B14*$C$4-$C$5)-$C$6-$C$7*D$12*($B14^($C$9+1))*$C$4</f>
        <v/>
      </c>
      <c r="E14" s="37">
        <f>E$12*($B14^$C$9)*($B14*$C$4-$C$5)-$C$6-$C$7*E$12*($B14^($C$9+1))*$C$4</f>
        <v/>
      </c>
      <c r="F14" s="37">
        <f>F$12*($B14^$C$9)*($B14*$C$4-$C$5)-$C$6-$C$7*F$12*($B14^($C$9+1))*$C$4</f>
        <v/>
      </c>
      <c r="G14" s="37">
        <f>G$12*($B14^$C$9)*($B14*$C$4-$C$5)-$C$6-$C$7*G$12*($B14^($C$9+1))*$C$4</f>
        <v/>
      </c>
      <c r="H14" s="37">
        <f>H$12*($B14^$C$9)*($B14*$C$4-$C$5)-$C$6-$C$7*H$12*($B14^($C$9+1))*$C$4</f>
        <v/>
      </c>
      <c r="I14" s="37">
        <f>I$12*($B14^$C$9)*($B14*$C$4-$C$5)-$C$6-$C$7*I$12*($B14^($C$9+1))*$C$4</f>
        <v/>
      </c>
    </row>
    <row r="15">
      <c r="B15" s="49" t="n">
        <v>1</v>
      </c>
      <c r="C15" s="37">
        <f>C$12*($B15^$C$9)*($B15*$C$4-$C$5)-$C$6-$C$7*C$12*($B15^($C$9+1))*$C$4</f>
        <v/>
      </c>
      <c r="D15" s="37">
        <f>D$12*($B15^$C$9)*($B15*$C$4-$C$5)-$C$6-$C$7*D$12*($B15^($C$9+1))*$C$4</f>
        <v/>
      </c>
      <c r="E15" s="38">
        <f>E$12*($B15^$C$9)*($B15*$C$4-$C$5)-$C$6-$C$7*E$12*($B15^($C$9+1))*$C$4</f>
        <v/>
      </c>
      <c r="F15" s="37">
        <f>F$12*($B15^$C$9)*($B15*$C$4-$C$5)-$C$6-$C$7*F$12*($B15^($C$9+1))*$C$4</f>
        <v/>
      </c>
      <c r="G15" s="37">
        <f>G$12*($B15^$C$9)*($B15*$C$4-$C$5)-$C$6-$C$7*G$12*($B15^($C$9+1))*$C$4</f>
        <v/>
      </c>
      <c r="H15" s="37">
        <f>H$12*($B15^$C$9)*($B15*$C$4-$C$5)-$C$6-$C$7*H$12*($B15^($C$9+1))*$C$4</f>
        <v/>
      </c>
      <c r="I15" s="37">
        <f>I$12*($B15^$C$9)*($B15*$C$4-$C$5)-$C$6-$C$7*I$12*($B15^($C$9+1))*$C$4</f>
        <v/>
      </c>
    </row>
    <row r="16">
      <c r="B16" s="49" t="n">
        <v>1.05</v>
      </c>
      <c r="C16" s="37">
        <f>C$12*($B16^$C$9)*($B16*$C$4-$C$5)-$C$6-$C$7*C$12*($B16^($C$9+1))*$C$4</f>
        <v/>
      </c>
      <c r="D16" s="37">
        <f>D$12*($B16^$C$9)*($B16*$C$4-$C$5)-$C$6-$C$7*D$12*($B16^($C$9+1))*$C$4</f>
        <v/>
      </c>
      <c r="E16" s="37">
        <f>E$12*($B16^$C$9)*($B16*$C$4-$C$5)-$C$6-$C$7*E$12*($B16^($C$9+1))*$C$4</f>
        <v/>
      </c>
      <c r="F16" s="37">
        <f>F$12*($B16^$C$9)*($B16*$C$4-$C$5)-$C$6-$C$7*F$12*($B16^($C$9+1))*$C$4</f>
        <v/>
      </c>
      <c r="G16" s="37">
        <f>G$12*($B16^$C$9)*($B16*$C$4-$C$5)-$C$6-$C$7*G$12*($B16^($C$9+1))*$C$4</f>
        <v/>
      </c>
      <c r="H16" s="37">
        <f>H$12*($B16^$C$9)*($B16*$C$4-$C$5)-$C$6-$C$7*H$12*($B16^($C$9+1))*$C$4</f>
        <v/>
      </c>
      <c r="I16" s="37">
        <f>I$12*($B16^$C$9)*($B16*$C$4-$C$5)-$C$6-$C$7*I$12*($B16^($C$9+1))*$C$4</f>
        <v/>
      </c>
    </row>
    <row r="17">
      <c r="B17" s="49" t="n">
        <v>1.1</v>
      </c>
      <c r="C17" s="37">
        <f>C$12*($B17^$C$9)*($B17*$C$4-$C$5)-$C$6-$C$7*C$12*($B17^($C$9+1))*$C$4</f>
        <v/>
      </c>
      <c r="D17" s="37">
        <f>D$12*($B17^$C$9)*($B17*$C$4-$C$5)-$C$6-$C$7*D$12*($B17^($C$9+1))*$C$4</f>
        <v/>
      </c>
      <c r="E17" s="37">
        <f>E$12*($B17^$C$9)*($B17*$C$4-$C$5)-$C$6-$C$7*E$12*($B17^($C$9+1))*$C$4</f>
        <v/>
      </c>
      <c r="F17" s="37">
        <f>F$12*($B17^$C$9)*($B17*$C$4-$C$5)-$C$6-$C$7*F$12*($B17^($C$9+1))*$C$4</f>
        <v/>
      </c>
      <c r="G17" s="37">
        <f>G$12*($B17^$C$9)*($B17*$C$4-$C$5)-$C$6-$C$7*G$12*($B17^($C$9+1))*$C$4</f>
        <v/>
      </c>
      <c r="H17" s="37">
        <f>H$12*($B17^$C$9)*($B17*$C$4-$C$5)-$C$6-$C$7*H$12*($B17^($C$9+1))*$C$4</f>
        <v/>
      </c>
      <c r="I17" s="37">
        <f>I$12*($B17^$C$9)*($B17*$C$4-$C$5)-$C$6-$C$7*I$12*($B17^($C$9+1))*$C$4</f>
        <v/>
      </c>
    </row>
    <row r="18">
      <c r="B18" s="49" t="n">
        <v>1.15</v>
      </c>
      <c r="C18" s="37">
        <f>C$12*($B18^$C$9)*($B18*$C$4-$C$5)-$C$6-$C$7*C$12*($B18^($C$9+1))*$C$4</f>
        <v/>
      </c>
      <c r="D18" s="37">
        <f>D$12*($B18^$C$9)*($B18*$C$4-$C$5)-$C$6-$C$7*D$12*($B18^($C$9+1))*$C$4</f>
        <v/>
      </c>
      <c r="E18" s="37">
        <f>E$12*($B18^$C$9)*($B18*$C$4-$C$5)-$C$6-$C$7*E$12*($B18^($C$9+1))*$C$4</f>
        <v/>
      </c>
      <c r="F18" s="37">
        <f>F$12*($B18^$C$9)*($B18*$C$4-$C$5)-$C$6-$C$7*F$12*($B18^($C$9+1))*$C$4</f>
        <v/>
      </c>
      <c r="G18" s="37">
        <f>G$12*($B18^$C$9)*($B18*$C$4-$C$5)-$C$6-$C$7*G$12*($B18^($C$9+1))*$C$4</f>
        <v/>
      </c>
      <c r="H18" s="37">
        <f>H$12*($B18^$C$9)*($B18*$C$4-$C$5)-$C$6-$C$7*H$12*($B18^($C$9+1))*$C$4</f>
        <v/>
      </c>
      <c r="I18" s="37">
        <f>I$12*($B18^$C$9)*($B18*$C$4-$C$5)-$C$6-$C$7*I$12*($B18^($C$9+1))*$C$4</f>
        <v/>
      </c>
    </row>
    <row r="21">
      <c r="B21" s="48" t="inlineStr">
        <is>
          <t>BREAK-EVEN (at Base price)</t>
        </is>
      </c>
    </row>
    <row r="22">
      <c r="B22" s="21" t="inlineStr">
        <is>
          <t>Volume x for EBITDA = 0</t>
        </is>
      </c>
      <c r="C22" s="51">
        <f>IFERROR($C$6/(($C$4-$C$5)-$C$7*$C$4),0)</f>
        <v/>
      </c>
    </row>
    <row r="23">
      <c r="B23" s="21" t="inlineStr">
        <is>
          <t>Break-even cases</t>
        </is>
      </c>
      <c r="C23" s="36">
        <f>C22*$C$8</f>
        <v/>
      </c>
    </row>
    <row r="24">
      <c r="B24" s="21" t="inlineStr">
        <is>
          <t>Base case volume</t>
        </is>
      </c>
      <c r="C24" s="36">
        <f>$C$8</f>
        <v/>
      </c>
    </row>
  </sheetData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B00020"/>
    <outlinePr summaryBelow="1" summaryRight="1"/>
    <pageSetUpPr fitToPage="1"/>
  </sheetPr>
  <dimension ref="B1:D16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6" customWidth="1" min="3" max="3"/>
    <col width="12" customWidth="1" min="4" max="4"/>
  </cols>
  <sheetData>
    <row r="1">
      <c r="B1" s="14" t="inlineStr">
        <is>
          <t>Sparkling Daily - Model Checks</t>
        </is>
      </c>
    </row>
    <row r="2">
      <c r="B2" s="15" t="inlineStr">
        <is>
          <t>Automated validation. Everything should read PASS.</t>
        </is>
      </c>
    </row>
    <row r="4">
      <c r="B4" s="17" t="inlineStr">
        <is>
          <t>Check</t>
        </is>
      </c>
      <c r="C4" s="18" t="inlineStr">
        <is>
          <t>Result</t>
        </is>
      </c>
      <c r="D4" s="18" t="inlineStr">
        <is>
          <t>Status</t>
        </is>
      </c>
    </row>
    <row r="5">
      <c r="B5" s="34" t="inlineStr">
        <is>
          <t>Seasonality sums to 100%</t>
        </is>
      </c>
      <c r="C5" s="39">
        <f>SUM('Assumptions'!C53:N53)</f>
        <v/>
      </c>
      <c r="D5" s="53">
        <f>IF(ABS(SUM('Assumptions'!C53:N53)-1)&lt;0.0001,"PASS","FAIL")</f>
        <v/>
      </c>
    </row>
    <row r="6">
      <c r="B6" s="34" t="inlineStr">
        <is>
          <t>All CP / case &gt; 0</t>
        </is>
      </c>
      <c r="C6" s="41">
        <f>MIN('Assumptions'!C11:H11)</f>
        <v/>
      </c>
      <c r="D6" s="53">
        <f>IF(MIN('Assumptions'!C11:H11)&gt;0,"PASS","FAIL")</f>
        <v/>
      </c>
    </row>
    <row r="7">
      <c r="B7" s="34" t="inlineStr">
        <is>
          <t>All volumes &gt;= 0</t>
        </is>
      </c>
      <c r="C7" s="35">
        <f>MIN('Assumptions'!C28:H28)</f>
        <v/>
      </c>
      <c r="D7" s="53">
        <f>IF(MIN('Assumptions'!C28:H28)&gt;=0,"PASS","FAIL")</f>
        <v/>
      </c>
    </row>
    <row r="8">
      <c r="B8" s="34" t="inlineStr">
        <is>
          <t>Trade discount within 0-50%</t>
        </is>
      </c>
      <c r="C8" s="39">
        <f>MAX('Assumptions'!C12:H12)</f>
        <v/>
      </c>
      <c r="D8" s="53">
        <f>IF(AND(MIN('Assumptions'!C12:H12)&gt;=0,MAX('Assumptions'!C12:H12)&lt;=0.5),"PASS","FAIL")</f>
        <v/>
      </c>
    </row>
    <row r="9">
      <c r="B9" s="34" t="inlineStr">
        <is>
          <t>Base GP% between 0 and 100%</t>
        </is>
      </c>
      <c r="C9" s="39">
        <f>'Base'!I23</f>
        <v/>
      </c>
      <c r="D9" s="53">
        <f>IF(AND('Base'!I23&gt;0,'Base'!I23&lt;1),"PASS","FAIL")</f>
        <v/>
      </c>
    </row>
    <row r="10">
      <c r="B10" s="34" t="inlineStr">
        <is>
          <t>COGS Direct &lt; CP (each SKU)</t>
        </is>
      </c>
      <c r="C10" s="35">
        <f>SUMPRODUCT(--('Assumptions'!C19:H19&gt;='Assumptions'!C11:H11))</f>
        <v/>
      </c>
      <c r="D10" s="53">
        <f>IF(SUMPRODUCT(--('Assumptions'!C19:H19&gt;='Assumptions'!C11:H11))=0,"PASS","FAIL")</f>
        <v/>
      </c>
    </row>
    <row r="11">
      <c r="B11" s="34" t="inlineStr">
        <is>
          <t>Tax rate within 0-50%</t>
        </is>
      </c>
      <c r="C11" s="39">
        <f>'Assumptions'!C38</f>
        <v/>
      </c>
      <c r="D11" s="53">
        <f>IF(AND('Assumptions'!C38&gt;=0,'Assumptions'!C38&lt;=0.5),"PASS","FAIL")</f>
        <v/>
      </c>
    </row>
    <row r="12">
      <c r="B12" s="34" t="inlineStr">
        <is>
          <t>All scenario volume levers &gt; 0</t>
        </is>
      </c>
      <c r="C12" s="54">
        <f>MIN('Assumptions'!C46:C49)</f>
        <v/>
      </c>
      <c r="D12" s="53">
        <f>IF(MIN('Assumptions'!C46:C49)&gt;0,"PASS","FAIL")</f>
        <v/>
      </c>
    </row>
    <row r="13">
      <c r="B13" s="34" t="inlineStr">
        <is>
          <t>Price elasticity &lt;= 0 (demand sane)</t>
        </is>
      </c>
      <c r="C13" s="55">
        <f>'Assumptions'!C39</f>
        <v/>
      </c>
      <c r="D13" s="53">
        <f>IF('Assumptions'!C39&lt;=0,"PASS","FAIL")</f>
        <v/>
      </c>
    </row>
    <row r="14">
      <c r="B14" s="34" t="inlineStr">
        <is>
          <t>Dashboard Net Sales ties to Base tab</t>
        </is>
      </c>
      <c r="C14" s="37">
        <f>'Dashboard'!D8-'Base'!I18</f>
        <v/>
      </c>
      <c r="D14" s="53">
        <f>IF(ABS('Dashboard'!D8-'Base'!I18)&lt;1,"PASS","FAIL")</f>
        <v/>
      </c>
    </row>
    <row r="16">
      <c r="B16" s="24" t="inlineStr">
        <is>
          <t>OVERALL</t>
        </is>
      </c>
      <c r="D16" s="53">
        <f>IF(COUNTIF(D5:D14,"FAIL")=0,"ALL PASS","REVIEW")</f>
        <v/>
      </c>
    </row>
  </sheetData>
  <conditionalFormatting sqref="D5:D16">
    <cfRule type="expression" priority="1" dxfId="0">
      <formula>ISNUMBER(SEARCH("PASS",D5))</formula>
    </cfRule>
    <cfRule type="expression" priority="2" dxfId="1">
      <formula>OR(ISNUMBER(SEARCH("FAIL",D5)),ISNUMBER(SEARCH("REVIEW",D5)))</formula>
    </cfRule>
  </conditionalFormatting>
  <pageMargins left="0.4" right="0.4" top="0.6" bottom="0.6" header="0.5" footer="0.5"/>
  <pageSetup orientation="landscape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808A99"/>
    <outlinePr summaryBelow="1" summaryRight="1"/>
    <pageSetUpPr fitToPage="1"/>
  </sheetPr>
  <dimension ref="B1:B38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56" t="inlineStr">
        <is>
          <t>Sparkling Daily — Model Guide</t>
        </is>
      </c>
    </row>
    <row r="2">
      <c r="B2" s="57" t="inlineStr"/>
    </row>
    <row r="3">
      <c r="B3" s="24" t="inlineStr">
        <is>
          <t>START HERE</t>
        </is>
      </c>
    </row>
    <row r="4">
      <c r="B4" s="21" t="inlineStr">
        <is>
          <t>Open the Home tab. Pick a scenario from the dropdown and the KPI cards update instantly.</t>
        </is>
      </c>
    </row>
    <row r="5">
      <c r="B5" s="21" t="inlineStr">
        <is>
          <t>To change the numbers, go to Assumptions and edit the yellow cells. That's the only place you type.</t>
        </is>
      </c>
    </row>
    <row r="6">
      <c r="B6" s="21" t="inlineStr">
        <is>
          <t>Advanced (optional): set Price elasticity on Assumptions to a negative number (e.g. -1.3) to make</t>
        </is>
      </c>
    </row>
    <row r="7">
      <c r="B7" s="21" t="inlineStr">
        <is>
          <t>volume respond to price; the Pricing Lab then highlights the wholesale price that earns the most.</t>
        </is>
      </c>
    </row>
    <row r="8">
      <c r="B8" s="57" t="inlineStr"/>
    </row>
    <row r="9">
      <c r="B9" s="24" t="inlineStr">
        <is>
          <t>HOW IT FITS TOGETHER</t>
        </is>
      </c>
    </row>
    <row r="10">
      <c r="B10" s="21" t="inlineStr">
        <is>
          <t>Assumptions is the only place you key numbers. Scenario tabs, Monthly, Dashboard, Sensitivity and Checks all read from it.</t>
        </is>
      </c>
    </row>
    <row r="11">
      <c r="B11" s="21" t="inlineStr">
        <is>
          <t>Change a price, cost or volume once on Assumptions and the entire workbook updates.</t>
        </is>
      </c>
    </row>
    <row r="12">
      <c r="B12" s="57" t="inlineStr"/>
    </row>
    <row r="13">
      <c r="B13" s="24" t="inlineStr">
        <is>
          <t>STEP BY STEP</t>
        </is>
      </c>
    </row>
    <row r="14">
      <c r="B14" s="21" t="inlineStr">
        <is>
          <t>1. On Assumptions, set each SKU's CP, trade discount, COGS build-up, A&amp;P and base volume (yellow cells).</t>
        </is>
      </c>
    </row>
    <row r="15">
      <c r="B15" s="21" t="inlineStr">
        <is>
          <t>2. Set company operating assumptions (salaries, G&amp;A, logistics %, D&amp;A, interest, tax).</t>
        </is>
      </c>
    </row>
    <row r="16">
      <c r="B16" s="21" t="inlineStr">
        <is>
          <t>3. Set the four scenario levers (volume ×, price ×, trade-disc Δ) and the seasonality curve.</t>
        </is>
      </c>
    </row>
    <row r="17">
      <c r="B17" s="21" t="inlineStr">
        <is>
          <t>4. Read results on Dashboard; drill into Low/Base/High/Stretch; phase a scenario on Monthly.</t>
        </is>
      </c>
    </row>
    <row r="18">
      <c r="B18" s="21" t="inlineStr">
        <is>
          <t>5. Stress-test on Sensitivity; confirm Checks reads ALL PASS.</t>
        </is>
      </c>
    </row>
    <row r="19">
      <c r="B19" s="57" t="inlineStr"/>
    </row>
    <row r="20">
      <c r="B20" s="24" t="inlineStr">
        <is>
          <t>P&amp;L LOGIC (per SKU, then company)</t>
        </is>
      </c>
    </row>
    <row r="21">
      <c r="B21" s="21" t="inlineStr">
        <is>
          <t>Gross Revenue = Cases × CP/case</t>
        </is>
      </c>
    </row>
    <row r="22">
      <c r="B22" s="21" t="inlineStr">
        <is>
          <t>Net Sales = Gross Revenue − Trade Discounts   (discount = % of gross)</t>
        </is>
      </c>
    </row>
    <row r="23">
      <c r="B23" s="21" t="inlineStr">
        <is>
          <t>Gross Profit = Net Sales − Cost of Sales        Cost of Sales = COGS Direct + Indirect</t>
        </is>
      </c>
    </row>
    <row r="24">
      <c r="B24" s="21" t="inlineStr">
        <is>
          <t>Contribution Margin = Gross Profit − A&amp;P</t>
        </is>
      </c>
    </row>
    <row r="25">
      <c r="B25" s="21" t="inlineStr">
        <is>
          <t>EBITDA = Σ Contribution − Operating Expenses (fixed + variable logistics)</t>
        </is>
      </c>
    </row>
    <row r="26">
      <c r="B26" s="21" t="inlineStr">
        <is>
          <t>EBIT = EBITDA − D&amp;A;  Pre-tax = EBIT − Interest;  Net Income = Pre-tax − Tax (tax floored at 0).</t>
        </is>
      </c>
    </row>
    <row r="27">
      <c r="B27" s="57" t="inlineStr"/>
    </row>
    <row r="28">
      <c r="B28" s="24" t="inlineStr">
        <is>
          <t>GLOSSARY</t>
        </is>
      </c>
    </row>
    <row r="29">
      <c r="B29" s="21" t="inlineStr">
        <is>
          <t>CP — 'Cost Price' / list price per case charged to the customer (your wholesale price).</t>
        </is>
      </c>
    </row>
    <row r="30">
      <c r="B30" s="21" t="inlineStr">
        <is>
          <t>Case — a shipping case; Singles (12 cans) and 4-Pack (6 four-packs) hold different unit counts.</t>
        </is>
      </c>
    </row>
    <row r="31">
      <c r="B31" s="21" t="inlineStr">
        <is>
          <t>Trade discount — off-invoice allowances/promo funding, expressed as % of gross revenue.</t>
        </is>
      </c>
    </row>
    <row r="32">
      <c r="B32" s="21" t="inlineStr">
        <is>
          <t>A&amp;P — Advertising &amp; Promotion (consumer + trade + sales/broker).</t>
        </is>
      </c>
    </row>
    <row r="33">
      <c r="B33" s="21" t="inlineStr">
        <is>
          <t>Contribution Margin — profit a SKU contributes before company fixed costs.</t>
        </is>
      </c>
    </row>
    <row r="34">
      <c r="B34" s="21" t="inlineStr">
        <is>
          <t>EBITDA — earnings before interest, tax, depreciation &amp; amortisation.</t>
        </is>
      </c>
    </row>
    <row r="35">
      <c r="B35" s="57" t="inlineStr"/>
    </row>
    <row r="36">
      <c r="B36" s="24" t="inlineStr">
        <is>
          <t>CAVEATS</t>
        </is>
      </c>
    </row>
    <row r="37">
      <c r="B37" s="21" t="inlineStr">
        <is>
          <t>All loaded numbers are illustrative placeholders. Replace with real figures before relying on output.</t>
        </is>
      </c>
    </row>
    <row r="38">
      <c r="B38" s="21" t="inlineStr">
        <is>
          <t>Single-currency (CDN $), one fiscal year. No balance sheet / cash flow — this is an operating P&amp;L.</t>
        </is>
      </c>
    </row>
  </sheetData>
  <pageMargins left="0.4" right="0.4" top="0.6" bottom="0.6" header="0.5" footer="0.5"/>
  <pageSetup orientation="portrait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808A99"/>
    <outlinePr summaryBelow="1" summaryRight="1"/>
    <pageSetUpPr fitToPage="1"/>
  </sheetPr>
  <dimension ref="B1:E19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52" customWidth="1" min="3" max="3"/>
    <col width="60" customWidth="1" min="4" max="4"/>
    <col width="12" customWidth="1" min="5" max="5"/>
  </cols>
  <sheetData>
    <row r="1">
      <c r="B1" s="14" t="inlineStr">
        <is>
          <t>Sparkling Daily — Review Log (devil's advocate)</t>
        </is>
      </c>
    </row>
    <row r="2">
      <c r="B2" s="15" t="inlineStr">
        <is>
          <t>Issues identified in the first-pass model and how each was resolved in this build.</t>
        </is>
      </c>
    </row>
    <row r="4">
      <c r="B4" s="17" t="inlineStr">
        <is>
          <t>#</t>
        </is>
      </c>
      <c r="C4" s="17" t="inlineStr">
        <is>
          <t>Issue / risk</t>
        </is>
      </c>
      <c r="D4" s="17" t="inlineStr">
        <is>
          <t>Resolution</t>
        </is>
      </c>
      <c r="E4" s="17" t="inlineStr">
        <is>
          <t>Status</t>
        </is>
      </c>
    </row>
    <row r="5">
      <c r="B5" s="22" t="n">
        <v>1</v>
      </c>
      <c r="C5" s="58" t="inlineStr">
        <is>
          <t>No single source of truth — costs hand-keyed in ~24 places across tabs.</t>
        </is>
      </c>
      <c r="D5" s="58" t="inlineStr">
        <is>
          <t>Added Assumptions tab; all scenarios/monthly/sensitivity read from it (DRY).</t>
        </is>
      </c>
      <c r="E5" s="53" t="inlineStr">
        <is>
          <t>Resolved</t>
        </is>
      </c>
    </row>
    <row r="6">
      <c r="B6" s="22" t="n">
        <v>2</v>
      </c>
      <c r="C6" s="58" t="inlineStr">
        <is>
          <t>Trade discount modelled as flat $/case — unrealistic.</t>
        </is>
      </c>
      <c r="D6" s="58" t="inlineStr">
        <is>
          <t>Now % of gross revenue, per SKU, flexed by scenario.</t>
        </is>
      </c>
      <c r="E6" s="53" t="inlineStr">
        <is>
          <t>Resolved</t>
        </is>
      </c>
    </row>
    <row r="7">
      <c r="B7" s="22" t="n">
        <v>3</v>
      </c>
      <c r="C7" s="58" t="inlineStr">
        <is>
          <t>COGS was a single lump — no cost visibility.</t>
        </is>
      </c>
      <c r="D7" s="58" t="inlineStr">
        <is>
          <t>Built up from ingredients, packaging, co-pack, inbound freight + warehousing.</t>
        </is>
      </c>
      <c r="E7" s="53" t="inlineStr">
        <is>
          <t>Resolved</t>
        </is>
      </c>
    </row>
    <row r="8">
      <c r="B8" s="22" t="n">
        <v>4</v>
      </c>
      <c r="C8" s="58" t="inlineStr">
        <is>
          <t>P&amp;L stopped at contribution — not a real P&amp;L.</t>
        </is>
      </c>
      <c r="D8" s="58" t="inlineStr">
        <is>
          <t>Extended to Opex → EBITDA → EBIT → Pre-tax → Net Income.</t>
        </is>
      </c>
      <c r="E8" s="53" t="inlineStr">
        <is>
          <t>Resolved</t>
        </is>
      </c>
    </row>
    <row r="9">
      <c r="B9" s="22" t="n">
        <v>5</v>
      </c>
      <c r="C9" s="58" t="inlineStr">
        <is>
          <t>No operating leverage — all costs implicitly variable.</t>
        </is>
      </c>
      <c r="D9" s="58" t="inlineStr">
        <is>
          <t>Split fixed (salaries/G&amp;A/mktg/slotting) vs variable (logistics % of net).</t>
        </is>
      </c>
      <c r="E9" s="53" t="inlineStr">
        <is>
          <t>Resolved</t>
        </is>
      </c>
    </row>
    <row r="10">
      <c r="B10" s="22" t="n">
        <v>6</v>
      </c>
      <c r="C10" s="58" t="inlineStr">
        <is>
          <t>Annual only — no phasing.</t>
        </is>
      </c>
      <c r="D10" s="58" t="inlineStr">
        <is>
          <t>Added Monthly tab driven by a seasonality curve.</t>
        </is>
      </c>
      <c r="E10" s="53" t="inlineStr">
        <is>
          <t>Resolved</t>
        </is>
      </c>
    </row>
    <row r="11">
      <c r="B11" s="22" t="n">
        <v>7</v>
      </c>
      <c r="C11" s="58" t="inlineStr">
        <is>
          <t>No way to switch scenario in one view.</t>
        </is>
      </c>
      <c r="D11" s="58" t="inlineStr">
        <is>
          <t>Monthly has a dropdown selector (INDIRECT-driven).</t>
        </is>
      </c>
      <c r="E11" s="53" t="inlineStr">
        <is>
          <t>Resolved</t>
        </is>
      </c>
    </row>
    <row r="12">
      <c r="B12" s="22" t="n">
        <v>8</v>
      </c>
      <c r="C12" s="58" t="inlineStr">
        <is>
          <t>No sensitivity or break-even.</t>
        </is>
      </c>
      <c r="D12" s="58" t="inlineStr">
        <is>
          <t>Two-way EBITDA table (price × volume) + break-even volume, closed-form.</t>
        </is>
      </c>
      <c r="E12" s="53" t="inlineStr">
        <is>
          <t>Resolved</t>
        </is>
      </c>
    </row>
    <row r="13">
      <c r="B13" s="22" t="n">
        <v>9</v>
      </c>
      <c r="C13" s="58" t="inlineStr">
        <is>
          <t>No validation of inputs/outputs.</t>
        </is>
      </c>
      <c r="D13" s="58" t="inlineStr">
        <is>
          <t>Checks tab with PASS/FAIL incl. a tie-out of Dashboard to Base.</t>
        </is>
      </c>
      <c r="E13" s="53" t="inlineStr">
        <is>
          <t>Resolved</t>
        </is>
      </c>
    </row>
    <row r="14">
      <c r="B14" s="22" t="n">
        <v>10</v>
      </c>
      <c r="C14" s="58" t="inlineStr">
        <is>
          <t>No governance / context.</t>
        </is>
      </c>
      <c r="D14" s="58" t="inlineStr">
        <is>
          <t>Cover (purpose, version, owner, legend), Guide + glossary, this Review Log.</t>
        </is>
      </c>
      <c r="E14" s="53" t="inlineStr">
        <is>
          <t>Resolved</t>
        </is>
      </c>
    </row>
    <row r="15">
      <c r="B15" s="22" t="n">
        <v>11</v>
      </c>
      <c r="C15" s="58" t="inlineStr">
        <is>
          <t>Tax could show a fictitious credit on losses.</t>
        </is>
      </c>
      <c r="D15" s="58" t="inlineStr">
        <is>
          <t>Tax floored at 0 via MAX(0, EBT×rate).</t>
        </is>
      </c>
      <c r="E15" s="53" t="inlineStr">
        <is>
          <t>Resolved</t>
        </is>
      </c>
    </row>
    <row r="16">
      <c r="B16" s="22" t="n">
        <v>12</v>
      </c>
      <c r="C16" s="58" t="inlineStr">
        <is>
          <t>Inputs vs calcs indistinguishable.</t>
        </is>
      </c>
      <c r="D16" s="58" t="inlineStr">
        <is>
          <t>Colour coding: yellow = input, blue tint = calculated total; freeze panes throughout.</t>
        </is>
      </c>
      <c r="E16" s="53" t="inlineStr">
        <is>
          <t>Resolved</t>
        </is>
      </c>
    </row>
    <row r="17">
      <c r="B17" s="22" t="n">
        <v>13</v>
      </c>
      <c r="C17" s="58" t="inlineStr">
        <is>
          <t>Flavour names were placeholders.</t>
        </is>
      </c>
      <c r="D17" s="58" t="inlineStr">
        <is>
          <t>Set to Pineapple, Passionfruit, Lime Lemon (editable on Assumptions).</t>
        </is>
      </c>
      <c r="E17" s="53" t="inlineStr">
        <is>
          <t>Resolved</t>
        </is>
      </c>
    </row>
    <row r="18">
      <c r="B18" s="22" t="n">
        <v>14</v>
      </c>
      <c r="C18" s="58" t="inlineStr">
        <is>
          <t>Price and volume were independent — raising CP with no volume loss is unrealistic.</t>
        </is>
      </c>
      <c r="D18" s="58" t="inlineStr">
        <is>
          <t>Added optional price elasticity; volume now responds to price. Pricing Lab finds the best CP.</t>
        </is>
      </c>
      <c r="E18" s="53" t="inlineStr">
        <is>
          <t>Resolved</t>
        </is>
      </c>
    </row>
    <row r="19">
      <c r="B19" s="22" t="n">
        <v>15</v>
      </c>
      <c r="C19" s="58" t="inlineStr">
        <is>
          <t>Workbook opened on a dense tab — not approachable.</t>
        </is>
      </c>
      <c r="D19" s="58" t="inlineStr">
        <is>
          <t>Added a clean Home screen (scenario picker + live KPI cards + guided navigation); simple-first tab order.</t>
        </is>
      </c>
      <c r="E19" s="53" t="inlineStr">
        <is>
          <t>Resolved</t>
        </is>
      </c>
    </row>
  </sheetData>
  <pageMargins left="0.4" right="0.4" top="0.6" bottom="0.6" header="0.5" footer="0.5"/>
  <pageSetup orientation="portrait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808A99"/>
    <outlinePr summaryBelow="1" summaryRight="1"/>
    <pageSetUpPr fitToPage="1"/>
  </sheetPr>
  <dimension ref="B2:G33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14" t="inlineStr">
        <is>
          <t>ORGANIKA</t>
        </is>
      </c>
    </row>
    <row r="3">
      <c r="B3" s="59" t="inlineStr">
        <is>
          <t>Sparkling Daily — One-Year Operating Model</t>
        </is>
      </c>
    </row>
    <row r="5">
      <c r="B5" s="19" t="inlineStr">
        <is>
          <t>BASE-CASE SNAPSHOT (FY2026)</t>
        </is>
      </c>
      <c r="C5" s="20" t="n"/>
      <c r="D5" s="20" t="n"/>
      <c r="E5" s="20" t="n"/>
      <c r="F5" s="20" t="n"/>
      <c r="G5" s="20" t="n"/>
    </row>
    <row r="6">
      <c r="B6" s="18" t="inlineStr">
        <is>
          <t>Net Sales</t>
        </is>
      </c>
      <c r="C6" s="18" t="inlineStr">
        <is>
          <t>Gross Profit %</t>
        </is>
      </c>
      <c r="D6" s="18" t="inlineStr">
        <is>
          <t>EBITDA</t>
        </is>
      </c>
      <c r="E6" s="18" t="inlineStr">
        <is>
          <t>Net Income</t>
        </is>
      </c>
      <c r="F6" s="18" t="inlineStr">
        <is>
          <t>Total Cases</t>
        </is>
      </c>
      <c r="G6" s="18" t="inlineStr">
        <is>
          <t>Break-even Cases</t>
        </is>
      </c>
    </row>
    <row r="7" ht="26" customHeight="1">
      <c r="B7" s="60">
        <f>'Base'!I18</f>
        <v/>
      </c>
      <c r="C7" s="61">
        <f>'Base'!I23</f>
        <v/>
      </c>
      <c r="D7" s="60">
        <f>'Base'!I34</f>
        <v/>
      </c>
      <c r="E7" s="60">
        <f>'Base'!I41</f>
        <v/>
      </c>
      <c r="F7" s="62">
        <f>'Base'!I8</f>
        <v/>
      </c>
      <c r="G7" s="62">
        <f>'Sensitivity'!$C$23</f>
        <v/>
      </c>
    </row>
    <row r="9">
      <c r="B9" s="24" t="inlineStr">
        <is>
          <t>Purpose</t>
        </is>
      </c>
      <c r="C9" s="21" t="inlineStr">
        <is>
          <t>Model FY net sales, margin and EBITDA for Sparkling Daily across pricing &amp; volume scenarios.</t>
        </is>
      </c>
    </row>
    <row r="10">
      <c r="B10" s="24" t="inlineStr">
        <is>
          <t>Scope</t>
        </is>
      </c>
      <c r="C10" s="21" t="inlineStr">
        <is>
          <t>3 flavours (Pineapple, Passionfruit, Lime Lemon) × Singles (12-ct) + 4-Pack = 6 SKUs; one fiscal year.</t>
        </is>
      </c>
    </row>
    <row r="11">
      <c r="B11" s="24" t="inlineStr">
        <is>
          <t>Fiscal year</t>
        </is>
      </c>
      <c r="C11" s="21" t="inlineStr">
        <is>
          <t>FY2026</t>
        </is>
      </c>
    </row>
    <row r="12">
      <c r="B12" s="24" t="inlineStr">
        <is>
          <t>Version</t>
        </is>
      </c>
      <c r="C12" s="21" t="inlineStr">
        <is>
          <t>v2.0</t>
        </is>
      </c>
    </row>
    <row r="13">
      <c r="B13" s="24" t="inlineStr">
        <is>
          <t>Built</t>
        </is>
      </c>
      <c r="C13" s="21" t="inlineStr">
        <is>
          <t>2026-06-05</t>
        </is>
      </c>
    </row>
    <row r="14">
      <c r="B14" s="24" t="inlineStr">
        <is>
          <t>Currency</t>
        </is>
      </c>
      <c r="C14" s="21" t="inlineStr">
        <is>
          <t>CDN $</t>
        </is>
      </c>
    </row>
    <row r="15">
      <c r="B15" s="24" t="inlineStr">
        <is>
          <t>Owner</t>
        </is>
      </c>
      <c r="C15" s="21" t="inlineStr">
        <is>
          <t>Commercial Finance</t>
        </is>
      </c>
    </row>
    <row r="16">
      <c r="B16" s="24" t="inlineStr">
        <is>
          <t>Status</t>
        </is>
      </c>
      <c r="C16" s="21" t="inlineStr">
        <is>
          <t>DRAFT — figures are placeholders pending real inputs</t>
        </is>
      </c>
    </row>
    <row r="18">
      <c r="B18" s="19" t="inlineStr">
        <is>
          <t>TAB INDEX</t>
        </is>
      </c>
      <c r="C18" s="63" t="inlineStr"/>
    </row>
    <row r="19">
      <c r="B19" s="24" t="inlineStr">
        <is>
          <t>Guide</t>
        </is>
      </c>
      <c r="C19" s="21" t="inlineStr">
        <is>
          <t>How to use + glossary of terms</t>
        </is>
      </c>
    </row>
    <row r="20">
      <c r="B20" s="24" t="inlineStr">
        <is>
          <t>Review Log</t>
        </is>
      </c>
      <c r="C20" s="21" t="inlineStr">
        <is>
          <t>Devil's-advocate critique and how each issue was resolved</t>
        </is>
      </c>
    </row>
    <row r="21">
      <c r="B21" s="24" t="inlineStr">
        <is>
          <t>Assumptions</t>
        </is>
      </c>
      <c r="C21" s="21" t="inlineStr">
        <is>
          <t>SINGLE SOURCE OF TRUTH — edit yellow cells here</t>
        </is>
      </c>
    </row>
    <row r="22">
      <c r="B22" s="24" t="inlineStr">
        <is>
          <t>Dashboard</t>
        </is>
      </c>
      <c r="C22" s="21" t="inlineStr">
        <is>
          <t>Scenario comparison (table)</t>
        </is>
      </c>
    </row>
    <row r="23">
      <c r="B23" s="24" t="inlineStr">
        <is>
          <t>Low / Base / High / Stretch</t>
        </is>
      </c>
      <c r="C23" s="21" t="inlineStr">
        <is>
          <t>Full P&amp;L per scenario (6 SKUs + total → Net Income)</t>
        </is>
      </c>
    </row>
    <row r="24">
      <c r="B24" s="24" t="inlineStr">
        <is>
          <t>Monthly</t>
        </is>
      </c>
      <c r="C24" s="21" t="inlineStr">
        <is>
          <t>Seasonalised monthly P&amp;L for a selected scenario</t>
        </is>
      </c>
    </row>
    <row r="25">
      <c r="B25" s="24" t="inlineStr">
        <is>
          <t>Pricing Lab</t>
        </is>
      </c>
      <c r="C25" s="21" t="inlineStr">
        <is>
          <t>Best wholesale price (CP) per SKU</t>
        </is>
      </c>
    </row>
    <row r="26">
      <c r="B26" s="24" t="inlineStr">
        <is>
          <t>Unit Economics</t>
        </is>
      </c>
      <c r="C26" s="21" t="inlineStr">
        <is>
          <t>Per-unit costs + suggested retail shelf price</t>
        </is>
      </c>
    </row>
    <row r="27">
      <c r="B27" s="24" t="inlineStr">
        <is>
          <t>Targets</t>
        </is>
      </c>
      <c r="C27" s="21" t="inlineStr">
        <is>
          <t>Goal-seek: price/volume to hit a GP% or EBITDA</t>
        </is>
      </c>
    </row>
    <row r="28">
      <c r="B28" s="24" t="inlineStr">
        <is>
          <t>Sensitivity</t>
        </is>
      </c>
      <c r="C28" s="21" t="inlineStr">
        <is>
          <t>Two-way EBITDA table + break-even volume</t>
        </is>
      </c>
    </row>
    <row r="29">
      <c r="B29" s="24" t="inlineStr">
        <is>
          <t>Checks</t>
        </is>
      </c>
      <c r="C29" s="21" t="inlineStr">
        <is>
          <t>Automated validation (should read ALL PASS)</t>
        </is>
      </c>
    </row>
    <row r="31">
      <c r="B31" s="19" t="inlineStr">
        <is>
          <t>LEGEND</t>
        </is>
      </c>
      <c r="C31" s="63" t="inlineStr"/>
    </row>
    <row r="32">
      <c r="B32" s="44" t="inlineStr">
        <is>
          <t>Yellow cell</t>
        </is>
      </c>
      <c r="C32" s="21" t="inlineStr">
        <is>
          <t>Input — safe to edit</t>
        </is>
      </c>
    </row>
    <row r="33">
      <c r="B33" s="64" t="inlineStr">
        <is>
          <t>Blue tint</t>
        </is>
      </c>
      <c r="C33" s="21" t="inlineStr">
        <is>
          <t>Calculated total — do not overwrite</t>
        </is>
      </c>
    </row>
  </sheetData>
  <pageMargins left="0.4" right="0.4" top="0.6" bottom="0.6" header="0.5" footer="0.5"/>
  <pageSetup orientation="portrait" fitToHeight="0" fitToWidth="1"/>
  <headerFooter>
    <oddHeader/>
    <oddFooter>&amp;LSparkling Daily • FY2026&amp;C&amp;A&amp;Rv2.0 •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2026-10-23T07:20:49Z</dcterms:created>
  <dcterms:modified xsi:type="dcterms:W3CDTF">2026-10-23T07:20:49Z</dcterms:modified>
</cp:coreProperties>
</file>