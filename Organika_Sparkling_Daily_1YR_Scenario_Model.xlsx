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8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5">
      <c r="B15" s="34" t="inlineStr">
        <is>
          <t>Scenario P&amp;L identities hold (Net, CM, EBITDA — all scenarios)</t>
        </is>
      </c>
      <c r="C15" s="37">
        <f>ABS('Low'!I18-('Low'!I16-'Low'!I17))+ABS('Low'!I25-('Low'!I22-'Low'!I24))+ABS('Low'!I34-('Low'!I25-'Low'!I33))+ABS('Base'!I18-('Base'!I16-'Base'!I17))+ABS('Base'!I25-('Base'!I22-'Base'!I24))+ABS('Base'!I34-('Base'!I25-'Base'!I33))+ABS('High'!I18-('High'!I16-'High'!I17))+ABS('High'!I25-('High'!I22-'High'!I24))+ABS('High'!I34-('High'!I25-'High'!I33))+ABS('Stretch'!I18-('Stretch'!I16-'Stretch'!I17))+ABS('Stretch'!I25-('Stretch'!I22-'Stretch'!I24))+ABS('Stretch'!I34-('Stretch'!I25-'Stretch'!I33))</f>
        <v/>
      </c>
      <c r="D15" s="51">
        <f>IF(ABS('Low'!I18-('Low'!I16-'Low'!I17))+ABS('Low'!I25-('Low'!I22-'Low'!I24))+ABS('Low'!I34-('Low'!I25-'Low'!I33))+ABS('Base'!I18-('Base'!I16-'Base'!I17))+ABS('Base'!I25-('Base'!I22-'Base'!I24))+ABS('Base'!I34-('Base'!I25-'Base'!I33))+ABS('High'!I18-('High'!I16-'High'!I17))+ABS('High'!I25-('High'!I22-'High'!I24))+ABS('High'!I34-('High'!I25-'High'!I33))+ABS('Stretch'!I18-('Stretch'!I16-'Stretch'!I17))+ABS('Stretch'!I25-('Stretch'!I22-'Stretch'!I24))+ABS('Stretch'!I34-('Stretch'!I25-'Stretch'!I33))&lt;0.01,"PASS","FAIL")</f>
        <v/>
      </c>
    </row>
    <row r="16">
      <c r="B16" s="34" t="inlineStr">
        <is>
          <t>Dashboard EBITDA ties to all 4 scenario tabs</t>
        </is>
      </c>
      <c r="C16" s="37">
        <f>ABS('Dashboard'!C15-'Low'!I34)+ABS('Dashboard'!D15-'Base'!I34)+ABS('Dashboard'!E15-'High'!I34)+ABS('Dashboard'!F15-'Stretch'!I34)</f>
        <v/>
      </c>
      <c r="D16" s="51">
        <f>IF(ABS('Dashboard'!C15-'Low'!I34)+ABS('Dashboard'!D15-'Base'!I34)+ABS('Dashboard'!E15-'High'!I34)+ABS('Dashboard'!F15-'Stretch'!I34)&lt;1,"PASS","FAIL")</f>
        <v/>
      </c>
    </row>
    <row r="18">
      <c r="B18" s="24" t="inlineStr">
        <is>
          <t>OVERALL</t>
        </is>
      </c>
      <c r="D18" s="51">
        <f>IF(COUNTIF(D5:D16,"FAIL")=0,"ALL PASS","REVIEW")</f>
        <v/>
      </c>
    </row>
  </sheetData>
  <conditionalFormatting sqref="D5:D18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2026-07-18T09:07:05Z</dcterms:created>
  <dcterms:modified xsi:type="dcterms:W3CDTF">2026-07-18T09:07:05Z</dcterms:modified>
</cp:coreProperties>
</file>