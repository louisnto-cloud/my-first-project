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ome" sheetId="1" state="visible" r:id="rId3"/>
    <sheet name="Assumptions" sheetId="2" state="visible" r:id="rId4"/>
    <sheet name="Dashboard" sheetId="3" state="visible" r:id="rId5"/>
    <sheet name="Base" sheetId="4" state="visible" r:id="rId6"/>
    <sheet name="Low" sheetId="5" state="visible" r:id="rId7"/>
    <sheet name="High" sheetId="6" state="visible" r:id="rId8"/>
    <sheet name="Stretch" sheetId="7" state="visible" r:id="rId9"/>
    <sheet name="Monthly" sheetId="8" state="visible" r:id="rId10"/>
    <sheet name="Pricing Lab" sheetId="9" state="visible" r:id="rId11"/>
    <sheet name="Targets" sheetId="10" state="visible" r:id="rId12"/>
    <sheet name="Sensitivity" sheetId="11" state="visible" r:id="rId13"/>
    <sheet name="Checks" sheetId="12" state="visible" r:id="rId14"/>
    <sheet name="Guide" sheetId="13" state="visible" r:id="rId15"/>
    <sheet name="Review Log" sheetId="14" state="visible" r:id="rId16"/>
    <sheet name="Cover" sheetId="15" state="visible" r:id="rId17"/>
  </sheets>
  <definedNames>
    <definedName function="false" hidden="false" localSheetId="1" name="_xlnm.Print_Titles" vbProcedure="false">Assumptions!$4:$5</definedName>
    <definedName function="false" hidden="false" localSheetId="3" name="_xlnm.Print_Titles" vbProcedure="false">Base!$5:$6</definedName>
    <definedName function="false" hidden="false" localSheetId="2" name="_xlnm.Print_Titles" vbProcedure="false">Dashboard!$4:$4</definedName>
    <definedName function="false" hidden="false" localSheetId="5" name="_xlnm.Print_Titles" vbProcedure="false">High!$5:$6</definedName>
    <definedName function="false" hidden="false" localSheetId="4" name="_xlnm.Print_Titles" vbProcedure="false">Low!$5:$6</definedName>
    <definedName function="false" hidden="false" localSheetId="7" name="_xlnm.Print_Titles" vbProcedure="false">Monthly!$6:$6</definedName>
    <definedName function="false" hidden="false" localSheetId="6" name="_xlnm.Print_Titles" vbProcedure="false">Stretch!$5:$6</definedName>
    <definedName function="false" hidden="false" name="BaseVolume_Total" vbProcedure="false">Assumptions!$C$28:$H$28</definedName>
    <definedName function="false" hidden="false" name="CP_Pineapple_Singles" vbProcedure="false">Assumptions!$C$11</definedName>
    <definedName function="false" hidden="false" name="LogisticsPct" vbProcedure="false">Assumptions!$C$35</definedName>
    <definedName function="false" hidden="false" name="TaxRate" vbProcedure="false">Assumptions!$C$38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<sst xmlns="http://schemas.openxmlformats.org/spreadsheetml/2006/main" count="575" uniqueCount="337">
  <si>
    <t xml:space="preserve">ORGANIKA</t>
  </si>
  <si>
    <t xml:space="preserve">Sparkling Daily</t>
  </si>
  <si>
    <t xml:space="preserve">One Year Operating Model  ·  FY2026</t>
  </si>
  <si>
    <t xml:space="preserve">Scenario</t>
  </si>
  <si>
    <t xml:space="preserve">Base</t>
  </si>
  <si>
    <t xml:space="preserve">▼ pick a scenario: everything below updates</t>
  </si>
  <si>
    <t xml:space="preserve">NET SALES</t>
  </si>
  <si>
    <t xml:space="preserve">GROSS PROFIT %</t>
  </si>
  <si>
    <t xml:space="preserve">EBITDA</t>
  </si>
  <si>
    <t xml:space="preserve">EBITDA %</t>
  </si>
  <si>
    <t xml:space="preserve">NET INCOME</t>
  </si>
  <si>
    <t xml:space="preserve">PHYSICAL CASES</t>
  </si>
  <si>
    <t xml:space="preserve">Breakeven volume</t>
  </si>
  <si>
    <t xml:space="preserve">Blended CP / case</t>
  </si>
  <si>
    <t xml:space="preserve">WHERE TO GO</t>
  </si>
  <si>
    <t xml:space="preserve">1.  Assumptions</t>
  </si>
  <si>
    <t xml:space="preserve">The ONE place you type. Change a yellow cell, everything updates.</t>
  </si>
  <si>
    <t xml:space="preserve">2.  Dashboard</t>
  </si>
  <si>
    <t xml:space="preserve">All four scenarios side by side.</t>
  </si>
  <si>
    <t xml:space="preserve">Base · Low · High · Stretch</t>
  </si>
  <si>
    <t xml:space="preserve">The full profit story for each scenario.</t>
  </si>
  <si>
    <t xml:space="preserve">Monthly</t>
  </si>
  <si>
    <t xml:space="preserve">The chosen scenario spread across the 12 months.</t>
  </si>
  <si>
    <t xml:space="preserve">Pricing Lab</t>
  </si>
  <si>
    <t xml:space="preserve">See the wholesale price that makes the most money.</t>
  </si>
  <si>
    <t xml:space="preserve">Targets</t>
  </si>
  <si>
    <t xml:space="preserve">Set a goal: it tells you the price or volume to get there.</t>
  </si>
  <si>
    <t xml:space="preserve">Sensitivity</t>
  </si>
  <si>
    <t xml:space="preserve">How profit moves with price and volume.</t>
  </si>
  <si>
    <t xml:space="preserve">Checks</t>
  </si>
  <si>
    <t xml:space="preserve">Built in health check (should say ALL PASS).</t>
  </si>
  <si>
    <t xml:space="preserve">v2.0  ·  built June 5 2026  ·  all $ CDN  ·  figures are placeholders until you add real numbers</t>
  </si>
  <si>
    <t xml:space="preserve">Sparkling Daily: Assumptions (single source of truth)</t>
  </si>
  <si>
    <t xml:space="preserve">Edit YELLOW cells only. Every scenario, the monthly view, sensitivity and checks read from this sheet.</t>
  </si>
  <si>
    <t xml:space="preserve">SINGLES</t>
  </si>
  <si>
    <t xml:space="preserve">4-PACK</t>
  </si>
  <si>
    <t xml:space="preserve">Per case (CDN $)</t>
  </si>
  <si>
    <t xml:space="preserve">Pineapple</t>
  </si>
  <si>
    <t xml:space="preserve">Passionfruit</t>
  </si>
  <si>
    <t xml:space="preserve">Lime Lemon</t>
  </si>
  <si>
    <t xml:space="preserve">SKU DEFINITION</t>
  </si>
  <si>
    <t xml:space="preserve">   Format</t>
  </si>
  <si>
    <t xml:space="preserve">Singles</t>
  </si>
  <si>
    <t xml:space="preserve">4 Pack</t>
  </si>
  <si>
    <t xml:space="preserve">   Flavour</t>
  </si>
  <si>
    <t xml:space="preserve">   Units per case</t>
  </si>
  <si>
    <t xml:space="preserve">PRICE (per case)</t>
  </si>
  <si>
    <t xml:space="preserve">   CP: List price / case</t>
  </si>
  <si>
    <t xml:space="preserve">   Trade discount (% of gross)</t>
  </si>
  <si>
    <t xml:space="preserve">   Price per unit (info)</t>
  </si>
  <si>
    <t xml:space="preserve">COGS (per case)</t>
  </si>
  <si>
    <t xml:space="preserve">   Ingredients</t>
  </si>
  <si>
    <t xml:space="preserve">   Packaging</t>
  </si>
  <si>
    <t xml:space="preserve">   Manufacturing / Co pack</t>
  </si>
  <si>
    <t xml:space="preserve">   Inbound Freight</t>
  </si>
  <si>
    <t xml:space="preserve">   COGS Direct / case</t>
  </si>
  <si>
    <t xml:space="preserve">   Warehousing / Indirect</t>
  </si>
  <si>
    <t xml:space="preserve">   Cost of Sales / case</t>
  </si>
  <si>
    <t xml:space="preserve">A&amp;P (per case)</t>
  </si>
  <si>
    <t xml:space="preserve">   Consumer</t>
  </si>
  <si>
    <t xml:space="preserve">   Trade</t>
  </si>
  <si>
    <t xml:space="preserve">   Sales / Broker</t>
  </si>
  <si>
    <t xml:space="preserve">   A&amp;P / case</t>
  </si>
  <si>
    <t xml:space="preserve">VOLUME</t>
  </si>
  <si>
    <t xml:space="preserve">   Base annual volume (cases)</t>
  </si>
  <si>
    <t xml:space="preserve">COMPANY OPERATING ASSUMPTIONS (annual)</t>
  </si>
  <si>
    <t xml:space="preserve">   Salaries &amp; wages</t>
  </si>
  <si>
    <t xml:space="preserve">   G&amp;A / overhead</t>
  </si>
  <si>
    <t xml:space="preserve">   Marketing overhead (brand)</t>
  </si>
  <si>
    <t xml:space="preserve">   Slotting / listing fees</t>
  </si>
  <si>
    <t xml:space="preserve">   Outbound logistics (% of net sales)</t>
  </si>
  <si>
    <t xml:space="preserve">   Depreciation &amp; amortisation</t>
  </si>
  <si>
    <t xml:space="preserve">   Interest expense</t>
  </si>
  <si>
    <t xml:space="preserve">   Tax rate</t>
  </si>
  <si>
    <t xml:space="preserve">   Price elasticity (advanced; 0 = off)</t>
  </si>
  <si>
    <t xml:space="preserve">SCENARIO LEVERS</t>
  </si>
  <si>
    <t xml:space="preserve">   Scenario</t>
  </si>
  <si>
    <t xml:space="preserve">Volume x</t>
  </si>
  <si>
    <t xml:space="preserve">Price x</t>
  </si>
  <si>
    <t xml:space="preserve">Trade disc Δ</t>
  </si>
  <si>
    <t xml:space="preserve">   Low</t>
  </si>
  <si>
    <t xml:space="preserve">   Base</t>
  </si>
  <si>
    <t xml:space="preserve">   High</t>
  </si>
  <si>
    <t xml:space="preserve">   Stretch</t>
  </si>
  <si>
    <t xml:space="preserve">SEASONALITY (% of annual volume)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</si>
  <si>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</si>
  <si>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</si>
  <si>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</si>
  <si>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</si>
  <si>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</si>
  <si>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</si>
  <si>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</si>
  <si>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</si>
  <si>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</si>
  <si>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</si>
  <si>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</si>
  <si>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</si>
  <si>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Check</t>
  </si>
  <si>
    <t xml:space="preserve">Sparkling Daily: Scenario Dashboard (FY2026)</t>
  </si>
  <si>
    <t xml:space="preserve">Company totals across the four scenarios. Driven live from each scenario tab.</t>
  </si>
  <si>
    <t xml:space="preserve">Metric</t>
  </si>
  <si>
    <t xml:space="preserve">Low</t>
  </si>
  <si>
    <t xml:space="preserve">High</t>
  </si>
  <si>
    <t xml:space="preserve">Stretch</t>
  </si>
  <si>
    <t xml:space="preserve">Physical Cases</t>
  </si>
  <si>
    <t xml:space="preserve">Gross Revenue</t>
  </si>
  <si>
    <t xml:space="preserve">Trade Discounts</t>
  </si>
  <si>
    <t xml:space="preserve">Net Sales</t>
  </si>
  <si>
    <t xml:space="preserve">Gross Profit</t>
  </si>
  <si>
    <t xml:space="preserve">GP %</t>
  </si>
  <si>
    <t xml:space="preserve">A&amp;P</t>
  </si>
  <si>
    <t xml:space="preserve">Contribution Margin</t>
  </si>
  <si>
    <t xml:space="preserve">CM %</t>
  </si>
  <si>
    <t xml:space="preserve">Total Opex</t>
  </si>
  <si>
    <t xml:space="preserve">Net Income</t>
  </si>
  <si>
    <t xml:space="preserve">Net Income %</t>
  </si>
  <si>
    <t xml:space="preserve">Net Sales / case</t>
  </si>
  <si>
    <t xml:space="preserve">Sparkling Daily: BASE Scenario  (FY2026)</t>
  </si>
  <si>
    <t xml:space="preserve">Levers vs Base:  Volume 100%  •  Price 100%  •  Trade disc Δ +0%   (all driven from Assumptions)</t>
  </si>
  <si>
    <t xml:space="preserve">CDN $.  All figures calculate from the Assumptions tab: nothing here is hand keyed.</t>
  </si>
  <si>
    <t xml:space="preserve">TOTAL
DAILY</t>
  </si>
  <si>
    <t xml:space="preserve">CDN $</t>
  </si>
  <si>
    <t xml:space="preserve">   Physical Cases</t>
  </si>
  <si>
    <t xml:space="preserve">PRICE &amp; COST: PER CASE (from Assumptions x levers)</t>
  </si>
  <si>
    <t xml:space="preserve">   CP: Gross Rev / case</t>
  </si>
  <si>
    <t xml:space="preserve">   Trade discount %</t>
  </si>
  <si>
    <t xml:space="preserve">   COGS Indirect / case</t>
  </si>
  <si>
    <t xml:space="preserve">P&amp;L  ($)</t>
  </si>
  <si>
    <t xml:space="preserve">   Gross Revenue</t>
  </si>
  <si>
    <t xml:space="preserve">   Trade Discounts</t>
  </si>
  <si>
    <t xml:space="preserve">   Net Sales</t>
  </si>
  <si>
    <t xml:space="preserve">   COGS Direct</t>
  </si>
  <si>
    <t xml:space="preserve">   COGS Indirect</t>
  </si>
  <si>
    <t xml:space="preserve">   Cost of Sales</t>
  </si>
  <si>
    <t xml:space="preserve">   Gross Profit</t>
  </si>
  <si>
    <t xml:space="preserve">   GP %</t>
  </si>
  <si>
    <t xml:space="preserve">   A&amp;P</t>
  </si>
  <si>
    <t xml:space="preserve">   Contribution Margin</t>
  </si>
  <si>
    <t xml:space="preserve">   CM %</t>
  </si>
  <si>
    <t xml:space="preserve">OPERATING EXPENSES &amp; PROFIT  (company total)</t>
  </si>
  <si>
    <t xml:space="preserve">   Marketing overhead</t>
  </si>
  <si>
    <t xml:space="preserve">   Slotting / listing</t>
  </si>
  <si>
    <t xml:space="preserve">   Outbound logistics</t>
  </si>
  <si>
    <t xml:space="preserve">   Total Operating Expenses</t>
  </si>
  <si>
    <t xml:space="preserve">   EBITDA</t>
  </si>
  <si>
    <t xml:space="preserve">   EBITDA %</t>
  </si>
  <si>
    <t xml:space="preserve">   Depreciation &amp; amort.</t>
  </si>
  <si>
    <t xml:space="preserve">   EBIT</t>
  </si>
  <si>
    <t xml:space="preserve">   Interest</t>
  </si>
  <si>
    <t xml:space="preserve">   Pretax Profit (EBT)</t>
  </si>
  <si>
    <t xml:space="preserve">   Tax</t>
  </si>
  <si>
    <t xml:space="preserve">   Net Income</t>
  </si>
  <si>
    <t xml:space="preserve">   Net Income %</t>
  </si>
  <si>
    <t xml:space="preserve">PER CASE KPIs</t>
  </si>
  <si>
    <t xml:space="preserve">   Net Sales / case</t>
  </si>
  <si>
    <t xml:space="preserve">   Contribution / case</t>
  </si>
  <si>
    <t xml:space="preserve">Sparkling Daily: LOW Scenario  (FY2026)</t>
  </si>
  <si>
    <t xml:space="preserve">Levers vs Base:  Volume 70%  •  Price 95%  •  Trade disc Δ +1%   (all driven from Assumptions)</t>
  </si>
  <si>
    <t xml:space="preserve">Sparkling Daily: HIGH Scenario  (FY2026)</t>
  </si>
  <si>
    <t xml:space="preserve">Levers vs Base:  Volume 130%  •  Price 100%  •  Trade disc Δ +0%   (all driven from Assumptions)</t>
  </si>
  <si>
    <t xml:space="preserve">Sparkling Daily: STRETCH Scenario  (FY2026)</t>
  </si>
  <si>
    <t xml:space="preserve">Levers vs Base:  Volume 160%  •  Price 105%  •  Trade disc Δ -1%   (all driven from Assumptions)</t>
  </si>
  <si>
    <t xml:space="preserve">Sparkling Daily: Monthly Phasing (FY2026)</t>
  </si>
  <si>
    <t xml:space="preserve">Pick a scenario; volume driven lines follow the seasonality curve, fixed costs spread evenly.</t>
  </si>
  <si>
    <t xml:space="preserve">Scenario:</t>
  </si>
  <si>
    <t xml:space="preserve">← change me</t>
  </si>
  <si>
    <t xml:space="preserve">FY</t>
  </si>
  <si>
    <t xml:space="preserve">   Fixed opex (salaries, G&amp;A, mktg, slotting)</t>
  </si>
  <si>
    <t xml:space="preserve">   Pretax Profit</t>
  </si>
  <si>
    <t xml:space="preserve">   Cumulative Net Income</t>
  </si>
  <si>
    <t xml:space="preserve">Sparkling Daily: Pricing Lab (FY2026)</t>
  </si>
  <si>
    <t xml:space="preserve">How wholesale price (CP) drives margin. Each column flexes every SKU's CP vs its Assumptions base; volume &amp; costs held at base.</t>
  </si>
  <si>
    <t xml:space="preserve">Gross Profit %  (by SKU, by CP)</t>
  </si>
  <si>
    <t xml:space="preserve">SKU  \  CP vs base</t>
  </si>
  <si>
    <t xml:space="preserve">   Pineapple Singles</t>
  </si>
  <si>
    <t xml:space="preserve">   Passionfruit Singles</t>
  </si>
  <si>
    <t xml:space="preserve">   Lime Lemon Singles</t>
  </si>
  <si>
    <t xml:space="preserve">   Pineapple 4 Pack</t>
  </si>
  <si>
    <t xml:space="preserve">   Passionfruit 4 Pack</t>
  </si>
  <si>
    <t xml:space="preserve">   Lime Lemon 4 Pack</t>
  </si>
  <si>
    <t xml:space="preserve">Annual Contribution $  (by SKU, by CP; volume held flat unless price elasticity is set below 0)</t>
  </si>
  <si>
    <t xml:space="preserve">Best CP ×</t>
  </si>
  <si>
    <t xml:space="preserve">Sparkling Daily: Targets / Goal Seek (FY2026)</t>
  </si>
  <si>
    <t xml:space="preserve">Set a goal; the model solves the price or volume needed: exact closed form, no iteration.</t>
  </si>
  <si>
    <t xml:space="preserve">Model constants (from Assumptions)</t>
  </si>
  <si>
    <t xml:space="preserve">   K1  Net @ base (Σ vol·cp·(1 − d))</t>
  </si>
  <si>
    <t xml:space="preserve">   Kcos  Σ vol·Cost of Sales</t>
  </si>
  <si>
    <t xml:space="preserve">   Kap  Σ vol·A&amp;P</t>
  </si>
  <si>
    <t xml:space="preserve">   Fixed opex</t>
  </si>
  <si>
    <t xml:space="preserve">   Logistics % of net</t>
  </si>
  <si>
    <t xml:space="preserve">   Base total cases</t>
  </si>
  <si>
    <t xml:space="preserve">Your targets (edit yellow)</t>
  </si>
  <si>
    <t xml:space="preserve">   Target company GP %</t>
  </si>
  <si>
    <t xml:space="preserve">   Target EBITDA ($)</t>
  </si>
  <si>
    <t xml:space="preserve">Solved answers</t>
  </si>
  <si>
    <t xml:space="preserve">   Price × to hit target GP % (base volume)</t>
  </si>
  <si>
    <t xml:space="preserve">   → implied blended CP change</t>
  </si>
  <si>
    <t xml:space="preserve">   Volume × to hit target EBITDA (base price)</t>
  </si>
  <si>
    <t xml:space="preserve">   → implied total cases</t>
  </si>
  <si>
    <t xml:space="preserve">   Price × to hit target EBITDA (base vol; ε=0 approx)</t>
  </si>
  <si>
    <t xml:space="preserve">   Breakeven volume × (EBITDA = 0, base price)</t>
  </si>
  <si>
    <t xml:space="preserve">   → breakeven cases</t>
  </si>
  <si>
    <t xml:space="preserve">Sparkling Daily: Sensitivity &amp; Breakeven (FY2026)</t>
  </si>
  <si>
    <t xml:space="preserve">EBITDA as price and volume flex around Base. Exact closed form from Assumptions.</t>
  </si>
  <si>
    <t xml:space="preserve">K1  Base gross less disc (Σ vol·cp·(1 − d))</t>
  </si>
  <si>
    <t xml:space="preserve">K2  Base variable cost (Σ vol·(COS+A&amp;P))</t>
  </si>
  <si>
    <t xml:space="preserve">Fixed opex (sal+G&amp;A+mktg+slot)</t>
  </si>
  <si>
    <t xml:space="preserve">Logistics % of net</t>
  </si>
  <si>
    <t xml:space="preserve">Base total cases</t>
  </si>
  <si>
    <t xml:space="preserve">Price elasticity (from Assumptions)</t>
  </si>
  <si>
    <t xml:space="preserve">EBITDA  ($)</t>
  </si>
  <si>
    <t xml:space="preserve">Price x  \  Volume x</t>
  </si>
  <si>
    <t xml:space="preserve">BREAKEVEN (at Base price)</t>
  </si>
  <si>
    <t xml:space="preserve">Volume x for EBITDA = 0</t>
  </si>
  <si>
    <t xml:space="preserve">Breakeven cases</t>
  </si>
  <si>
    <t xml:space="preserve">Base case volume</t>
  </si>
  <si>
    <t xml:space="preserve">Sparkling Daily: Model Checks</t>
  </si>
  <si>
    <t xml:space="preserve">Automated validation. Everything should read PASS.</t>
  </si>
  <si>
    <t xml:space="preserve">Result</t>
  </si>
  <si>
    <t xml:space="preserve">Status</t>
  </si>
  <si>
    <t xml:space="preserve">Seasonality sums to 100%</t>
  </si>
  <si>
    <t xml:space="preserve">All CP / case &gt; 0</t>
  </si>
  <si>
    <t xml:space="preserve">All volumes &gt;= 0</t>
  </si>
  <si>
    <t xml:space="preserve">Trade discount within 0-50%</t>
  </si>
  <si>
    <t xml:space="preserve">Base GP% between 0 and 100%</t>
  </si>
  <si>
    <t xml:space="preserve">COGS Direct &lt; CP (each SKU)</t>
  </si>
  <si>
    <t xml:space="preserve">Tax rate within 0-50%</t>
  </si>
  <si>
    <t xml:space="preserve">All scenario volume levers &gt; 0</t>
  </si>
  <si>
    <t xml:space="preserve">Price elasticity &lt;= 0 (demand sane)</t>
  </si>
  <si>
    <t xml:space="preserve">Dashboard Net Sales ties to Base tab</t>
  </si>
  <si>
    <t xml:space="preserve">OVERALL</t>
  </si>
  <si>
    <t xml:space="preserve">Sparkling Daily: Model Guide</t>
  </si>
  <si>
    <t xml:space="preserve">START HERE</t>
  </si>
  <si>
    <t xml:space="preserve">Open the Home tab. Pick a scenario from the dropdown and the KPI cards update instantly.</t>
  </si>
  <si>
    <t xml:space="preserve">To change the numbers, go to Assumptions and edit the yellow cells. That's the only place you type.</t>
  </si>
  <si>
    <t xml:space="preserve">Advanced (optional): set Price elasticity on Assumptions to a negative number (e.g. -1.3) to make</t>
  </si>
  <si>
    <t xml:space="preserve">volume respond to price; the Pricing Lab then highlights the wholesale price that earns the most.</t>
  </si>
  <si>
    <t xml:space="preserve">HOW IT FITS TOGETHER</t>
  </si>
  <si>
    <t xml:space="preserve">Assumptions is the only place you key numbers. Scenario tabs, Monthly, Dashboard, Sensitivity and Checks all read from it.</t>
  </si>
  <si>
    <t xml:space="preserve">Change a price, cost or volume once on Assumptions and the entire workbook updates.</t>
  </si>
  <si>
    <t xml:space="preserve">STEP BY STEP</t>
  </si>
  <si>
    <t xml:space="preserve">1. On Assumptions, set each SKU's CP, trade discount, COGS build up, A&amp;P and base volume (yellow cells).</t>
  </si>
  <si>
    <t xml:space="preserve">2. Set company operating assumptions (salaries, G&amp;A, logistics %, D&amp;A, interest, tax).</t>
  </si>
  <si>
    <t xml:space="preserve">3. Set the four scenario levers (volume ×, price ×, trade disc Δ) and the seasonality curve.</t>
  </si>
  <si>
    <t xml:space="preserve">4. Read results on Dashboard; drill into Low/Base/High/Stretch; phase a scenario on Monthly.</t>
  </si>
  <si>
    <t xml:space="preserve">5. Stress test on Sensitivity; confirm Checks reads ALL PASS.</t>
  </si>
  <si>
    <t xml:space="preserve">P&amp;L LOGIC (per SKU, then company)</t>
  </si>
  <si>
    <t xml:space="preserve">Gross Revenue = Cases × CP/case</t>
  </si>
  <si>
    <t xml:space="preserve">Net Sales = Gross Revenue − Trade Discounts   (discount = % of gross)</t>
  </si>
  <si>
    <t xml:space="preserve">Gross Profit = Net Sales − Cost of Sales        Cost of Sales = COGS Direct + Indirect</t>
  </si>
  <si>
    <t xml:space="preserve">Contribution Margin = Gross Profit − A&amp;P</t>
  </si>
  <si>
    <t xml:space="preserve">EBITDA = Σ Contribution − Operating Expenses (fixed + variable logistics)</t>
  </si>
  <si>
    <t xml:space="preserve">EBIT = EBITDA − D&amp;A;  Pretax = EBIT − Interest;  Net Income = Pretax − Tax (tax floored at 0).</t>
  </si>
  <si>
    <t xml:space="preserve">GLOSSARY</t>
  </si>
  <si>
    <t xml:space="preserve">CP: 'Cost Price' / list price per case charged to the customer (your wholesale price).</t>
  </si>
  <si>
    <t xml:space="preserve">Case: a shipping case; Singles (12 cans) and 4 Pack (6 four packs) hold different unit counts.</t>
  </si>
  <si>
    <t xml:space="preserve">Trade discount: off invoice allowances/promo funding, expressed as % of gross revenue.</t>
  </si>
  <si>
    <t xml:space="preserve">A&amp;P: Advertising &amp; Promotion (consumer + trade + sales/broker).</t>
  </si>
  <si>
    <t xml:space="preserve">Contribution Margin: profit a SKU contributes before company fixed costs.</t>
  </si>
  <si>
    <t xml:space="preserve">EBITDA: earnings before interest, tax, depreciation &amp; amortisation.</t>
  </si>
  <si>
    <t xml:space="preserve">CAVEATS</t>
  </si>
  <si>
    <t xml:space="preserve">All loaded numbers are illustrative placeholders. Replace with real figures before relying on output.</t>
  </si>
  <si>
    <t xml:space="preserve">Single currency (CDN $), one fiscal year. No balance sheet / cash flow: this is an operating P&amp;L.</t>
  </si>
  <si>
    <t xml:space="preserve">Sparkling Daily: Review Log (devil's advocate)</t>
  </si>
  <si>
    <t xml:space="preserve">Issues identified in the first pass model and how each was resolved in this build.</t>
  </si>
  <si>
    <t xml:space="preserve">#</t>
  </si>
  <si>
    <t xml:space="preserve">Issue / risk</t>
  </si>
  <si>
    <t xml:space="preserve">Resolution</t>
  </si>
  <si>
    <t xml:space="preserve">No single source of truth: costs hand keyed in ~24 places across tabs.</t>
  </si>
  <si>
    <t xml:space="preserve">Added Assumptions tab; all scenarios/monthly/sensitivity read from it (DRY).</t>
  </si>
  <si>
    <t xml:space="preserve">Resolved</t>
  </si>
  <si>
    <t xml:space="preserve">Trade discount modelled as flat $/case: unrealistic.</t>
  </si>
  <si>
    <t xml:space="preserve">Now % of gross revenue, per SKU, flexed by scenario.</t>
  </si>
  <si>
    <t xml:space="preserve">COGS was a single lump: no cost visibility.</t>
  </si>
  <si>
    <t xml:space="preserve">Built up from ingredients, packaging, co pack, inbound freight + warehousing.</t>
  </si>
  <si>
    <t xml:space="preserve">P&amp;L stopped at contribution: not a real P&amp;L.</t>
  </si>
  <si>
    <t xml:space="preserve">Extended to Opex → EBITDA → EBIT → Pretax → Net Income.</t>
  </si>
  <si>
    <t xml:space="preserve">No operating leverage: all costs implicitly variable.</t>
  </si>
  <si>
    <t xml:space="preserve">Split fixed (salaries/G&amp;A/mktg/slotting) vs variable (logistics % of net).</t>
  </si>
  <si>
    <t xml:space="preserve">Annual only: no phasing.</t>
  </si>
  <si>
    <t xml:space="preserve">Added Monthly tab driven by a seasonality curve.</t>
  </si>
  <si>
    <t xml:space="preserve">No way to switch scenario in one view.</t>
  </si>
  <si>
    <t xml:space="preserve">Monthly has a dropdown selector (INDIRECT driven).</t>
  </si>
  <si>
    <t xml:space="preserve">No sensitivity or breakeven.</t>
  </si>
  <si>
    <t xml:space="preserve">Two way EBITDA table (price × volume) + breakeven volume, closed form.</t>
  </si>
  <si>
    <t xml:space="preserve">No validation of inputs/outputs.</t>
  </si>
  <si>
    <t xml:space="preserve">Checks tab with PASS/FAIL incl. a tie out of Dashboard to Base.</t>
  </si>
  <si>
    <t xml:space="preserve">No governance / context.</t>
  </si>
  <si>
    <t xml:space="preserve">Cover (purpose, version, owner, legend), Guide + glossary, this Review Log.</t>
  </si>
  <si>
    <t xml:space="preserve">Tax could show a fictitious credit on losses.</t>
  </si>
  <si>
    <t xml:space="preserve">Tax floored at 0 via MAX(0, EBT×rate).</t>
  </si>
  <si>
    <t xml:space="preserve">Inputs vs calcs indistinguishable.</t>
  </si>
  <si>
    <t xml:space="preserve">Colour coding: yellow = input, blue tint = calculated total; freeze panes throughout.</t>
  </si>
  <si>
    <t xml:space="preserve">Flavour names were placeholders.</t>
  </si>
  <si>
    <t xml:space="preserve">Set to Pineapple, Passionfruit, Lime Lemon (editable on Assumptions).</t>
  </si>
  <si>
    <t xml:space="preserve">Price and volume were independent: raising CP with no volume loss is unrealistic.</t>
  </si>
  <si>
    <t xml:space="preserve">Added optional price elasticity; volume now responds to price. Pricing Lab finds the best CP.</t>
  </si>
  <si>
    <t xml:space="preserve">Workbook opened on a dense tab: not approachable.</t>
  </si>
  <si>
    <t xml:space="preserve">Added a clean Home screen (scenario picker + live KPI cards + guided navigation); simple first tab order.</t>
  </si>
  <si>
    <t xml:space="preserve">Sparkling Daily: One Year Operating Model</t>
  </si>
  <si>
    <t xml:space="preserve">BASE CASE SNAPSHOT (FY2026)</t>
  </si>
  <si>
    <t xml:space="preserve">Gross Profit %</t>
  </si>
  <si>
    <t xml:space="preserve">Total Cases</t>
  </si>
  <si>
    <t xml:space="preserve">Breakeven Cases</t>
  </si>
  <si>
    <t xml:space="preserve">Purpose</t>
  </si>
  <si>
    <t xml:space="preserve">Model FY net sales, margin and EBITDA for Sparkling Daily across pricing &amp; volume scenarios.</t>
  </si>
  <si>
    <t xml:space="preserve">Scope</t>
  </si>
  <si>
    <t xml:space="preserve">3 flavours (Pineapple, Passionfruit, Lime Lemon) × Singles (12-ct) + 4 Pack = 6 SKUs; one fiscal year.</t>
  </si>
  <si>
    <t xml:space="preserve">Fiscal year</t>
  </si>
  <si>
    <t xml:space="preserve">FY2026</t>
  </si>
  <si>
    <t xml:space="preserve">Version</t>
  </si>
  <si>
    <t xml:space="preserve">v2.0</t>
  </si>
  <si>
    <t xml:space="preserve">Built</t>
  </si>
  <si>
    <t xml:space="preserve">2026-06-05</t>
  </si>
  <si>
    <t xml:space="preserve">Currency</t>
  </si>
  <si>
    <t xml:space="preserve">Owner</t>
  </si>
  <si>
    <t xml:space="preserve">Commercial Finance</t>
  </si>
  <si>
    <t xml:space="preserve">DRAFT: figures are placeholders pending real inputs</t>
  </si>
  <si>
    <t xml:space="preserve">TAB INDEX</t>
  </si>
  <si>
    <t xml:space="preserve">Guide</t>
  </si>
  <si>
    <t xml:space="preserve">How to use + glossary of terms</t>
  </si>
  <si>
    <t xml:space="preserve">Review Log</t>
  </si>
  <si>
    <t xml:space="preserve">Devil's advocate critique and how each issue was resolved</t>
  </si>
  <si>
    <t xml:space="preserve">Assumptions</t>
  </si>
  <si>
    <t xml:space="preserve">SINGLE SOURCE OF TRUTH: edit yellow cells here</t>
  </si>
  <si>
    <t xml:space="preserve">Dashboard</t>
  </si>
  <si>
    <t xml:space="preserve">Scenario comparison (table)</t>
  </si>
  <si>
    <t xml:space="preserve">Low / Base / High / Stretch</t>
  </si>
  <si>
    <t xml:space="preserve">Full P&amp;L per scenario (6 SKUs + total → Net Income)</t>
  </si>
  <si>
    <t xml:space="preserve">Seasonalised monthly P&amp;L for a selected scenario</t>
  </si>
  <si>
    <t xml:space="preserve">Two way EBITDA table + breakeven volume</t>
  </si>
  <si>
    <t xml:space="preserve">Automated validation (should read ALL PASS)</t>
  </si>
  <si>
    <t xml:space="preserve">LEGEND</t>
  </si>
  <si>
    <t xml:space="preserve">Yellow cell</t>
  </si>
  <si>
    <t xml:space="preserve">Input: safe to edit</t>
  </si>
  <si>
    <t xml:space="preserve">Blue tint</t>
  </si>
  <si>
    <t xml:space="preserve">Calculated total: do not overwrite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</si>
</sst>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[RED]&quot;($&quot;#,##0\)"/>
    <numFmt numFmtId="166" formatCode="0.0%"/>
    <numFmt numFmtId="167" formatCode="#,##0"/>
    <numFmt numFmtId="168" formatCode="\$#,##0.00;[RED]&quot;($&quot;#,##0.00\)"/>
    <numFmt numFmtId="169" formatCode="0.0"/>
    <numFmt numFmtId="170" formatCode="0.00\x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A84FF"/>
      <name val="Calibri"/>
      <family val="0"/>
      <charset val="1"/>
    </font>
    <font>
      <b val="true"/>
      <sz val="30"/>
      <color rgb="FF1F2A44"/>
      <name val="Calibri"/>
      <family val="0"/>
      <charset val="1"/>
    </font>
    <font>
      <sz val="12"/>
      <color rgb="FF5B6472"/>
      <name val="Calibri"/>
      <family val="0"/>
      <charset val="1"/>
    </font>
    <font>
      <b val="true"/>
      <sz val="9"/>
      <color rgb="FF5B6472"/>
      <name val="Calibri"/>
      <family val="0"/>
      <charset val="1"/>
    </font>
    <font>
      <b val="true"/>
      <sz val="12"/>
      <color rgb="FF0033AA"/>
      <name val="Calibri"/>
      <family val="0"/>
      <charset val="1"/>
    </font>
    <font>
      <sz val="10"/>
      <color rgb="FF5B6472"/>
      <name val="Calibri"/>
      <family val="0"/>
      <charset val="1"/>
    </font>
    <font>
      <b val="true"/>
      <sz val="18"/>
      <color rgb="FF1F2A44"/>
      <name val="Calibri"/>
      <family val="0"/>
      <charset val="1"/>
    </font>
    <font>
      <b val="true"/>
      <sz val="11"/>
      <color rgb="FF1F2A44"/>
      <name val="Calibri"/>
      <family val="0"/>
      <charset val="1"/>
    </font>
    <font>
      <b val="true"/>
      <sz val="16"/>
      <color rgb="FF1F2A44"/>
      <name val="Calibri"/>
      <family val="0"/>
      <charset val="1"/>
    </font>
    <font>
      <i val="true"/>
      <sz val="10"/>
      <color rgb="FF555555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F2A44"/>
      <name val="Calibri"/>
      <family val="0"/>
      <charset val="1"/>
    </font>
    <font>
      <sz val="10"/>
      <color rgb="FF222222"/>
      <name val="Calibri"/>
      <family val="0"/>
      <charset val="1"/>
    </font>
    <font>
      <sz val="10"/>
      <color rgb="FF0033AA"/>
      <name val="Calibri"/>
      <family val="0"/>
      <charset val="1"/>
    </font>
    <font>
      <b val="true"/>
      <sz val="12"/>
      <color rgb="FF1F2A44"/>
      <name val="Calibri"/>
      <family val="0"/>
      <charset val="1"/>
    </font>
    <font>
      <b val="true"/>
      <sz val="10"/>
      <color rgb="FF1E7B34"/>
      <name val="Calibri"/>
      <family val="0"/>
      <charset val="1"/>
    </font>
    <font>
      <b val="true"/>
      <sz val="14"/>
      <color rgb="FF1F2A44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7CC"/>
        <bgColor rgb="FFF4F7FB"/>
      </patternFill>
    </fill>
    <fill>
      <patternFill patternType="solid">
        <fgColor rgb="FFF4F7FB"/>
        <bgColor rgb="FFEAF0FB"/>
      </patternFill>
    </fill>
    <fill>
      <patternFill patternType="solid">
        <fgColor rgb="FF2E4374"/>
        <bgColor rgb="FF1F2A44"/>
      </patternFill>
    </fill>
    <fill>
      <patternFill patternType="solid">
        <fgColor rgb="FFD7E3F4"/>
        <bgColor rgb="FFEAF0FB"/>
      </patternFill>
    </fill>
    <fill>
      <patternFill patternType="solid">
        <fgColor rgb="FFEAF0FB"/>
        <bgColor rgb="FFF4F7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B6472"/>
      <rgbColor rgb="FF6A1B9A"/>
      <rgbColor rgb="FF00838F"/>
      <rgbColor rgb="FFC0C0C0"/>
      <rgbColor rgb="FF808A99"/>
      <rgbColor rgb="FF9999FF"/>
      <rgbColor rgb="FF555555"/>
      <rgbColor rgb="FFFFF7CC"/>
      <rgbColor rgb="FFEAF0FB"/>
      <rgbColor rgb="FF660066"/>
      <rgbColor rgb="FFFF8080"/>
      <rgbColor rgb="FF0A84FF"/>
      <rgbColor rgb="FFC9D2E0"/>
      <rgbColor rgb="FF000080"/>
      <rgbColor rgb="FFFF00FF"/>
      <rgbColor rgb="FFFFFF00"/>
      <rgbColor rgb="FF00FFFF"/>
      <rgbColor rgb="FF800080"/>
      <rgbColor rgb="FFB00020"/>
      <rgbColor rgb="FF1E7B34"/>
      <rgbColor rgb="FF0000FF"/>
      <rgbColor rgb="FF00CCFF"/>
      <rgbColor rgb="FFD7E3F4"/>
      <rgbColor rgb="FFC6EFCE"/>
      <rgbColor rgb="FFF4F7FB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E8A33D"/>
      <rgbColor rgb="FFEF6C00"/>
      <rgbColor rgb="FF5B6FA6"/>
      <rgbColor rgb="FF969696"/>
      <rgbColor rgb="FF0033AA"/>
      <rgbColor rgb="FF2E7D32"/>
      <rgbColor rgb="FF003300"/>
      <rgbColor rgb="FF222222"/>
      <rgbColor rgb="FF993300"/>
      <rgbColor rgb="FF993366"/>
      <rgbColor rgb="FF2E4374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84FF"/>
    <pageSetUpPr fitToPage="true"/>
  </sheetPr>
  <dimension ref="B2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9"/>
    <col collapsed="false" customWidth="true" hidden="false" outlineLevel="0" max="7" min="3" style="0" width="17"/>
  </cols>
  <sheetData>
    <row r="2" customFormat="false" ht="15" hidden="false" customHeight="false" outlineLevel="0" collapsed="false">
      <c r="B2" s="1" t="s">
        <v>0</v>
      </c>
    </row>
    <row r="3" customFormat="false" ht="39.75" hidden="false" customHeight="true" outlineLevel="0" collapsed="false">
      <c r="B3" s="2" t="s">
        <v>1</v>
      </c>
      <c r="C3" s="2"/>
      <c r="D3" s="2"/>
      <c r="E3" s="2"/>
    </row>
    <row r="4" customFormat="false" ht="15" hidden="false" customHeight="false" outlineLevel="0" collapsed="false">
      <c r="B4" s="3" t="s">
        <v>2</v>
      </c>
      <c r="C4" s="3"/>
      <c r="D4" s="3"/>
      <c r="E4" s="3"/>
    </row>
    <row r="6" customFormat="false" ht="15" hidden="false" customHeight="false" outlineLevel="0" collapsed="false">
      <c r="B6" s="4" t="s">
        <v>3</v>
      </c>
      <c r="C6" s="5" t="s">
        <v>4</v>
      </c>
      <c r="D6" s="6" t="s">
        <v>5</v>
      </c>
      <c r="E6" s="6"/>
      <c r="F6" s="6"/>
      <c r="G6" s="6"/>
    </row>
    <row r="8" customFormat="false" ht="18" hidden="false" customHeight="true" outlineLevel="0" collapsed="false">
      <c r="B8" s="7" t="s">
        <v>6</v>
      </c>
      <c r="C8" s="7" t="s">
        <v>7</v>
      </c>
      <c r="D8" s="7" t="s">
        <v>8</v>
      </c>
      <c r="E8" s="7" t="s">
        <v>9</v>
      </c>
      <c r="F8" s="7" t="s">
        <v>10</v>
      </c>
      <c r="G8" s="7" t="s">
        <v>11</v>
      </c>
    </row>
    <row r="9" customFormat="false" ht="30" hidden="false" customHeight="true" outlineLevel="0" collapsed="false">
      <c r="B9" s="8" t="n">
        <f aca="true">INDIRECT("'"&amp;$C$6&amp;"'!I18")</f>
        <v>927920</v>
      </c>
      <c r="C9" s="9" t="n">
        <f aca="true">INDIRECT("'"&amp;$C$6&amp;"'!I23")</f>
        <v>0.467992930425037</v>
      </c>
      <c r="D9" s="8" t="n">
        <f aca="true">INDIRECT("'"&amp;$C$6&amp;"'!I34")</f>
        <v>19143.2</v>
      </c>
      <c r="E9" s="9" t="n">
        <f aca="true">INDIRECT("'"&amp;$C$6&amp;"'!I35")</f>
        <v>0.0206302267436848</v>
      </c>
      <c r="F9" s="8" t="n">
        <f aca="true">INDIRECT("'"&amp;$C$6&amp;"'!I41")</f>
        <v>-15856.8</v>
      </c>
      <c r="G9" s="10" t="n">
        <f aca="true">INDIRECT("'"&amp;$C$6&amp;"'!I8")</f>
        <v>50000</v>
      </c>
    </row>
    <row r="11" customFormat="false" ht="22.05" hidden="false" customHeight="false" outlineLevel="0" collapsed="false">
      <c r="B11" s="4" t="s">
        <v>12</v>
      </c>
      <c r="C11" s="11" t="n">
        <f aca="false">Sensitivity!$C$23</f>
        <v>47000.8447618499</v>
      </c>
      <c r="E11" s="4" t="s">
        <v>13</v>
      </c>
      <c r="F11" s="12" t="n">
        <f aca="true">INDIRECT("'"&amp;$C$6&amp;"'!I10")</f>
        <v>20.06</v>
      </c>
    </row>
    <row r="13" customFormat="false" ht="15" hidden="false" customHeight="false" outlineLevel="0" collapsed="false">
      <c r="B13" s="1" t="s">
        <v>14</v>
      </c>
    </row>
    <row r="14" customFormat="false" ht="15" hidden="false" customHeight="false" outlineLevel="0" collapsed="false">
      <c r="B14" s="13" t="s">
        <v>15</v>
      </c>
      <c r="C14" s="6" t="s">
        <v>16</v>
      </c>
      <c r="D14" s="6"/>
    </row>
    <row r="15" customFormat="false" ht="15" hidden="false" customHeight="false" outlineLevel="0" collapsed="false">
      <c r="B15" s="13" t="s">
        <v>17</v>
      </c>
      <c r="C15" s="6" t="s">
        <v>18</v>
      </c>
      <c r="D15" s="6"/>
    </row>
    <row r="16" customFormat="false" ht="15" hidden="false" customHeight="false" outlineLevel="0" collapsed="false">
      <c r="B16" s="13" t="s">
        <v>19</v>
      </c>
      <c r="C16" s="6" t="s">
        <v>20</v>
      </c>
      <c r="D16" s="6"/>
    </row>
    <row r="17" customFormat="false" ht="15" hidden="false" customHeight="false" outlineLevel="0" collapsed="false">
      <c r="B17" s="13" t="s">
        <v>21</v>
      </c>
      <c r="C17" s="6" t="s">
        <v>22</v>
      </c>
      <c r="D17" s="6"/>
    </row>
    <row r="18" customFormat="false" ht="15" hidden="false" customHeight="false" outlineLevel="0" collapsed="false">
      <c r="B18" s="13" t="s">
        <v>23</v>
      </c>
      <c r="C18" s="6" t="s">
        <v>24</v>
      </c>
      <c r="D18" s="6"/>
    </row>
    <row r="19" customFormat="false" ht="15" hidden="false" customHeight="false" outlineLevel="0" collapsed="false">
      <c r="B19" s="13" t="s">
        <v>25</v>
      </c>
      <c r="C19" s="6" t="s">
        <v>26</v>
      </c>
      <c r="D19" s="6"/>
    </row>
    <row r="20" customFormat="false" ht="15" hidden="false" customHeight="false" outlineLevel="0" collapsed="false">
      <c r="B20" s="13" t="s">
        <v>27</v>
      </c>
      <c r="C20" s="6" t="s">
        <v>28</v>
      </c>
      <c r="D20" s="6"/>
    </row>
    <row r="21" customFormat="false" ht="15" hidden="false" customHeight="false" outlineLevel="0" collapsed="false">
      <c r="B21" s="13" t="s">
        <v>29</v>
      </c>
      <c r="C21" s="6" t="s">
        <v>30</v>
      </c>
      <c r="D21" s="6"/>
    </row>
    <row r="23" customFormat="false" ht="15" hidden="false" customHeight="false" outlineLevel="0" collapsed="false">
      <c r="B23" s="6" t="s">
        <v>31</v>
      </c>
      <c r="C23" s="6"/>
      <c r="D23" s="6"/>
      <c r="E23" s="6"/>
      <c r="F23" s="6"/>
      <c r="G23" s="6"/>
    </row>
  </sheetData>
  <mergeCells count="12">
    <mergeCell ref="B3:E3"/>
    <mergeCell ref="B4:E4"/>
    <mergeCell ref="D6:G6"/>
    <mergeCell ref="C14:D14"/>
    <mergeCell ref="C15:D15"/>
    <mergeCell ref="C16:D16"/>
    <mergeCell ref="C17:D17"/>
    <mergeCell ref="C18:D18"/>
    <mergeCell ref="C19:D19"/>
    <mergeCell ref="C20:D20"/>
    <mergeCell ref="C21:D21"/>
    <mergeCell ref="B23:G23"/>
  </mergeCells>
  <dataValidations count="1">
    <dataValidation allowBlank="false" errorStyle="stop" operator="between" showDropDown="false" showErrorMessage="false" showInputMessage="false" sqref="C6" type="list">
      <formula1>"Low,Base,High,Stretch"</formula1>
      <formula2>0</formula2>
    </dataValidation>
  </dataValidations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B1:O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5" min="3" style="0" width="12"/>
  </cols>
  <sheetData>
    <row r="1" customFormat="false" ht="19.7" hidden="false" customHeight="false" outlineLevel="0" collapsed="false">
      <c r="B1" s="14" t="s">
        <v>32</v>
      </c>
    </row>
    <row r="2" customFormat="false" ht="15" hidden="false" customHeight="false" outlineLevel="0" collapsed="false">
      <c r="B2" s="15" t="s">
        <v>33</v>
      </c>
    </row>
    <row r="4" customFormat="false" ht="15" hidden="false" customHeight="true" outlineLevel="0" collapsed="false">
      <c r="C4" s="16" t="s">
        <v>34</v>
      </c>
      <c r="D4" s="16"/>
      <c r="E4" s="16"/>
      <c r="F4" s="16" t="s">
        <v>35</v>
      </c>
      <c r="G4" s="16"/>
      <c r="H4" s="16"/>
    </row>
    <row r="5" customFormat="false" ht="15" hidden="false" customHeight="false" outlineLevel="0" collapsed="false">
      <c r="B5" s="17" t="s">
        <v>36</v>
      </c>
      <c r="C5" s="18" t="s">
        <v>37</v>
      </c>
      <c r="D5" s="18" t="s">
        <v>38</v>
      </c>
      <c r="E5" s="18" t="s">
        <v>39</v>
      </c>
      <c r="F5" s="18" t="s">
        <v>37</v>
      </c>
      <c r="G5" s="18" t="s">
        <v>38</v>
      </c>
      <c r="H5" s="18" t="s">
        <v>39</v>
      </c>
    </row>
    <row r="6" customFormat="false" ht="15" hidden="false" customHeight="false" outlineLevel="0" collapsed="false">
      <c r="B6" s="19" t="s">
        <v>40</v>
      </c>
      <c r="C6" s="19"/>
      <c r="D6" s="19"/>
      <c r="E6" s="19"/>
      <c r="F6" s="19"/>
      <c r="G6" s="19"/>
      <c r="H6" s="19"/>
      <c r="I6" s="19"/>
    </row>
    <row r="7" customFormat="false" ht="15" hidden="false" customHeight="false" outlineLevel="0" collapsed="false">
      <c r="B7" s="20" t="s">
        <v>41</v>
      </c>
      <c r="C7" s="21" t="s">
        <v>42</v>
      </c>
      <c r="D7" s="21" t="s">
        <v>42</v>
      </c>
      <c r="E7" s="21" t="s">
        <v>42</v>
      </c>
      <c r="F7" s="21" t="s">
        <v>43</v>
      </c>
      <c r="G7" s="21" t="s">
        <v>43</v>
      </c>
      <c r="H7" s="21" t="s">
        <v>43</v>
      </c>
    </row>
    <row r="8" customFormat="false" ht="15" hidden="false" customHeight="false" outlineLevel="0" collapsed="false">
      <c r="B8" s="20" t="s">
        <v>44</v>
      </c>
      <c r="C8" s="21" t="s">
        <v>37</v>
      </c>
      <c r="D8" s="21" t="s">
        <v>38</v>
      </c>
      <c r="E8" s="21" t="s">
        <v>39</v>
      </c>
      <c r="F8" s="21" t="s">
        <v>37</v>
      </c>
      <c r="G8" s="21" t="s">
        <v>38</v>
      </c>
      <c r="H8" s="21" t="s">
        <v>39</v>
      </c>
    </row>
    <row r="9" customFormat="false" ht="15" hidden="false" customHeight="false" outlineLevel="0" collapsed="false">
      <c r="B9" s="20" t="s">
        <v>45</v>
      </c>
      <c r="C9" s="22" t="n">
        <v>12</v>
      </c>
      <c r="D9" s="22" t="n">
        <v>12</v>
      </c>
      <c r="E9" s="22" t="n">
        <v>12</v>
      </c>
      <c r="F9" s="22" t="n">
        <v>6</v>
      </c>
      <c r="G9" s="22" t="n">
        <v>6</v>
      </c>
      <c r="H9" s="22" t="n">
        <v>6</v>
      </c>
    </row>
    <row r="10" customFormat="false" ht="15" hidden="false" customHeight="false" outlineLevel="0" collapsed="false">
      <c r="B10" s="19" t="s">
        <v>46</v>
      </c>
      <c r="C10" s="19"/>
      <c r="D10" s="19"/>
      <c r="E10" s="19"/>
      <c r="F10" s="19"/>
      <c r="G10" s="19"/>
      <c r="H10" s="19"/>
      <c r="I10" s="19"/>
    </row>
    <row r="11" customFormat="false" ht="15" hidden="false" customHeight="false" outlineLevel="0" collapsed="false">
      <c r="B11" s="23" t="s">
        <v>47</v>
      </c>
      <c r="C11" s="24" t="n">
        <v>15</v>
      </c>
      <c r="D11" s="24" t="n">
        <v>15</v>
      </c>
      <c r="E11" s="24" t="n">
        <v>14</v>
      </c>
      <c r="F11" s="24" t="n">
        <v>33</v>
      </c>
      <c r="G11" s="24" t="n">
        <v>33</v>
      </c>
      <c r="H11" s="24" t="n">
        <v>31</v>
      </c>
    </row>
    <row r="12" customFormat="false" ht="15" hidden="false" customHeight="false" outlineLevel="0" collapsed="false">
      <c r="B12" s="20" t="s">
        <v>48</v>
      </c>
      <c r="C12" s="25" t="n">
        <v>0.07</v>
      </c>
      <c r="D12" s="25" t="n">
        <v>0.07</v>
      </c>
      <c r="E12" s="25" t="n">
        <v>0.07</v>
      </c>
      <c r="F12" s="25" t="n">
        <v>0.08</v>
      </c>
      <c r="G12" s="25" t="n">
        <v>0.08</v>
      </c>
      <c r="H12" s="25" t="n">
        <v>0.08</v>
      </c>
    </row>
    <row r="13" customFormat="false" ht="15" hidden="false" customHeight="false" outlineLevel="0" collapsed="false">
      <c r="B13" s="20" t="s">
        <v>49</v>
      </c>
      <c r="C13" s="26" t="n">
        <f aca="false">IFERROR(C11/C9,0)</f>
        <v>1.25</v>
      </c>
      <c r="D13" s="26" t="n">
        <f aca="false">IFERROR(D11/D9,0)</f>
        <v>1.25</v>
      </c>
      <c r="E13" s="26" t="n">
        <f aca="false">IFERROR(E11/E9,0)</f>
        <v>1.16666666666667</v>
      </c>
      <c r="F13" s="26" t="n">
        <f aca="false">IFERROR(F11/F9,0)</f>
        <v>5.5</v>
      </c>
      <c r="G13" s="26" t="n">
        <f aca="false">IFERROR(G11/G9,0)</f>
        <v>5.5</v>
      </c>
      <c r="H13" s="26" t="n">
        <f aca="false">IFERROR(H11/H9,0)</f>
        <v>5.16666666666667</v>
      </c>
    </row>
    <row r="14" customFormat="false" ht="15" hidden="false" customHeight="false" outlineLevel="0" collapsed="false">
      <c r="B14" s="19" t="s">
        <v>50</v>
      </c>
      <c r="C14" s="19"/>
      <c r="D14" s="19"/>
      <c r="E14" s="19"/>
      <c r="F14" s="19"/>
      <c r="G14" s="19"/>
      <c r="H14" s="19"/>
      <c r="I14" s="19"/>
    </row>
    <row r="15" customFormat="false" ht="15" hidden="false" customHeight="false" outlineLevel="0" collapsed="false">
      <c r="B15" s="20" t="s">
        <v>51</v>
      </c>
      <c r="C15" s="24" t="n">
        <v>2.16</v>
      </c>
      <c r="D15" s="24" t="n">
        <v>2.16</v>
      </c>
      <c r="E15" s="24" t="n">
        <v>2.06</v>
      </c>
      <c r="F15" s="24" t="n">
        <v>4.32</v>
      </c>
      <c r="G15" s="24" t="n">
        <v>4.32</v>
      </c>
      <c r="H15" s="24" t="n">
        <v>4.12</v>
      </c>
    </row>
    <row r="16" customFormat="false" ht="15" hidden="false" customHeight="false" outlineLevel="0" collapsed="false">
      <c r="B16" s="20" t="s">
        <v>52</v>
      </c>
      <c r="C16" s="24" t="n">
        <v>2.64</v>
      </c>
      <c r="D16" s="24" t="n">
        <v>2.64</v>
      </c>
      <c r="E16" s="24" t="n">
        <v>2.54</v>
      </c>
      <c r="F16" s="24" t="n">
        <v>7.08</v>
      </c>
      <c r="G16" s="24" t="n">
        <v>7.08</v>
      </c>
      <c r="H16" s="24" t="n">
        <v>6.88</v>
      </c>
    </row>
    <row r="17" customFormat="false" ht="15" hidden="false" customHeight="false" outlineLevel="0" collapsed="false">
      <c r="B17" s="20" t="s">
        <v>53</v>
      </c>
      <c r="C17" s="24" t="n">
        <v>1.44</v>
      </c>
      <c r="D17" s="24" t="n">
        <v>1.44</v>
      </c>
      <c r="E17" s="24" t="n">
        <v>1.4</v>
      </c>
      <c r="F17" s="24" t="n">
        <v>2.88</v>
      </c>
      <c r="G17" s="24" t="n">
        <v>2.88</v>
      </c>
      <c r="H17" s="24" t="n">
        <v>2.8</v>
      </c>
    </row>
    <row r="18" customFormat="false" ht="15" hidden="false" customHeight="false" outlineLevel="0" collapsed="false">
      <c r="B18" s="20" t="s">
        <v>54</v>
      </c>
      <c r="C18" s="24" t="n">
        <v>0.29</v>
      </c>
      <c r="D18" s="24" t="n">
        <v>0.29</v>
      </c>
      <c r="E18" s="24" t="n">
        <v>0.28</v>
      </c>
      <c r="F18" s="24" t="n">
        <v>0.58</v>
      </c>
      <c r="G18" s="24" t="n">
        <v>0.58</v>
      </c>
      <c r="H18" s="24" t="n">
        <v>0.56</v>
      </c>
    </row>
    <row r="19" customFormat="false" ht="15" hidden="false" customHeight="false" outlineLevel="0" collapsed="false">
      <c r="B19" s="23" t="s">
        <v>55</v>
      </c>
      <c r="C19" s="27" t="n">
        <f aca="false">SUM(C15:C18)</f>
        <v>6.53</v>
      </c>
      <c r="D19" s="27" t="n">
        <f aca="false">SUM(D15:D18)</f>
        <v>6.53</v>
      </c>
      <c r="E19" s="27" t="n">
        <f aca="false">SUM(E15:E18)</f>
        <v>6.28</v>
      </c>
      <c r="F19" s="27" t="n">
        <f aca="false">SUM(F15:F18)</f>
        <v>14.86</v>
      </c>
      <c r="G19" s="27" t="n">
        <f aca="false">SUM(G15:G18)</f>
        <v>14.86</v>
      </c>
      <c r="H19" s="27" t="n">
        <f aca="false">SUM(H15:H18)</f>
        <v>14.36</v>
      </c>
    </row>
    <row r="20" customFormat="false" ht="15" hidden="false" customHeight="false" outlineLevel="0" collapsed="false">
      <c r="B20" s="20" t="s">
        <v>56</v>
      </c>
      <c r="C20" s="24" t="n">
        <v>0.72</v>
      </c>
      <c r="D20" s="24" t="n">
        <v>0.72</v>
      </c>
      <c r="E20" s="24" t="n">
        <v>0.7</v>
      </c>
      <c r="F20" s="24" t="n">
        <v>1.44</v>
      </c>
      <c r="G20" s="24" t="n">
        <v>1.44</v>
      </c>
      <c r="H20" s="24" t="n">
        <v>1.4</v>
      </c>
    </row>
    <row r="21" customFormat="false" ht="15" hidden="false" customHeight="false" outlineLevel="0" collapsed="false">
      <c r="B21" s="23" t="s">
        <v>57</v>
      </c>
      <c r="C21" s="27" t="n">
        <f aca="false">C19+C20</f>
        <v>7.25</v>
      </c>
      <c r="D21" s="27" t="n">
        <f aca="false">D19+D20</f>
        <v>7.25</v>
      </c>
      <c r="E21" s="27" t="n">
        <f aca="false">E19+E20</f>
        <v>6.98</v>
      </c>
      <c r="F21" s="27" t="n">
        <f aca="false">F19+F20</f>
        <v>16.3</v>
      </c>
      <c r="G21" s="27" t="n">
        <f aca="false">G19+G20</f>
        <v>16.3</v>
      </c>
      <c r="H21" s="27" t="n">
        <f aca="false">H19+H20</f>
        <v>15.76</v>
      </c>
    </row>
    <row r="22" customFormat="false" ht="15" hidden="false" customHeight="false" outlineLevel="0" collapsed="false">
      <c r="B22" s="19" t="s">
        <v>58</v>
      </c>
      <c r="C22" s="19"/>
      <c r="D22" s="19"/>
      <c r="E22" s="19"/>
      <c r="F22" s="19"/>
      <c r="G22" s="19"/>
      <c r="H22" s="19"/>
      <c r="I22" s="19"/>
    </row>
    <row r="23" customFormat="false" ht="15" hidden="false" customHeight="false" outlineLevel="0" collapsed="false">
      <c r="B23" s="20" t="s">
        <v>59</v>
      </c>
      <c r="C23" s="24" t="n">
        <v>0.36</v>
      </c>
      <c r="D23" s="24" t="n">
        <v>0.36</v>
      </c>
      <c r="E23" s="24" t="n">
        <v>0.36</v>
      </c>
      <c r="F23" s="24" t="n">
        <v>0.72</v>
      </c>
      <c r="G23" s="24" t="n">
        <v>0.72</v>
      </c>
      <c r="H23" s="24" t="n">
        <v>0.72</v>
      </c>
    </row>
    <row r="24" customFormat="false" ht="15" hidden="false" customHeight="false" outlineLevel="0" collapsed="false">
      <c r="B24" s="20" t="s">
        <v>60</v>
      </c>
      <c r="C24" s="24" t="n">
        <v>0.6</v>
      </c>
      <c r="D24" s="24" t="n">
        <v>0.6</v>
      </c>
      <c r="E24" s="24" t="n">
        <v>0.6</v>
      </c>
      <c r="F24" s="24" t="n">
        <v>1.2</v>
      </c>
      <c r="G24" s="24" t="n">
        <v>1.2</v>
      </c>
      <c r="H24" s="24" t="n">
        <v>1.2</v>
      </c>
    </row>
    <row r="25" customFormat="false" ht="15" hidden="false" customHeight="false" outlineLevel="0" collapsed="false">
      <c r="B25" s="20" t="s">
        <v>61</v>
      </c>
      <c r="C25" s="24" t="n">
        <v>0.24</v>
      </c>
      <c r="D25" s="24" t="n">
        <v>0.24</v>
      </c>
      <c r="E25" s="24" t="n">
        <v>0.24</v>
      </c>
      <c r="F25" s="24" t="n">
        <v>0.48</v>
      </c>
      <c r="G25" s="24" t="n">
        <v>0.48</v>
      </c>
      <c r="H25" s="24" t="n">
        <v>0.48</v>
      </c>
    </row>
    <row r="26" customFormat="false" ht="15" hidden="false" customHeight="false" outlineLevel="0" collapsed="false">
      <c r="B26" s="23" t="s">
        <v>62</v>
      </c>
      <c r="C26" s="27" t="n">
        <f aca="false">SUM(C23:C25)</f>
        <v>1.2</v>
      </c>
      <c r="D26" s="27" t="n">
        <f aca="false">SUM(D23:D25)</f>
        <v>1.2</v>
      </c>
      <c r="E26" s="27" t="n">
        <f aca="false">SUM(E23:E25)</f>
        <v>1.2</v>
      </c>
      <c r="F26" s="27" t="n">
        <f aca="false">SUM(F23:F25)</f>
        <v>2.4</v>
      </c>
      <c r="G26" s="27" t="n">
        <f aca="false">SUM(G23:G25)</f>
        <v>2.4</v>
      </c>
      <c r="H26" s="27" t="n">
        <f aca="false">SUM(H23:H25)</f>
        <v>2.4</v>
      </c>
    </row>
    <row r="27" customFormat="false" ht="15" hidden="false" customHeight="false" outlineLevel="0" collapsed="false">
      <c r="B27" s="19" t="s">
        <v>63</v>
      </c>
      <c r="C27" s="19"/>
      <c r="D27" s="19"/>
      <c r="E27" s="19"/>
      <c r="F27" s="19"/>
      <c r="G27" s="19"/>
      <c r="H27" s="19"/>
      <c r="I27" s="19"/>
    </row>
    <row r="28" customFormat="false" ht="15" hidden="false" customHeight="false" outlineLevel="0" collapsed="false">
      <c r="B28" s="23" t="s">
        <v>64</v>
      </c>
      <c r="C28" s="22" t="n">
        <v>15000</v>
      </c>
      <c r="D28" s="22" t="n">
        <v>11000</v>
      </c>
      <c r="E28" s="22" t="n">
        <v>9000</v>
      </c>
      <c r="F28" s="22" t="n">
        <v>6000</v>
      </c>
      <c r="G28" s="22" t="n">
        <v>5000</v>
      </c>
      <c r="H28" s="22" t="n">
        <v>4000</v>
      </c>
    </row>
    <row r="30" customFormat="false" ht="15" hidden="false" customHeight="false" outlineLevel="0" collapsed="false">
      <c r="B30" s="19" t="s">
        <v>65</v>
      </c>
      <c r="C30" s="19"/>
      <c r="D30" s="19"/>
      <c r="E30" s="19"/>
      <c r="F30" s="19"/>
      <c r="G30" s="19"/>
      <c r="H30" s="19"/>
      <c r="I30" s="19"/>
    </row>
    <row r="31" customFormat="false" ht="15" hidden="false" customHeight="false" outlineLevel="0" collapsed="false">
      <c r="B31" s="20" t="s">
        <v>66</v>
      </c>
      <c r="C31" s="28" t="n">
        <v>180000</v>
      </c>
    </row>
    <row r="32" customFormat="false" ht="15" hidden="false" customHeight="false" outlineLevel="0" collapsed="false">
      <c r="B32" s="20" t="s">
        <v>67</v>
      </c>
      <c r="C32" s="28" t="n">
        <v>60000</v>
      </c>
    </row>
    <row r="33" customFormat="false" ht="15" hidden="false" customHeight="false" outlineLevel="0" collapsed="false">
      <c r="B33" s="20" t="s">
        <v>68</v>
      </c>
      <c r="C33" s="28" t="n">
        <v>40000</v>
      </c>
    </row>
    <row r="34" customFormat="false" ht="15" hidden="false" customHeight="false" outlineLevel="0" collapsed="false">
      <c r="B34" s="20" t="s">
        <v>69</v>
      </c>
      <c r="C34" s="28" t="n">
        <v>20000</v>
      </c>
    </row>
    <row r="35" customFormat="false" ht="15" hidden="false" customHeight="false" outlineLevel="0" collapsed="false">
      <c r="B35" s="20" t="s">
        <v>70</v>
      </c>
      <c r="C35" s="25" t="n">
        <v>0.04</v>
      </c>
    </row>
    <row r="36" customFormat="false" ht="15" hidden="false" customHeight="false" outlineLevel="0" collapsed="false">
      <c r="B36" s="20" t="s">
        <v>71</v>
      </c>
      <c r="C36" s="28" t="n">
        <v>25000</v>
      </c>
    </row>
    <row r="37" customFormat="false" ht="15" hidden="false" customHeight="false" outlineLevel="0" collapsed="false">
      <c r="B37" s="20" t="s">
        <v>72</v>
      </c>
      <c r="C37" s="28" t="n">
        <v>10000</v>
      </c>
    </row>
    <row r="38" customFormat="false" ht="15" hidden="false" customHeight="false" outlineLevel="0" collapsed="false">
      <c r="B38" s="20" t="s">
        <v>73</v>
      </c>
      <c r="C38" s="25" t="n">
        <v>0.27</v>
      </c>
    </row>
    <row r="39" customFormat="false" ht="15" hidden="false" customHeight="false" outlineLevel="0" collapsed="false">
      <c r="B39" s="20" t="s">
        <v>74</v>
      </c>
      <c r="C39" s="29" t="n">
        <v>0</v>
      </c>
    </row>
    <row r="41" customFormat="false" ht="15" hidden="false" customHeight="false" outlineLevel="0" collapsed="false">
      <c r="B41" s="19" t="s">
        <v>75</v>
      </c>
      <c r="C41" s="19"/>
      <c r="D41" s="19"/>
      <c r="E41" s="19"/>
      <c r="F41" s="19"/>
      <c r="G41" s="19"/>
      <c r="H41" s="19"/>
      <c r="I41" s="19"/>
    </row>
    <row r="42" customFormat="false" ht="15" hidden="false" customHeight="false" outlineLevel="0" collapsed="false">
      <c r="B42" s="17" t="s">
        <v>76</v>
      </c>
      <c r="C42" s="18" t="s">
        <v>77</v>
      </c>
      <c r="D42" s="18" t="s">
        <v>78</v>
      </c>
      <c r="E42" s="18" t="s">
        <v>79</v>
      </c>
    </row>
    <row r="43" customFormat="false" ht="15" hidden="false" customHeight="false" outlineLevel="0" collapsed="false">
      <c r="B43" s="30" t="s">
        <v>80</v>
      </c>
      <c r="C43" s="31" t="n">
        <v>0.7</v>
      </c>
      <c r="D43" s="31" t="n">
        <v>0.95</v>
      </c>
      <c r="E43" s="25" t="n">
        <v>0.01</v>
      </c>
    </row>
    <row r="44" customFormat="false" ht="15" hidden="false" customHeight="false" outlineLevel="0" collapsed="false">
      <c r="B44" s="30" t="s">
        <v>81</v>
      </c>
      <c r="C44" s="31" t="n">
        <v>1</v>
      </c>
      <c r="D44" s="31" t="n">
        <v>1</v>
      </c>
      <c r="E44" s="25" t="n">
        <v>0</v>
      </c>
    </row>
    <row r="45" customFormat="false" ht="15" hidden="false" customHeight="false" outlineLevel="0" collapsed="false">
      <c r="B45" s="30" t="s">
        <v>82</v>
      </c>
      <c r="C45" s="31" t="n">
        <v>1.3</v>
      </c>
      <c r="D45" s="31" t="n">
        <v>1</v>
      </c>
      <c r="E45" s="25" t="n">
        <v>0</v>
      </c>
    </row>
    <row r="46" customFormat="false" ht="15" hidden="false" customHeight="false" outlineLevel="0" collapsed="false">
      <c r="B46" s="30" t="s">
        <v>83</v>
      </c>
      <c r="C46" s="31" t="n">
        <v>1.6</v>
      </c>
      <c r="D46" s="31" t="n">
        <v>1.05</v>
      </c>
      <c r="E46" s="25" t="n">
        <v>-0.01</v>
      </c>
    </row>
    <row r="48" customFormat="false" ht="15" hidden="false" customHeight="false" outlineLevel="0" collapsed="false">
      <c r="B48" s="19" t="s">
        <v>84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</row>
    <row r="49" customFormat="false" ht="15" hidden="false" customHeight="false" outlineLevel="0" collapsed="false">
      <c r="C49" s="18" t="s">
        <v>85</v>
      </c>
      <c r="D49" s="18" t="s">
        <v>86</v>
      </c>
      <c r="E49" s="18" t="s">
        <v>87</v>
      </c>
      <c r="F49" s="18" t="s">
        <v>88</v>
      </c>
      <c r="G49" s="18" t="s">
        <v>89</v>
      </c>
      <c r="H49" s="18" t="s">
        <v>90</v>
      </c>
      <c r="I49" s="18" t="s">
        <v>91</v>
      </c>
      <c r="J49" s="18" t="s">
        <v>92</v>
      </c>
      <c r="K49" s="18" t="s">
        <v>93</v>
      </c>
      <c r="L49" s="18" t="s">
        <v>94</v>
      </c>
      <c r="M49" s="18" t="s">
        <v>95</v>
      </c>
      <c r="N49" s="18" t="s">
        <v>96</v>
      </c>
      <c r="O49" s="18" t="s">
        <v>97</v>
      </c>
    </row>
    <row r="50" customFormat="false" ht="15" hidden="false" customHeight="false" outlineLevel="0" collapsed="false">
      <c r="C50" s="25" t="n">
        <v>0.06</v>
      </c>
      <c r="D50" s="25" t="n">
        <v>0.06</v>
      </c>
      <c r="E50" s="25" t="n">
        <v>0.07</v>
      </c>
      <c r="F50" s="25" t="n">
        <v>0.08</v>
      </c>
      <c r="G50" s="25" t="n">
        <v>0.1</v>
      </c>
      <c r="H50" s="25" t="n">
        <v>0.11</v>
      </c>
      <c r="I50" s="25" t="n">
        <v>0.12</v>
      </c>
      <c r="J50" s="25" t="n">
        <v>0.11</v>
      </c>
      <c r="K50" s="25" t="n">
        <v>0.09</v>
      </c>
      <c r="L50" s="25" t="n">
        <v>0.08</v>
      </c>
      <c r="M50" s="25" t="n">
        <v>0.06</v>
      </c>
      <c r="N50" s="25" t="n">
        <v>0.06</v>
      </c>
      <c r="O50" s="32" t="n">
        <f aca="false">SUM(C50:N50)</f>
        <v>1</v>
      </c>
    </row>
  </sheetData>
  <mergeCells count="10">
    <mergeCell ref="C4:E4"/>
    <mergeCell ref="F4:H4"/>
    <mergeCell ref="B6:I6"/>
    <mergeCell ref="B10:I10"/>
    <mergeCell ref="B14:I14"/>
    <mergeCell ref="B22:I22"/>
    <mergeCell ref="B27:I27"/>
    <mergeCell ref="B30:I30"/>
    <mergeCell ref="B41:I41"/>
    <mergeCell ref="B48:N48"/>
  </mergeCells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B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6" min="3" style="0" width="14"/>
  </cols>
  <sheetData>
    <row r="1" customFormat="false" ht="19.7" hidden="false" customHeight="false" outlineLevel="0" collapsed="false">
      <c r="B1" s="14" t="s">
        <v>98</v>
      </c>
    </row>
    <row r="2" customFormat="false" ht="15" hidden="false" customHeight="false" outlineLevel="0" collapsed="false">
      <c r="B2" s="15" t="s">
        <v>99</v>
      </c>
    </row>
    <row r="4" customFormat="false" ht="15" hidden="false" customHeight="false" outlineLevel="0" collapsed="false">
      <c r="B4" s="17" t="s">
        <v>100</v>
      </c>
      <c r="C4" s="18" t="s">
        <v>101</v>
      </c>
      <c r="D4" s="18" t="s">
        <v>4</v>
      </c>
      <c r="E4" s="18" t="s">
        <v>102</v>
      </c>
      <c r="F4" s="18" t="s">
        <v>103</v>
      </c>
    </row>
    <row r="5" customFormat="false" ht="15" hidden="false" customHeight="false" outlineLevel="0" collapsed="false">
      <c r="B5" s="33" t="s">
        <v>104</v>
      </c>
      <c r="C5" s="34" t="n">
        <f aca="false">Low!I8</f>
        <v>35000</v>
      </c>
      <c r="D5" s="35" t="n">
        <f aca="false">Base!I8</f>
        <v>50000</v>
      </c>
      <c r="E5" s="34" t="n">
        <f aca="false">High!I8</f>
        <v>65000</v>
      </c>
      <c r="F5" s="34" t="n">
        <f aca="false">Stretch!I8</f>
        <v>80000</v>
      </c>
    </row>
    <row r="6" customFormat="false" ht="15" hidden="false" customHeight="false" outlineLevel="0" collapsed="false">
      <c r="B6" s="33" t="s">
        <v>105</v>
      </c>
      <c r="C6" s="36" t="n">
        <f aca="false">Low!I16</f>
        <v>666995</v>
      </c>
      <c r="D6" s="37" t="n">
        <f aca="false">Base!I16</f>
        <v>1003000</v>
      </c>
      <c r="E6" s="36" t="n">
        <f aca="false">High!I16</f>
        <v>1303900</v>
      </c>
      <c r="F6" s="36" t="n">
        <f aca="false">Stretch!I16</f>
        <v>1685040</v>
      </c>
    </row>
    <row r="7" customFormat="false" ht="15" hidden="false" customHeight="false" outlineLevel="0" collapsed="false">
      <c r="B7" s="33" t="s">
        <v>106</v>
      </c>
      <c r="C7" s="36" t="n">
        <f aca="false">Low!I17</f>
        <v>56598.15</v>
      </c>
      <c r="D7" s="37" t="n">
        <f aca="false">Base!I17</f>
        <v>75080</v>
      </c>
      <c r="E7" s="36" t="n">
        <f aca="false">High!I17</f>
        <v>97604</v>
      </c>
      <c r="F7" s="36" t="n">
        <f aca="false">Stretch!I17</f>
        <v>109284</v>
      </c>
    </row>
    <row r="8" customFormat="false" ht="15" hidden="false" customHeight="false" outlineLevel="0" collapsed="false">
      <c r="B8" s="30" t="s">
        <v>107</v>
      </c>
      <c r="C8" s="36" t="n">
        <f aca="false">Low!I18</f>
        <v>610396.85</v>
      </c>
      <c r="D8" s="37" t="n">
        <f aca="false">Base!I18</f>
        <v>927920</v>
      </c>
      <c r="E8" s="36" t="n">
        <f aca="false">High!I18</f>
        <v>1206296</v>
      </c>
      <c r="F8" s="36" t="n">
        <f aca="false">Stretch!I18</f>
        <v>1575756</v>
      </c>
    </row>
    <row r="9" customFormat="false" ht="15" hidden="false" customHeight="false" outlineLevel="0" collapsed="false">
      <c r="B9" s="30" t="s">
        <v>108</v>
      </c>
      <c r="C9" s="36" t="n">
        <f aca="false">Low!I22</f>
        <v>264834.85</v>
      </c>
      <c r="D9" s="37" t="n">
        <f aca="false">Base!I22</f>
        <v>434260</v>
      </c>
      <c r="E9" s="36" t="n">
        <f aca="false">High!I22</f>
        <v>564538</v>
      </c>
      <c r="F9" s="36" t="n">
        <f aca="false">Stretch!I22</f>
        <v>785900</v>
      </c>
    </row>
    <row r="10" customFormat="false" ht="15" hidden="false" customHeight="false" outlineLevel="0" collapsed="false">
      <c r="B10" s="33" t="s">
        <v>109</v>
      </c>
      <c r="C10" s="38" t="n">
        <f aca="false">Low!I23</f>
        <v>0.433873225263204</v>
      </c>
      <c r="D10" s="39" t="n">
        <f aca="false">Base!I23</f>
        <v>0.467992930425037</v>
      </c>
      <c r="E10" s="38" t="n">
        <f aca="false">High!I23</f>
        <v>0.467992930425037</v>
      </c>
      <c r="F10" s="38" t="n">
        <f aca="false">Stretch!I23</f>
        <v>0.49874472951396</v>
      </c>
    </row>
    <row r="11" customFormat="false" ht="15" hidden="false" customHeight="false" outlineLevel="0" collapsed="false">
      <c r="B11" s="33" t="s">
        <v>110</v>
      </c>
      <c r="C11" s="36" t="n">
        <f aca="false">Low!I24</f>
        <v>54600</v>
      </c>
      <c r="D11" s="37" t="n">
        <f aca="false">Base!I24</f>
        <v>78000</v>
      </c>
      <c r="E11" s="36" t="n">
        <f aca="false">High!I24</f>
        <v>101400</v>
      </c>
      <c r="F11" s="36" t="n">
        <f aca="false">Stretch!I24</f>
        <v>124800</v>
      </c>
    </row>
    <row r="12" customFormat="false" ht="15" hidden="false" customHeight="false" outlineLevel="0" collapsed="false">
      <c r="B12" s="30" t="s">
        <v>111</v>
      </c>
      <c r="C12" s="36" t="n">
        <f aca="false">Low!I25</f>
        <v>210234.85</v>
      </c>
      <c r="D12" s="37" t="n">
        <f aca="false">Base!I25</f>
        <v>356260</v>
      </c>
      <c r="E12" s="36" t="n">
        <f aca="false">High!I25</f>
        <v>463138</v>
      </c>
      <c r="F12" s="36" t="n">
        <f aca="false">Stretch!I25</f>
        <v>661100</v>
      </c>
    </row>
    <row r="13" customFormat="false" ht="15" hidden="false" customHeight="false" outlineLevel="0" collapsed="false">
      <c r="B13" s="33" t="s">
        <v>112</v>
      </c>
      <c r="C13" s="38" t="n">
        <f aca="false">Low!I26</f>
        <v>0.344423222367547</v>
      </c>
      <c r="D13" s="39" t="n">
        <f aca="false">Base!I26</f>
        <v>0.383933959824123</v>
      </c>
      <c r="E13" s="38" t="n">
        <f aca="false">High!I26</f>
        <v>0.383933959824123</v>
      </c>
      <c r="F13" s="38" t="n">
        <f aca="false">Stretch!I26</f>
        <v>0.419544650313881</v>
      </c>
    </row>
    <row r="14" customFormat="false" ht="15" hidden="false" customHeight="false" outlineLevel="0" collapsed="false">
      <c r="B14" s="33" t="s">
        <v>113</v>
      </c>
      <c r="C14" s="36" t="n">
        <f aca="false">Low!I33</f>
        <v>324415.874</v>
      </c>
      <c r="D14" s="37" t="n">
        <f aca="false">Base!I33</f>
        <v>337116.8</v>
      </c>
      <c r="E14" s="36" t="n">
        <f aca="false">High!I33</f>
        <v>348251.84</v>
      </c>
      <c r="F14" s="36" t="n">
        <f aca="false">Stretch!I33</f>
        <v>363030.24</v>
      </c>
    </row>
    <row r="15" customFormat="false" ht="15" hidden="false" customHeight="false" outlineLevel="0" collapsed="false">
      <c r="B15" s="30" t="s">
        <v>8</v>
      </c>
      <c r="C15" s="36" t="n">
        <f aca="false">Low!I34</f>
        <v>-114181.024</v>
      </c>
      <c r="D15" s="37" t="n">
        <f aca="false">Base!I34</f>
        <v>19143.2</v>
      </c>
      <c r="E15" s="36" t="n">
        <f aca="false">High!I34</f>
        <v>114886.16</v>
      </c>
      <c r="F15" s="36" t="n">
        <f aca="false">Stretch!I34</f>
        <v>298069.76</v>
      </c>
    </row>
    <row r="16" customFormat="false" ht="15" hidden="false" customHeight="false" outlineLevel="0" collapsed="false">
      <c r="B16" s="33" t="s">
        <v>9</v>
      </c>
      <c r="C16" s="38" t="n">
        <f aca="false">Low!I35</f>
        <v>-0.187060310026174</v>
      </c>
      <c r="D16" s="39" t="n">
        <f aca="false">Base!I35</f>
        <v>0.0206302267436848</v>
      </c>
      <c r="E16" s="38" t="n">
        <f aca="false">High!I35</f>
        <v>0.0952387805314782</v>
      </c>
      <c r="F16" s="38" t="n">
        <f aca="false">Stretch!I35</f>
        <v>0.18915984454446</v>
      </c>
    </row>
    <row r="17" customFormat="false" ht="15" hidden="false" customHeight="false" outlineLevel="0" collapsed="false">
      <c r="B17" s="30" t="s">
        <v>114</v>
      </c>
      <c r="C17" s="36" t="n">
        <f aca="false">Low!I41</f>
        <v>-149181.024</v>
      </c>
      <c r="D17" s="37" t="n">
        <f aca="false">Base!I41</f>
        <v>-15856.8</v>
      </c>
      <c r="E17" s="36" t="n">
        <f aca="false">High!I41</f>
        <v>58316.8968</v>
      </c>
      <c r="F17" s="36" t="n">
        <f aca="false">Stretch!I41</f>
        <v>192040.9248</v>
      </c>
    </row>
    <row r="18" customFormat="false" ht="15" hidden="false" customHeight="false" outlineLevel="0" collapsed="false">
      <c r="B18" s="33" t="s">
        <v>115</v>
      </c>
      <c r="C18" s="38" t="n">
        <f aca="false">Low!I42</f>
        <v>-0.244400055472108</v>
      </c>
      <c r="D18" s="39" t="n">
        <f aca="false">Base!I42</f>
        <v>-0.0170885421156996</v>
      </c>
      <c r="E18" s="38" t="n">
        <f aca="false">High!I42</f>
        <v>0.0483437703515555</v>
      </c>
      <c r="F18" s="38" t="n">
        <f aca="false">Stretch!I42</f>
        <v>0.121872247226093</v>
      </c>
    </row>
    <row r="19" customFormat="false" ht="15" hidden="false" customHeight="false" outlineLevel="0" collapsed="false">
      <c r="B19" s="33" t="s">
        <v>13</v>
      </c>
      <c r="C19" s="40" t="n">
        <f aca="false">Low!I10</f>
        <v>19.057</v>
      </c>
      <c r="D19" s="26" t="n">
        <f aca="false">Base!I10</f>
        <v>20.06</v>
      </c>
      <c r="E19" s="40" t="n">
        <f aca="false">High!I10</f>
        <v>20.06</v>
      </c>
      <c r="F19" s="40" t="n">
        <f aca="false">Stretch!I10</f>
        <v>21.063</v>
      </c>
    </row>
    <row r="20" customFormat="false" ht="15" hidden="false" customHeight="false" outlineLevel="0" collapsed="false">
      <c r="B20" s="33" t="s">
        <v>116</v>
      </c>
      <c r="C20" s="40" t="n">
        <f aca="false">Low!I44</f>
        <v>17.43991</v>
      </c>
      <c r="D20" s="26" t="n">
        <f aca="false">Base!I44</f>
        <v>18.5584</v>
      </c>
      <c r="E20" s="40" t="n">
        <f aca="false">High!I44</f>
        <v>18.5584</v>
      </c>
      <c r="F20" s="40" t="n">
        <f aca="false">Stretch!I44</f>
        <v>19.69695</v>
      </c>
    </row>
  </sheetData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B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8" min="3" style="0" width="12"/>
    <col collapsed="false" customWidth="true" hidden="false" outlineLevel="0" max="9" min="9" style="0" width="14"/>
  </cols>
  <sheetData>
    <row r="1" customFormat="false" ht="19.7" hidden="false" customHeight="false" outlineLevel="0" collapsed="false">
      <c r="B1" s="14" t="s">
        <v>117</v>
      </c>
    </row>
    <row r="2" customFormat="false" ht="15" hidden="false" customHeight="false" outlineLevel="0" collapsed="false">
      <c r="B2" s="15" t="s">
        <v>118</v>
      </c>
    </row>
    <row r="3" customFormat="false" ht="15" hidden="false" customHeight="false" outlineLevel="0" collapsed="false">
      <c r="B3" s="15" t="s">
        <v>119</v>
      </c>
    </row>
    <row r="5" customFormat="false" ht="15.75" hidden="false" customHeight="true" outlineLevel="0" collapsed="false">
      <c r="C5" s="16" t="s">
        <v>34</v>
      </c>
      <c r="D5" s="16"/>
      <c r="E5" s="16"/>
      <c r="F5" s="16" t="s">
        <v>35</v>
      </c>
      <c r="G5" s="16"/>
      <c r="H5" s="16"/>
      <c r="I5" s="16" t="s">
        <v>120</v>
      </c>
    </row>
    <row r="6" customFormat="false" ht="25.5" hidden="false" customHeight="true" outlineLevel="0" collapsed="false">
      <c r="B6" s="17" t="s">
        <v>121</v>
      </c>
      <c r="C6" s="18" t="s">
        <v>37</v>
      </c>
      <c r="D6" s="18" t="s">
        <v>38</v>
      </c>
      <c r="E6" s="18" t="s">
        <v>39</v>
      </c>
      <c r="F6" s="18" t="s">
        <v>37</v>
      </c>
      <c r="G6" s="18" t="s">
        <v>38</v>
      </c>
      <c r="H6" s="18" t="s">
        <v>39</v>
      </c>
      <c r="I6" s="16"/>
    </row>
    <row r="7" customFormat="false" ht="15" hidden="false" customHeight="false" outlineLevel="0" collapsed="false">
      <c r="B7" s="19" t="s">
        <v>63</v>
      </c>
      <c r="C7" s="19"/>
      <c r="D7" s="19"/>
      <c r="E7" s="19"/>
      <c r="F7" s="19"/>
      <c r="G7" s="19"/>
      <c r="H7" s="19"/>
      <c r="I7" s="19"/>
    </row>
    <row r="8" customFormat="false" ht="15" hidden="false" customHeight="false" outlineLevel="0" collapsed="false">
      <c r="B8" s="23" t="s">
        <v>122</v>
      </c>
      <c r="C8" s="35" t="n">
        <f aca="false">Assumptions!C28*Assumptions!$C$44*(Assumptions!$D$44^Assumptions!$C$39)</f>
        <v>15000</v>
      </c>
      <c r="D8" s="35" t="n">
        <f aca="false">Assumptions!D28*Assumptions!$C$44*(Assumptions!$D$44^Assumptions!$C$39)</f>
        <v>11000</v>
      </c>
      <c r="E8" s="35" t="n">
        <f aca="false">Assumptions!E28*Assumptions!$C$44*(Assumptions!$D$44^Assumptions!$C$39)</f>
        <v>9000</v>
      </c>
      <c r="F8" s="35" t="n">
        <f aca="false">Assumptions!F28*Assumptions!$C$44*(Assumptions!$D$44^Assumptions!$C$39)</f>
        <v>6000</v>
      </c>
      <c r="G8" s="35" t="n">
        <f aca="false">Assumptions!G28*Assumptions!$C$44*(Assumptions!$D$44^Assumptions!$C$39)</f>
        <v>5000</v>
      </c>
      <c r="H8" s="35" t="n">
        <f aca="false">Assumptions!H28*Assumptions!$C$44*(Assumptions!$D$44^Assumptions!$C$39)</f>
        <v>4000</v>
      </c>
      <c r="I8" s="41" t="n">
        <f aca="false">SUM(C8:H8)</f>
        <v>50000</v>
      </c>
    </row>
    <row r="9" customFormat="false" ht="15" hidden="false" customHeight="false" outlineLevel="0" collapsed="false">
      <c r="B9" s="19" t="s">
        <v>123</v>
      </c>
      <c r="C9" s="19"/>
      <c r="D9" s="19"/>
      <c r="E9" s="19"/>
      <c r="F9" s="19"/>
      <c r="G9" s="19"/>
      <c r="H9" s="19"/>
      <c r="I9" s="19"/>
    </row>
    <row r="10" customFormat="false" ht="15" hidden="false" customHeight="false" outlineLevel="0" collapsed="false">
      <c r="B10" s="23" t="s">
        <v>124</v>
      </c>
      <c r="C10" s="26" t="n">
        <f aca="false">Assumptions!C11*Assumptions!$D$44</f>
        <v>15</v>
      </c>
      <c r="D10" s="26" t="n">
        <f aca="false">Assumptions!D11*Assumptions!$D$44</f>
        <v>15</v>
      </c>
      <c r="E10" s="26" t="n">
        <f aca="false">Assumptions!E11*Assumptions!$D$44</f>
        <v>14</v>
      </c>
      <c r="F10" s="26" t="n">
        <f aca="false">Assumptions!F11*Assumptions!$D$44</f>
        <v>33</v>
      </c>
      <c r="G10" s="26" t="n">
        <f aca="false">Assumptions!G11*Assumptions!$D$44</f>
        <v>33</v>
      </c>
      <c r="H10" s="26" t="n">
        <f aca="false">Assumptions!H11*Assumptions!$D$44</f>
        <v>31</v>
      </c>
      <c r="I10" s="27" t="n">
        <f aca="false">IFERROR(I16/I8,0)</f>
        <v>20.06</v>
      </c>
    </row>
    <row r="11" customFormat="false" ht="15" hidden="false" customHeight="false" outlineLevel="0" collapsed="false">
      <c r="B11" s="20" t="s">
        <v>125</v>
      </c>
      <c r="C11" s="39" t="n">
        <f aca="false">Assumptions!C12+Assumptions!$E$44</f>
        <v>0.07</v>
      </c>
      <c r="D11" s="39" t="n">
        <f aca="false">Assumptions!D12+Assumptions!$E$44</f>
        <v>0.07</v>
      </c>
      <c r="E11" s="39" t="n">
        <f aca="false">Assumptions!E12+Assumptions!$E$44</f>
        <v>0.07</v>
      </c>
      <c r="F11" s="39" t="n">
        <f aca="false">Assumptions!F12+Assumptions!$E$44</f>
        <v>0.08</v>
      </c>
      <c r="G11" s="39" t="n">
        <f aca="false">Assumptions!G12+Assumptions!$E$44</f>
        <v>0.08</v>
      </c>
      <c r="H11" s="39" t="n">
        <f aca="false">Assumptions!H12+Assumptions!$E$44</f>
        <v>0.08</v>
      </c>
      <c r="I11" s="32" t="n">
        <f aca="false">IFERROR(I17/I16,0)</f>
        <v>0.0748554336989033</v>
      </c>
    </row>
    <row r="12" customFormat="false" ht="15" hidden="false" customHeight="false" outlineLevel="0" collapsed="false">
      <c r="B12" s="20" t="s">
        <v>55</v>
      </c>
      <c r="C12" s="26" t="n">
        <f aca="false">Assumptions!C19</f>
        <v>6.53</v>
      </c>
      <c r="D12" s="26" t="n">
        <f aca="false">Assumptions!D19</f>
        <v>6.53</v>
      </c>
      <c r="E12" s="26" t="n">
        <f aca="false">Assumptions!E19</f>
        <v>6.28</v>
      </c>
      <c r="F12" s="26" t="n">
        <f aca="false">Assumptions!F19</f>
        <v>14.86</v>
      </c>
      <c r="G12" s="26" t="n">
        <f aca="false">Assumptions!G19</f>
        <v>14.86</v>
      </c>
      <c r="H12" s="26" t="n">
        <f aca="false">Assumptions!H19</f>
        <v>14.36</v>
      </c>
      <c r="I12" s="27" t="n">
        <f aca="false">IFERROR(I19/I8,0)</f>
        <v>8.944</v>
      </c>
    </row>
    <row r="13" customFormat="false" ht="15" hidden="false" customHeight="false" outlineLevel="0" collapsed="false">
      <c r="B13" s="20" t="s">
        <v>126</v>
      </c>
      <c r="C13" s="26" t="n">
        <f aca="false">Assumptions!C20</f>
        <v>0.72</v>
      </c>
      <c r="D13" s="26" t="n">
        <f aca="false">Assumptions!D20</f>
        <v>0.72</v>
      </c>
      <c r="E13" s="26" t="n">
        <f aca="false">Assumptions!E20</f>
        <v>0.7</v>
      </c>
      <c r="F13" s="26" t="n">
        <f aca="false">Assumptions!F20</f>
        <v>1.44</v>
      </c>
      <c r="G13" s="26" t="n">
        <f aca="false">Assumptions!G20</f>
        <v>1.44</v>
      </c>
      <c r="H13" s="26" t="n">
        <f aca="false">Assumptions!H20</f>
        <v>1.4</v>
      </c>
      <c r="I13" s="27" t="n">
        <f aca="false">IFERROR(I20/I8,0)</f>
        <v>0.9292</v>
      </c>
    </row>
    <row r="14" customFormat="false" ht="15" hidden="false" customHeight="false" outlineLevel="0" collapsed="false">
      <c r="B14" s="20" t="s">
        <v>62</v>
      </c>
      <c r="C14" s="26" t="n">
        <f aca="false">Assumptions!C26</f>
        <v>1.2</v>
      </c>
      <c r="D14" s="26" t="n">
        <f aca="false">Assumptions!D26</f>
        <v>1.2</v>
      </c>
      <c r="E14" s="26" t="n">
        <f aca="false">Assumptions!E26</f>
        <v>1.2</v>
      </c>
      <c r="F14" s="26" t="n">
        <f aca="false">Assumptions!F26</f>
        <v>2.4</v>
      </c>
      <c r="G14" s="26" t="n">
        <f aca="false">Assumptions!G26</f>
        <v>2.4</v>
      </c>
      <c r="H14" s="26" t="n">
        <f aca="false">Assumptions!H26</f>
        <v>2.4</v>
      </c>
      <c r="I14" s="27" t="n">
        <f aca="false">IFERROR(I24/I8,0)</f>
        <v>1.56</v>
      </c>
    </row>
    <row r="15" customFormat="false" ht="15" hidden="false" customHeight="false" outlineLevel="0" collapsed="false">
      <c r="B15" s="19" t="s">
        <v>127</v>
      </c>
      <c r="C15" s="19"/>
      <c r="D15" s="19"/>
      <c r="E15" s="19"/>
      <c r="F15" s="19"/>
      <c r="G15" s="19"/>
      <c r="H15" s="19"/>
      <c r="I15" s="19"/>
    </row>
    <row r="16" customFormat="false" ht="15" hidden="false" customHeight="false" outlineLevel="0" collapsed="false">
      <c r="B16" s="20" t="s">
        <v>128</v>
      </c>
      <c r="C16" s="36" t="n">
        <f aca="false">C8*C10</f>
        <v>225000</v>
      </c>
      <c r="D16" s="36" t="n">
        <f aca="false">D8*D10</f>
        <v>165000</v>
      </c>
      <c r="E16" s="36" t="n">
        <f aca="false">E8*E10</f>
        <v>126000</v>
      </c>
      <c r="F16" s="36" t="n">
        <f aca="false">F8*F10</f>
        <v>198000</v>
      </c>
      <c r="G16" s="36" t="n">
        <f aca="false">G8*G10</f>
        <v>165000</v>
      </c>
      <c r="H16" s="36" t="n">
        <f aca="false">H8*H10</f>
        <v>124000</v>
      </c>
      <c r="I16" s="42" t="n">
        <f aca="false">SUM(C16:H16)</f>
        <v>1003000</v>
      </c>
    </row>
    <row r="17" customFormat="false" ht="15" hidden="false" customHeight="false" outlineLevel="0" collapsed="false">
      <c r="B17" s="20" t="s">
        <v>129</v>
      </c>
      <c r="C17" s="36" t="n">
        <f aca="false">C16*C11</f>
        <v>15750</v>
      </c>
      <c r="D17" s="36" t="n">
        <f aca="false">D16*D11</f>
        <v>11550</v>
      </c>
      <c r="E17" s="36" t="n">
        <f aca="false">E16*E11</f>
        <v>8820</v>
      </c>
      <c r="F17" s="36" t="n">
        <f aca="false">F16*F11</f>
        <v>15840</v>
      </c>
      <c r="G17" s="36" t="n">
        <f aca="false">G16*G11</f>
        <v>13200</v>
      </c>
      <c r="H17" s="36" t="n">
        <f aca="false">H16*H11</f>
        <v>9920</v>
      </c>
      <c r="I17" s="42" t="n">
        <f aca="false">SUM(C17:H17)</f>
        <v>75080</v>
      </c>
    </row>
    <row r="18" customFormat="false" ht="15" hidden="false" customHeight="false" outlineLevel="0" collapsed="false">
      <c r="B18" s="23" t="s">
        <v>130</v>
      </c>
      <c r="C18" s="36" t="n">
        <f aca="false">C16-C17</f>
        <v>209250</v>
      </c>
      <c r="D18" s="36" t="n">
        <f aca="false">D16-D17</f>
        <v>153450</v>
      </c>
      <c r="E18" s="36" t="n">
        <f aca="false">E16-E17</f>
        <v>117180</v>
      </c>
      <c r="F18" s="36" t="n">
        <f aca="false">F16-F17</f>
        <v>182160</v>
      </c>
      <c r="G18" s="36" t="n">
        <f aca="false">G16-G17</f>
        <v>151800</v>
      </c>
      <c r="H18" s="36" t="n">
        <f aca="false">H16-H17</f>
        <v>114080</v>
      </c>
      <c r="I18" s="42" t="n">
        <f aca="false">I16-I17</f>
        <v>927920</v>
      </c>
    </row>
    <row r="19" customFormat="false" ht="15" hidden="false" customHeight="false" outlineLevel="0" collapsed="false">
      <c r="B19" s="20" t="s">
        <v>131</v>
      </c>
      <c r="C19" s="36" t="n">
        <f aca="false">C8*C12</f>
        <v>97950</v>
      </c>
      <c r="D19" s="36" t="n">
        <f aca="false">D8*D12</f>
        <v>71830</v>
      </c>
      <c r="E19" s="36" t="n">
        <f aca="false">E8*E12</f>
        <v>56520</v>
      </c>
      <c r="F19" s="36" t="n">
        <f aca="false">F8*F12</f>
        <v>89160</v>
      </c>
      <c r="G19" s="36" t="n">
        <f aca="false">G8*G12</f>
        <v>74300</v>
      </c>
      <c r="H19" s="36" t="n">
        <f aca="false">H8*H12</f>
        <v>57440</v>
      </c>
      <c r="I19" s="42" t="n">
        <f aca="false">SUM(C19:H19)</f>
        <v>447200</v>
      </c>
    </row>
    <row r="20" customFormat="false" ht="15" hidden="false" customHeight="false" outlineLevel="0" collapsed="false">
      <c r="B20" s="20" t="s">
        <v>132</v>
      </c>
      <c r="C20" s="36" t="n">
        <f aca="false">C8*C13</f>
        <v>10800</v>
      </c>
      <c r="D20" s="36" t="n">
        <f aca="false">D8*D13</f>
        <v>7920</v>
      </c>
      <c r="E20" s="36" t="n">
        <f aca="false">E8*E13</f>
        <v>6300</v>
      </c>
      <c r="F20" s="36" t="n">
        <f aca="false">F8*F13</f>
        <v>8640</v>
      </c>
      <c r="G20" s="36" t="n">
        <f aca="false">G8*G13</f>
        <v>7200</v>
      </c>
      <c r="H20" s="36" t="n">
        <f aca="false">H8*H13</f>
        <v>5600</v>
      </c>
      <c r="I20" s="42" t="n">
        <f aca="false">SUM(C20:H20)</f>
        <v>46460</v>
      </c>
    </row>
    <row r="21" customFormat="false" ht="15" hidden="false" customHeight="false" outlineLevel="0" collapsed="false">
      <c r="B21" s="20" t="s">
        <v>133</v>
      </c>
      <c r="C21" s="36" t="n">
        <f aca="false">C19+C20</f>
        <v>108750</v>
      </c>
      <c r="D21" s="36" t="n">
        <f aca="false">D19+D20</f>
        <v>79750</v>
      </c>
      <c r="E21" s="36" t="n">
        <f aca="false">E19+E20</f>
        <v>62820</v>
      </c>
      <c r="F21" s="36" t="n">
        <f aca="false">F19+F20</f>
        <v>97800</v>
      </c>
      <c r="G21" s="36" t="n">
        <f aca="false">G19+G20</f>
        <v>81500</v>
      </c>
      <c r="H21" s="36" t="n">
        <f aca="false">H19+H20</f>
        <v>63040</v>
      </c>
      <c r="I21" s="42" t="n">
        <f aca="false">I19+I20</f>
        <v>493660</v>
      </c>
    </row>
    <row r="22" customFormat="false" ht="15" hidden="false" customHeight="false" outlineLevel="0" collapsed="false">
      <c r="B22" s="23" t="s">
        <v>134</v>
      </c>
      <c r="C22" s="36" t="n">
        <f aca="false">C18-C21</f>
        <v>100500</v>
      </c>
      <c r="D22" s="36" t="n">
        <f aca="false">D18-D21</f>
        <v>73700</v>
      </c>
      <c r="E22" s="36" t="n">
        <f aca="false">E18-E21</f>
        <v>54360</v>
      </c>
      <c r="F22" s="36" t="n">
        <f aca="false">F18-F21</f>
        <v>84360</v>
      </c>
      <c r="G22" s="36" t="n">
        <f aca="false">G18-G21</f>
        <v>70300</v>
      </c>
      <c r="H22" s="36" t="n">
        <f aca="false">H18-H21</f>
        <v>51040</v>
      </c>
      <c r="I22" s="42" t="n">
        <f aca="false">I18-I21</f>
        <v>434260</v>
      </c>
    </row>
    <row r="23" customFormat="false" ht="15" hidden="false" customHeight="false" outlineLevel="0" collapsed="false">
      <c r="B23" s="20" t="s">
        <v>135</v>
      </c>
      <c r="C23" s="38" t="n">
        <f aca="false">IFERROR(C22/C18,0)</f>
        <v>0.480286738351254</v>
      </c>
      <c r="D23" s="38" t="n">
        <f aca="false">IFERROR(D22/D18,0)</f>
        <v>0.480286738351254</v>
      </c>
      <c r="E23" s="38" t="n">
        <f aca="false">IFERROR(E22/E18,0)</f>
        <v>0.463901689708141</v>
      </c>
      <c r="F23" s="38" t="n">
        <f aca="false">IFERROR(F22/F18,0)</f>
        <v>0.463109354413702</v>
      </c>
      <c r="G23" s="38" t="n">
        <f aca="false">IFERROR(G22/G18,0)</f>
        <v>0.463109354413702</v>
      </c>
      <c r="H23" s="38" t="n">
        <f aca="false">IFERROR(H22/H18,0)</f>
        <v>0.447405329593268</v>
      </c>
      <c r="I23" s="32" t="n">
        <f aca="false">IFERROR(I22/I18,0)</f>
        <v>0.467992930425037</v>
      </c>
    </row>
    <row r="24" customFormat="false" ht="15" hidden="false" customHeight="false" outlineLevel="0" collapsed="false">
      <c r="B24" s="20" t="s">
        <v>136</v>
      </c>
      <c r="C24" s="36" t="n">
        <f aca="false">C8*C14</f>
        <v>18000</v>
      </c>
      <c r="D24" s="36" t="n">
        <f aca="false">D8*D14</f>
        <v>13200</v>
      </c>
      <c r="E24" s="36" t="n">
        <f aca="false">E8*E14</f>
        <v>10800</v>
      </c>
      <c r="F24" s="36" t="n">
        <f aca="false">F8*F14</f>
        <v>14400</v>
      </c>
      <c r="G24" s="36" t="n">
        <f aca="false">G8*G14</f>
        <v>12000</v>
      </c>
      <c r="H24" s="36" t="n">
        <f aca="false">H8*H14</f>
        <v>9600</v>
      </c>
      <c r="I24" s="42" t="n">
        <f aca="false">SUM(C24:H24)</f>
        <v>78000</v>
      </c>
    </row>
    <row r="25" customFormat="false" ht="15" hidden="false" customHeight="false" outlineLevel="0" collapsed="false">
      <c r="B25" s="23" t="s">
        <v>137</v>
      </c>
      <c r="C25" s="36" t="n">
        <f aca="false">C22-C24</f>
        <v>82500</v>
      </c>
      <c r="D25" s="36" t="n">
        <f aca="false">D22-D24</f>
        <v>60500</v>
      </c>
      <c r="E25" s="36" t="n">
        <f aca="false">E22-E24</f>
        <v>43560</v>
      </c>
      <c r="F25" s="36" t="n">
        <f aca="false">F22-F24</f>
        <v>69960</v>
      </c>
      <c r="G25" s="36" t="n">
        <f aca="false">G22-G24</f>
        <v>58300</v>
      </c>
      <c r="H25" s="36" t="n">
        <f aca="false">H22-H24</f>
        <v>41440</v>
      </c>
      <c r="I25" s="42" t="n">
        <f aca="false">I22-I24</f>
        <v>356260</v>
      </c>
    </row>
    <row r="26" customFormat="false" ht="15" hidden="false" customHeight="false" outlineLevel="0" collapsed="false">
      <c r="B26" s="20" t="s">
        <v>138</v>
      </c>
      <c r="C26" s="38" t="n">
        <f aca="false">IFERROR(C25/C18,0)</f>
        <v>0.39426523297491</v>
      </c>
      <c r="D26" s="38" t="n">
        <f aca="false">IFERROR(D25/D18,0)</f>
        <v>0.39426523297491</v>
      </c>
      <c r="E26" s="38" t="n">
        <f aca="false">IFERROR(E25/E18,0)</f>
        <v>0.37173579109063</v>
      </c>
      <c r="F26" s="38" t="n">
        <f aca="false">IFERROR(F25/F18,0)</f>
        <v>0.384057971014493</v>
      </c>
      <c r="G26" s="38" t="n">
        <f aca="false">IFERROR(G25/G18,0)</f>
        <v>0.384057971014493</v>
      </c>
      <c r="H26" s="38" t="n">
        <f aca="false">IFERROR(H25/H18,0)</f>
        <v>0.363253856942497</v>
      </c>
      <c r="I26" s="32" t="n">
        <f aca="false">IFERROR(I25/I18,0)</f>
        <v>0.383933959824123</v>
      </c>
    </row>
    <row r="27" customFormat="false" ht="15" hidden="false" customHeight="false" outlineLevel="0" collapsed="false">
      <c r="B27" s="19" t="s">
        <v>139</v>
      </c>
      <c r="C27" s="19"/>
      <c r="D27" s="19"/>
      <c r="E27" s="19"/>
      <c r="F27" s="19"/>
      <c r="G27" s="19"/>
      <c r="H27" s="19"/>
      <c r="I27" s="19"/>
    </row>
    <row r="28" customFormat="false" ht="15" hidden="false" customHeight="false" outlineLevel="0" collapsed="false">
      <c r="B28" s="20" t="s">
        <v>66</v>
      </c>
      <c r="I28" s="42" t="n">
        <f aca="false">Assumptions!$C$31</f>
        <v>180000</v>
      </c>
    </row>
    <row r="29" customFormat="false" ht="15" hidden="false" customHeight="false" outlineLevel="0" collapsed="false">
      <c r="B29" s="20" t="s">
        <v>67</v>
      </c>
      <c r="I29" s="42" t="n">
        <f aca="false">Assumptions!$C$32</f>
        <v>60000</v>
      </c>
    </row>
    <row r="30" customFormat="false" ht="15" hidden="false" customHeight="false" outlineLevel="0" collapsed="false">
      <c r="B30" s="20" t="s">
        <v>140</v>
      </c>
      <c r="I30" s="42" t="n">
        <f aca="false">Assumptions!$C$33</f>
        <v>40000</v>
      </c>
    </row>
    <row r="31" customFormat="false" ht="15" hidden="false" customHeight="false" outlineLevel="0" collapsed="false">
      <c r="B31" s="20" t="s">
        <v>141</v>
      </c>
      <c r="I31" s="42" t="n">
        <f aca="false">Assumptions!$C$34</f>
        <v>20000</v>
      </c>
    </row>
    <row r="32" customFormat="false" ht="15" hidden="false" customHeight="false" outlineLevel="0" collapsed="false">
      <c r="B32" s="20" t="s">
        <v>142</v>
      </c>
      <c r="I32" s="42" t="n">
        <f aca="false">I18*Assumptions!$C$35</f>
        <v>37116.8</v>
      </c>
    </row>
    <row r="33" customFormat="false" ht="15" hidden="false" customHeight="false" outlineLevel="0" collapsed="false">
      <c r="B33" s="23" t="s">
        <v>143</v>
      </c>
      <c r="I33" s="42" t="n">
        <f aca="false">SUM(I28:I32)</f>
        <v>337116.8</v>
      </c>
    </row>
    <row r="34" customFormat="false" ht="15" hidden="false" customHeight="false" outlineLevel="0" collapsed="false">
      <c r="B34" s="23" t="s">
        <v>144</v>
      </c>
      <c r="I34" s="42" t="n">
        <f aca="false">I25-I33</f>
        <v>19143.2</v>
      </c>
    </row>
    <row r="35" customFormat="false" ht="15" hidden="false" customHeight="false" outlineLevel="0" collapsed="false">
      <c r="B35" s="20" t="s">
        <v>145</v>
      </c>
      <c r="I35" s="32" t="n">
        <f aca="false">IFERROR(I34/I18,0)</f>
        <v>0.0206302267436848</v>
      </c>
    </row>
    <row r="36" customFormat="false" ht="15" hidden="false" customHeight="false" outlineLevel="0" collapsed="false">
      <c r="B36" s="20" t="s">
        <v>146</v>
      </c>
      <c r="I36" s="42" t="n">
        <f aca="false">Assumptions!$C$36</f>
        <v>25000</v>
      </c>
    </row>
    <row r="37" customFormat="false" ht="15" hidden="false" customHeight="false" outlineLevel="0" collapsed="false">
      <c r="B37" s="23" t="s">
        <v>147</v>
      </c>
      <c r="I37" s="42" t="n">
        <f aca="false">I34-I36</f>
        <v>-5856.79999999999</v>
      </c>
    </row>
    <row r="38" customFormat="false" ht="15" hidden="false" customHeight="false" outlineLevel="0" collapsed="false">
      <c r="B38" s="20" t="s">
        <v>148</v>
      </c>
      <c r="I38" s="42" t="n">
        <f aca="false">Assumptions!$C$37</f>
        <v>10000</v>
      </c>
    </row>
    <row r="39" customFormat="false" ht="15" hidden="false" customHeight="false" outlineLevel="0" collapsed="false">
      <c r="B39" s="23" t="s">
        <v>149</v>
      </c>
      <c r="I39" s="42" t="n">
        <f aca="false">I37-I38</f>
        <v>-15856.8</v>
      </c>
    </row>
    <row r="40" customFormat="false" ht="15" hidden="false" customHeight="false" outlineLevel="0" collapsed="false">
      <c r="B40" s="20" t="s">
        <v>150</v>
      </c>
      <c r="I40" s="42" t="n">
        <f aca="false">MAX(0,I39*Assumptions!$C$38)</f>
        <v>0</v>
      </c>
    </row>
    <row r="41" customFormat="false" ht="15" hidden="false" customHeight="false" outlineLevel="0" collapsed="false">
      <c r="B41" s="23" t="s">
        <v>151</v>
      </c>
      <c r="I41" s="42" t="n">
        <f aca="false">I39-I40</f>
        <v>-15856.8</v>
      </c>
    </row>
    <row r="42" customFormat="false" ht="15" hidden="false" customHeight="false" outlineLevel="0" collapsed="false">
      <c r="B42" s="20" t="s">
        <v>152</v>
      </c>
      <c r="I42" s="32" t="n">
        <f aca="false">IFERROR(I41/I18,0)</f>
        <v>-0.0170885421156996</v>
      </c>
    </row>
    <row r="43" customFormat="false" ht="15" hidden="false" customHeight="false" outlineLevel="0" collapsed="false">
      <c r="B43" s="19" t="s">
        <v>153</v>
      </c>
      <c r="C43" s="19"/>
      <c r="D43" s="19"/>
      <c r="E43" s="19"/>
      <c r="F43" s="19"/>
      <c r="G43" s="19"/>
      <c r="H43" s="19"/>
      <c r="I43" s="19"/>
    </row>
    <row r="44" customFormat="false" ht="15" hidden="false" customHeight="false" outlineLevel="0" collapsed="false">
      <c r="B44" s="20" t="s">
        <v>154</v>
      </c>
      <c r="C44" s="40" t="n">
        <f aca="false">IFERROR(C18/C8,0)</f>
        <v>13.95</v>
      </c>
      <c r="D44" s="40" t="n">
        <f aca="false">IFERROR(D18/D8,0)</f>
        <v>13.95</v>
      </c>
      <c r="E44" s="40" t="n">
        <f aca="false">IFERROR(E18/E8,0)</f>
        <v>13.02</v>
      </c>
      <c r="F44" s="40" t="n">
        <f aca="false">IFERROR(F18/F8,0)</f>
        <v>30.36</v>
      </c>
      <c r="G44" s="40" t="n">
        <f aca="false">IFERROR(G18/G8,0)</f>
        <v>30.36</v>
      </c>
      <c r="H44" s="40" t="n">
        <f aca="false">IFERROR(H18/H8,0)</f>
        <v>28.52</v>
      </c>
      <c r="I44" s="27" t="n">
        <f aca="false">IFERROR(I18/I8,0)</f>
        <v>18.5584</v>
      </c>
    </row>
    <row r="45" customFormat="false" ht="15" hidden="false" customHeight="false" outlineLevel="0" collapsed="false">
      <c r="B45" s="20" t="s">
        <v>155</v>
      </c>
      <c r="C45" s="40" t="n">
        <f aca="false">IFERROR(C25/C8,0)</f>
        <v>5.5</v>
      </c>
      <c r="D45" s="40" t="n">
        <f aca="false">IFERROR(D25/D8,0)</f>
        <v>5.5</v>
      </c>
      <c r="E45" s="40" t="n">
        <f aca="false">IFERROR(E25/E8,0)</f>
        <v>4.84</v>
      </c>
      <c r="F45" s="40" t="n">
        <f aca="false">IFERROR(F25/F8,0)</f>
        <v>11.66</v>
      </c>
      <c r="G45" s="40" t="n">
        <f aca="false">IFERROR(G25/G8,0)</f>
        <v>11.66</v>
      </c>
      <c r="H45" s="40" t="n">
        <f aca="false">IFERROR(H25/H8,0)</f>
        <v>10.36</v>
      </c>
      <c r="I45" s="27" t="n">
        <f aca="false">IFERROR(I25/I8,0)</f>
        <v>7.1252</v>
      </c>
    </row>
  </sheetData>
  <mergeCells count="8">
    <mergeCell ref="C5:E5"/>
    <mergeCell ref="F5:H5"/>
    <mergeCell ref="I5:I6"/>
    <mergeCell ref="B7:I7"/>
    <mergeCell ref="B9:I9"/>
    <mergeCell ref="B15:I15"/>
    <mergeCell ref="B27:I27"/>
    <mergeCell ref="B43:I43"/>
  </mergeCells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FA6"/>
    <pageSetUpPr fitToPage="true"/>
  </sheetPr>
  <dimension ref="B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8" min="3" style="0" width="12"/>
    <col collapsed="false" customWidth="true" hidden="false" outlineLevel="0" max="9" min="9" style="0" width="14"/>
  </cols>
  <sheetData>
    <row r="1" customFormat="false" ht="19.7" hidden="false" customHeight="false" outlineLevel="0" collapsed="false">
      <c r="B1" s="14" t="s">
        <v>156</v>
      </c>
    </row>
    <row r="2" customFormat="false" ht="15" hidden="false" customHeight="false" outlineLevel="0" collapsed="false">
      <c r="B2" s="15" t="s">
        <v>157</v>
      </c>
    </row>
    <row r="3" customFormat="false" ht="15" hidden="false" customHeight="false" outlineLevel="0" collapsed="false">
      <c r="B3" s="15" t="s">
        <v>119</v>
      </c>
    </row>
    <row r="5" customFormat="false" ht="15.75" hidden="false" customHeight="true" outlineLevel="0" collapsed="false">
      <c r="C5" s="16" t="s">
        <v>34</v>
      </c>
      <c r="D5" s="16"/>
      <c r="E5" s="16"/>
      <c r="F5" s="16" t="s">
        <v>35</v>
      </c>
      <c r="G5" s="16"/>
      <c r="H5" s="16"/>
      <c r="I5" s="16" t="s">
        <v>120</v>
      </c>
    </row>
    <row r="6" customFormat="false" ht="25.5" hidden="false" customHeight="true" outlineLevel="0" collapsed="false">
      <c r="B6" s="17" t="s">
        <v>121</v>
      </c>
      <c r="C6" s="18" t="s">
        <v>37</v>
      </c>
      <c r="D6" s="18" t="s">
        <v>38</v>
      </c>
      <c r="E6" s="18" t="s">
        <v>39</v>
      </c>
      <c r="F6" s="18" t="s">
        <v>37</v>
      </c>
      <c r="G6" s="18" t="s">
        <v>38</v>
      </c>
      <c r="H6" s="18" t="s">
        <v>39</v>
      </c>
      <c r="I6" s="16"/>
    </row>
    <row r="7" customFormat="false" ht="15" hidden="false" customHeight="false" outlineLevel="0" collapsed="false">
      <c r="B7" s="19" t="s">
        <v>63</v>
      </c>
      <c r="C7" s="19"/>
      <c r="D7" s="19"/>
      <c r="E7" s="19"/>
      <c r="F7" s="19"/>
      <c r="G7" s="19"/>
      <c r="H7" s="19"/>
      <c r="I7" s="19"/>
    </row>
    <row r="8" customFormat="false" ht="15" hidden="false" customHeight="false" outlineLevel="0" collapsed="false">
      <c r="B8" s="23" t="s">
        <v>122</v>
      </c>
      <c r="C8" s="35" t="n">
        <f aca="false">Assumptions!C28*Assumptions!$C$43*(Assumptions!$D$43^Assumptions!$C$39)</f>
        <v>10500</v>
      </c>
      <c r="D8" s="35" t="n">
        <f aca="false">Assumptions!D28*Assumptions!$C$43*(Assumptions!$D$43^Assumptions!$C$39)</f>
        <v>7700</v>
      </c>
      <c r="E8" s="35" t="n">
        <f aca="false">Assumptions!E28*Assumptions!$C$43*(Assumptions!$D$43^Assumptions!$C$39)</f>
        <v>6300</v>
      </c>
      <c r="F8" s="35" t="n">
        <f aca="false">Assumptions!F28*Assumptions!$C$43*(Assumptions!$D$43^Assumptions!$C$39)</f>
        <v>4200</v>
      </c>
      <c r="G8" s="35" t="n">
        <f aca="false">Assumptions!G28*Assumptions!$C$43*(Assumptions!$D$43^Assumptions!$C$39)</f>
        <v>3500</v>
      </c>
      <c r="H8" s="35" t="n">
        <f aca="false">Assumptions!H28*Assumptions!$C$43*(Assumptions!$D$43^Assumptions!$C$39)</f>
        <v>2800</v>
      </c>
      <c r="I8" s="41" t="n">
        <f aca="false">SUM(C8:H8)</f>
        <v>35000</v>
      </c>
    </row>
    <row r="9" customFormat="false" ht="15" hidden="false" customHeight="false" outlineLevel="0" collapsed="false">
      <c r="B9" s="19" t="s">
        <v>123</v>
      </c>
      <c r="C9" s="19"/>
      <c r="D9" s="19"/>
      <c r="E9" s="19"/>
      <c r="F9" s="19"/>
      <c r="G9" s="19"/>
      <c r="H9" s="19"/>
      <c r="I9" s="19"/>
    </row>
    <row r="10" customFormat="false" ht="15" hidden="false" customHeight="false" outlineLevel="0" collapsed="false">
      <c r="B10" s="23" t="s">
        <v>124</v>
      </c>
      <c r="C10" s="26" t="n">
        <f aca="false">Assumptions!C11*Assumptions!$D$43</f>
        <v>14.25</v>
      </c>
      <c r="D10" s="26" t="n">
        <f aca="false">Assumptions!D11*Assumptions!$D$43</f>
        <v>14.25</v>
      </c>
      <c r="E10" s="26" t="n">
        <f aca="false">Assumptions!E11*Assumptions!$D$43</f>
        <v>13.3</v>
      </c>
      <c r="F10" s="26" t="n">
        <f aca="false">Assumptions!F11*Assumptions!$D$43</f>
        <v>31.35</v>
      </c>
      <c r="G10" s="26" t="n">
        <f aca="false">Assumptions!G11*Assumptions!$D$43</f>
        <v>31.35</v>
      </c>
      <c r="H10" s="26" t="n">
        <f aca="false">Assumptions!H11*Assumptions!$D$43</f>
        <v>29.45</v>
      </c>
      <c r="I10" s="27" t="n">
        <f aca="false">IFERROR(I16/I8,0)</f>
        <v>19.057</v>
      </c>
    </row>
    <row r="11" customFormat="false" ht="15" hidden="false" customHeight="false" outlineLevel="0" collapsed="false">
      <c r="B11" s="20" t="s">
        <v>125</v>
      </c>
      <c r="C11" s="39" t="n">
        <f aca="false">Assumptions!C12+Assumptions!$E$43</f>
        <v>0.08</v>
      </c>
      <c r="D11" s="39" t="n">
        <f aca="false">Assumptions!D12+Assumptions!$E$43</f>
        <v>0.08</v>
      </c>
      <c r="E11" s="39" t="n">
        <f aca="false">Assumptions!E12+Assumptions!$E$43</f>
        <v>0.08</v>
      </c>
      <c r="F11" s="39" t="n">
        <f aca="false">Assumptions!F12+Assumptions!$E$43</f>
        <v>0.09</v>
      </c>
      <c r="G11" s="39" t="n">
        <f aca="false">Assumptions!G12+Assumptions!$E$43</f>
        <v>0.09</v>
      </c>
      <c r="H11" s="39" t="n">
        <f aca="false">Assumptions!H12+Assumptions!$E$43</f>
        <v>0.09</v>
      </c>
      <c r="I11" s="32" t="n">
        <f aca="false">IFERROR(I17/I16,0)</f>
        <v>0.0848554336989033</v>
      </c>
    </row>
    <row r="12" customFormat="false" ht="15" hidden="false" customHeight="false" outlineLevel="0" collapsed="false">
      <c r="B12" s="20" t="s">
        <v>55</v>
      </c>
      <c r="C12" s="26" t="n">
        <f aca="false">Assumptions!C19</f>
        <v>6.53</v>
      </c>
      <c r="D12" s="26" t="n">
        <f aca="false">Assumptions!D19</f>
        <v>6.53</v>
      </c>
      <c r="E12" s="26" t="n">
        <f aca="false">Assumptions!E19</f>
        <v>6.28</v>
      </c>
      <c r="F12" s="26" t="n">
        <f aca="false">Assumptions!F19</f>
        <v>14.86</v>
      </c>
      <c r="G12" s="26" t="n">
        <f aca="false">Assumptions!G19</f>
        <v>14.86</v>
      </c>
      <c r="H12" s="26" t="n">
        <f aca="false">Assumptions!H19</f>
        <v>14.36</v>
      </c>
      <c r="I12" s="27" t="n">
        <f aca="false">IFERROR(I19/I8,0)</f>
        <v>8.944</v>
      </c>
    </row>
    <row r="13" customFormat="false" ht="15" hidden="false" customHeight="false" outlineLevel="0" collapsed="false">
      <c r="B13" s="20" t="s">
        <v>126</v>
      </c>
      <c r="C13" s="26" t="n">
        <f aca="false">Assumptions!C20</f>
        <v>0.72</v>
      </c>
      <c r="D13" s="26" t="n">
        <f aca="false">Assumptions!D20</f>
        <v>0.72</v>
      </c>
      <c r="E13" s="26" t="n">
        <f aca="false">Assumptions!E20</f>
        <v>0.7</v>
      </c>
      <c r="F13" s="26" t="n">
        <f aca="false">Assumptions!F20</f>
        <v>1.44</v>
      </c>
      <c r="G13" s="26" t="n">
        <f aca="false">Assumptions!G20</f>
        <v>1.44</v>
      </c>
      <c r="H13" s="26" t="n">
        <f aca="false">Assumptions!H20</f>
        <v>1.4</v>
      </c>
      <c r="I13" s="27" t="n">
        <f aca="false">IFERROR(I20/I8,0)</f>
        <v>0.9292</v>
      </c>
    </row>
    <row r="14" customFormat="false" ht="15" hidden="false" customHeight="false" outlineLevel="0" collapsed="false">
      <c r="B14" s="20" t="s">
        <v>62</v>
      </c>
      <c r="C14" s="26" t="n">
        <f aca="false">Assumptions!C26</f>
        <v>1.2</v>
      </c>
      <c r="D14" s="26" t="n">
        <f aca="false">Assumptions!D26</f>
        <v>1.2</v>
      </c>
      <c r="E14" s="26" t="n">
        <f aca="false">Assumptions!E26</f>
        <v>1.2</v>
      </c>
      <c r="F14" s="26" t="n">
        <f aca="false">Assumptions!F26</f>
        <v>2.4</v>
      </c>
      <c r="G14" s="26" t="n">
        <f aca="false">Assumptions!G26</f>
        <v>2.4</v>
      </c>
      <c r="H14" s="26" t="n">
        <f aca="false">Assumptions!H26</f>
        <v>2.4</v>
      </c>
      <c r="I14" s="27" t="n">
        <f aca="false">IFERROR(I24/I8,0)</f>
        <v>1.56</v>
      </c>
    </row>
    <row r="15" customFormat="false" ht="15" hidden="false" customHeight="false" outlineLevel="0" collapsed="false">
      <c r="B15" s="19" t="s">
        <v>127</v>
      </c>
      <c r="C15" s="19"/>
      <c r="D15" s="19"/>
      <c r="E15" s="19"/>
      <c r="F15" s="19"/>
      <c r="G15" s="19"/>
      <c r="H15" s="19"/>
      <c r="I15" s="19"/>
    </row>
    <row r="16" customFormat="false" ht="15" hidden="false" customHeight="false" outlineLevel="0" collapsed="false">
      <c r="B16" s="20" t="s">
        <v>128</v>
      </c>
      <c r="C16" s="36" t="n">
        <f aca="false">C8*C10</f>
        <v>149625</v>
      </c>
      <c r="D16" s="36" t="n">
        <f aca="false">D8*D10</f>
        <v>109725</v>
      </c>
      <c r="E16" s="36" t="n">
        <f aca="false">E8*E10</f>
        <v>83790</v>
      </c>
      <c r="F16" s="36" t="n">
        <f aca="false">F8*F10</f>
        <v>131670</v>
      </c>
      <c r="G16" s="36" t="n">
        <f aca="false">G8*G10</f>
        <v>109725</v>
      </c>
      <c r="H16" s="36" t="n">
        <f aca="false">H8*H10</f>
        <v>82460</v>
      </c>
      <c r="I16" s="42" t="n">
        <f aca="false">SUM(C16:H16)</f>
        <v>666995</v>
      </c>
    </row>
    <row r="17" customFormat="false" ht="15" hidden="false" customHeight="false" outlineLevel="0" collapsed="false">
      <c r="B17" s="20" t="s">
        <v>129</v>
      </c>
      <c r="C17" s="36" t="n">
        <f aca="false">C16*C11</f>
        <v>11970</v>
      </c>
      <c r="D17" s="36" t="n">
        <f aca="false">D16*D11</f>
        <v>8778</v>
      </c>
      <c r="E17" s="36" t="n">
        <f aca="false">E16*E11</f>
        <v>6703.2</v>
      </c>
      <c r="F17" s="36" t="n">
        <f aca="false">F16*F11</f>
        <v>11850.3</v>
      </c>
      <c r="G17" s="36" t="n">
        <f aca="false">G16*G11</f>
        <v>9875.25</v>
      </c>
      <c r="H17" s="36" t="n">
        <f aca="false">H16*H11</f>
        <v>7421.4</v>
      </c>
      <c r="I17" s="42" t="n">
        <f aca="false">SUM(C17:H17)</f>
        <v>56598.15</v>
      </c>
    </row>
    <row r="18" customFormat="false" ht="15" hidden="false" customHeight="false" outlineLevel="0" collapsed="false">
      <c r="B18" s="23" t="s">
        <v>130</v>
      </c>
      <c r="C18" s="36" t="n">
        <f aca="false">C16-C17</f>
        <v>137655</v>
      </c>
      <c r="D18" s="36" t="n">
        <f aca="false">D16-D17</f>
        <v>100947</v>
      </c>
      <c r="E18" s="36" t="n">
        <f aca="false">E16-E17</f>
        <v>77086.8</v>
      </c>
      <c r="F18" s="36" t="n">
        <f aca="false">F16-F17</f>
        <v>119819.7</v>
      </c>
      <c r="G18" s="36" t="n">
        <f aca="false">G16-G17</f>
        <v>99849.75</v>
      </c>
      <c r="H18" s="36" t="n">
        <f aca="false">H16-H17</f>
        <v>75038.6</v>
      </c>
      <c r="I18" s="42" t="n">
        <f aca="false">I16-I17</f>
        <v>610396.85</v>
      </c>
    </row>
    <row r="19" customFormat="false" ht="15" hidden="false" customHeight="false" outlineLevel="0" collapsed="false">
      <c r="B19" s="20" t="s">
        <v>131</v>
      </c>
      <c r="C19" s="36" t="n">
        <f aca="false">C8*C12</f>
        <v>68565</v>
      </c>
      <c r="D19" s="36" t="n">
        <f aca="false">D8*D12</f>
        <v>50281</v>
      </c>
      <c r="E19" s="36" t="n">
        <f aca="false">E8*E12</f>
        <v>39564</v>
      </c>
      <c r="F19" s="36" t="n">
        <f aca="false">F8*F12</f>
        <v>62412</v>
      </c>
      <c r="G19" s="36" t="n">
        <f aca="false">G8*G12</f>
        <v>52010</v>
      </c>
      <c r="H19" s="36" t="n">
        <f aca="false">H8*H12</f>
        <v>40208</v>
      </c>
      <c r="I19" s="42" t="n">
        <f aca="false">SUM(C19:H19)</f>
        <v>313040</v>
      </c>
    </row>
    <row r="20" customFormat="false" ht="15" hidden="false" customHeight="false" outlineLevel="0" collapsed="false">
      <c r="B20" s="20" t="s">
        <v>132</v>
      </c>
      <c r="C20" s="36" t="n">
        <f aca="false">C8*C13</f>
        <v>7560</v>
      </c>
      <c r="D20" s="36" t="n">
        <f aca="false">D8*D13</f>
        <v>5544</v>
      </c>
      <c r="E20" s="36" t="n">
        <f aca="false">E8*E13</f>
        <v>4410</v>
      </c>
      <c r="F20" s="36" t="n">
        <f aca="false">F8*F13</f>
        <v>6048</v>
      </c>
      <c r="G20" s="36" t="n">
        <f aca="false">G8*G13</f>
        <v>5040</v>
      </c>
      <c r="H20" s="36" t="n">
        <f aca="false">H8*H13</f>
        <v>3920</v>
      </c>
      <c r="I20" s="42" t="n">
        <f aca="false">SUM(C20:H20)</f>
        <v>32522</v>
      </c>
    </row>
    <row r="21" customFormat="false" ht="15" hidden="false" customHeight="false" outlineLevel="0" collapsed="false">
      <c r="B21" s="20" t="s">
        <v>133</v>
      </c>
      <c r="C21" s="36" t="n">
        <f aca="false">C19+C20</f>
        <v>76125</v>
      </c>
      <c r="D21" s="36" t="n">
        <f aca="false">D19+D20</f>
        <v>55825</v>
      </c>
      <c r="E21" s="36" t="n">
        <f aca="false">E19+E20</f>
        <v>43974</v>
      </c>
      <c r="F21" s="36" t="n">
        <f aca="false">F19+F20</f>
        <v>68460</v>
      </c>
      <c r="G21" s="36" t="n">
        <f aca="false">G19+G20</f>
        <v>57050</v>
      </c>
      <c r="H21" s="36" t="n">
        <f aca="false">H19+H20</f>
        <v>44128</v>
      </c>
      <c r="I21" s="42" t="n">
        <f aca="false">I19+I20</f>
        <v>345562</v>
      </c>
    </row>
    <row r="22" customFormat="false" ht="15" hidden="false" customHeight="false" outlineLevel="0" collapsed="false">
      <c r="B22" s="23" t="s">
        <v>134</v>
      </c>
      <c r="C22" s="36" t="n">
        <f aca="false">C18-C21</f>
        <v>61530</v>
      </c>
      <c r="D22" s="36" t="n">
        <f aca="false">D18-D21</f>
        <v>45122</v>
      </c>
      <c r="E22" s="36" t="n">
        <f aca="false">E18-E21</f>
        <v>33112.8</v>
      </c>
      <c r="F22" s="36" t="n">
        <f aca="false">F18-F21</f>
        <v>51359.7</v>
      </c>
      <c r="G22" s="36" t="n">
        <f aca="false">G18-G21</f>
        <v>42799.75</v>
      </c>
      <c r="H22" s="36" t="n">
        <f aca="false">H18-H21</f>
        <v>30910.6</v>
      </c>
      <c r="I22" s="42" t="n">
        <f aca="false">I18-I21</f>
        <v>264834.85</v>
      </c>
    </row>
    <row r="23" customFormat="false" ht="15" hidden="false" customHeight="false" outlineLevel="0" collapsed="false">
      <c r="B23" s="20" t="s">
        <v>135</v>
      </c>
      <c r="C23" s="38" t="n">
        <f aca="false">IFERROR(C22/C18,0)</f>
        <v>0.44698703279939</v>
      </c>
      <c r="D23" s="38" t="n">
        <f aca="false">IFERROR(D22/D18,0)</f>
        <v>0.44698703279939</v>
      </c>
      <c r="E23" s="38" t="n">
        <f aca="false">IFERROR(E22/E18,0)</f>
        <v>0.429552141222622</v>
      </c>
      <c r="F23" s="38" t="n">
        <f aca="false">IFERROR(F22/F18,0)</f>
        <v>0.428641533904692</v>
      </c>
      <c r="G23" s="38" t="n">
        <f aca="false">IFERROR(G22/G18,0)</f>
        <v>0.428641533904692</v>
      </c>
      <c r="H23" s="38" t="n">
        <f aca="false">IFERROR(H22/H18,0)</f>
        <v>0.411929327039684</v>
      </c>
      <c r="I23" s="32" t="n">
        <f aca="false">IFERROR(I22/I18,0)</f>
        <v>0.433873225263204</v>
      </c>
    </row>
    <row r="24" customFormat="false" ht="15" hidden="false" customHeight="false" outlineLevel="0" collapsed="false">
      <c r="B24" s="20" t="s">
        <v>136</v>
      </c>
      <c r="C24" s="36" t="n">
        <f aca="false">C8*C14</f>
        <v>12600</v>
      </c>
      <c r="D24" s="36" t="n">
        <f aca="false">D8*D14</f>
        <v>9240</v>
      </c>
      <c r="E24" s="36" t="n">
        <f aca="false">E8*E14</f>
        <v>7560</v>
      </c>
      <c r="F24" s="36" t="n">
        <f aca="false">F8*F14</f>
        <v>10080</v>
      </c>
      <c r="G24" s="36" t="n">
        <f aca="false">G8*G14</f>
        <v>8400</v>
      </c>
      <c r="H24" s="36" t="n">
        <f aca="false">H8*H14</f>
        <v>6720</v>
      </c>
      <c r="I24" s="42" t="n">
        <f aca="false">SUM(C24:H24)</f>
        <v>54600</v>
      </c>
    </row>
    <row r="25" customFormat="false" ht="15" hidden="false" customHeight="false" outlineLevel="0" collapsed="false">
      <c r="B25" s="23" t="s">
        <v>137</v>
      </c>
      <c r="C25" s="36" t="n">
        <f aca="false">C22-C24</f>
        <v>48930</v>
      </c>
      <c r="D25" s="36" t="n">
        <f aca="false">D22-D24</f>
        <v>35882</v>
      </c>
      <c r="E25" s="36" t="n">
        <f aca="false">E22-E24</f>
        <v>25552.8</v>
      </c>
      <c r="F25" s="36" t="n">
        <f aca="false">F22-F24</f>
        <v>41279.7</v>
      </c>
      <c r="G25" s="36" t="n">
        <f aca="false">G22-G24</f>
        <v>34399.75</v>
      </c>
      <c r="H25" s="36" t="n">
        <f aca="false">H22-H24</f>
        <v>24190.6</v>
      </c>
      <c r="I25" s="42" t="n">
        <f aca="false">I22-I24</f>
        <v>210234.85</v>
      </c>
    </row>
    <row r="26" customFormat="false" ht="15" hidden="false" customHeight="false" outlineLevel="0" collapsed="false">
      <c r="B26" s="20" t="s">
        <v>138</v>
      </c>
      <c r="C26" s="38" t="n">
        <f aca="false">IFERROR(C25/C18,0)</f>
        <v>0.355453852021358</v>
      </c>
      <c r="D26" s="38" t="n">
        <f aca="false">IFERROR(D25/D18,0)</f>
        <v>0.355453852021358</v>
      </c>
      <c r="E26" s="38" t="n">
        <f aca="false">IFERROR(E25/E18,0)</f>
        <v>0.331480876103302</v>
      </c>
      <c r="F26" s="38" t="n">
        <f aca="false">IFERROR(F25/F18,0)</f>
        <v>0.344515133988818</v>
      </c>
      <c r="G26" s="38" t="n">
        <f aca="false">IFERROR(G25/G18,0)</f>
        <v>0.344515133988818</v>
      </c>
      <c r="H26" s="38" t="n">
        <f aca="false">IFERROR(H25/H18,0)</f>
        <v>0.322375417451818</v>
      </c>
      <c r="I26" s="32" t="n">
        <f aca="false">IFERROR(I25/I18,0)</f>
        <v>0.344423222367547</v>
      </c>
    </row>
    <row r="27" customFormat="false" ht="15" hidden="false" customHeight="false" outlineLevel="0" collapsed="false">
      <c r="B27" s="19" t="s">
        <v>139</v>
      </c>
      <c r="C27" s="19"/>
      <c r="D27" s="19"/>
      <c r="E27" s="19"/>
      <c r="F27" s="19"/>
      <c r="G27" s="19"/>
      <c r="H27" s="19"/>
      <c r="I27" s="19"/>
    </row>
    <row r="28" customFormat="false" ht="15" hidden="false" customHeight="false" outlineLevel="0" collapsed="false">
      <c r="B28" s="20" t="s">
        <v>66</v>
      </c>
      <c r="I28" s="42" t="n">
        <f aca="false">Assumptions!$C$31</f>
        <v>180000</v>
      </c>
    </row>
    <row r="29" customFormat="false" ht="15" hidden="false" customHeight="false" outlineLevel="0" collapsed="false">
      <c r="B29" s="20" t="s">
        <v>67</v>
      </c>
      <c r="I29" s="42" t="n">
        <f aca="false">Assumptions!$C$32</f>
        <v>60000</v>
      </c>
    </row>
    <row r="30" customFormat="false" ht="15" hidden="false" customHeight="false" outlineLevel="0" collapsed="false">
      <c r="B30" s="20" t="s">
        <v>140</v>
      </c>
      <c r="I30" s="42" t="n">
        <f aca="false">Assumptions!$C$33</f>
        <v>40000</v>
      </c>
    </row>
    <row r="31" customFormat="false" ht="15" hidden="false" customHeight="false" outlineLevel="0" collapsed="false">
      <c r="B31" s="20" t="s">
        <v>141</v>
      </c>
      <c r="I31" s="42" t="n">
        <f aca="false">Assumptions!$C$34</f>
        <v>20000</v>
      </c>
    </row>
    <row r="32" customFormat="false" ht="15" hidden="false" customHeight="false" outlineLevel="0" collapsed="false">
      <c r="B32" s="20" t="s">
        <v>142</v>
      </c>
      <c r="I32" s="42" t="n">
        <f aca="false">I18*Assumptions!$C$35</f>
        <v>24415.874</v>
      </c>
    </row>
    <row r="33" customFormat="false" ht="15" hidden="false" customHeight="false" outlineLevel="0" collapsed="false">
      <c r="B33" s="23" t="s">
        <v>143</v>
      </c>
      <c r="I33" s="42" t="n">
        <f aca="false">SUM(I28:I32)</f>
        <v>324415.874</v>
      </c>
    </row>
    <row r="34" customFormat="false" ht="15" hidden="false" customHeight="false" outlineLevel="0" collapsed="false">
      <c r="B34" s="23" t="s">
        <v>144</v>
      </c>
      <c r="I34" s="42" t="n">
        <f aca="false">I25-I33</f>
        <v>-114181.024</v>
      </c>
    </row>
    <row r="35" customFormat="false" ht="15" hidden="false" customHeight="false" outlineLevel="0" collapsed="false">
      <c r="B35" s="20" t="s">
        <v>145</v>
      </c>
      <c r="I35" s="32" t="n">
        <f aca="false">IFERROR(I34/I18,0)</f>
        <v>-0.187060310026174</v>
      </c>
    </row>
    <row r="36" customFormat="false" ht="15" hidden="false" customHeight="false" outlineLevel="0" collapsed="false">
      <c r="B36" s="20" t="s">
        <v>146</v>
      </c>
      <c r="I36" s="42" t="n">
        <f aca="false">Assumptions!$C$36</f>
        <v>25000</v>
      </c>
    </row>
    <row r="37" customFormat="false" ht="15" hidden="false" customHeight="false" outlineLevel="0" collapsed="false">
      <c r="B37" s="23" t="s">
        <v>147</v>
      </c>
      <c r="I37" s="42" t="n">
        <f aca="false">I34-I36</f>
        <v>-139181.024</v>
      </c>
    </row>
    <row r="38" customFormat="false" ht="15" hidden="false" customHeight="false" outlineLevel="0" collapsed="false">
      <c r="B38" s="20" t="s">
        <v>148</v>
      </c>
      <c r="I38" s="42" t="n">
        <f aca="false">Assumptions!$C$37</f>
        <v>10000</v>
      </c>
    </row>
    <row r="39" customFormat="false" ht="15" hidden="false" customHeight="false" outlineLevel="0" collapsed="false">
      <c r="B39" s="23" t="s">
        <v>149</v>
      </c>
      <c r="I39" s="42" t="n">
        <f aca="false">I37-I38</f>
        <v>-149181.024</v>
      </c>
    </row>
    <row r="40" customFormat="false" ht="15" hidden="false" customHeight="false" outlineLevel="0" collapsed="false">
      <c r="B40" s="20" t="s">
        <v>150</v>
      </c>
      <c r="I40" s="42" t="n">
        <f aca="false">MAX(0,I39*Assumptions!$C$38)</f>
        <v>0</v>
      </c>
    </row>
    <row r="41" customFormat="false" ht="15" hidden="false" customHeight="false" outlineLevel="0" collapsed="false">
      <c r="B41" s="23" t="s">
        <v>151</v>
      </c>
      <c r="I41" s="42" t="n">
        <f aca="false">I39-I40</f>
        <v>-149181.024</v>
      </c>
    </row>
    <row r="42" customFormat="false" ht="15" hidden="false" customHeight="false" outlineLevel="0" collapsed="false">
      <c r="B42" s="20" t="s">
        <v>152</v>
      </c>
      <c r="I42" s="32" t="n">
        <f aca="false">IFERROR(I41/I18,0)</f>
        <v>-0.244400055472108</v>
      </c>
    </row>
    <row r="43" customFormat="false" ht="15" hidden="false" customHeight="false" outlineLevel="0" collapsed="false">
      <c r="B43" s="19" t="s">
        <v>153</v>
      </c>
      <c r="C43" s="19"/>
      <c r="D43" s="19"/>
      <c r="E43" s="19"/>
      <c r="F43" s="19"/>
      <c r="G43" s="19"/>
      <c r="H43" s="19"/>
      <c r="I43" s="19"/>
    </row>
    <row r="44" customFormat="false" ht="15" hidden="false" customHeight="false" outlineLevel="0" collapsed="false">
      <c r="B44" s="20" t="s">
        <v>154</v>
      </c>
      <c r="C44" s="40" t="n">
        <f aca="false">IFERROR(C18/C8,0)</f>
        <v>13.11</v>
      </c>
      <c r="D44" s="40" t="n">
        <f aca="false">IFERROR(D18/D8,0)</f>
        <v>13.11</v>
      </c>
      <c r="E44" s="40" t="n">
        <f aca="false">IFERROR(E18/E8,0)</f>
        <v>12.236</v>
      </c>
      <c r="F44" s="40" t="n">
        <f aca="false">IFERROR(F18/F8,0)</f>
        <v>28.5285</v>
      </c>
      <c r="G44" s="40" t="n">
        <f aca="false">IFERROR(G18/G8,0)</f>
        <v>28.5285</v>
      </c>
      <c r="H44" s="40" t="n">
        <f aca="false">IFERROR(H18/H8,0)</f>
        <v>26.7995</v>
      </c>
      <c r="I44" s="27" t="n">
        <f aca="false">IFERROR(I18/I8,0)</f>
        <v>17.43991</v>
      </c>
    </row>
    <row r="45" customFormat="false" ht="15" hidden="false" customHeight="false" outlineLevel="0" collapsed="false">
      <c r="B45" s="20" t="s">
        <v>155</v>
      </c>
      <c r="C45" s="40" t="n">
        <f aca="false">IFERROR(C25/C8,0)</f>
        <v>4.66</v>
      </c>
      <c r="D45" s="40" t="n">
        <f aca="false">IFERROR(D25/D8,0)</f>
        <v>4.66</v>
      </c>
      <c r="E45" s="40" t="n">
        <f aca="false">IFERROR(E25/E8,0)</f>
        <v>4.056</v>
      </c>
      <c r="F45" s="40" t="n">
        <f aca="false">IFERROR(F25/F8,0)</f>
        <v>9.8285</v>
      </c>
      <c r="G45" s="40" t="n">
        <f aca="false">IFERROR(G25/G8,0)</f>
        <v>9.8285</v>
      </c>
      <c r="H45" s="40" t="n">
        <f aca="false">IFERROR(H25/H8,0)</f>
        <v>8.6395</v>
      </c>
      <c r="I45" s="27" t="n">
        <f aca="false">IFERROR(I25/I8,0)</f>
        <v>6.00671</v>
      </c>
    </row>
  </sheetData>
  <mergeCells count="8">
    <mergeCell ref="C5:E5"/>
    <mergeCell ref="F5:H5"/>
    <mergeCell ref="I5:I6"/>
    <mergeCell ref="B7:I7"/>
    <mergeCell ref="B9:I9"/>
    <mergeCell ref="B15:I15"/>
    <mergeCell ref="B27:I27"/>
    <mergeCell ref="B43:I43"/>
  </mergeCells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FA6"/>
    <pageSetUpPr fitToPage="true"/>
  </sheetPr>
  <dimension ref="B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8" min="3" style="0" width="12"/>
    <col collapsed="false" customWidth="true" hidden="false" outlineLevel="0" max="9" min="9" style="0" width="14"/>
  </cols>
  <sheetData>
    <row r="1" customFormat="false" ht="19.7" hidden="false" customHeight="false" outlineLevel="0" collapsed="false">
      <c r="B1" s="14" t="s">
        <v>158</v>
      </c>
    </row>
    <row r="2" customFormat="false" ht="15" hidden="false" customHeight="false" outlineLevel="0" collapsed="false">
      <c r="B2" s="15" t="s">
        <v>159</v>
      </c>
    </row>
    <row r="3" customFormat="false" ht="15" hidden="false" customHeight="false" outlineLevel="0" collapsed="false">
      <c r="B3" s="15" t="s">
        <v>119</v>
      </c>
    </row>
    <row r="5" customFormat="false" ht="15.75" hidden="false" customHeight="true" outlineLevel="0" collapsed="false">
      <c r="C5" s="16" t="s">
        <v>34</v>
      </c>
      <c r="D5" s="16"/>
      <c r="E5" s="16"/>
      <c r="F5" s="16" t="s">
        <v>35</v>
      </c>
      <c r="G5" s="16"/>
      <c r="H5" s="16"/>
      <c r="I5" s="16" t="s">
        <v>120</v>
      </c>
    </row>
    <row r="6" customFormat="false" ht="25.5" hidden="false" customHeight="true" outlineLevel="0" collapsed="false">
      <c r="B6" s="17" t="s">
        <v>121</v>
      </c>
      <c r="C6" s="18" t="s">
        <v>37</v>
      </c>
      <c r="D6" s="18" t="s">
        <v>38</v>
      </c>
      <c r="E6" s="18" t="s">
        <v>39</v>
      </c>
      <c r="F6" s="18" t="s">
        <v>37</v>
      </c>
      <c r="G6" s="18" t="s">
        <v>38</v>
      </c>
      <c r="H6" s="18" t="s">
        <v>39</v>
      </c>
      <c r="I6" s="16"/>
    </row>
    <row r="7" customFormat="false" ht="15" hidden="false" customHeight="false" outlineLevel="0" collapsed="false">
      <c r="B7" s="19" t="s">
        <v>63</v>
      </c>
      <c r="C7" s="19"/>
      <c r="D7" s="19"/>
      <c r="E7" s="19"/>
      <c r="F7" s="19"/>
      <c r="G7" s="19"/>
      <c r="H7" s="19"/>
      <c r="I7" s="19"/>
    </row>
    <row r="8" customFormat="false" ht="15" hidden="false" customHeight="false" outlineLevel="0" collapsed="false">
      <c r="B8" s="23" t="s">
        <v>122</v>
      </c>
      <c r="C8" s="35" t="n">
        <f aca="false">Assumptions!C28*Assumptions!$C$45*(Assumptions!$D$45^Assumptions!$C$39)</f>
        <v>19500</v>
      </c>
      <c r="D8" s="35" t="n">
        <f aca="false">Assumptions!D28*Assumptions!$C$45*(Assumptions!$D$45^Assumptions!$C$39)</f>
        <v>14300</v>
      </c>
      <c r="E8" s="35" t="n">
        <f aca="false">Assumptions!E28*Assumptions!$C$45*(Assumptions!$D$45^Assumptions!$C$39)</f>
        <v>11700</v>
      </c>
      <c r="F8" s="35" t="n">
        <f aca="false">Assumptions!F28*Assumptions!$C$45*(Assumptions!$D$45^Assumptions!$C$39)</f>
        <v>7800</v>
      </c>
      <c r="G8" s="35" t="n">
        <f aca="false">Assumptions!G28*Assumptions!$C$45*(Assumptions!$D$45^Assumptions!$C$39)</f>
        <v>6500</v>
      </c>
      <c r="H8" s="35" t="n">
        <f aca="false">Assumptions!H28*Assumptions!$C$45*(Assumptions!$D$45^Assumptions!$C$39)</f>
        <v>5200</v>
      </c>
      <c r="I8" s="41" t="n">
        <f aca="false">SUM(C8:H8)</f>
        <v>65000</v>
      </c>
    </row>
    <row r="9" customFormat="false" ht="15" hidden="false" customHeight="false" outlineLevel="0" collapsed="false">
      <c r="B9" s="19" t="s">
        <v>123</v>
      </c>
      <c r="C9" s="19"/>
      <c r="D9" s="19"/>
      <c r="E9" s="19"/>
      <c r="F9" s="19"/>
      <c r="G9" s="19"/>
      <c r="H9" s="19"/>
      <c r="I9" s="19"/>
    </row>
    <row r="10" customFormat="false" ht="15" hidden="false" customHeight="false" outlineLevel="0" collapsed="false">
      <c r="B10" s="23" t="s">
        <v>124</v>
      </c>
      <c r="C10" s="26" t="n">
        <f aca="false">Assumptions!C11*Assumptions!$D$45</f>
        <v>15</v>
      </c>
      <c r="D10" s="26" t="n">
        <f aca="false">Assumptions!D11*Assumptions!$D$45</f>
        <v>15</v>
      </c>
      <c r="E10" s="26" t="n">
        <f aca="false">Assumptions!E11*Assumptions!$D$45</f>
        <v>14</v>
      </c>
      <c r="F10" s="26" t="n">
        <f aca="false">Assumptions!F11*Assumptions!$D$45</f>
        <v>33</v>
      </c>
      <c r="G10" s="26" t="n">
        <f aca="false">Assumptions!G11*Assumptions!$D$45</f>
        <v>33</v>
      </c>
      <c r="H10" s="26" t="n">
        <f aca="false">Assumptions!H11*Assumptions!$D$45</f>
        <v>31</v>
      </c>
      <c r="I10" s="27" t="n">
        <f aca="false">IFERROR(I16/I8,0)</f>
        <v>20.06</v>
      </c>
    </row>
    <row r="11" customFormat="false" ht="15" hidden="false" customHeight="false" outlineLevel="0" collapsed="false">
      <c r="B11" s="20" t="s">
        <v>125</v>
      </c>
      <c r="C11" s="39" t="n">
        <f aca="false">Assumptions!C12+Assumptions!$E$45</f>
        <v>0.07</v>
      </c>
      <c r="D11" s="39" t="n">
        <f aca="false">Assumptions!D12+Assumptions!$E$45</f>
        <v>0.07</v>
      </c>
      <c r="E11" s="39" t="n">
        <f aca="false">Assumptions!E12+Assumptions!$E$45</f>
        <v>0.07</v>
      </c>
      <c r="F11" s="39" t="n">
        <f aca="false">Assumptions!F12+Assumptions!$E$45</f>
        <v>0.08</v>
      </c>
      <c r="G11" s="39" t="n">
        <f aca="false">Assumptions!G12+Assumptions!$E$45</f>
        <v>0.08</v>
      </c>
      <c r="H11" s="39" t="n">
        <f aca="false">Assumptions!H12+Assumptions!$E$45</f>
        <v>0.08</v>
      </c>
      <c r="I11" s="32" t="n">
        <f aca="false">IFERROR(I17/I16,0)</f>
        <v>0.0748554336989033</v>
      </c>
    </row>
    <row r="12" customFormat="false" ht="15" hidden="false" customHeight="false" outlineLevel="0" collapsed="false">
      <c r="B12" s="20" t="s">
        <v>55</v>
      </c>
      <c r="C12" s="26" t="n">
        <f aca="false">Assumptions!C19</f>
        <v>6.53</v>
      </c>
      <c r="D12" s="26" t="n">
        <f aca="false">Assumptions!D19</f>
        <v>6.53</v>
      </c>
      <c r="E12" s="26" t="n">
        <f aca="false">Assumptions!E19</f>
        <v>6.28</v>
      </c>
      <c r="F12" s="26" t="n">
        <f aca="false">Assumptions!F19</f>
        <v>14.86</v>
      </c>
      <c r="G12" s="26" t="n">
        <f aca="false">Assumptions!G19</f>
        <v>14.86</v>
      </c>
      <c r="H12" s="26" t="n">
        <f aca="false">Assumptions!H19</f>
        <v>14.36</v>
      </c>
      <c r="I12" s="27" t="n">
        <f aca="false">IFERROR(I19/I8,0)</f>
        <v>8.944</v>
      </c>
    </row>
    <row r="13" customFormat="false" ht="15" hidden="false" customHeight="false" outlineLevel="0" collapsed="false">
      <c r="B13" s="20" t="s">
        <v>126</v>
      </c>
      <c r="C13" s="26" t="n">
        <f aca="false">Assumptions!C20</f>
        <v>0.72</v>
      </c>
      <c r="D13" s="26" t="n">
        <f aca="false">Assumptions!D20</f>
        <v>0.72</v>
      </c>
      <c r="E13" s="26" t="n">
        <f aca="false">Assumptions!E20</f>
        <v>0.7</v>
      </c>
      <c r="F13" s="26" t="n">
        <f aca="false">Assumptions!F20</f>
        <v>1.44</v>
      </c>
      <c r="G13" s="26" t="n">
        <f aca="false">Assumptions!G20</f>
        <v>1.44</v>
      </c>
      <c r="H13" s="26" t="n">
        <f aca="false">Assumptions!H20</f>
        <v>1.4</v>
      </c>
      <c r="I13" s="27" t="n">
        <f aca="false">IFERROR(I20/I8,0)</f>
        <v>0.9292</v>
      </c>
    </row>
    <row r="14" customFormat="false" ht="15" hidden="false" customHeight="false" outlineLevel="0" collapsed="false">
      <c r="B14" s="20" t="s">
        <v>62</v>
      </c>
      <c r="C14" s="26" t="n">
        <f aca="false">Assumptions!C26</f>
        <v>1.2</v>
      </c>
      <c r="D14" s="26" t="n">
        <f aca="false">Assumptions!D26</f>
        <v>1.2</v>
      </c>
      <c r="E14" s="26" t="n">
        <f aca="false">Assumptions!E26</f>
        <v>1.2</v>
      </c>
      <c r="F14" s="26" t="n">
        <f aca="false">Assumptions!F26</f>
        <v>2.4</v>
      </c>
      <c r="G14" s="26" t="n">
        <f aca="false">Assumptions!G26</f>
        <v>2.4</v>
      </c>
      <c r="H14" s="26" t="n">
        <f aca="false">Assumptions!H26</f>
        <v>2.4</v>
      </c>
      <c r="I14" s="27" t="n">
        <f aca="false">IFERROR(I24/I8,0)</f>
        <v>1.56</v>
      </c>
    </row>
    <row r="15" customFormat="false" ht="15" hidden="false" customHeight="false" outlineLevel="0" collapsed="false">
      <c r="B15" s="19" t="s">
        <v>127</v>
      </c>
      <c r="C15" s="19"/>
      <c r="D15" s="19"/>
      <c r="E15" s="19"/>
      <c r="F15" s="19"/>
      <c r="G15" s="19"/>
      <c r="H15" s="19"/>
      <c r="I15" s="19"/>
    </row>
    <row r="16" customFormat="false" ht="15" hidden="false" customHeight="false" outlineLevel="0" collapsed="false">
      <c r="B16" s="20" t="s">
        <v>128</v>
      </c>
      <c r="C16" s="36" t="n">
        <f aca="false">C8*C10</f>
        <v>292500</v>
      </c>
      <c r="D16" s="36" t="n">
        <f aca="false">D8*D10</f>
        <v>214500</v>
      </c>
      <c r="E16" s="36" t="n">
        <f aca="false">E8*E10</f>
        <v>163800</v>
      </c>
      <c r="F16" s="36" t="n">
        <f aca="false">F8*F10</f>
        <v>257400</v>
      </c>
      <c r="G16" s="36" t="n">
        <f aca="false">G8*G10</f>
        <v>214500</v>
      </c>
      <c r="H16" s="36" t="n">
        <f aca="false">H8*H10</f>
        <v>161200</v>
      </c>
      <c r="I16" s="42" t="n">
        <f aca="false">SUM(C16:H16)</f>
        <v>1303900</v>
      </c>
    </row>
    <row r="17" customFormat="false" ht="15" hidden="false" customHeight="false" outlineLevel="0" collapsed="false">
      <c r="B17" s="20" t="s">
        <v>129</v>
      </c>
      <c r="C17" s="36" t="n">
        <f aca="false">C16*C11</f>
        <v>20475</v>
      </c>
      <c r="D17" s="36" t="n">
        <f aca="false">D16*D11</f>
        <v>15015</v>
      </c>
      <c r="E17" s="36" t="n">
        <f aca="false">E16*E11</f>
        <v>11466</v>
      </c>
      <c r="F17" s="36" t="n">
        <f aca="false">F16*F11</f>
        <v>20592</v>
      </c>
      <c r="G17" s="36" t="n">
        <f aca="false">G16*G11</f>
        <v>17160</v>
      </c>
      <c r="H17" s="36" t="n">
        <f aca="false">H16*H11</f>
        <v>12896</v>
      </c>
      <c r="I17" s="42" t="n">
        <f aca="false">SUM(C17:H17)</f>
        <v>97604</v>
      </c>
    </row>
    <row r="18" customFormat="false" ht="15" hidden="false" customHeight="false" outlineLevel="0" collapsed="false">
      <c r="B18" s="23" t="s">
        <v>130</v>
      </c>
      <c r="C18" s="36" t="n">
        <f aca="false">C16-C17</f>
        <v>272025</v>
      </c>
      <c r="D18" s="36" t="n">
        <f aca="false">D16-D17</f>
        <v>199485</v>
      </c>
      <c r="E18" s="36" t="n">
        <f aca="false">E16-E17</f>
        <v>152334</v>
      </c>
      <c r="F18" s="36" t="n">
        <f aca="false">F16-F17</f>
        <v>236808</v>
      </c>
      <c r="G18" s="36" t="n">
        <f aca="false">G16-G17</f>
        <v>197340</v>
      </c>
      <c r="H18" s="36" t="n">
        <f aca="false">H16-H17</f>
        <v>148304</v>
      </c>
      <c r="I18" s="42" t="n">
        <f aca="false">I16-I17</f>
        <v>1206296</v>
      </c>
    </row>
    <row r="19" customFormat="false" ht="15" hidden="false" customHeight="false" outlineLevel="0" collapsed="false">
      <c r="B19" s="20" t="s">
        <v>131</v>
      </c>
      <c r="C19" s="36" t="n">
        <f aca="false">C8*C12</f>
        <v>127335</v>
      </c>
      <c r="D19" s="36" t="n">
        <f aca="false">D8*D12</f>
        <v>93379</v>
      </c>
      <c r="E19" s="36" t="n">
        <f aca="false">E8*E12</f>
        <v>73476</v>
      </c>
      <c r="F19" s="36" t="n">
        <f aca="false">F8*F12</f>
        <v>115908</v>
      </c>
      <c r="G19" s="36" t="n">
        <f aca="false">G8*G12</f>
        <v>96590</v>
      </c>
      <c r="H19" s="36" t="n">
        <f aca="false">H8*H12</f>
        <v>74672</v>
      </c>
      <c r="I19" s="42" t="n">
        <f aca="false">SUM(C19:H19)</f>
        <v>581360</v>
      </c>
    </row>
    <row r="20" customFormat="false" ht="15" hidden="false" customHeight="false" outlineLevel="0" collapsed="false">
      <c r="B20" s="20" t="s">
        <v>132</v>
      </c>
      <c r="C20" s="36" t="n">
        <f aca="false">C8*C13</f>
        <v>14040</v>
      </c>
      <c r="D20" s="36" t="n">
        <f aca="false">D8*D13</f>
        <v>10296</v>
      </c>
      <c r="E20" s="36" t="n">
        <f aca="false">E8*E13</f>
        <v>8190</v>
      </c>
      <c r="F20" s="36" t="n">
        <f aca="false">F8*F13</f>
        <v>11232</v>
      </c>
      <c r="G20" s="36" t="n">
        <f aca="false">G8*G13</f>
        <v>9360</v>
      </c>
      <c r="H20" s="36" t="n">
        <f aca="false">H8*H13</f>
        <v>7280</v>
      </c>
      <c r="I20" s="42" t="n">
        <f aca="false">SUM(C20:H20)</f>
        <v>60398</v>
      </c>
    </row>
    <row r="21" customFormat="false" ht="15" hidden="false" customHeight="false" outlineLevel="0" collapsed="false">
      <c r="B21" s="20" t="s">
        <v>133</v>
      </c>
      <c r="C21" s="36" t="n">
        <f aca="false">C19+C20</f>
        <v>141375</v>
      </c>
      <c r="D21" s="36" t="n">
        <f aca="false">D19+D20</f>
        <v>103675</v>
      </c>
      <c r="E21" s="36" t="n">
        <f aca="false">E19+E20</f>
        <v>81666</v>
      </c>
      <c r="F21" s="36" t="n">
        <f aca="false">F19+F20</f>
        <v>127140</v>
      </c>
      <c r="G21" s="36" t="n">
        <f aca="false">G19+G20</f>
        <v>105950</v>
      </c>
      <c r="H21" s="36" t="n">
        <f aca="false">H19+H20</f>
        <v>81952</v>
      </c>
      <c r="I21" s="42" t="n">
        <f aca="false">I19+I20</f>
        <v>641758</v>
      </c>
    </row>
    <row r="22" customFormat="false" ht="15" hidden="false" customHeight="false" outlineLevel="0" collapsed="false">
      <c r="B22" s="23" t="s">
        <v>134</v>
      </c>
      <c r="C22" s="36" t="n">
        <f aca="false">C18-C21</f>
        <v>130650</v>
      </c>
      <c r="D22" s="36" t="n">
        <f aca="false">D18-D21</f>
        <v>95810</v>
      </c>
      <c r="E22" s="36" t="n">
        <f aca="false">E18-E21</f>
        <v>70668</v>
      </c>
      <c r="F22" s="36" t="n">
        <f aca="false">F18-F21</f>
        <v>109668</v>
      </c>
      <c r="G22" s="36" t="n">
        <f aca="false">G18-G21</f>
        <v>91390</v>
      </c>
      <c r="H22" s="36" t="n">
        <f aca="false">H18-H21</f>
        <v>66352</v>
      </c>
      <c r="I22" s="42" t="n">
        <f aca="false">I18-I21</f>
        <v>564538</v>
      </c>
    </row>
    <row r="23" customFormat="false" ht="15" hidden="false" customHeight="false" outlineLevel="0" collapsed="false">
      <c r="B23" s="20" t="s">
        <v>135</v>
      </c>
      <c r="C23" s="38" t="n">
        <f aca="false">IFERROR(C22/C18,0)</f>
        <v>0.480286738351254</v>
      </c>
      <c r="D23" s="38" t="n">
        <f aca="false">IFERROR(D22/D18,0)</f>
        <v>0.480286738351254</v>
      </c>
      <c r="E23" s="38" t="n">
        <f aca="false">IFERROR(E22/E18,0)</f>
        <v>0.463901689708141</v>
      </c>
      <c r="F23" s="38" t="n">
        <f aca="false">IFERROR(F22/F18,0)</f>
        <v>0.463109354413702</v>
      </c>
      <c r="G23" s="38" t="n">
        <f aca="false">IFERROR(G22/G18,0)</f>
        <v>0.463109354413702</v>
      </c>
      <c r="H23" s="38" t="n">
        <f aca="false">IFERROR(H22/H18,0)</f>
        <v>0.447405329593268</v>
      </c>
      <c r="I23" s="32" t="n">
        <f aca="false">IFERROR(I22/I18,0)</f>
        <v>0.467992930425037</v>
      </c>
    </row>
    <row r="24" customFormat="false" ht="15" hidden="false" customHeight="false" outlineLevel="0" collapsed="false">
      <c r="B24" s="20" t="s">
        <v>136</v>
      </c>
      <c r="C24" s="36" t="n">
        <f aca="false">C8*C14</f>
        <v>23400</v>
      </c>
      <c r="D24" s="36" t="n">
        <f aca="false">D8*D14</f>
        <v>17160</v>
      </c>
      <c r="E24" s="36" t="n">
        <f aca="false">E8*E14</f>
        <v>14040</v>
      </c>
      <c r="F24" s="36" t="n">
        <f aca="false">F8*F14</f>
        <v>18720</v>
      </c>
      <c r="G24" s="36" t="n">
        <f aca="false">G8*G14</f>
        <v>15600</v>
      </c>
      <c r="H24" s="36" t="n">
        <f aca="false">H8*H14</f>
        <v>12480</v>
      </c>
      <c r="I24" s="42" t="n">
        <f aca="false">SUM(C24:H24)</f>
        <v>101400</v>
      </c>
    </row>
    <row r="25" customFormat="false" ht="15" hidden="false" customHeight="false" outlineLevel="0" collapsed="false">
      <c r="B25" s="23" t="s">
        <v>137</v>
      </c>
      <c r="C25" s="36" t="n">
        <f aca="false">C22-C24</f>
        <v>107250</v>
      </c>
      <c r="D25" s="36" t="n">
        <f aca="false">D22-D24</f>
        <v>78650</v>
      </c>
      <c r="E25" s="36" t="n">
        <f aca="false">E22-E24</f>
        <v>56628</v>
      </c>
      <c r="F25" s="36" t="n">
        <f aca="false">F22-F24</f>
        <v>90948</v>
      </c>
      <c r="G25" s="36" t="n">
        <f aca="false">G22-G24</f>
        <v>75790</v>
      </c>
      <c r="H25" s="36" t="n">
        <f aca="false">H22-H24</f>
        <v>53872</v>
      </c>
      <c r="I25" s="42" t="n">
        <f aca="false">I22-I24</f>
        <v>463138</v>
      </c>
    </row>
    <row r="26" customFormat="false" ht="15" hidden="false" customHeight="false" outlineLevel="0" collapsed="false">
      <c r="B26" s="20" t="s">
        <v>138</v>
      </c>
      <c r="C26" s="38" t="n">
        <f aca="false">IFERROR(C25/C18,0)</f>
        <v>0.39426523297491</v>
      </c>
      <c r="D26" s="38" t="n">
        <f aca="false">IFERROR(D25/D18,0)</f>
        <v>0.39426523297491</v>
      </c>
      <c r="E26" s="38" t="n">
        <f aca="false">IFERROR(E25/E18,0)</f>
        <v>0.37173579109063</v>
      </c>
      <c r="F26" s="38" t="n">
        <f aca="false">IFERROR(F25/F18,0)</f>
        <v>0.384057971014493</v>
      </c>
      <c r="G26" s="38" t="n">
        <f aca="false">IFERROR(G25/G18,0)</f>
        <v>0.384057971014493</v>
      </c>
      <c r="H26" s="38" t="n">
        <f aca="false">IFERROR(H25/H18,0)</f>
        <v>0.363253856942497</v>
      </c>
      <c r="I26" s="32" t="n">
        <f aca="false">IFERROR(I25/I18,0)</f>
        <v>0.383933959824123</v>
      </c>
    </row>
    <row r="27" customFormat="false" ht="15" hidden="false" customHeight="false" outlineLevel="0" collapsed="false">
      <c r="B27" s="19" t="s">
        <v>139</v>
      </c>
      <c r="C27" s="19"/>
      <c r="D27" s="19"/>
      <c r="E27" s="19"/>
      <c r="F27" s="19"/>
      <c r="G27" s="19"/>
      <c r="H27" s="19"/>
      <c r="I27" s="19"/>
    </row>
    <row r="28" customFormat="false" ht="15" hidden="false" customHeight="false" outlineLevel="0" collapsed="false">
      <c r="B28" s="20" t="s">
        <v>66</v>
      </c>
      <c r="I28" s="42" t="n">
        <f aca="false">Assumptions!$C$31</f>
        <v>180000</v>
      </c>
    </row>
    <row r="29" customFormat="false" ht="15" hidden="false" customHeight="false" outlineLevel="0" collapsed="false">
      <c r="B29" s="20" t="s">
        <v>67</v>
      </c>
      <c r="I29" s="42" t="n">
        <f aca="false">Assumptions!$C$32</f>
        <v>60000</v>
      </c>
    </row>
    <row r="30" customFormat="false" ht="15" hidden="false" customHeight="false" outlineLevel="0" collapsed="false">
      <c r="B30" s="20" t="s">
        <v>140</v>
      </c>
      <c r="I30" s="42" t="n">
        <f aca="false">Assumptions!$C$33</f>
        <v>40000</v>
      </c>
    </row>
    <row r="31" customFormat="false" ht="15" hidden="false" customHeight="false" outlineLevel="0" collapsed="false">
      <c r="B31" s="20" t="s">
        <v>141</v>
      </c>
      <c r="I31" s="42" t="n">
        <f aca="false">Assumptions!$C$34</f>
        <v>20000</v>
      </c>
    </row>
    <row r="32" customFormat="false" ht="15" hidden="false" customHeight="false" outlineLevel="0" collapsed="false">
      <c r="B32" s="20" t="s">
        <v>142</v>
      </c>
      <c r="I32" s="42" t="n">
        <f aca="false">I18*Assumptions!$C$35</f>
        <v>48251.84</v>
      </c>
    </row>
    <row r="33" customFormat="false" ht="15" hidden="false" customHeight="false" outlineLevel="0" collapsed="false">
      <c r="B33" s="23" t="s">
        <v>143</v>
      </c>
      <c r="I33" s="42" t="n">
        <f aca="false">SUM(I28:I32)</f>
        <v>348251.84</v>
      </c>
    </row>
    <row r="34" customFormat="false" ht="15" hidden="false" customHeight="false" outlineLevel="0" collapsed="false">
      <c r="B34" s="23" t="s">
        <v>144</v>
      </c>
      <c r="I34" s="42" t="n">
        <f aca="false">I25-I33</f>
        <v>114886.16</v>
      </c>
    </row>
    <row r="35" customFormat="false" ht="15" hidden="false" customHeight="false" outlineLevel="0" collapsed="false">
      <c r="B35" s="20" t="s">
        <v>145</v>
      </c>
      <c r="I35" s="32" t="n">
        <f aca="false">IFERROR(I34/I18,0)</f>
        <v>0.0952387805314782</v>
      </c>
    </row>
    <row r="36" customFormat="false" ht="15" hidden="false" customHeight="false" outlineLevel="0" collapsed="false">
      <c r="B36" s="20" t="s">
        <v>146</v>
      </c>
      <c r="I36" s="42" t="n">
        <f aca="false">Assumptions!$C$36</f>
        <v>25000</v>
      </c>
    </row>
    <row r="37" customFormat="false" ht="15" hidden="false" customHeight="false" outlineLevel="0" collapsed="false">
      <c r="B37" s="23" t="s">
        <v>147</v>
      </c>
      <c r="I37" s="42" t="n">
        <f aca="false">I34-I36</f>
        <v>89886.16</v>
      </c>
    </row>
    <row r="38" customFormat="false" ht="15" hidden="false" customHeight="false" outlineLevel="0" collapsed="false">
      <c r="B38" s="20" t="s">
        <v>148</v>
      </c>
      <c r="I38" s="42" t="n">
        <f aca="false">Assumptions!$C$37</f>
        <v>10000</v>
      </c>
    </row>
    <row r="39" customFormat="false" ht="15" hidden="false" customHeight="false" outlineLevel="0" collapsed="false">
      <c r="B39" s="23" t="s">
        <v>149</v>
      </c>
      <c r="I39" s="42" t="n">
        <f aca="false">I37-I38</f>
        <v>79886.16</v>
      </c>
    </row>
    <row r="40" customFormat="false" ht="15" hidden="false" customHeight="false" outlineLevel="0" collapsed="false">
      <c r="B40" s="20" t="s">
        <v>150</v>
      </c>
      <c r="I40" s="42" t="n">
        <f aca="false">MAX(0,I39*Assumptions!$C$38)</f>
        <v>21569.2632</v>
      </c>
    </row>
    <row r="41" customFormat="false" ht="15" hidden="false" customHeight="false" outlineLevel="0" collapsed="false">
      <c r="B41" s="23" t="s">
        <v>151</v>
      </c>
      <c r="I41" s="42" t="n">
        <f aca="false">I39-I40</f>
        <v>58316.8968</v>
      </c>
    </row>
    <row r="42" customFormat="false" ht="15" hidden="false" customHeight="false" outlineLevel="0" collapsed="false">
      <c r="B42" s="20" t="s">
        <v>152</v>
      </c>
      <c r="I42" s="32" t="n">
        <f aca="false">IFERROR(I41/I18,0)</f>
        <v>0.0483437703515555</v>
      </c>
    </row>
    <row r="43" customFormat="false" ht="15" hidden="false" customHeight="false" outlineLevel="0" collapsed="false">
      <c r="B43" s="19" t="s">
        <v>153</v>
      </c>
      <c r="C43" s="19"/>
      <c r="D43" s="19"/>
      <c r="E43" s="19"/>
      <c r="F43" s="19"/>
      <c r="G43" s="19"/>
      <c r="H43" s="19"/>
      <c r="I43" s="19"/>
    </row>
    <row r="44" customFormat="false" ht="15" hidden="false" customHeight="false" outlineLevel="0" collapsed="false">
      <c r="B44" s="20" t="s">
        <v>154</v>
      </c>
      <c r="C44" s="40" t="n">
        <f aca="false">IFERROR(C18/C8,0)</f>
        <v>13.95</v>
      </c>
      <c r="D44" s="40" t="n">
        <f aca="false">IFERROR(D18/D8,0)</f>
        <v>13.95</v>
      </c>
      <c r="E44" s="40" t="n">
        <f aca="false">IFERROR(E18/E8,0)</f>
        <v>13.02</v>
      </c>
      <c r="F44" s="40" t="n">
        <f aca="false">IFERROR(F18/F8,0)</f>
        <v>30.36</v>
      </c>
      <c r="G44" s="40" t="n">
        <f aca="false">IFERROR(G18/G8,0)</f>
        <v>30.36</v>
      </c>
      <c r="H44" s="40" t="n">
        <f aca="false">IFERROR(H18/H8,0)</f>
        <v>28.52</v>
      </c>
      <c r="I44" s="27" t="n">
        <f aca="false">IFERROR(I18/I8,0)</f>
        <v>18.5584</v>
      </c>
    </row>
    <row r="45" customFormat="false" ht="15" hidden="false" customHeight="false" outlineLevel="0" collapsed="false">
      <c r="B45" s="20" t="s">
        <v>155</v>
      </c>
      <c r="C45" s="40" t="n">
        <f aca="false">IFERROR(C25/C8,0)</f>
        <v>5.5</v>
      </c>
      <c r="D45" s="40" t="n">
        <f aca="false">IFERROR(D25/D8,0)</f>
        <v>5.5</v>
      </c>
      <c r="E45" s="40" t="n">
        <f aca="false">IFERROR(E25/E8,0)</f>
        <v>4.84</v>
      </c>
      <c r="F45" s="40" t="n">
        <f aca="false">IFERROR(F25/F8,0)</f>
        <v>11.66</v>
      </c>
      <c r="G45" s="40" t="n">
        <f aca="false">IFERROR(G25/G8,0)</f>
        <v>11.66</v>
      </c>
      <c r="H45" s="40" t="n">
        <f aca="false">IFERROR(H25/H8,0)</f>
        <v>10.36</v>
      </c>
      <c r="I45" s="27" t="n">
        <f aca="false">IFERROR(I25/I8,0)</f>
        <v>7.1252</v>
      </c>
    </row>
  </sheetData>
  <mergeCells count="8">
    <mergeCell ref="C5:E5"/>
    <mergeCell ref="F5:H5"/>
    <mergeCell ref="I5:I6"/>
    <mergeCell ref="B7:I7"/>
    <mergeCell ref="B9:I9"/>
    <mergeCell ref="B15:I15"/>
    <mergeCell ref="B27:I27"/>
    <mergeCell ref="B43:I43"/>
  </mergeCells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FA6"/>
    <pageSetUpPr fitToPage="true"/>
  </sheetPr>
  <dimension ref="B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8" min="3" style="0" width="12"/>
    <col collapsed="false" customWidth="true" hidden="false" outlineLevel="0" max="9" min="9" style="0" width="14"/>
  </cols>
  <sheetData>
    <row r="1" customFormat="false" ht="19.7" hidden="false" customHeight="false" outlineLevel="0" collapsed="false">
      <c r="B1" s="14" t="s">
        <v>160</v>
      </c>
    </row>
    <row r="2" customFormat="false" ht="15" hidden="false" customHeight="false" outlineLevel="0" collapsed="false">
      <c r="B2" s="15" t="s">
        <v>161</v>
      </c>
    </row>
    <row r="3" customFormat="false" ht="15" hidden="false" customHeight="false" outlineLevel="0" collapsed="false">
      <c r="B3" s="15" t="s">
        <v>119</v>
      </c>
    </row>
    <row r="5" customFormat="false" ht="15.75" hidden="false" customHeight="true" outlineLevel="0" collapsed="false">
      <c r="C5" s="16" t="s">
        <v>34</v>
      </c>
      <c r="D5" s="16"/>
      <c r="E5" s="16"/>
      <c r="F5" s="16" t="s">
        <v>35</v>
      </c>
      <c r="G5" s="16"/>
      <c r="H5" s="16"/>
      <c r="I5" s="16" t="s">
        <v>120</v>
      </c>
    </row>
    <row r="6" customFormat="false" ht="25.5" hidden="false" customHeight="true" outlineLevel="0" collapsed="false">
      <c r="B6" s="17" t="s">
        <v>121</v>
      </c>
      <c r="C6" s="18" t="s">
        <v>37</v>
      </c>
      <c r="D6" s="18" t="s">
        <v>38</v>
      </c>
      <c r="E6" s="18" t="s">
        <v>39</v>
      </c>
      <c r="F6" s="18" t="s">
        <v>37</v>
      </c>
      <c r="G6" s="18" t="s">
        <v>38</v>
      </c>
      <c r="H6" s="18" t="s">
        <v>39</v>
      </c>
      <c r="I6" s="16"/>
    </row>
    <row r="7" customFormat="false" ht="15" hidden="false" customHeight="false" outlineLevel="0" collapsed="false">
      <c r="B7" s="19" t="s">
        <v>63</v>
      </c>
      <c r="C7" s="19"/>
      <c r="D7" s="19"/>
      <c r="E7" s="19"/>
      <c r="F7" s="19"/>
      <c r="G7" s="19"/>
      <c r="H7" s="19"/>
      <c r="I7" s="19"/>
    </row>
    <row r="8" customFormat="false" ht="15" hidden="false" customHeight="false" outlineLevel="0" collapsed="false">
      <c r="B8" s="23" t="s">
        <v>122</v>
      </c>
      <c r="C8" s="35" t="n">
        <f aca="false">Assumptions!C28*Assumptions!$C$46*(Assumptions!$D$46^Assumptions!$C$39)</f>
        <v>24000</v>
      </c>
      <c r="D8" s="35" t="n">
        <f aca="false">Assumptions!D28*Assumptions!$C$46*(Assumptions!$D$46^Assumptions!$C$39)</f>
        <v>17600</v>
      </c>
      <c r="E8" s="35" t="n">
        <f aca="false">Assumptions!E28*Assumptions!$C$46*(Assumptions!$D$46^Assumptions!$C$39)</f>
        <v>14400</v>
      </c>
      <c r="F8" s="35" t="n">
        <f aca="false">Assumptions!F28*Assumptions!$C$46*(Assumptions!$D$46^Assumptions!$C$39)</f>
        <v>9600</v>
      </c>
      <c r="G8" s="35" t="n">
        <f aca="false">Assumptions!G28*Assumptions!$C$46*(Assumptions!$D$46^Assumptions!$C$39)</f>
        <v>8000</v>
      </c>
      <c r="H8" s="35" t="n">
        <f aca="false">Assumptions!H28*Assumptions!$C$46*(Assumptions!$D$46^Assumptions!$C$39)</f>
        <v>6400</v>
      </c>
      <c r="I8" s="41" t="n">
        <f aca="false">SUM(C8:H8)</f>
        <v>80000</v>
      </c>
    </row>
    <row r="9" customFormat="false" ht="15" hidden="false" customHeight="false" outlineLevel="0" collapsed="false">
      <c r="B9" s="19" t="s">
        <v>123</v>
      </c>
      <c r="C9" s="19"/>
      <c r="D9" s="19"/>
      <c r="E9" s="19"/>
      <c r="F9" s="19"/>
      <c r="G9" s="19"/>
      <c r="H9" s="19"/>
      <c r="I9" s="19"/>
    </row>
    <row r="10" customFormat="false" ht="15" hidden="false" customHeight="false" outlineLevel="0" collapsed="false">
      <c r="B10" s="23" t="s">
        <v>124</v>
      </c>
      <c r="C10" s="26" t="n">
        <f aca="false">Assumptions!C11*Assumptions!$D$46</f>
        <v>15.75</v>
      </c>
      <c r="D10" s="26" t="n">
        <f aca="false">Assumptions!D11*Assumptions!$D$46</f>
        <v>15.75</v>
      </c>
      <c r="E10" s="26" t="n">
        <f aca="false">Assumptions!E11*Assumptions!$D$46</f>
        <v>14.7</v>
      </c>
      <c r="F10" s="26" t="n">
        <f aca="false">Assumptions!F11*Assumptions!$D$46</f>
        <v>34.65</v>
      </c>
      <c r="G10" s="26" t="n">
        <f aca="false">Assumptions!G11*Assumptions!$D$46</f>
        <v>34.65</v>
      </c>
      <c r="H10" s="26" t="n">
        <f aca="false">Assumptions!H11*Assumptions!$D$46</f>
        <v>32.55</v>
      </c>
      <c r="I10" s="27" t="n">
        <f aca="false">IFERROR(I16/I8,0)</f>
        <v>21.063</v>
      </c>
    </row>
    <row r="11" customFormat="false" ht="15" hidden="false" customHeight="false" outlineLevel="0" collapsed="false">
      <c r="B11" s="20" t="s">
        <v>125</v>
      </c>
      <c r="C11" s="39" t="n">
        <f aca="false">Assumptions!C12+Assumptions!$E$46</f>
        <v>0.06</v>
      </c>
      <c r="D11" s="39" t="n">
        <f aca="false">Assumptions!D12+Assumptions!$E$46</f>
        <v>0.06</v>
      </c>
      <c r="E11" s="39" t="n">
        <f aca="false">Assumptions!E12+Assumptions!$E$46</f>
        <v>0.06</v>
      </c>
      <c r="F11" s="39" t="n">
        <f aca="false">Assumptions!F12+Assumptions!$E$46</f>
        <v>0.07</v>
      </c>
      <c r="G11" s="39" t="n">
        <f aca="false">Assumptions!G12+Assumptions!$E$46</f>
        <v>0.07</v>
      </c>
      <c r="H11" s="39" t="n">
        <f aca="false">Assumptions!H12+Assumptions!$E$46</f>
        <v>0.07</v>
      </c>
      <c r="I11" s="32" t="n">
        <f aca="false">IFERROR(I17/I16,0)</f>
        <v>0.0648554336989033</v>
      </c>
    </row>
    <row r="12" customFormat="false" ht="15" hidden="false" customHeight="false" outlineLevel="0" collapsed="false">
      <c r="B12" s="20" t="s">
        <v>55</v>
      </c>
      <c r="C12" s="26" t="n">
        <f aca="false">Assumptions!C19</f>
        <v>6.53</v>
      </c>
      <c r="D12" s="26" t="n">
        <f aca="false">Assumptions!D19</f>
        <v>6.53</v>
      </c>
      <c r="E12" s="26" t="n">
        <f aca="false">Assumptions!E19</f>
        <v>6.28</v>
      </c>
      <c r="F12" s="26" t="n">
        <f aca="false">Assumptions!F19</f>
        <v>14.86</v>
      </c>
      <c r="G12" s="26" t="n">
        <f aca="false">Assumptions!G19</f>
        <v>14.86</v>
      </c>
      <c r="H12" s="26" t="n">
        <f aca="false">Assumptions!H19</f>
        <v>14.36</v>
      </c>
      <c r="I12" s="27" t="n">
        <f aca="false">IFERROR(I19/I8,0)</f>
        <v>8.944</v>
      </c>
    </row>
    <row r="13" customFormat="false" ht="15" hidden="false" customHeight="false" outlineLevel="0" collapsed="false">
      <c r="B13" s="20" t="s">
        <v>126</v>
      </c>
      <c r="C13" s="26" t="n">
        <f aca="false">Assumptions!C20</f>
        <v>0.72</v>
      </c>
      <c r="D13" s="26" t="n">
        <f aca="false">Assumptions!D20</f>
        <v>0.72</v>
      </c>
      <c r="E13" s="26" t="n">
        <f aca="false">Assumptions!E20</f>
        <v>0.7</v>
      </c>
      <c r="F13" s="26" t="n">
        <f aca="false">Assumptions!F20</f>
        <v>1.44</v>
      </c>
      <c r="G13" s="26" t="n">
        <f aca="false">Assumptions!G20</f>
        <v>1.44</v>
      </c>
      <c r="H13" s="26" t="n">
        <f aca="false">Assumptions!H20</f>
        <v>1.4</v>
      </c>
      <c r="I13" s="27" t="n">
        <f aca="false">IFERROR(I20/I8,0)</f>
        <v>0.9292</v>
      </c>
    </row>
    <row r="14" customFormat="false" ht="15" hidden="false" customHeight="false" outlineLevel="0" collapsed="false">
      <c r="B14" s="20" t="s">
        <v>62</v>
      </c>
      <c r="C14" s="26" t="n">
        <f aca="false">Assumptions!C26</f>
        <v>1.2</v>
      </c>
      <c r="D14" s="26" t="n">
        <f aca="false">Assumptions!D26</f>
        <v>1.2</v>
      </c>
      <c r="E14" s="26" t="n">
        <f aca="false">Assumptions!E26</f>
        <v>1.2</v>
      </c>
      <c r="F14" s="26" t="n">
        <f aca="false">Assumptions!F26</f>
        <v>2.4</v>
      </c>
      <c r="G14" s="26" t="n">
        <f aca="false">Assumptions!G26</f>
        <v>2.4</v>
      </c>
      <c r="H14" s="26" t="n">
        <f aca="false">Assumptions!H26</f>
        <v>2.4</v>
      </c>
      <c r="I14" s="27" t="n">
        <f aca="false">IFERROR(I24/I8,0)</f>
        <v>1.56</v>
      </c>
    </row>
    <row r="15" customFormat="false" ht="15" hidden="false" customHeight="false" outlineLevel="0" collapsed="false">
      <c r="B15" s="19" t="s">
        <v>127</v>
      </c>
      <c r="C15" s="19"/>
      <c r="D15" s="19"/>
      <c r="E15" s="19"/>
      <c r="F15" s="19"/>
      <c r="G15" s="19"/>
      <c r="H15" s="19"/>
      <c r="I15" s="19"/>
    </row>
    <row r="16" customFormat="false" ht="15" hidden="false" customHeight="false" outlineLevel="0" collapsed="false">
      <c r="B16" s="20" t="s">
        <v>128</v>
      </c>
      <c r="C16" s="36" t="n">
        <f aca="false">C8*C10</f>
        <v>378000</v>
      </c>
      <c r="D16" s="36" t="n">
        <f aca="false">D8*D10</f>
        <v>277200</v>
      </c>
      <c r="E16" s="36" t="n">
        <f aca="false">E8*E10</f>
        <v>211680</v>
      </c>
      <c r="F16" s="36" t="n">
        <f aca="false">F8*F10</f>
        <v>332640</v>
      </c>
      <c r="G16" s="36" t="n">
        <f aca="false">G8*G10</f>
        <v>277200</v>
      </c>
      <c r="H16" s="36" t="n">
        <f aca="false">H8*H10</f>
        <v>208320</v>
      </c>
      <c r="I16" s="42" t="n">
        <f aca="false">SUM(C16:H16)</f>
        <v>1685040</v>
      </c>
    </row>
    <row r="17" customFormat="false" ht="15" hidden="false" customHeight="false" outlineLevel="0" collapsed="false">
      <c r="B17" s="20" t="s">
        <v>129</v>
      </c>
      <c r="C17" s="36" t="n">
        <f aca="false">C16*C11</f>
        <v>22680</v>
      </c>
      <c r="D17" s="36" t="n">
        <f aca="false">D16*D11</f>
        <v>16632</v>
      </c>
      <c r="E17" s="36" t="n">
        <f aca="false">E16*E11</f>
        <v>12700.8</v>
      </c>
      <c r="F17" s="36" t="n">
        <f aca="false">F16*F11</f>
        <v>23284.8</v>
      </c>
      <c r="G17" s="36" t="n">
        <f aca="false">G16*G11</f>
        <v>19404</v>
      </c>
      <c r="H17" s="36" t="n">
        <f aca="false">H16*H11</f>
        <v>14582.4</v>
      </c>
      <c r="I17" s="42" t="n">
        <f aca="false">SUM(C17:H17)</f>
        <v>109284</v>
      </c>
    </row>
    <row r="18" customFormat="false" ht="15" hidden="false" customHeight="false" outlineLevel="0" collapsed="false">
      <c r="B18" s="23" t="s">
        <v>130</v>
      </c>
      <c r="C18" s="36" t="n">
        <f aca="false">C16-C17</f>
        <v>355320</v>
      </c>
      <c r="D18" s="36" t="n">
        <f aca="false">D16-D17</f>
        <v>260568</v>
      </c>
      <c r="E18" s="36" t="n">
        <f aca="false">E16-E17</f>
        <v>198979.2</v>
      </c>
      <c r="F18" s="36" t="n">
        <f aca="false">F16-F17</f>
        <v>309355.2</v>
      </c>
      <c r="G18" s="36" t="n">
        <f aca="false">G16-G17</f>
        <v>257796</v>
      </c>
      <c r="H18" s="36" t="n">
        <f aca="false">H16-H17</f>
        <v>193737.6</v>
      </c>
      <c r="I18" s="42" t="n">
        <f aca="false">I16-I17</f>
        <v>1575756</v>
      </c>
    </row>
    <row r="19" customFormat="false" ht="15" hidden="false" customHeight="false" outlineLevel="0" collapsed="false">
      <c r="B19" s="20" t="s">
        <v>131</v>
      </c>
      <c r="C19" s="36" t="n">
        <f aca="false">C8*C12</f>
        <v>156720</v>
      </c>
      <c r="D19" s="36" t="n">
        <f aca="false">D8*D12</f>
        <v>114928</v>
      </c>
      <c r="E19" s="36" t="n">
        <f aca="false">E8*E12</f>
        <v>90432</v>
      </c>
      <c r="F19" s="36" t="n">
        <f aca="false">F8*F12</f>
        <v>142656</v>
      </c>
      <c r="G19" s="36" t="n">
        <f aca="false">G8*G12</f>
        <v>118880</v>
      </c>
      <c r="H19" s="36" t="n">
        <f aca="false">H8*H12</f>
        <v>91904</v>
      </c>
      <c r="I19" s="42" t="n">
        <f aca="false">SUM(C19:H19)</f>
        <v>715520</v>
      </c>
    </row>
    <row r="20" customFormat="false" ht="15" hidden="false" customHeight="false" outlineLevel="0" collapsed="false">
      <c r="B20" s="20" t="s">
        <v>132</v>
      </c>
      <c r="C20" s="36" t="n">
        <f aca="false">C8*C13</f>
        <v>17280</v>
      </c>
      <c r="D20" s="36" t="n">
        <f aca="false">D8*D13</f>
        <v>12672</v>
      </c>
      <c r="E20" s="36" t="n">
        <f aca="false">E8*E13</f>
        <v>10080</v>
      </c>
      <c r="F20" s="36" t="n">
        <f aca="false">F8*F13</f>
        <v>13824</v>
      </c>
      <c r="G20" s="36" t="n">
        <f aca="false">G8*G13</f>
        <v>11520</v>
      </c>
      <c r="H20" s="36" t="n">
        <f aca="false">H8*H13</f>
        <v>8960</v>
      </c>
      <c r="I20" s="42" t="n">
        <f aca="false">SUM(C20:H20)</f>
        <v>74336</v>
      </c>
    </row>
    <row r="21" customFormat="false" ht="15" hidden="false" customHeight="false" outlineLevel="0" collapsed="false">
      <c r="B21" s="20" t="s">
        <v>133</v>
      </c>
      <c r="C21" s="36" t="n">
        <f aca="false">C19+C20</f>
        <v>174000</v>
      </c>
      <c r="D21" s="36" t="n">
        <f aca="false">D19+D20</f>
        <v>127600</v>
      </c>
      <c r="E21" s="36" t="n">
        <f aca="false">E19+E20</f>
        <v>100512</v>
      </c>
      <c r="F21" s="36" t="n">
        <f aca="false">F19+F20</f>
        <v>156480</v>
      </c>
      <c r="G21" s="36" t="n">
        <f aca="false">G19+G20</f>
        <v>130400</v>
      </c>
      <c r="H21" s="36" t="n">
        <f aca="false">H19+H20</f>
        <v>100864</v>
      </c>
      <c r="I21" s="42" t="n">
        <f aca="false">I19+I20</f>
        <v>789856</v>
      </c>
    </row>
    <row r="22" customFormat="false" ht="15" hidden="false" customHeight="false" outlineLevel="0" collapsed="false">
      <c r="B22" s="23" t="s">
        <v>134</v>
      </c>
      <c r="C22" s="36" t="n">
        <f aca="false">C18-C21</f>
        <v>181320</v>
      </c>
      <c r="D22" s="36" t="n">
        <f aca="false">D18-D21</f>
        <v>132968</v>
      </c>
      <c r="E22" s="36" t="n">
        <f aca="false">E18-E21</f>
        <v>98467.2</v>
      </c>
      <c r="F22" s="36" t="n">
        <f aca="false">F18-F21</f>
        <v>152875.2</v>
      </c>
      <c r="G22" s="36" t="n">
        <f aca="false">G18-G21</f>
        <v>127396</v>
      </c>
      <c r="H22" s="36" t="n">
        <f aca="false">H18-H21</f>
        <v>92873.6</v>
      </c>
      <c r="I22" s="42" t="n">
        <f aca="false">I18-I21</f>
        <v>785900</v>
      </c>
    </row>
    <row r="23" customFormat="false" ht="15" hidden="false" customHeight="false" outlineLevel="0" collapsed="false">
      <c r="B23" s="20" t="s">
        <v>135</v>
      </c>
      <c r="C23" s="38" t="n">
        <f aca="false">IFERROR(C22/C18,0)</f>
        <v>0.510300574130361</v>
      </c>
      <c r="D23" s="38" t="n">
        <f aca="false">IFERROR(D22/D18,0)</f>
        <v>0.510300574130361</v>
      </c>
      <c r="E23" s="38" t="n">
        <f aca="false">IFERROR(E22/E18,0)</f>
        <v>0.494861774497033</v>
      </c>
      <c r="F23" s="38" t="n">
        <f aca="false">IFERROR(F22/F18,0)</f>
        <v>0.494173687722075</v>
      </c>
      <c r="G23" s="38" t="n">
        <f aca="false">IFERROR(G22/G18,0)</f>
        <v>0.494173687722075</v>
      </c>
      <c r="H23" s="38" t="n">
        <f aca="false">IFERROR(H22/H18,0)</f>
        <v>0.479378293113985</v>
      </c>
      <c r="I23" s="32" t="n">
        <f aca="false">IFERROR(I22/I18,0)</f>
        <v>0.49874472951396</v>
      </c>
    </row>
    <row r="24" customFormat="false" ht="15" hidden="false" customHeight="false" outlineLevel="0" collapsed="false">
      <c r="B24" s="20" t="s">
        <v>136</v>
      </c>
      <c r="C24" s="36" t="n">
        <f aca="false">C8*C14</f>
        <v>28800</v>
      </c>
      <c r="D24" s="36" t="n">
        <f aca="false">D8*D14</f>
        <v>21120</v>
      </c>
      <c r="E24" s="36" t="n">
        <f aca="false">E8*E14</f>
        <v>17280</v>
      </c>
      <c r="F24" s="36" t="n">
        <f aca="false">F8*F14</f>
        <v>23040</v>
      </c>
      <c r="G24" s="36" t="n">
        <f aca="false">G8*G14</f>
        <v>19200</v>
      </c>
      <c r="H24" s="36" t="n">
        <f aca="false">H8*H14</f>
        <v>15360</v>
      </c>
      <c r="I24" s="42" t="n">
        <f aca="false">SUM(C24:H24)</f>
        <v>124800</v>
      </c>
    </row>
    <row r="25" customFormat="false" ht="15" hidden="false" customHeight="false" outlineLevel="0" collapsed="false">
      <c r="B25" s="23" t="s">
        <v>137</v>
      </c>
      <c r="C25" s="36" t="n">
        <f aca="false">C22-C24</f>
        <v>152520</v>
      </c>
      <c r="D25" s="36" t="n">
        <f aca="false">D22-D24</f>
        <v>111848</v>
      </c>
      <c r="E25" s="36" t="n">
        <f aca="false">E22-E24</f>
        <v>81187.2</v>
      </c>
      <c r="F25" s="36" t="n">
        <f aca="false">F22-F24</f>
        <v>129835.2</v>
      </c>
      <c r="G25" s="36" t="n">
        <f aca="false">G22-G24</f>
        <v>108196</v>
      </c>
      <c r="H25" s="36" t="n">
        <f aca="false">H22-H24</f>
        <v>77513.6</v>
      </c>
      <c r="I25" s="42" t="n">
        <f aca="false">I22-I24</f>
        <v>661100</v>
      </c>
    </row>
    <row r="26" customFormat="false" ht="15" hidden="false" customHeight="false" outlineLevel="0" collapsed="false">
      <c r="B26" s="20" t="s">
        <v>138</v>
      </c>
      <c r="C26" s="38" t="n">
        <f aca="false">IFERROR(C25/C18,0)</f>
        <v>0.429246876055387</v>
      </c>
      <c r="D26" s="38" t="n">
        <f aca="false">IFERROR(D25/D18,0)</f>
        <v>0.429246876055387</v>
      </c>
      <c r="E26" s="38" t="n">
        <f aca="false">IFERROR(E25/E18,0)</f>
        <v>0.40801852655956</v>
      </c>
      <c r="F26" s="38" t="n">
        <f aca="false">IFERROR(F25/F18,0)</f>
        <v>0.419696193889742</v>
      </c>
      <c r="G26" s="38" t="n">
        <f aca="false">IFERROR(G25/G18,0)</f>
        <v>0.419696193889742</v>
      </c>
      <c r="H26" s="38" t="n">
        <f aca="false">IFERROR(H25/H18,0)</f>
        <v>0.400095799679567</v>
      </c>
      <c r="I26" s="32" t="n">
        <f aca="false">IFERROR(I25/I18,0)</f>
        <v>0.419544650313881</v>
      </c>
    </row>
    <row r="27" customFormat="false" ht="15" hidden="false" customHeight="false" outlineLevel="0" collapsed="false">
      <c r="B27" s="19" t="s">
        <v>139</v>
      </c>
      <c r="C27" s="19"/>
      <c r="D27" s="19"/>
      <c r="E27" s="19"/>
      <c r="F27" s="19"/>
      <c r="G27" s="19"/>
      <c r="H27" s="19"/>
      <c r="I27" s="19"/>
    </row>
    <row r="28" customFormat="false" ht="15" hidden="false" customHeight="false" outlineLevel="0" collapsed="false">
      <c r="B28" s="20" t="s">
        <v>66</v>
      </c>
      <c r="I28" s="42" t="n">
        <f aca="false">Assumptions!$C$31</f>
        <v>180000</v>
      </c>
    </row>
    <row r="29" customFormat="false" ht="15" hidden="false" customHeight="false" outlineLevel="0" collapsed="false">
      <c r="B29" s="20" t="s">
        <v>67</v>
      </c>
      <c r="I29" s="42" t="n">
        <f aca="false">Assumptions!$C$32</f>
        <v>60000</v>
      </c>
    </row>
    <row r="30" customFormat="false" ht="15" hidden="false" customHeight="false" outlineLevel="0" collapsed="false">
      <c r="B30" s="20" t="s">
        <v>140</v>
      </c>
      <c r="I30" s="42" t="n">
        <f aca="false">Assumptions!$C$33</f>
        <v>40000</v>
      </c>
    </row>
    <row r="31" customFormat="false" ht="15" hidden="false" customHeight="false" outlineLevel="0" collapsed="false">
      <c r="B31" s="20" t="s">
        <v>141</v>
      </c>
      <c r="I31" s="42" t="n">
        <f aca="false">Assumptions!$C$34</f>
        <v>20000</v>
      </c>
    </row>
    <row r="32" customFormat="false" ht="15" hidden="false" customHeight="false" outlineLevel="0" collapsed="false">
      <c r="B32" s="20" t="s">
        <v>142</v>
      </c>
      <c r="I32" s="42" t="n">
        <f aca="false">I18*Assumptions!$C$35</f>
        <v>63030.24</v>
      </c>
    </row>
    <row r="33" customFormat="false" ht="15" hidden="false" customHeight="false" outlineLevel="0" collapsed="false">
      <c r="B33" s="23" t="s">
        <v>143</v>
      </c>
      <c r="I33" s="42" t="n">
        <f aca="false">SUM(I28:I32)</f>
        <v>363030.24</v>
      </c>
    </row>
    <row r="34" customFormat="false" ht="15" hidden="false" customHeight="false" outlineLevel="0" collapsed="false">
      <c r="B34" s="23" t="s">
        <v>144</v>
      </c>
      <c r="I34" s="42" t="n">
        <f aca="false">I25-I33</f>
        <v>298069.76</v>
      </c>
    </row>
    <row r="35" customFormat="false" ht="15" hidden="false" customHeight="false" outlineLevel="0" collapsed="false">
      <c r="B35" s="20" t="s">
        <v>145</v>
      </c>
      <c r="I35" s="32" t="n">
        <f aca="false">IFERROR(I34/I18,0)</f>
        <v>0.18915984454446</v>
      </c>
    </row>
    <row r="36" customFormat="false" ht="15" hidden="false" customHeight="false" outlineLevel="0" collapsed="false">
      <c r="B36" s="20" t="s">
        <v>146</v>
      </c>
      <c r="I36" s="42" t="n">
        <f aca="false">Assumptions!$C$36</f>
        <v>25000</v>
      </c>
    </row>
    <row r="37" customFormat="false" ht="15" hidden="false" customHeight="false" outlineLevel="0" collapsed="false">
      <c r="B37" s="23" t="s">
        <v>147</v>
      </c>
      <c r="I37" s="42" t="n">
        <f aca="false">I34-I36</f>
        <v>273069.76</v>
      </c>
    </row>
    <row r="38" customFormat="false" ht="15" hidden="false" customHeight="false" outlineLevel="0" collapsed="false">
      <c r="B38" s="20" t="s">
        <v>148</v>
      </c>
      <c r="I38" s="42" t="n">
        <f aca="false">Assumptions!$C$37</f>
        <v>10000</v>
      </c>
    </row>
    <row r="39" customFormat="false" ht="15" hidden="false" customHeight="false" outlineLevel="0" collapsed="false">
      <c r="B39" s="23" t="s">
        <v>149</v>
      </c>
      <c r="I39" s="42" t="n">
        <f aca="false">I37-I38</f>
        <v>263069.76</v>
      </c>
    </row>
    <row r="40" customFormat="false" ht="15" hidden="false" customHeight="false" outlineLevel="0" collapsed="false">
      <c r="B40" s="20" t="s">
        <v>150</v>
      </c>
      <c r="I40" s="42" t="n">
        <f aca="false">MAX(0,I39*Assumptions!$C$38)</f>
        <v>71028.8352</v>
      </c>
    </row>
    <row r="41" customFormat="false" ht="15" hidden="false" customHeight="false" outlineLevel="0" collapsed="false">
      <c r="B41" s="23" t="s">
        <v>151</v>
      </c>
      <c r="I41" s="42" t="n">
        <f aca="false">I39-I40</f>
        <v>192040.9248</v>
      </c>
    </row>
    <row r="42" customFormat="false" ht="15" hidden="false" customHeight="false" outlineLevel="0" collapsed="false">
      <c r="B42" s="20" t="s">
        <v>152</v>
      </c>
      <c r="I42" s="32" t="n">
        <f aca="false">IFERROR(I41/I18,0)</f>
        <v>0.121872247226093</v>
      </c>
    </row>
    <row r="43" customFormat="false" ht="15" hidden="false" customHeight="false" outlineLevel="0" collapsed="false">
      <c r="B43" s="19" t="s">
        <v>153</v>
      </c>
      <c r="C43" s="19"/>
      <c r="D43" s="19"/>
      <c r="E43" s="19"/>
      <c r="F43" s="19"/>
      <c r="G43" s="19"/>
      <c r="H43" s="19"/>
      <c r="I43" s="19"/>
    </row>
    <row r="44" customFormat="false" ht="15" hidden="false" customHeight="false" outlineLevel="0" collapsed="false">
      <c r="B44" s="20" t="s">
        <v>154</v>
      </c>
      <c r="C44" s="40" t="n">
        <f aca="false">IFERROR(C18/C8,0)</f>
        <v>14.805</v>
      </c>
      <c r="D44" s="40" t="n">
        <f aca="false">IFERROR(D18/D8,0)</f>
        <v>14.805</v>
      </c>
      <c r="E44" s="40" t="n">
        <f aca="false">IFERROR(E18/E8,0)</f>
        <v>13.818</v>
      </c>
      <c r="F44" s="40" t="n">
        <f aca="false">IFERROR(F18/F8,0)</f>
        <v>32.2245</v>
      </c>
      <c r="G44" s="40" t="n">
        <f aca="false">IFERROR(G18/G8,0)</f>
        <v>32.2245</v>
      </c>
      <c r="H44" s="40" t="n">
        <f aca="false">IFERROR(H18/H8,0)</f>
        <v>30.2715</v>
      </c>
      <c r="I44" s="27" t="n">
        <f aca="false">IFERROR(I18/I8,0)</f>
        <v>19.69695</v>
      </c>
    </row>
    <row r="45" customFormat="false" ht="15" hidden="false" customHeight="false" outlineLevel="0" collapsed="false">
      <c r="B45" s="20" t="s">
        <v>155</v>
      </c>
      <c r="C45" s="40" t="n">
        <f aca="false">IFERROR(C25/C8,0)</f>
        <v>6.355</v>
      </c>
      <c r="D45" s="40" t="n">
        <f aca="false">IFERROR(D25/D8,0)</f>
        <v>6.355</v>
      </c>
      <c r="E45" s="40" t="n">
        <f aca="false">IFERROR(E25/E8,0)</f>
        <v>5.638</v>
      </c>
      <c r="F45" s="40" t="n">
        <f aca="false">IFERROR(F25/F8,0)</f>
        <v>13.5245</v>
      </c>
      <c r="G45" s="40" t="n">
        <f aca="false">IFERROR(G25/G8,0)</f>
        <v>13.5245</v>
      </c>
      <c r="H45" s="40" t="n">
        <f aca="false">IFERROR(H25/H8,0)</f>
        <v>12.1115</v>
      </c>
      <c r="I45" s="27" t="n">
        <f aca="false">IFERROR(I25/I8,0)</f>
        <v>8.26375</v>
      </c>
    </row>
  </sheetData>
  <mergeCells count="8">
    <mergeCell ref="C5:E5"/>
    <mergeCell ref="F5:H5"/>
    <mergeCell ref="I5:I6"/>
    <mergeCell ref="B7:I7"/>
    <mergeCell ref="B9:I9"/>
    <mergeCell ref="B15:I15"/>
    <mergeCell ref="B27:I27"/>
    <mergeCell ref="B43:I43"/>
  </mergeCells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B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14" min="3" style="0" width="10"/>
    <col collapsed="false" customWidth="true" hidden="false" outlineLevel="0" max="15" min="15" style="0" width="13"/>
  </cols>
  <sheetData>
    <row r="1" customFormat="false" ht="19.7" hidden="false" customHeight="false" outlineLevel="0" collapsed="false">
      <c r="B1" s="14" t="s">
        <v>162</v>
      </c>
    </row>
    <row r="2" customFormat="false" ht="15" hidden="false" customHeight="false" outlineLevel="0" collapsed="false">
      <c r="B2" s="15" t="s">
        <v>163</v>
      </c>
    </row>
    <row r="4" customFormat="false" ht="15" hidden="false" customHeight="false" outlineLevel="0" collapsed="false">
      <c r="B4" s="23" t="s">
        <v>164</v>
      </c>
      <c r="C4" s="43" t="s">
        <v>4</v>
      </c>
      <c r="D4" s="44" t="s">
        <v>165</v>
      </c>
    </row>
    <row r="6" customFormat="false" ht="15" hidden="false" customHeight="false" outlineLevel="0" collapsed="false">
      <c r="B6" s="17" t="s">
        <v>121</v>
      </c>
      <c r="C6" s="18" t="s">
        <v>85</v>
      </c>
      <c r="D6" s="18" t="s">
        <v>86</v>
      </c>
      <c r="E6" s="18" t="s">
        <v>87</v>
      </c>
      <c r="F6" s="18" t="s">
        <v>88</v>
      </c>
      <c r="G6" s="18" t="s">
        <v>89</v>
      </c>
      <c r="H6" s="18" t="s">
        <v>90</v>
      </c>
      <c r="I6" s="18" t="s">
        <v>91</v>
      </c>
      <c r="J6" s="18" t="s">
        <v>92</v>
      </c>
      <c r="K6" s="18" t="s">
        <v>93</v>
      </c>
      <c r="L6" s="18" t="s">
        <v>94</v>
      </c>
      <c r="M6" s="18" t="s">
        <v>95</v>
      </c>
      <c r="N6" s="18" t="s">
        <v>96</v>
      </c>
      <c r="O6" s="18" t="s">
        <v>166</v>
      </c>
    </row>
    <row r="7" customFormat="false" ht="15" hidden="false" customHeight="false" outlineLevel="0" collapsed="false">
      <c r="B7" s="23" t="s">
        <v>122</v>
      </c>
      <c r="C7" s="34" t="n">
        <f aca="true">INDIRECT("'"&amp;$C$4&amp;"'!I8")*Assumptions!C$50</f>
        <v>3000</v>
      </c>
      <c r="D7" s="34" t="n">
        <f aca="true">INDIRECT("'"&amp;$C$4&amp;"'!I8")*Assumptions!D$50</f>
        <v>3000</v>
      </c>
      <c r="E7" s="34" t="n">
        <f aca="true">INDIRECT("'"&amp;$C$4&amp;"'!I8")*Assumptions!E$50</f>
        <v>3500</v>
      </c>
      <c r="F7" s="34" t="n">
        <f aca="true">INDIRECT("'"&amp;$C$4&amp;"'!I8")*Assumptions!F$50</f>
        <v>4000</v>
      </c>
      <c r="G7" s="34" t="n">
        <f aca="true">INDIRECT("'"&amp;$C$4&amp;"'!I8")*Assumptions!G$50</f>
        <v>5000</v>
      </c>
      <c r="H7" s="34" t="n">
        <f aca="true">INDIRECT("'"&amp;$C$4&amp;"'!I8")*Assumptions!H$50</f>
        <v>5500</v>
      </c>
      <c r="I7" s="34" t="n">
        <f aca="true">INDIRECT("'"&amp;$C$4&amp;"'!I8")*Assumptions!I$50</f>
        <v>6000</v>
      </c>
      <c r="J7" s="34" t="n">
        <f aca="true">INDIRECT("'"&amp;$C$4&amp;"'!I8")*Assumptions!J$50</f>
        <v>5500</v>
      </c>
      <c r="K7" s="34" t="n">
        <f aca="true">INDIRECT("'"&amp;$C$4&amp;"'!I8")*Assumptions!K$50</f>
        <v>4500</v>
      </c>
      <c r="L7" s="34" t="n">
        <f aca="true">INDIRECT("'"&amp;$C$4&amp;"'!I8")*Assumptions!L$50</f>
        <v>4000</v>
      </c>
      <c r="M7" s="34" t="n">
        <f aca="true">INDIRECT("'"&amp;$C$4&amp;"'!I8")*Assumptions!M$50</f>
        <v>3000</v>
      </c>
      <c r="N7" s="34" t="n">
        <f aca="true">INDIRECT("'"&amp;$C$4&amp;"'!I8")*Assumptions!N$50</f>
        <v>3000</v>
      </c>
      <c r="O7" s="41" t="n">
        <f aca="false">SUM(C7:N7)</f>
        <v>50000</v>
      </c>
    </row>
    <row r="8" customFormat="false" ht="15" hidden="false" customHeight="false" outlineLevel="0" collapsed="false">
      <c r="B8" s="23" t="s">
        <v>130</v>
      </c>
      <c r="C8" s="36" t="n">
        <f aca="true">INDIRECT("'"&amp;$C$4&amp;"'!I18")*Assumptions!C$50</f>
        <v>55675.2</v>
      </c>
      <c r="D8" s="36" t="n">
        <f aca="true">INDIRECT("'"&amp;$C$4&amp;"'!I18")*Assumptions!D$50</f>
        <v>55675.2</v>
      </c>
      <c r="E8" s="36" t="n">
        <f aca="true">INDIRECT("'"&amp;$C$4&amp;"'!I18")*Assumptions!E$50</f>
        <v>64954.4</v>
      </c>
      <c r="F8" s="36" t="n">
        <f aca="true">INDIRECT("'"&amp;$C$4&amp;"'!I18")*Assumptions!F$50</f>
        <v>74233.6</v>
      </c>
      <c r="G8" s="36" t="n">
        <f aca="true">INDIRECT("'"&amp;$C$4&amp;"'!I18")*Assumptions!G$50</f>
        <v>92792</v>
      </c>
      <c r="H8" s="36" t="n">
        <f aca="true">INDIRECT("'"&amp;$C$4&amp;"'!I18")*Assumptions!H$50</f>
        <v>102071.2</v>
      </c>
      <c r="I8" s="36" t="n">
        <f aca="true">INDIRECT("'"&amp;$C$4&amp;"'!I18")*Assumptions!I$50</f>
        <v>111350.4</v>
      </c>
      <c r="J8" s="36" t="n">
        <f aca="true">INDIRECT("'"&amp;$C$4&amp;"'!I18")*Assumptions!J$50</f>
        <v>102071.2</v>
      </c>
      <c r="K8" s="36" t="n">
        <f aca="true">INDIRECT("'"&amp;$C$4&amp;"'!I18")*Assumptions!K$50</f>
        <v>83512.8</v>
      </c>
      <c r="L8" s="36" t="n">
        <f aca="true">INDIRECT("'"&amp;$C$4&amp;"'!I18")*Assumptions!L$50</f>
        <v>74233.6</v>
      </c>
      <c r="M8" s="36" t="n">
        <f aca="true">INDIRECT("'"&amp;$C$4&amp;"'!I18")*Assumptions!M$50</f>
        <v>55675.2</v>
      </c>
      <c r="N8" s="36" t="n">
        <f aca="true">INDIRECT("'"&amp;$C$4&amp;"'!I18")*Assumptions!N$50</f>
        <v>55675.2</v>
      </c>
      <c r="O8" s="42" t="n">
        <f aca="false">SUM(C8:N8)</f>
        <v>927920</v>
      </c>
    </row>
    <row r="9" customFormat="false" ht="15" hidden="false" customHeight="false" outlineLevel="0" collapsed="false">
      <c r="B9" s="20" t="s">
        <v>134</v>
      </c>
      <c r="C9" s="36" t="n">
        <f aca="true">INDIRECT("'"&amp;$C$4&amp;"'!I22")*Assumptions!C$50</f>
        <v>26055.6</v>
      </c>
      <c r="D9" s="36" t="n">
        <f aca="true">INDIRECT("'"&amp;$C$4&amp;"'!I22")*Assumptions!D$50</f>
        <v>26055.6</v>
      </c>
      <c r="E9" s="36" t="n">
        <f aca="true">INDIRECT("'"&amp;$C$4&amp;"'!I22")*Assumptions!E$50</f>
        <v>30398.2</v>
      </c>
      <c r="F9" s="36" t="n">
        <f aca="true">INDIRECT("'"&amp;$C$4&amp;"'!I22")*Assumptions!F$50</f>
        <v>34740.8</v>
      </c>
      <c r="G9" s="36" t="n">
        <f aca="true">INDIRECT("'"&amp;$C$4&amp;"'!I22")*Assumptions!G$50</f>
        <v>43426</v>
      </c>
      <c r="H9" s="36" t="n">
        <f aca="true">INDIRECT("'"&amp;$C$4&amp;"'!I22")*Assumptions!H$50</f>
        <v>47768.6</v>
      </c>
      <c r="I9" s="36" t="n">
        <f aca="true">INDIRECT("'"&amp;$C$4&amp;"'!I22")*Assumptions!I$50</f>
        <v>52111.2</v>
      </c>
      <c r="J9" s="36" t="n">
        <f aca="true">INDIRECT("'"&amp;$C$4&amp;"'!I22")*Assumptions!J$50</f>
        <v>47768.6</v>
      </c>
      <c r="K9" s="36" t="n">
        <f aca="true">INDIRECT("'"&amp;$C$4&amp;"'!I22")*Assumptions!K$50</f>
        <v>39083.4</v>
      </c>
      <c r="L9" s="36" t="n">
        <f aca="true">INDIRECT("'"&amp;$C$4&amp;"'!I22")*Assumptions!L$50</f>
        <v>34740.8</v>
      </c>
      <c r="M9" s="36" t="n">
        <f aca="true">INDIRECT("'"&amp;$C$4&amp;"'!I22")*Assumptions!M$50</f>
        <v>26055.6</v>
      </c>
      <c r="N9" s="36" t="n">
        <f aca="true">INDIRECT("'"&amp;$C$4&amp;"'!I22")*Assumptions!N$50</f>
        <v>26055.6</v>
      </c>
      <c r="O9" s="42" t="n">
        <f aca="false">SUM(C9:N9)</f>
        <v>434260</v>
      </c>
    </row>
    <row r="10" customFormat="false" ht="15" hidden="false" customHeight="false" outlineLevel="0" collapsed="false">
      <c r="B10" s="20" t="s">
        <v>136</v>
      </c>
      <c r="C10" s="36" t="n">
        <f aca="true">INDIRECT("'"&amp;$C$4&amp;"'!I24")*Assumptions!C$50</f>
        <v>4680</v>
      </c>
      <c r="D10" s="36" t="n">
        <f aca="true">INDIRECT("'"&amp;$C$4&amp;"'!I24")*Assumptions!D$50</f>
        <v>4680</v>
      </c>
      <c r="E10" s="36" t="n">
        <f aca="true">INDIRECT("'"&amp;$C$4&amp;"'!I24")*Assumptions!E$50</f>
        <v>5460</v>
      </c>
      <c r="F10" s="36" t="n">
        <f aca="true">INDIRECT("'"&amp;$C$4&amp;"'!I24")*Assumptions!F$50</f>
        <v>6240</v>
      </c>
      <c r="G10" s="36" t="n">
        <f aca="true">INDIRECT("'"&amp;$C$4&amp;"'!I24")*Assumptions!G$50</f>
        <v>7800</v>
      </c>
      <c r="H10" s="36" t="n">
        <f aca="true">INDIRECT("'"&amp;$C$4&amp;"'!I24")*Assumptions!H$50</f>
        <v>8580</v>
      </c>
      <c r="I10" s="36" t="n">
        <f aca="true">INDIRECT("'"&amp;$C$4&amp;"'!I24")*Assumptions!I$50</f>
        <v>9360</v>
      </c>
      <c r="J10" s="36" t="n">
        <f aca="true">INDIRECT("'"&amp;$C$4&amp;"'!I24")*Assumptions!J$50</f>
        <v>8580</v>
      </c>
      <c r="K10" s="36" t="n">
        <f aca="true">INDIRECT("'"&amp;$C$4&amp;"'!I24")*Assumptions!K$50</f>
        <v>7020</v>
      </c>
      <c r="L10" s="36" t="n">
        <f aca="true">INDIRECT("'"&amp;$C$4&amp;"'!I24")*Assumptions!L$50</f>
        <v>6240</v>
      </c>
      <c r="M10" s="36" t="n">
        <f aca="true">INDIRECT("'"&amp;$C$4&amp;"'!I24")*Assumptions!M$50</f>
        <v>4680</v>
      </c>
      <c r="N10" s="36" t="n">
        <f aca="true">INDIRECT("'"&amp;$C$4&amp;"'!I24")*Assumptions!N$50</f>
        <v>4680</v>
      </c>
      <c r="O10" s="42" t="n">
        <f aca="false">SUM(C10:N10)</f>
        <v>78000</v>
      </c>
    </row>
    <row r="11" customFormat="false" ht="15" hidden="false" customHeight="false" outlineLevel="0" collapsed="false">
      <c r="B11" s="23" t="s">
        <v>137</v>
      </c>
      <c r="C11" s="36" t="n">
        <f aca="true">INDIRECT("'"&amp;$C$4&amp;"'!I25")*Assumptions!C$50</f>
        <v>21375.6</v>
      </c>
      <c r="D11" s="36" t="n">
        <f aca="true">INDIRECT("'"&amp;$C$4&amp;"'!I25")*Assumptions!D$50</f>
        <v>21375.6</v>
      </c>
      <c r="E11" s="36" t="n">
        <f aca="true">INDIRECT("'"&amp;$C$4&amp;"'!I25")*Assumptions!E$50</f>
        <v>24938.2</v>
      </c>
      <c r="F11" s="36" t="n">
        <f aca="true">INDIRECT("'"&amp;$C$4&amp;"'!I25")*Assumptions!F$50</f>
        <v>28500.8</v>
      </c>
      <c r="G11" s="36" t="n">
        <f aca="true">INDIRECT("'"&amp;$C$4&amp;"'!I25")*Assumptions!G$50</f>
        <v>35626</v>
      </c>
      <c r="H11" s="36" t="n">
        <f aca="true">INDIRECT("'"&amp;$C$4&amp;"'!I25")*Assumptions!H$50</f>
        <v>39188.6</v>
      </c>
      <c r="I11" s="36" t="n">
        <f aca="true">INDIRECT("'"&amp;$C$4&amp;"'!I25")*Assumptions!I$50</f>
        <v>42751.2</v>
      </c>
      <c r="J11" s="36" t="n">
        <f aca="true">INDIRECT("'"&amp;$C$4&amp;"'!I25")*Assumptions!J$50</f>
        <v>39188.6</v>
      </c>
      <c r="K11" s="36" t="n">
        <f aca="true">INDIRECT("'"&amp;$C$4&amp;"'!I25")*Assumptions!K$50</f>
        <v>32063.4</v>
      </c>
      <c r="L11" s="36" t="n">
        <f aca="true">INDIRECT("'"&amp;$C$4&amp;"'!I25")*Assumptions!L$50</f>
        <v>28500.8</v>
      </c>
      <c r="M11" s="36" t="n">
        <f aca="true">INDIRECT("'"&amp;$C$4&amp;"'!I25")*Assumptions!M$50</f>
        <v>21375.6</v>
      </c>
      <c r="N11" s="36" t="n">
        <f aca="true">INDIRECT("'"&amp;$C$4&amp;"'!I25")*Assumptions!N$50</f>
        <v>21375.6</v>
      </c>
      <c r="O11" s="42" t="n">
        <f aca="false">SUM(C11:N11)</f>
        <v>356260</v>
      </c>
    </row>
    <row r="12" customFormat="false" ht="15" hidden="false" customHeight="false" outlineLevel="0" collapsed="false">
      <c r="B12" s="20" t="s">
        <v>142</v>
      </c>
      <c r="C12" s="36" t="n">
        <f aca="false">C8*Assumptions!$C$35</f>
        <v>2227.008</v>
      </c>
      <c r="D12" s="36" t="n">
        <f aca="false">D8*Assumptions!$C$35</f>
        <v>2227.008</v>
      </c>
      <c r="E12" s="36" t="n">
        <f aca="false">E8*Assumptions!$C$35</f>
        <v>2598.176</v>
      </c>
      <c r="F12" s="36" t="n">
        <f aca="false">F8*Assumptions!$C$35</f>
        <v>2969.344</v>
      </c>
      <c r="G12" s="36" t="n">
        <f aca="false">G8*Assumptions!$C$35</f>
        <v>3711.68</v>
      </c>
      <c r="H12" s="36" t="n">
        <f aca="false">H8*Assumptions!$C$35</f>
        <v>4082.848</v>
      </c>
      <c r="I12" s="36" t="n">
        <f aca="false">I8*Assumptions!$C$35</f>
        <v>4454.016</v>
      </c>
      <c r="J12" s="36" t="n">
        <f aca="false">J8*Assumptions!$C$35</f>
        <v>4082.848</v>
      </c>
      <c r="K12" s="36" t="n">
        <f aca="false">K8*Assumptions!$C$35</f>
        <v>3340.512</v>
      </c>
      <c r="L12" s="36" t="n">
        <f aca="false">L8*Assumptions!$C$35</f>
        <v>2969.344</v>
      </c>
      <c r="M12" s="36" t="n">
        <f aca="false">M8*Assumptions!$C$35</f>
        <v>2227.008</v>
      </c>
      <c r="N12" s="36" t="n">
        <f aca="false">N8*Assumptions!$C$35</f>
        <v>2227.008</v>
      </c>
      <c r="O12" s="42" t="n">
        <f aca="false">SUM(C12:N12)</f>
        <v>37116.8</v>
      </c>
    </row>
    <row r="13" customFormat="false" ht="15" hidden="false" customHeight="false" outlineLevel="0" collapsed="false">
      <c r="B13" s="20" t="s">
        <v>167</v>
      </c>
      <c r="C13" s="36" t="n">
        <f aca="false">(Assumptions!$C$31+Assumptions!$C$32+Assumptions!$C$33+Assumptions!$C$34)/12</f>
        <v>25000</v>
      </c>
      <c r="D13" s="36" t="n">
        <f aca="false">(Assumptions!$C$31+Assumptions!$C$32+Assumptions!$C$33+Assumptions!$C$34)/12</f>
        <v>25000</v>
      </c>
      <c r="E13" s="36" t="n">
        <f aca="false">(Assumptions!$C$31+Assumptions!$C$32+Assumptions!$C$33+Assumptions!$C$34)/12</f>
        <v>25000</v>
      </c>
      <c r="F13" s="36" t="n">
        <f aca="false">(Assumptions!$C$31+Assumptions!$C$32+Assumptions!$C$33+Assumptions!$C$34)/12</f>
        <v>25000</v>
      </c>
      <c r="G13" s="36" t="n">
        <f aca="false">(Assumptions!$C$31+Assumptions!$C$32+Assumptions!$C$33+Assumptions!$C$34)/12</f>
        <v>25000</v>
      </c>
      <c r="H13" s="36" t="n">
        <f aca="false">(Assumptions!$C$31+Assumptions!$C$32+Assumptions!$C$33+Assumptions!$C$34)/12</f>
        <v>25000</v>
      </c>
      <c r="I13" s="36" t="n">
        <f aca="false">(Assumptions!$C$31+Assumptions!$C$32+Assumptions!$C$33+Assumptions!$C$34)/12</f>
        <v>25000</v>
      </c>
      <c r="J13" s="36" t="n">
        <f aca="false">(Assumptions!$C$31+Assumptions!$C$32+Assumptions!$C$33+Assumptions!$C$34)/12</f>
        <v>25000</v>
      </c>
      <c r="K13" s="36" t="n">
        <f aca="false">(Assumptions!$C$31+Assumptions!$C$32+Assumptions!$C$33+Assumptions!$C$34)/12</f>
        <v>25000</v>
      </c>
      <c r="L13" s="36" t="n">
        <f aca="false">(Assumptions!$C$31+Assumptions!$C$32+Assumptions!$C$33+Assumptions!$C$34)/12</f>
        <v>25000</v>
      </c>
      <c r="M13" s="36" t="n">
        <f aca="false">(Assumptions!$C$31+Assumptions!$C$32+Assumptions!$C$33+Assumptions!$C$34)/12</f>
        <v>25000</v>
      </c>
      <c r="N13" s="36" t="n">
        <f aca="false">(Assumptions!$C$31+Assumptions!$C$32+Assumptions!$C$33+Assumptions!$C$34)/12</f>
        <v>25000</v>
      </c>
      <c r="O13" s="42" t="n">
        <f aca="false">SUM(C13:N13)</f>
        <v>300000</v>
      </c>
    </row>
    <row r="14" customFormat="false" ht="15" hidden="false" customHeight="false" outlineLevel="0" collapsed="false">
      <c r="B14" s="23" t="s">
        <v>144</v>
      </c>
      <c r="C14" s="36" t="n">
        <f aca="false">C11-C12-C13</f>
        <v>-5851.408</v>
      </c>
      <c r="D14" s="36" t="n">
        <f aca="false">D11-D12-D13</f>
        <v>-5851.408</v>
      </c>
      <c r="E14" s="36" t="n">
        <f aca="false">E11-E12-E13</f>
        <v>-2659.976</v>
      </c>
      <c r="F14" s="36" t="n">
        <f aca="false">F11-F12-F13</f>
        <v>531.455999999998</v>
      </c>
      <c r="G14" s="36" t="n">
        <f aca="false">G11-G12-G13</f>
        <v>6914.32</v>
      </c>
      <c r="H14" s="36" t="n">
        <f aca="false">H11-H12-H13</f>
        <v>10105.752</v>
      </c>
      <c r="I14" s="36" t="n">
        <f aca="false">I11-I12-I13</f>
        <v>13297.184</v>
      </c>
      <c r="J14" s="36" t="n">
        <f aca="false">J11-J12-J13</f>
        <v>10105.752</v>
      </c>
      <c r="K14" s="36" t="n">
        <f aca="false">K11-K12-K13</f>
        <v>3722.888</v>
      </c>
      <c r="L14" s="36" t="n">
        <f aca="false">L11-L12-L13</f>
        <v>531.455999999998</v>
      </c>
      <c r="M14" s="36" t="n">
        <f aca="false">M11-M12-M13</f>
        <v>-5851.408</v>
      </c>
      <c r="N14" s="36" t="n">
        <f aca="false">N11-N12-N13</f>
        <v>-5851.408</v>
      </c>
      <c r="O14" s="42" t="n">
        <f aca="false">SUM(C14:N14)</f>
        <v>19143.2</v>
      </c>
    </row>
    <row r="15" customFormat="false" ht="15" hidden="false" customHeight="false" outlineLevel="0" collapsed="false">
      <c r="B15" s="20" t="s">
        <v>146</v>
      </c>
      <c r="C15" s="36" t="n">
        <f aca="false">Assumptions!$C$36/12</f>
        <v>2083.33333333333</v>
      </c>
      <c r="D15" s="36" t="n">
        <f aca="false">Assumptions!$C$36/12</f>
        <v>2083.33333333333</v>
      </c>
      <c r="E15" s="36" t="n">
        <f aca="false">Assumptions!$C$36/12</f>
        <v>2083.33333333333</v>
      </c>
      <c r="F15" s="36" t="n">
        <f aca="false">Assumptions!$C$36/12</f>
        <v>2083.33333333333</v>
      </c>
      <c r="G15" s="36" t="n">
        <f aca="false">Assumptions!$C$36/12</f>
        <v>2083.33333333333</v>
      </c>
      <c r="H15" s="36" t="n">
        <f aca="false">Assumptions!$C$36/12</f>
        <v>2083.33333333333</v>
      </c>
      <c r="I15" s="36" t="n">
        <f aca="false">Assumptions!$C$36/12</f>
        <v>2083.33333333333</v>
      </c>
      <c r="J15" s="36" t="n">
        <f aca="false">Assumptions!$C$36/12</f>
        <v>2083.33333333333</v>
      </c>
      <c r="K15" s="36" t="n">
        <f aca="false">Assumptions!$C$36/12</f>
        <v>2083.33333333333</v>
      </c>
      <c r="L15" s="36" t="n">
        <f aca="false">Assumptions!$C$36/12</f>
        <v>2083.33333333333</v>
      </c>
      <c r="M15" s="36" t="n">
        <f aca="false">Assumptions!$C$36/12</f>
        <v>2083.33333333333</v>
      </c>
      <c r="N15" s="36" t="n">
        <f aca="false">Assumptions!$C$36/12</f>
        <v>2083.33333333333</v>
      </c>
      <c r="O15" s="42" t="n">
        <f aca="false">SUM(C15:N15)</f>
        <v>25000</v>
      </c>
    </row>
    <row r="16" customFormat="false" ht="15" hidden="false" customHeight="false" outlineLevel="0" collapsed="false">
      <c r="B16" s="23" t="s">
        <v>147</v>
      </c>
      <c r="C16" s="36" t="n">
        <f aca="false">C14-C15</f>
        <v>-7934.74133333334</v>
      </c>
      <c r="D16" s="36" t="n">
        <f aca="false">D14-D15</f>
        <v>-7934.74133333334</v>
      </c>
      <c r="E16" s="36" t="n">
        <f aca="false">E14-E15</f>
        <v>-4743.30933333333</v>
      </c>
      <c r="F16" s="36" t="n">
        <f aca="false">F14-F15</f>
        <v>-1551.87733333334</v>
      </c>
      <c r="G16" s="36" t="n">
        <f aca="false">G14-G15</f>
        <v>4830.98666666667</v>
      </c>
      <c r="H16" s="36" t="n">
        <f aca="false">H14-H15</f>
        <v>8022.41866666667</v>
      </c>
      <c r="I16" s="36" t="n">
        <f aca="false">I14-I15</f>
        <v>11213.8506666667</v>
      </c>
      <c r="J16" s="36" t="n">
        <f aca="false">J14-J15</f>
        <v>8022.41866666667</v>
      </c>
      <c r="K16" s="36" t="n">
        <f aca="false">K14-K15</f>
        <v>1639.55466666667</v>
      </c>
      <c r="L16" s="36" t="n">
        <f aca="false">L14-L15</f>
        <v>-1551.87733333334</v>
      </c>
      <c r="M16" s="36" t="n">
        <f aca="false">M14-M15</f>
        <v>-7934.74133333334</v>
      </c>
      <c r="N16" s="36" t="n">
        <f aca="false">N14-N15</f>
        <v>-7934.74133333334</v>
      </c>
      <c r="O16" s="42" t="n">
        <f aca="false">SUM(C16:N16)</f>
        <v>-5856.80000000003</v>
      </c>
    </row>
    <row r="17" customFormat="false" ht="15" hidden="false" customHeight="false" outlineLevel="0" collapsed="false">
      <c r="B17" s="20" t="s">
        <v>148</v>
      </c>
      <c r="C17" s="36" t="n">
        <f aca="false">Assumptions!$C$37/12</f>
        <v>833.333333333333</v>
      </c>
      <c r="D17" s="36" t="n">
        <f aca="false">Assumptions!$C$37/12</f>
        <v>833.333333333333</v>
      </c>
      <c r="E17" s="36" t="n">
        <f aca="false">Assumptions!$C$37/12</f>
        <v>833.333333333333</v>
      </c>
      <c r="F17" s="36" t="n">
        <f aca="false">Assumptions!$C$37/12</f>
        <v>833.333333333333</v>
      </c>
      <c r="G17" s="36" t="n">
        <f aca="false">Assumptions!$C$37/12</f>
        <v>833.333333333333</v>
      </c>
      <c r="H17" s="36" t="n">
        <f aca="false">Assumptions!$C$37/12</f>
        <v>833.333333333333</v>
      </c>
      <c r="I17" s="36" t="n">
        <f aca="false">Assumptions!$C$37/12</f>
        <v>833.333333333333</v>
      </c>
      <c r="J17" s="36" t="n">
        <f aca="false">Assumptions!$C$37/12</f>
        <v>833.333333333333</v>
      </c>
      <c r="K17" s="36" t="n">
        <f aca="false">Assumptions!$C$37/12</f>
        <v>833.333333333333</v>
      </c>
      <c r="L17" s="36" t="n">
        <f aca="false">Assumptions!$C$37/12</f>
        <v>833.333333333333</v>
      </c>
      <c r="M17" s="36" t="n">
        <f aca="false">Assumptions!$C$37/12</f>
        <v>833.333333333333</v>
      </c>
      <c r="N17" s="36" t="n">
        <f aca="false">Assumptions!$C$37/12</f>
        <v>833.333333333333</v>
      </c>
      <c r="O17" s="42" t="n">
        <f aca="false">SUM(C17:N17)</f>
        <v>10000</v>
      </c>
    </row>
    <row r="18" customFormat="false" ht="15" hidden="false" customHeight="false" outlineLevel="0" collapsed="false">
      <c r="B18" s="23" t="s">
        <v>168</v>
      </c>
      <c r="C18" s="36" t="n">
        <f aca="false">C16-C17</f>
        <v>-8768.07466666667</v>
      </c>
      <c r="D18" s="36" t="n">
        <f aca="false">D16-D17</f>
        <v>-8768.07466666667</v>
      </c>
      <c r="E18" s="36" t="n">
        <f aca="false">E16-E17</f>
        <v>-5576.64266666667</v>
      </c>
      <c r="F18" s="36" t="n">
        <f aca="false">F16-F17</f>
        <v>-2385.21066666667</v>
      </c>
      <c r="G18" s="36" t="n">
        <f aca="false">G16-G17</f>
        <v>3997.65333333333</v>
      </c>
      <c r="H18" s="36" t="n">
        <f aca="false">H16-H17</f>
        <v>7189.08533333333</v>
      </c>
      <c r="I18" s="36" t="n">
        <f aca="false">I16-I17</f>
        <v>10380.5173333333</v>
      </c>
      <c r="J18" s="36" t="n">
        <f aca="false">J16-J17</f>
        <v>7189.08533333333</v>
      </c>
      <c r="K18" s="36" t="n">
        <f aca="false">K16-K17</f>
        <v>806.221333333332</v>
      </c>
      <c r="L18" s="36" t="n">
        <f aca="false">L16-L17</f>
        <v>-2385.21066666667</v>
      </c>
      <c r="M18" s="36" t="n">
        <f aca="false">M16-M17</f>
        <v>-8768.07466666667</v>
      </c>
      <c r="N18" s="36" t="n">
        <f aca="false">N16-N17</f>
        <v>-8768.07466666667</v>
      </c>
      <c r="O18" s="42" t="n">
        <f aca="false">SUM(C18:N18)</f>
        <v>-15856.8</v>
      </c>
    </row>
    <row r="19" customFormat="false" ht="15" hidden="false" customHeight="false" outlineLevel="0" collapsed="false">
      <c r="B19" s="20" t="s">
        <v>150</v>
      </c>
      <c r="C19" s="36" t="n">
        <f aca="false">MAX(0,C18*Assumptions!$C$38)</f>
        <v>0</v>
      </c>
      <c r="D19" s="36" t="n">
        <f aca="false">MAX(0,D18*Assumptions!$C$38)</f>
        <v>0</v>
      </c>
      <c r="E19" s="36" t="n">
        <f aca="false">MAX(0,E18*Assumptions!$C$38)</f>
        <v>0</v>
      </c>
      <c r="F19" s="36" t="n">
        <f aca="false">MAX(0,F18*Assumptions!$C$38)</f>
        <v>0</v>
      </c>
      <c r="G19" s="36" t="n">
        <f aca="false">MAX(0,G18*Assumptions!$C$38)</f>
        <v>1079.3664</v>
      </c>
      <c r="H19" s="36" t="n">
        <f aca="false">MAX(0,H18*Assumptions!$C$38)</f>
        <v>1941.05304</v>
      </c>
      <c r="I19" s="36" t="n">
        <f aca="false">MAX(0,I18*Assumptions!$C$38)</f>
        <v>2802.73968</v>
      </c>
      <c r="J19" s="36" t="n">
        <f aca="false">MAX(0,J18*Assumptions!$C$38)</f>
        <v>1941.05304</v>
      </c>
      <c r="K19" s="36" t="n">
        <f aca="false">MAX(0,K18*Assumptions!$C$38)</f>
        <v>217.67976</v>
      </c>
      <c r="L19" s="36" t="n">
        <f aca="false">MAX(0,L18*Assumptions!$C$38)</f>
        <v>0</v>
      </c>
      <c r="M19" s="36" t="n">
        <f aca="false">MAX(0,M18*Assumptions!$C$38)</f>
        <v>0</v>
      </c>
      <c r="N19" s="36" t="n">
        <f aca="false">MAX(0,N18*Assumptions!$C$38)</f>
        <v>0</v>
      </c>
      <c r="O19" s="42" t="n">
        <f aca="false">SUM(C19:N19)</f>
        <v>7981.89192</v>
      </c>
    </row>
    <row r="20" customFormat="false" ht="15" hidden="false" customHeight="false" outlineLevel="0" collapsed="false">
      <c r="B20" s="23" t="s">
        <v>151</v>
      </c>
      <c r="C20" s="36" t="n">
        <f aca="false">C18-C19</f>
        <v>-8768.07466666667</v>
      </c>
      <c r="D20" s="36" t="n">
        <f aca="false">D18-D19</f>
        <v>-8768.07466666667</v>
      </c>
      <c r="E20" s="36" t="n">
        <f aca="false">E18-E19</f>
        <v>-5576.64266666667</v>
      </c>
      <c r="F20" s="36" t="n">
        <f aca="false">F18-F19</f>
        <v>-2385.21066666667</v>
      </c>
      <c r="G20" s="36" t="n">
        <f aca="false">G18-G19</f>
        <v>2918.28693333333</v>
      </c>
      <c r="H20" s="36" t="n">
        <f aca="false">H18-H19</f>
        <v>5248.03229333333</v>
      </c>
      <c r="I20" s="36" t="n">
        <f aca="false">I18-I19</f>
        <v>7577.77765333333</v>
      </c>
      <c r="J20" s="36" t="n">
        <f aca="false">J18-J19</f>
        <v>5248.03229333333</v>
      </c>
      <c r="K20" s="36" t="n">
        <f aca="false">K18-K19</f>
        <v>588.541573333333</v>
      </c>
      <c r="L20" s="36" t="n">
        <f aca="false">L18-L19</f>
        <v>-2385.21066666667</v>
      </c>
      <c r="M20" s="36" t="n">
        <f aca="false">M18-M19</f>
        <v>-8768.07466666667</v>
      </c>
      <c r="N20" s="36" t="n">
        <f aca="false">N18-N19</f>
        <v>-8768.07466666667</v>
      </c>
      <c r="O20" s="42" t="n">
        <f aca="false">SUM(C20:N20)</f>
        <v>-23838.69192</v>
      </c>
    </row>
    <row r="21" customFormat="false" ht="15" hidden="false" customHeight="false" outlineLevel="0" collapsed="false">
      <c r="B21" s="23" t="s">
        <v>169</v>
      </c>
      <c r="C21" s="36" t="n">
        <f aca="false">C20</f>
        <v>-8768.07466666667</v>
      </c>
      <c r="D21" s="36" t="n">
        <f aca="false">C21+D20</f>
        <v>-17536.1493333333</v>
      </c>
      <c r="E21" s="36" t="n">
        <f aca="false">D21+E20</f>
        <v>-23112.792</v>
      </c>
      <c r="F21" s="36" t="n">
        <f aca="false">E21+F20</f>
        <v>-25498.0026666667</v>
      </c>
      <c r="G21" s="36" t="n">
        <f aca="false">F21+G20</f>
        <v>-22579.7157333333</v>
      </c>
      <c r="H21" s="36" t="n">
        <f aca="false">G21+H20</f>
        <v>-17331.68344</v>
      </c>
      <c r="I21" s="36" t="n">
        <f aca="false">H21+I20</f>
        <v>-9753.90578666668</v>
      </c>
      <c r="J21" s="36" t="n">
        <f aca="false">I21+J20</f>
        <v>-4505.87349333335</v>
      </c>
      <c r="K21" s="36" t="n">
        <f aca="false">J21+K20</f>
        <v>-3917.33192000002</v>
      </c>
      <c r="L21" s="36" t="n">
        <f aca="false">K21+L20</f>
        <v>-6302.54258666669</v>
      </c>
      <c r="M21" s="36" t="n">
        <f aca="false">L21+M20</f>
        <v>-15070.6172533334</v>
      </c>
      <c r="N21" s="36" t="n">
        <f aca="false">M21+N20</f>
        <v>-23838.69192</v>
      </c>
      <c r="O21" s="42" t="n">
        <f aca="false">N21</f>
        <v>-23838.69192</v>
      </c>
    </row>
  </sheetData>
  <dataValidations count="1">
    <dataValidation allowBlank="false" errorStyle="stop" operator="between" showDropDown="false" showErrorMessage="false" showInputMessage="false" sqref="C4" type="list">
      <formula1>"Low,Base,High,Stretch"</formula1>
      <formula2>0</formula2>
    </dataValidation>
  </dataValidations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true"/>
  </sheetPr>
  <dimension ref="B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9" min="3" style="0" width="11"/>
    <col collapsed="false" customWidth="true" hidden="false" outlineLevel="0" max="11" min="11" style="0" width="11"/>
  </cols>
  <sheetData>
    <row r="1" customFormat="false" ht="19.7" hidden="false" customHeight="false" outlineLevel="0" collapsed="false">
      <c r="B1" s="14" t="s">
        <v>170</v>
      </c>
    </row>
    <row r="2" customFormat="false" ht="15" hidden="false" customHeight="false" outlineLevel="0" collapsed="false">
      <c r="B2" s="15" t="s">
        <v>171</v>
      </c>
    </row>
    <row r="4" customFormat="false" ht="15" hidden="false" customHeight="false" outlineLevel="0" collapsed="false">
      <c r="B4" s="45" t="s">
        <v>172</v>
      </c>
    </row>
    <row r="5" customFormat="false" ht="15" hidden="false" customHeight="false" outlineLevel="0" collapsed="false">
      <c r="B5" s="17" t="s">
        <v>173</v>
      </c>
      <c r="C5" s="46" t="n">
        <v>0.85</v>
      </c>
      <c r="D5" s="46" t="n">
        <v>0.9</v>
      </c>
      <c r="E5" s="46" t="n">
        <v>0.95</v>
      </c>
      <c r="F5" s="46" t="n">
        <v>1</v>
      </c>
      <c r="G5" s="46" t="n">
        <v>1.05</v>
      </c>
      <c r="H5" s="46" t="n">
        <v>1.1</v>
      </c>
      <c r="I5" s="46" t="n">
        <v>1.15</v>
      </c>
    </row>
    <row r="6" customFormat="false" ht="15" hidden="false" customHeight="false" outlineLevel="0" collapsed="false">
      <c r="B6" s="33" t="s">
        <v>174</v>
      </c>
      <c r="C6" s="38" t="n">
        <f aca="false">IFERROR(1-Assumptions!$C$21/(Assumptions!$C$11*C$5*(1-Assumptions!$C$12)),0)</f>
        <v>0.388572633354417</v>
      </c>
      <c r="D6" s="38" t="n">
        <f aca="false">IFERROR(1-Assumptions!$C$21/(Assumptions!$C$11*D$5*(1-Assumptions!$C$12)),0)</f>
        <v>0.422540820390283</v>
      </c>
      <c r="E6" s="38" t="n">
        <f aca="false">IFERROR(1-Assumptions!$C$21/(Assumptions!$C$11*E$5*(1-Assumptions!$C$12)),0)</f>
        <v>0.452933408790794</v>
      </c>
      <c r="F6" s="39" t="n">
        <f aca="false">IFERROR(1-Assumptions!$C$21/(Assumptions!$C$11*F$5*(1-Assumptions!$C$12)),0)</f>
        <v>0.480286738351254</v>
      </c>
      <c r="G6" s="38" t="n">
        <f aca="false">IFERROR(1-Assumptions!$C$21/(Assumptions!$C$11*G$5*(1-Assumptions!$C$12)),0)</f>
        <v>0.505034988905957</v>
      </c>
      <c r="H6" s="38" t="n">
        <f aca="false">IFERROR(1-Assumptions!$C$21/(Assumptions!$C$11*H$5*(1-Assumptions!$C$12)),0)</f>
        <v>0.52753339850114</v>
      </c>
      <c r="I6" s="38" t="n">
        <f aca="false">IFERROR(1-Assumptions!$C$21/(Assumptions!$C$11*I$5*(1-Assumptions!$C$12)),0)</f>
        <v>0.548075424653265</v>
      </c>
    </row>
    <row r="7" customFormat="false" ht="15" hidden="false" customHeight="false" outlineLevel="0" collapsed="false">
      <c r="B7" s="33" t="s">
        <v>175</v>
      </c>
      <c r="C7" s="38" t="n">
        <f aca="false">IFERROR(1-Assumptions!$D$21/(Assumptions!$D$11*C$5*(1-Assumptions!$D$12)),0)</f>
        <v>0.388572633354417</v>
      </c>
      <c r="D7" s="38" t="n">
        <f aca="false">IFERROR(1-Assumptions!$D$21/(Assumptions!$D$11*D$5*(1-Assumptions!$D$12)),0)</f>
        <v>0.422540820390283</v>
      </c>
      <c r="E7" s="38" t="n">
        <f aca="false">IFERROR(1-Assumptions!$D$21/(Assumptions!$D$11*E$5*(1-Assumptions!$D$12)),0)</f>
        <v>0.452933408790794</v>
      </c>
      <c r="F7" s="39" t="n">
        <f aca="false">IFERROR(1-Assumptions!$D$21/(Assumptions!$D$11*F$5*(1-Assumptions!$D$12)),0)</f>
        <v>0.480286738351254</v>
      </c>
      <c r="G7" s="38" t="n">
        <f aca="false">IFERROR(1-Assumptions!$D$21/(Assumptions!$D$11*G$5*(1-Assumptions!$D$12)),0)</f>
        <v>0.505034988905957</v>
      </c>
      <c r="H7" s="38" t="n">
        <f aca="false">IFERROR(1-Assumptions!$D$21/(Assumptions!$D$11*H$5*(1-Assumptions!$D$12)),0)</f>
        <v>0.52753339850114</v>
      </c>
      <c r="I7" s="38" t="n">
        <f aca="false">IFERROR(1-Assumptions!$D$21/(Assumptions!$D$11*I$5*(1-Assumptions!$D$12)),0)</f>
        <v>0.548075424653265</v>
      </c>
    </row>
    <row r="8" customFormat="false" ht="15" hidden="false" customHeight="false" outlineLevel="0" collapsed="false">
      <c r="B8" s="33" t="s">
        <v>176</v>
      </c>
      <c r="C8" s="38" t="n">
        <f aca="false">IFERROR(1-Assumptions!$E$21/(Assumptions!$E$11*C$5*(1-Assumptions!$E$12)),0)</f>
        <v>0.36929610553899</v>
      </c>
      <c r="D8" s="38" t="n">
        <f aca="false">IFERROR(1-Assumptions!$E$21/(Assumptions!$E$11*D$5*(1-Assumptions!$E$12)),0)</f>
        <v>0.404335210786824</v>
      </c>
      <c r="E8" s="38" t="n">
        <f aca="false">IFERROR(1-Assumptions!$E$21/(Assumptions!$E$11*E$5*(1-Assumptions!$E$12)),0)</f>
        <v>0.435685989166464</v>
      </c>
      <c r="F8" s="39" t="n">
        <f aca="false">IFERROR(1-Assumptions!$E$21/(Assumptions!$E$11*F$5*(1-Assumptions!$E$12)),0)</f>
        <v>0.463901689708141</v>
      </c>
      <c r="G8" s="38" t="n">
        <f aca="false">IFERROR(1-Assumptions!$E$21/(Assumptions!$E$11*G$5*(1-Assumptions!$E$12)),0)</f>
        <v>0.48943018067442</v>
      </c>
      <c r="H8" s="38" t="n">
        <f aca="false">IFERROR(1-Assumptions!$E$21/(Assumptions!$E$11*H$5*(1-Assumptions!$E$12)),0)</f>
        <v>0.512637899734674</v>
      </c>
      <c r="I8" s="38" t="n">
        <f aca="false">IFERROR(1-Assumptions!$E$21/(Assumptions!$E$11*I$5*(1-Assumptions!$E$12)),0)</f>
        <v>0.533827556267949</v>
      </c>
    </row>
    <row r="9" customFormat="false" ht="15" hidden="false" customHeight="false" outlineLevel="0" collapsed="false">
      <c r="B9" s="33" t="s">
        <v>177</v>
      </c>
      <c r="C9" s="38" t="n">
        <f aca="false">IFERROR(1-Assumptions!$F$21/(Assumptions!$F$11*C$5*(1-Assumptions!$F$12)),0)</f>
        <v>0.368363946369061</v>
      </c>
      <c r="D9" s="38" t="n">
        <f aca="false">IFERROR(1-Assumptions!$F$21/(Assumptions!$F$11*D$5*(1-Assumptions!$F$12)),0)</f>
        <v>0.403454838237447</v>
      </c>
      <c r="E9" s="38" t="n">
        <f aca="false">IFERROR(1-Assumptions!$F$21/(Assumptions!$F$11*E$5*(1-Assumptions!$F$12)),0)</f>
        <v>0.434851952014423</v>
      </c>
      <c r="F9" s="39" t="n">
        <f aca="false">IFERROR(1-Assumptions!$F$21/(Assumptions!$F$11*F$5*(1-Assumptions!$F$12)),0)</f>
        <v>0.463109354413702</v>
      </c>
      <c r="G9" s="38" t="n">
        <f aca="false">IFERROR(1-Assumptions!$F$21/(Assumptions!$F$11*G$5*(1-Assumptions!$F$12)),0)</f>
        <v>0.488675575632097</v>
      </c>
      <c r="H9" s="38" t="n">
        <f aca="false">IFERROR(1-Assumptions!$F$21/(Assumptions!$F$11*H$5*(1-Assumptions!$F$12)),0)</f>
        <v>0.511917594921548</v>
      </c>
      <c r="I9" s="38" t="n">
        <f aca="false">IFERROR(1-Assumptions!$F$21/(Assumptions!$F$11*I$5*(1-Assumptions!$F$12)),0)</f>
        <v>0.533138569055393</v>
      </c>
    </row>
    <row r="10" customFormat="false" ht="15" hidden="false" customHeight="false" outlineLevel="0" collapsed="false">
      <c r="B10" s="33" t="s">
        <v>178</v>
      </c>
      <c r="C10" s="38" t="n">
        <f aca="false">IFERROR(1-Assumptions!$G$21/(Assumptions!$G$11*C$5*(1-Assumptions!$G$12)),0)</f>
        <v>0.368363946369061</v>
      </c>
      <c r="D10" s="38" t="n">
        <f aca="false">IFERROR(1-Assumptions!$G$21/(Assumptions!$G$11*D$5*(1-Assumptions!$G$12)),0)</f>
        <v>0.403454838237447</v>
      </c>
      <c r="E10" s="38" t="n">
        <f aca="false">IFERROR(1-Assumptions!$G$21/(Assumptions!$G$11*E$5*(1-Assumptions!$G$12)),0)</f>
        <v>0.434851952014423</v>
      </c>
      <c r="F10" s="39" t="n">
        <f aca="false">IFERROR(1-Assumptions!$G$21/(Assumptions!$G$11*F$5*(1-Assumptions!$G$12)),0)</f>
        <v>0.463109354413702</v>
      </c>
      <c r="G10" s="38" t="n">
        <f aca="false">IFERROR(1-Assumptions!$G$21/(Assumptions!$G$11*G$5*(1-Assumptions!$G$12)),0)</f>
        <v>0.488675575632097</v>
      </c>
      <c r="H10" s="38" t="n">
        <f aca="false">IFERROR(1-Assumptions!$G$21/(Assumptions!$G$11*H$5*(1-Assumptions!$G$12)),0)</f>
        <v>0.511917594921548</v>
      </c>
      <c r="I10" s="38" t="n">
        <f aca="false">IFERROR(1-Assumptions!$G$21/(Assumptions!$G$11*I$5*(1-Assumptions!$G$12)),0)</f>
        <v>0.533138569055393</v>
      </c>
    </row>
    <row r="11" customFormat="false" ht="15" hidden="false" customHeight="false" outlineLevel="0" collapsed="false">
      <c r="B11" s="33" t="s">
        <v>179</v>
      </c>
      <c r="C11" s="38" t="n">
        <f aca="false">IFERROR(1-Assumptions!$H$21/(Assumptions!$H$11*C$5*(1-Assumptions!$H$12)),0)</f>
        <v>0.349888623050903</v>
      </c>
      <c r="D11" s="38" t="n">
        <f aca="false">IFERROR(1-Assumptions!$H$21/(Assumptions!$H$11*D$5*(1-Assumptions!$H$12)),0)</f>
        <v>0.386005921770298</v>
      </c>
      <c r="E11" s="38" t="n">
        <f aca="false">IFERROR(1-Assumptions!$H$21/(Assumptions!$H$11*E$5*(1-Assumptions!$H$12)),0)</f>
        <v>0.418321399571861</v>
      </c>
      <c r="F11" s="39" t="n">
        <f aca="false">IFERROR(1-Assumptions!$H$21/(Assumptions!$H$11*F$5*(1-Assumptions!$H$12)),0)</f>
        <v>0.447405329593268</v>
      </c>
      <c r="G11" s="38" t="n">
        <f aca="false">IFERROR(1-Assumptions!$H$21/(Assumptions!$H$11*G$5*(1-Assumptions!$H$12)),0)</f>
        <v>0.473719361517398</v>
      </c>
      <c r="H11" s="38" t="n">
        <f aca="false">IFERROR(1-Assumptions!$H$21/(Assumptions!$H$11*H$5*(1-Assumptions!$H$12)),0)</f>
        <v>0.497641208721153</v>
      </c>
      <c r="I11" s="38" t="n">
        <f aca="false">IFERROR(1-Assumptions!$H$21/(Assumptions!$H$11*I$5*(1-Assumptions!$H$12)),0)</f>
        <v>0.519482895298494</v>
      </c>
    </row>
    <row r="14" customFormat="false" ht="15" hidden="false" customHeight="false" outlineLevel="0" collapsed="false">
      <c r="B14" s="45" t="s">
        <v>180</v>
      </c>
    </row>
    <row r="15" customFormat="false" ht="15" hidden="false" customHeight="false" outlineLevel="0" collapsed="false">
      <c r="B15" s="17" t="s">
        <v>173</v>
      </c>
      <c r="C15" s="46" t="n">
        <v>0.85</v>
      </c>
      <c r="D15" s="46" t="n">
        <v>0.9</v>
      </c>
      <c r="E15" s="46" t="n">
        <v>0.95</v>
      </c>
      <c r="F15" s="46" t="n">
        <v>1</v>
      </c>
      <c r="G15" s="46" t="n">
        <v>1.05</v>
      </c>
      <c r="H15" s="46" t="n">
        <v>1.1</v>
      </c>
      <c r="I15" s="46" t="n">
        <v>1.15</v>
      </c>
      <c r="K15" s="18" t="s">
        <v>181</v>
      </c>
    </row>
    <row r="16" customFormat="false" ht="15" hidden="false" customHeight="false" outlineLevel="0" collapsed="false">
      <c r="B16" s="33" t="s">
        <v>174</v>
      </c>
      <c r="C16" s="36" t="n">
        <f aca="false">Assumptions!$C$28*(C$15^Assumptions!$C$39)*((Assumptions!$C$11*C$15*(1-Assumptions!$C$12))-Assumptions!$C$21-Assumptions!$C$26)</f>
        <v>51112.5</v>
      </c>
      <c r="D16" s="36" t="n">
        <f aca="false">Assumptions!$C$28*(D$15^Assumptions!$C$39)*((Assumptions!$C$11*D$15*(1-Assumptions!$C$12))-Assumptions!$C$21-Assumptions!$C$26)</f>
        <v>61575</v>
      </c>
      <c r="E16" s="36" t="n">
        <f aca="false">Assumptions!$C$28*(E$15^Assumptions!$C$39)*((Assumptions!$C$11*E$15*(1-Assumptions!$C$12))-Assumptions!$C$21-Assumptions!$C$26)</f>
        <v>72037.5</v>
      </c>
      <c r="F16" s="37" t="n">
        <f aca="false">Assumptions!$C$28*(F$15^Assumptions!$C$39)*((Assumptions!$C$11*F$15*(1-Assumptions!$C$12))-Assumptions!$C$21-Assumptions!$C$26)</f>
        <v>82500</v>
      </c>
      <c r="G16" s="36" t="n">
        <f aca="false">Assumptions!$C$28*(G$15^Assumptions!$C$39)*((Assumptions!$C$11*G$15*(1-Assumptions!$C$12))-Assumptions!$C$21-Assumptions!$C$26)</f>
        <v>92962.5</v>
      </c>
      <c r="H16" s="36" t="n">
        <f aca="false">Assumptions!$C$28*(H$15^Assumptions!$C$39)*((Assumptions!$C$11*H$15*(1-Assumptions!$C$12))-Assumptions!$C$21-Assumptions!$C$26)</f>
        <v>103425</v>
      </c>
      <c r="I16" s="36" t="n">
        <f aca="false">Assumptions!$C$28*(I$15^Assumptions!$C$39)*((Assumptions!$C$11*I$15*(1-Assumptions!$C$12))-Assumptions!$C$21-Assumptions!$C$26)</f>
        <v>113887.5</v>
      </c>
      <c r="K16" s="47" t="n">
        <f aca="false">INDEX($C$15:$I$15,MATCH(MAX(C16:I16),C16:I16,0))</f>
        <v>1.15</v>
      </c>
    </row>
    <row r="17" customFormat="false" ht="15" hidden="false" customHeight="false" outlineLevel="0" collapsed="false">
      <c r="B17" s="33" t="s">
        <v>175</v>
      </c>
      <c r="C17" s="36" t="n">
        <f aca="false">Assumptions!$D$28*(C$15^Assumptions!$C$39)*((Assumptions!$D$11*C$15*(1-Assumptions!$D$12))-Assumptions!$D$21-Assumptions!$D$26)</f>
        <v>37482.5</v>
      </c>
      <c r="D17" s="36" t="n">
        <f aca="false">Assumptions!$D$28*(D$15^Assumptions!$C$39)*((Assumptions!$D$11*D$15*(1-Assumptions!$D$12))-Assumptions!$D$21-Assumptions!$D$26)</f>
        <v>45155</v>
      </c>
      <c r="E17" s="36" t="n">
        <f aca="false">Assumptions!$D$28*(E$15^Assumptions!$C$39)*((Assumptions!$D$11*E$15*(1-Assumptions!$D$12))-Assumptions!$D$21-Assumptions!$D$26)</f>
        <v>52827.5</v>
      </c>
      <c r="F17" s="37" t="n">
        <f aca="false">Assumptions!$D$28*(F$15^Assumptions!$C$39)*((Assumptions!$D$11*F$15*(1-Assumptions!$D$12))-Assumptions!$D$21-Assumptions!$D$26)</f>
        <v>60500</v>
      </c>
      <c r="G17" s="36" t="n">
        <f aca="false">Assumptions!$D$28*(G$15^Assumptions!$C$39)*((Assumptions!$D$11*G$15*(1-Assumptions!$D$12))-Assumptions!$D$21-Assumptions!$D$26)</f>
        <v>68172.5</v>
      </c>
      <c r="H17" s="36" t="n">
        <f aca="false">Assumptions!$D$28*(H$15^Assumptions!$C$39)*((Assumptions!$D$11*H$15*(1-Assumptions!$D$12))-Assumptions!$D$21-Assumptions!$D$26)</f>
        <v>75845</v>
      </c>
      <c r="I17" s="36" t="n">
        <f aca="false">Assumptions!$D$28*(I$15^Assumptions!$C$39)*((Assumptions!$D$11*I$15*(1-Assumptions!$D$12))-Assumptions!$D$21-Assumptions!$D$26)</f>
        <v>83517.5</v>
      </c>
      <c r="K17" s="47" t="n">
        <f aca="false">INDEX($C$15:$I$15,MATCH(MAX(C17:I17),C17:I17,0))</f>
        <v>1.15</v>
      </c>
    </row>
    <row r="18" customFormat="false" ht="15" hidden="false" customHeight="false" outlineLevel="0" collapsed="false">
      <c r="B18" s="33" t="s">
        <v>176</v>
      </c>
      <c r="C18" s="36" t="n">
        <f aca="false">Assumptions!$E$28*(C$15^Assumptions!$C$39)*((Assumptions!$E$11*C$15*(1-Assumptions!$E$12))-Assumptions!$E$21-Assumptions!$E$26)</f>
        <v>25983</v>
      </c>
      <c r="D18" s="36" t="n">
        <f aca="false">Assumptions!$E$28*(D$15^Assumptions!$C$39)*((Assumptions!$E$11*D$15*(1-Assumptions!$E$12))-Assumptions!$E$21-Assumptions!$E$26)</f>
        <v>31842</v>
      </c>
      <c r="E18" s="36" t="n">
        <f aca="false">Assumptions!$E$28*(E$15^Assumptions!$C$39)*((Assumptions!$E$11*E$15*(1-Assumptions!$E$12))-Assumptions!$E$21-Assumptions!$E$26)</f>
        <v>37701</v>
      </c>
      <c r="F18" s="37" t="n">
        <f aca="false">Assumptions!$E$28*(F$15^Assumptions!$C$39)*((Assumptions!$E$11*F$15*(1-Assumptions!$E$12))-Assumptions!$E$21-Assumptions!$E$26)</f>
        <v>43560</v>
      </c>
      <c r="G18" s="36" t="n">
        <f aca="false">Assumptions!$E$28*(G$15^Assumptions!$C$39)*((Assumptions!$E$11*G$15*(1-Assumptions!$E$12))-Assumptions!$E$21-Assumptions!$E$26)</f>
        <v>49419</v>
      </c>
      <c r="H18" s="36" t="n">
        <f aca="false">Assumptions!$E$28*(H$15^Assumptions!$C$39)*((Assumptions!$E$11*H$15*(1-Assumptions!$E$12))-Assumptions!$E$21-Assumptions!$E$26)</f>
        <v>55278</v>
      </c>
      <c r="I18" s="36" t="n">
        <f aca="false">Assumptions!$E$28*(I$15^Assumptions!$C$39)*((Assumptions!$E$11*I$15*(1-Assumptions!$E$12))-Assumptions!$E$21-Assumptions!$E$26)</f>
        <v>61137</v>
      </c>
      <c r="K18" s="47" t="n">
        <f aca="false">INDEX($C$15:$I$15,MATCH(MAX(C18:I18),C18:I18,0))</f>
        <v>1.15</v>
      </c>
    </row>
    <row r="19" customFormat="false" ht="15" hidden="false" customHeight="false" outlineLevel="0" collapsed="false">
      <c r="B19" s="33" t="s">
        <v>177</v>
      </c>
      <c r="C19" s="36" t="n">
        <f aca="false">Assumptions!$F$28*(C$15^Assumptions!$C$39)*((Assumptions!$F$11*C$15*(1-Assumptions!$F$12))-Assumptions!$F$21-Assumptions!$F$26)</f>
        <v>42636</v>
      </c>
      <c r="D19" s="36" t="n">
        <f aca="false">Assumptions!$F$28*(D$15^Assumptions!$C$39)*((Assumptions!$F$11*D$15*(1-Assumptions!$F$12))-Assumptions!$F$21-Assumptions!$F$26)</f>
        <v>51744</v>
      </c>
      <c r="E19" s="36" t="n">
        <f aca="false">Assumptions!$F$28*(E$15^Assumptions!$C$39)*((Assumptions!$F$11*E$15*(1-Assumptions!$F$12))-Assumptions!$F$21-Assumptions!$F$26)</f>
        <v>60852</v>
      </c>
      <c r="F19" s="37" t="n">
        <f aca="false">Assumptions!$F$28*(F$15^Assumptions!$C$39)*((Assumptions!$F$11*F$15*(1-Assumptions!$F$12))-Assumptions!$F$21-Assumptions!$F$26)</f>
        <v>69960</v>
      </c>
      <c r="G19" s="36" t="n">
        <f aca="false">Assumptions!$F$28*(G$15^Assumptions!$C$39)*((Assumptions!$F$11*G$15*(1-Assumptions!$F$12))-Assumptions!$F$21-Assumptions!$F$26)</f>
        <v>79068</v>
      </c>
      <c r="H19" s="36" t="n">
        <f aca="false">Assumptions!$F$28*(H$15^Assumptions!$C$39)*((Assumptions!$F$11*H$15*(1-Assumptions!$F$12))-Assumptions!$F$21-Assumptions!$F$26)</f>
        <v>88176</v>
      </c>
      <c r="I19" s="36" t="n">
        <f aca="false">Assumptions!$F$28*(I$15^Assumptions!$C$39)*((Assumptions!$F$11*I$15*(1-Assumptions!$F$12))-Assumptions!$F$21-Assumptions!$F$26)</f>
        <v>97284</v>
      </c>
      <c r="K19" s="47" t="n">
        <f aca="false">INDEX($C$15:$I$15,MATCH(MAX(C19:I19),C19:I19,0))</f>
        <v>1.15</v>
      </c>
    </row>
    <row r="20" customFormat="false" ht="15" hidden="false" customHeight="false" outlineLevel="0" collapsed="false">
      <c r="B20" s="33" t="s">
        <v>178</v>
      </c>
      <c r="C20" s="36" t="n">
        <f aca="false">Assumptions!$G$28*(C$15^Assumptions!$C$39)*((Assumptions!$G$11*C$15*(1-Assumptions!$G$12))-Assumptions!$G$21-Assumptions!$G$26)</f>
        <v>35530</v>
      </c>
      <c r="D20" s="36" t="n">
        <f aca="false">Assumptions!$G$28*(D$15^Assumptions!$C$39)*((Assumptions!$G$11*D$15*(1-Assumptions!$G$12))-Assumptions!$G$21-Assumptions!$G$26)</f>
        <v>43120</v>
      </c>
      <c r="E20" s="36" t="n">
        <f aca="false">Assumptions!$G$28*(E$15^Assumptions!$C$39)*((Assumptions!$G$11*E$15*(1-Assumptions!$G$12))-Assumptions!$G$21-Assumptions!$G$26)</f>
        <v>50710</v>
      </c>
      <c r="F20" s="37" t="n">
        <f aca="false">Assumptions!$G$28*(F$15^Assumptions!$C$39)*((Assumptions!$G$11*F$15*(1-Assumptions!$G$12))-Assumptions!$G$21-Assumptions!$G$26)</f>
        <v>58300</v>
      </c>
      <c r="G20" s="36" t="n">
        <f aca="false">Assumptions!$G$28*(G$15^Assumptions!$C$39)*((Assumptions!$G$11*G$15*(1-Assumptions!$G$12))-Assumptions!$G$21-Assumptions!$G$26)</f>
        <v>65890</v>
      </c>
      <c r="H20" s="36" t="n">
        <f aca="false">Assumptions!$G$28*(H$15^Assumptions!$C$39)*((Assumptions!$G$11*H$15*(1-Assumptions!$G$12))-Assumptions!$G$21-Assumptions!$G$26)</f>
        <v>73480</v>
      </c>
      <c r="I20" s="36" t="n">
        <f aca="false">Assumptions!$G$28*(I$15^Assumptions!$C$39)*((Assumptions!$G$11*I$15*(1-Assumptions!$G$12))-Assumptions!$G$21-Assumptions!$G$26)</f>
        <v>81070</v>
      </c>
      <c r="K20" s="47" t="n">
        <f aca="false">INDEX($C$15:$I$15,MATCH(MAX(C20:I20),C20:I20,0))</f>
        <v>1.15</v>
      </c>
    </row>
    <row r="21" customFormat="false" ht="15" hidden="false" customHeight="false" outlineLevel="0" collapsed="false">
      <c r="B21" s="33" t="s">
        <v>179</v>
      </c>
      <c r="C21" s="36" t="n">
        <f aca="false">Assumptions!$H$28*(C$15^Assumptions!$C$39)*((Assumptions!$H$11*C$15*(1-Assumptions!$H$12))-Assumptions!$H$21-Assumptions!$H$26)</f>
        <v>24328</v>
      </c>
      <c r="D21" s="36" t="n">
        <f aca="false">Assumptions!$H$28*(D$15^Assumptions!$C$39)*((Assumptions!$H$11*D$15*(1-Assumptions!$H$12))-Assumptions!$H$21-Assumptions!$H$26)</f>
        <v>30032</v>
      </c>
      <c r="E21" s="36" t="n">
        <f aca="false">Assumptions!$H$28*(E$15^Assumptions!$C$39)*((Assumptions!$H$11*E$15*(1-Assumptions!$H$12))-Assumptions!$H$21-Assumptions!$H$26)</f>
        <v>35736</v>
      </c>
      <c r="F21" s="37" t="n">
        <f aca="false">Assumptions!$H$28*(F$15^Assumptions!$C$39)*((Assumptions!$H$11*F$15*(1-Assumptions!$H$12))-Assumptions!$H$21-Assumptions!$H$26)</f>
        <v>41440</v>
      </c>
      <c r="G21" s="36" t="n">
        <f aca="false">Assumptions!$H$28*(G$15^Assumptions!$C$39)*((Assumptions!$H$11*G$15*(1-Assumptions!$H$12))-Assumptions!$H$21-Assumptions!$H$26)</f>
        <v>47144</v>
      </c>
      <c r="H21" s="36" t="n">
        <f aca="false">Assumptions!$H$28*(H$15^Assumptions!$C$39)*((Assumptions!$H$11*H$15*(1-Assumptions!$H$12))-Assumptions!$H$21-Assumptions!$H$26)</f>
        <v>52848</v>
      </c>
      <c r="I21" s="36" t="n">
        <f aca="false">Assumptions!$H$28*(I$15^Assumptions!$C$39)*((Assumptions!$H$11*I$15*(1-Assumptions!$H$12))-Assumptions!$H$21-Assumptions!$H$26)</f>
        <v>58552</v>
      </c>
      <c r="K21" s="47" t="n">
        <f aca="false">INDEX($C$15:$I$15,MATCH(MAX(C21:I21),C21:I21,0))</f>
        <v>1.15</v>
      </c>
    </row>
  </sheetData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true"/>
  </sheetPr>
  <dimension ref="B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3" min="3" style="0" width="16"/>
  </cols>
  <sheetData>
    <row r="1" customFormat="false" ht="19.7" hidden="false" customHeight="false" outlineLevel="0" collapsed="false">
      <c r="B1" s="14" t="s">
        <v>182</v>
      </c>
    </row>
    <row r="2" customFormat="false" ht="15" hidden="false" customHeight="false" outlineLevel="0" collapsed="false">
      <c r="B2" s="15" t="s">
        <v>183</v>
      </c>
    </row>
    <row r="4" customFormat="false" ht="15" hidden="false" customHeight="false" outlineLevel="0" collapsed="false">
      <c r="B4" s="45" t="s">
        <v>184</v>
      </c>
    </row>
    <row r="5" customFormat="false" ht="15" hidden="false" customHeight="false" outlineLevel="0" collapsed="false">
      <c r="B5" s="20" t="s">
        <v>185</v>
      </c>
      <c r="C5" s="37" t="n">
        <f aca="false">SUMPRODUCT(Assumptions!C28:H28,Assumptions!C11:H11,(1-Assumptions!C12:H12))</f>
        <v>927920</v>
      </c>
    </row>
    <row r="6" customFormat="false" ht="15" hidden="false" customHeight="false" outlineLevel="0" collapsed="false">
      <c r="B6" s="20" t="s">
        <v>186</v>
      </c>
      <c r="C6" s="37" t="n">
        <f aca="false">SUMPRODUCT(Assumptions!C28:H28,Assumptions!C21:H21)</f>
        <v>493660</v>
      </c>
    </row>
    <row r="7" customFormat="false" ht="15" hidden="false" customHeight="false" outlineLevel="0" collapsed="false">
      <c r="B7" s="20" t="s">
        <v>187</v>
      </c>
      <c r="C7" s="37" t="n">
        <f aca="false">SUMPRODUCT(Assumptions!C28:H28,Assumptions!C26:H26)</f>
        <v>78000</v>
      </c>
    </row>
    <row r="8" customFormat="false" ht="15" hidden="false" customHeight="false" outlineLevel="0" collapsed="false">
      <c r="B8" s="20" t="s">
        <v>188</v>
      </c>
      <c r="C8" s="37" t="n">
        <f aca="false">Assumptions!C31+Assumptions!C32+Assumptions!C33+Assumptions!C34</f>
        <v>300000</v>
      </c>
    </row>
    <row r="9" customFormat="false" ht="15" hidden="false" customHeight="false" outlineLevel="0" collapsed="false">
      <c r="B9" s="20" t="s">
        <v>189</v>
      </c>
      <c r="C9" s="39" t="n">
        <f aca="false">Assumptions!C35</f>
        <v>0.04</v>
      </c>
    </row>
    <row r="10" customFormat="false" ht="15" hidden="false" customHeight="false" outlineLevel="0" collapsed="false">
      <c r="B10" s="20" t="s">
        <v>190</v>
      </c>
      <c r="C10" s="35" t="n">
        <f aca="false">SUM(Assumptions!C28:H28)</f>
        <v>50000</v>
      </c>
    </row>
    <row r="13" customFormat="false" ht="15" hidden="false" customHeight="false" outlineLevel="0" collapsed="false">
      <c r="B13" s="45" t="s">
        <v>191</v>
      </c>
    </row>
    <row r="14" customFormat="false" ht="15" hidden="false" customHeight="false" outlineLevel="0" collapsed="false">
      <c r="B14" s="20" t="s">
        <v>192</v>
      </c>
      <c r="C14" s="25" t="n">
        <v>0.45</v>
      </c>
    </row>
    <row r="15" customFormat="false" ht="15" hidden="false" customHeight="false" outlineLevel="0" collapsed="false">
      <c r="B15" s="20" t="s">
        <v>193</v>
      </c>
      <c r="C15" s="28" t="n">
        <v>150000</v>
      </c>
    </row>
    <row r="17" customFormat="false" ht="15" hidden="false" customHeight="false" outlineLevel="0" collapsed="false">
      <c r="B17" s="45" t="s">
        <v>194</v>
      </c>
    </row>
    <row r="18" customFormat="false" ht="15" hidden="false" customHeight="false" outlineLevel="0" collapsed="false">
      <c r="B18" s="23" t="s">
        <v>195</v>
      </c>
      <c r="C18" s="48" t="n">
        <f aca="false">IFERROR($C$6/($C$5*(1-$C$14)),"n/a")</f>
        <v>0.967285581045388</v>
      </c>
    </row>
    <row r="19" customFormat="false" ht="15" hidden="false" customHeight="false" outlineLevel="0" collapsed="false">
      <c r="B19" s="20" t="s">
        <v>196</v>
      </c>
      <c r="C19" s="39" t="n">
        <f aca="false">IFERROR($C$6/($C$5*(1-$C$14))-1,"n/a")</f>
        <v>-0.0327144189546121</v>
      </c>
    </row>
    <row r="20" customFormat="false" ht="15" hidden="false" customHeight="false" outlineLevel="0" collapsed="false">
      <c r="B20" s="23" t="s">
        <v>197</v>
      </c>
      <c r="C20" s="48" t="n">
        <f aca="false">IFERROR(($C$15+$C$8)/(($C$5-$C$6-$C$7)-$C$9*$C$5),"n/a")</f>
        <v>1.4100253428555</v>
      </c>
    </row>
    <row r="21" customFormat="false" ht="15" hidden="false" customHeight="false" outlineLevel="0" collapsed="false">
      <c r="B21" s="20" t="s">
        <v>198</v>
      </c>
      <c r="C21" s="35" t="n">
        <f aca="false">IFERROR(($C$15+$C$8)/(($C$5-$C$6-$C$7)-$C$9*$C$5)*$C$10,"n/a")</f>
        <v>70501.2671427748</v>
      </c>
    </row>
    <row r="22" customFormat="false" ht="15" hidden="false" customHeight="false" outlineLevel="0" collapsed="false">
      <c r="B22" s="23" t="s">
        <v>199</v>
      </c>
      <c r="C22" s="48" t="n">
        <f aca="false">IFERROR(($C$15+$C$8+$C$6+$C$7)/($C$5*(1-$C$9)),"n/a")</f>
        <v>1.14689754145472</v>
      </c>
    </row>
    <row r="23" customFormat="false" ht="15" hidden="false" customHeight="false" outlineLevel="0" collapsed="false">
      <c r="B23" s="23" t="s">
        <v>200</v>
      </c>
      <c r="C23" s="48" t="n">
        <f aca="false">IFERROR($C$8/(($C$5-$C$6-$C$7)-$C$9*$C$5),"n/a")</f>
        <v>0.940016895236997</v>
      </c>
    </row>
    <row r="24" customFormat="false" ht="15" hidden="false" customHeight="false" outlineLevel="0" collapsed="false">
      <c r="B24" s="20" t="s">
        <v>201</v>
      </c>
      <c r="C24" s="35" t="n">
        <f aca="false">IFERROR($C$8/(($C$5-$C$6-$C$7)-$C$9*$C$5)*$C$10,"n/a")</f>
        <v>47000.8447618499</v>
      </c>
    </row>
  </sheetData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true"/>
  </sheetPr>
  <dimension ref="B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9" min="3" style="0" width="13"/>
  </cols>
  <sheetData>
    <row r="1" customFormat="false" ht="19.7" hidden="false" customHeight="false" outlineLevel="0" collapsed="false">
      <c r="B1" s="14" t="s">
        <v>202</v>
      </c>
    </row>
    <row r="2" customFormat="false" ht="15" hidden="false" customHeight="false" outlineLevel="0" collapsed="false">
      <c r="B2" s="15" t="s">
        <v>203</v>
      </c>
    </row>
    <row r="4" customFormat="false" ht="15" hidden="false" customHeight="false" outlineLevel="0" collapsed="false">
      <c r="B4" s="20" t="s">
        <v>204</v>
      </c>
      <c r="C4" s="37" t="n">
        <f aca="false">SUMPRODUCT(Assumptions!C28:H28,Assumptions!C11:H11,(1-Assumptions!C12:H12))</f>
        <v>927920</v>
      </c>
    </row>
    <row r="5" customFormat="false" ht="15" hidden="false" customHeight="false" outlineLevel="0" collapsed="false">
      <c r="B5" s="20" t="s">
        <v>205</v>
      </c>
      <c r="C5" s="37" t="n">
        <f aca="false">SUMPRODUCT(Assumptions!C28:H28,(Assumptions!C21:H21+Assumptions!C26:H26))</f>
        <v>571660</v>
      </c>
    </row>
    <row r="6" customFormat="false" ht="15" hidden="false" customHeight="false" outlineLevel="0" collapsed="false">
      <c r="B6" s="20" t="s">
        <v>206</v>
      </c>
      <c r="C6" s="37" t="n">
        <f aca="false">Assumptions!C31+Assumptions!C32+Assumptions!C33+Assumptions!C34</f>
        <v>300000</v>
      </c>
    </row>
    <row r="7" customFormat="false" ht="15" hidden="false" customHeight="false" outlineLevel="0" collapsed="false">
      <c r="B7" s="20" t="s">
        <v>207</v>
      </c>
      <c r="C7" s="39" t="n">
        <f aca="false">Assumptions!C35</f>
        <v>0.04</v>
      </c>
    </row>
    <row r="8" customFormat="false" ht="15" hidden="false" customHeight="false" outlineLevel="0" collapsed="false">
      <c r="B8" s="20" t="s">
        <v>208</v>
      </c>
      <c r="C8" s="35" t="n">
        <f aca="false">SUM(Assumptions!C28:H28)</f>
        <v>50000</v>
      </c>
    </row>
    <row r="9" customFormat="false" ht="15" hidden="false" customHeight="false" outlineLevel="0" collapsed="false">
      <c r="B9" s="20" t="s">
        <v>209</v>
      </c>
      <c r="C9" s="49" t="n">
        <f aca="false">Assumptions!C39</f>
        <v>0</v>
      </c>
    </row>
    <row r="11" customFormat="false" ht="15" hidden="false" customHeight="false" outlineLevel="0" collapsed="false">
      <c r="B11" s="45" t="s">
        <v>210</v>
      </c>
    </row>
    <row r="12" customFormat="false" ht="15" hidden="false" customHeight="false" outlineLevel="0" collapsed="false">
      <c r="B12" s="18" t="s">
        <v>211</v>
      </c>
      <c r="C12" s="46" t="n">
        <v>0.7</v>
      </c>
      <c r="D12" s="46" t="n">
        <v>0.9</v>
      </c>
      <c r="E12" s="46" t="n">
        <v>1</v>
      </c>
      <c r="F12" s="46" t="n">
        <v>1.1</v>
      </c>
      <c r="G12" s="46" t="n">
        <v>1.3</v>
      </c>
      <c r="H12" s="46" t="n">
        <v>1.5</v>
      </c>
      <c r="I12" s="46" t="n">
        <v>1.7</v>
      </c>
    </row>
    <row r="13" customFormat="false" ht="15" hidden="false" customHeight="false" outlineLevel="0" collapsed="false">
      <c r="B13" s="46" t="n">
        <v>0.9</v>
      </c>
      <c r="C13" s="36" t="n">
        <f aca="false">C$12*($B13^$C$9)*($B13*$C$4-$C$5)-$C$6-$C$7*C$12*($B13^($C$9+1))*$C$4</f>
        <v>-138955.984</v>
      </c>
      <c r="D13" s="36" t="n">
        <f aca="false">D$12*($B13^$C$9)*($B13*$C$4-$C$5)-$C$6-$C$7*D$12*($B13^($C$9+1))*$C$4</f>
        <v>-92943.408</v>
      </c>
      <c r="E13" s="36" t="n">
        <f aca="false">E$12*($B13^$C$9)*($B13*$C$4-$C$5)-$C$6-$C$7*E$12*($B13^($C$9+1))*$C$4</f>
        <v>-69937.12</v>
      </c>
      <c r="F13" s="36" t="n">
        <f aca="false">F$12*($B13^$C$9)*($B13*$C$4-$C$5)-$C$6-$C$7*F$12*($B13^($C$9+1))*$C$4</f>
        <v>-46930.832</v>
      </c>
      <c r="G13" s="36" t="n">
        <f aca="false">G$12*($B13^$C$9)*($B13*$C$4-$C$5)-$C$6-$C$7*G$12*($B13^($C$9+1))*$C$4</f>
        <v>-918.255999999987</v>
      </c>
      <c r="H13" s="36" t="n">
        <f aca="false">H$12*($B13^$C$9)*($B13*$C$4-$C$5)-$C$6-$C$7*H$12*($B13^($C$9+1))*$C$4</f>
        <v>45094.32</v>
      </c>
      <c r="I13" s="36" t="n">
        <f aca="false">I$12*($B13^$C$9)*($B13*$C$4-$C$5)-$C$6-$C$7*I$12*($B13^($C$9+1))*$C$4</f>
        <v>91106.896</v>
      </c>
    </row>
    <row r="14" customFormat="false" ht="15" hidden="false" customHeight="false" outlineLevel="0" collapsed="false">
      <c r="B14" s="46" t="n">
        <v>0.95</v>
      </c>
      <c r="C14" s="36" t="n">
        <f aca="false">C$12*($B14^$C$9)*($B14*$C$4-$C$5)-$C$6-$C$7*C$12*($B14^($C$9+1))*$C$4</f>
        <v>-107777.872</v>
      </c>
      <c r="D14" s="36" t="n">
        <f aca="false">D$12*($B14^$C$9)*($B14*$C$4-$C$5)-$C$6-$C$7*D$12*($B14^($C$9+1))*$C$4</f>
        <v>-52857.264</v>
      </c>
      <c r="E14" s="36" t="n">
        <f aca="false">E$12*($B14^$C$9)*($B14*$C$4-$C$5)-$C$6-$C$7*E$12*($B14^($C$9+1))*$C$4</f>
        <v>-25396.96</v>
      </c>
      <c r="F14" s="36" t="n">
        <f aca="false">F$12*($B14^$C$9)*($B14*$C$4-$C$5)-$C$6-$C$7*F$12*($B14^($C$9+1))*$C$4</f>
        <v>2063.34400000002</v>
      </c>
      <c r="G14" s="36" t="n">
        <f aca="false">G$12*($B14^$C$9)*($B14*$C$4-$C$5)-$C$6-$C$7*G$12*($B14^($C$9+1))*$C$4</f>
        <v>56983.952</v>
      </c>
      <c r="H14" s="36" t="n">
        <f aca="false">H$12*($B14^$C$9)*($B14*$C$4-$C$5)-$C$6-$C$7*H$12*($B14^($C$9+1))*$C$4</f>
        <v>111904.56</v>
      </c>
      <c r="I14" s="36" t="n">
        <f aca="false">I$12*($B14^$C$9)*($B14*$C$4-$C$5)-$C$6-$C$7*I$12*($B14^($C$9+1))*$C$4</f>
        <v>166825.168</v>
      </c>
    </row>
    <row r="15" customFormat="false" ht="15" hidden="false" customHeight="false" outlineLevel="0" collapsed="false">
      <c r="B15" s="46" t="n">
        <v>1</v>
      </c>
      <c r="C15" s="36" t="n">
        <f aca="false">C$12*($B15^$C$9)*($B15*$C$4-$C$5)-$C$6-$C$7*C$12*($B15^($C$9+1))*$C$4</f>
        <v>-76599.76</v>
      </c>
      <c r="D15" s="36" t="n">
        <f aca="false">D$12*($B15^$C$9)*($B15*$C$4-$C$5)-$C$6-$C$7*D$12*($B15^($C$9+1))*$C$4</f>
        <v>-12771.12</v>
      </c>
      <c r="E15" s="37" t="n">
        <f aca="false">E$12*($B15^$C$9)*($B15*$C$4-$C$5)-$C$6-$C$7*E$12*($B15^($C$9+1))*$C$4</f>
        <v>19143.2</v>
      </c>
      <c r="F15" s="36" t="n">
        <f aca="false">F$12*($B15^$C$9)*($B15*$C$4-$C$5)-$C$6-$C$7*F$12*($B15^($C$9+1))*$C$4</f>
        <v>51057.5200000001</v>
      </c>
      <c r="G15" s="36" t="n">
        <f aca="false">G$12*($B15^$C$9)*($B15*$C$4-$C$5)-$C$6-$C$7*G$12*($B15^($C$9+1))*$C$4</f>
        <v>114886.16</v>
      </c>
      <c r="H15" s="36" t="n">
        <f aca="false">H$12*($B15^$C$9)*($B15*$C$4-$C$5)-$C$6-$C$7*H$12*($B15^($C$9+1))*$C$4</f>
        <v>178714.8</v>
      </c>
      <c r="I15" s="36" t="n">
        <f aca="false">I$12*($B15^$C$9)*($B15*$C$4-$C$5)-$C$6-$C$7*I$12*($B15^($C$9+1))*$C$4</f>
        <v>242543.44</v>
      </c>
    </row>
    <row r="16" customFormat="false" ht="15" hidden="false" customHeight="false" outlineLevel="0" collapsed="false">
      <c r="B16" s="46" t="n">
        <v>1.05</v>
      </c>
      <c r="C16" s="36" t="n">
        <f aca="false">C$12*($B16^$C$9)*($B16*$C$4-$C$5)-$C$6-$C$7*C$12*($B16^($C$9+1))*$C$4</f>
        <v>-45421.648</v>
      </c>
      <c r="D16" s="36" t="n">
        <f aca="false">D$12*($B16^$C$9)*($B16*$C$4-$C$5)-$C$6-$C$7*D$12*($B16^($C$9+1))*$C$4</f>
        <v>27315.024</v>
      </c>
      <c r="E16" s="36" t="n">
        <f aca="false">E$12*($B16^$C$9)*($B16*$C$4-$C$5)-$C$6-$C$7*E$12*($B16^($C$9+1))*$C$4</f>
        <v>63683.36</v>
      </c>
      <c r="F16" s="36" t="n">
        <f aca="false">F$12*($B16^$C$9)*($B16*$C$4-$C$5)-$C$6-$C$7*F$12*($B16^($C$9+1))*$C$4</f>
        <v>100051.696</v>
      </c>
      <c r="G16" s="36" t="n">
        <f aca="false">G$12*($B16^$C$9)*($B16*$C$4-$C$5)-$C$6-$C$7*G$12*($B16^($C$9+1))*$C$4</f>
        <v>172788.368</v>
      </c>
      <c r="H16" s="36" t="n">
        <f aca="false">H$12*($B16^$C$9)*($B16*$C$4-$C$5)-$C$6-$C$7*H$12*($B16^($C$9+1))*$C$4</f>
        <v>245525.04</v>
      </c>
      <c r="I16" s="36" t="n">
        <f aca="false">I$12*($B16^$C$9)*($B16*$C$4-$C$5)-$C$6-$C$7*I$12*($B16^($C$9+1))*$C$4</f>
        <v>318261.712</v>
      </c>
    </row>
    <row r="17" customFormat="false" ht="15" hidden="false" customHeight="false" outlineLevel="0" collapsed="false">
      <c r="B17" s="46" t="n">
        <v>1.1</v>
      </c>
      <c r="C17" s="36" t="n">
        <f aca="false">C$12*($B17^$C$9)*($B17*$C$4-$C$5)-$C$6-$C$7*C$12*($B17^($C$9+1))*$C$4</f>
        <v>-14243.5359999999</v>
      </c>
      <c r="D17" s="36" t="n">
        <f aca="false">D$12*($B17^$C$9)*($B17*$C$4-$C$5)-$C$6-$C$7*D$12*($B17^($C$9+1))*$C$4</f>
        <v>67401.1680000001</v>
      </c>
      <c r="E17" s="36" t="n">
        <f aca="false">E$12*($B17^$C$9)*($B17*$C$4-$C$5)-$C$6-$C$7*E$12*($B17^($C$9+1))*$C$4</f>
        <v>108223.52</v>
      </c>
      <c r="F17" s="36" t="n">
        <f aca="false">F$12*($B17^$C$9)*($B17*$C$4-$C$5)-$C$6-$C$7*F$12*($B17^($C$9+1))*$C$4</f>
        <v>149045.872</v>
      </c>
      <c r="G17" s="36" t="n">
        <f aca="false">G$12*($B17^$C$9)*($B17*$C$4-$C$5)-$C$6-$C$7*G$12*($B17^($C$9+1))*$C$4</f>
        <v>230690.576</v>
      </c>
      <c r="H17" s="36" t="n">
        <f aca="false">H$12*($B17^$C$9)*($B17*$C$4-$C$5)-$C$6-$C$7*H$12*($B17^($C$9+1))*$C$4</f>
        <v>312335.28</v>
      </c>
      <c r="I17" s="36" t="n">
        <f aca="false">I$12*($B17^$C$9)*($B17*$C$4-$C$5)-$C$6-$C$7*I$12*($B17^($C$9+1))*$C$4</f>
        <v>393979.984</v>
      </c>
    </row>
    <row r="18" customFormat="false" ht="15" hidden="false" customHeight="false" outlineLevel="0" collapsed="false">
      <c r="B18" s="46" t="n">
        <v>1.15</v>
      </c>
      <c r="C18" s="36" t="n">
        <f aca="false">C$12*($B18^$C$9)*($B18*$C$4-$C$5)-$C$6-$C$7*C$12*($B18^($C$9+1))*$C$4</f>
        <v>16934.576</v>
      </c>
      <c r="D18" s="36" t="n">
        <f aca="false">D$12*($B18^$C$9)*($B18*$C$4-$C$5)-$C$6-$C$7*D$12*($B18^($C$9+1))*$C$4</f>
        <v>107487.312</v>
      </c>
      <c r="E18" s="36" t="n">
        <f aca="false">E$12*($B18^$C$9)*($B18*$C$4-$C$5)-$C$6-$C$7*E$12*($B18^($C$9+1))*$C$4</f>
        <v>152763.68</v>
      </c>
      <c r="F18" s="36" t="n">
        <f aca="false">F$12*($B18^$C$9)*($B18*$C$4-$C$5)-$C$6-$C$7*F$12*($B18^($C$9+1))*$C$4</f>
        <v>198040.048</v>
      </c>
      <c r="G18" s="36" t="n">
        <f aca="false">G$12*($B18^$C$9)*($B18*$C$4-$C$5)-$C$6-$C$7*G$12*($B18^($C$9+1))*$C$4</f>
        <v>288592.784</v>
      </c>
      <c r="H18" s="36" t="n">
        <f aca="false">H$12*($B18^$C$9)*($B18*$C$4-$C$5)-$C$6-$C$7*H$12*($B18^($C$9+1))*$C$4</f>
        <v>379145.52</v>
      </c>
      <c r="I18" s="36" t="n">
        <f aca="false">I$12*($B18^$C$9)*($B18*$C$4-$C$5)-$C$6-$C$7*I$12*($B18^($C$9+1))*$C$4</f>
        <v>469698.256</v>
      </c>
    </row>
    <row r="21" customFormat="false" ht="15" hidden="false" customHeight="false" outlineLevel="0" collapsed="false">
      <c r="B21" s="45" t="s">
        <v>212</v>
      </c>
    </row>
    <row r="22" customFormat="false" ht="15" hidden="false" customHeight="false" outlineLevel="0" collapsed="false">
      <c r="B22" s="20" t="s">
        <v>213</v>
      </c>
      <c r="C22" s="48" t="n">
        <f aca="false">IFERROR($C$6/(($C$4-$C$5)-$C$7*$C$4),0)</f>
        <v>0.940016895236997</v>
      </c>
    </row>
    <row r="23" customFormat="false" ht="15" hidden="false" customHeight="false" outlineLevel="0" collapsed="false">
      <c r="B23" s="20" t="s">
        <v>214</v>
      </c>
      <c r="C23" s="35" t="n">
        <f aca="false">C22*$C$8</f>
        <v>47000.8447618499</v>
      </c>
    </row>
    <row r="24" customFormat="false" ht="15" hidden="false" customHeight="false" outlineLevel="0" collapsed="false">
      <c r="B24" s="20" t="s">
        <v>215</v>
      </c>
      <c r="C24" s="35" t="n">
        <f aca="false">$C$8</f>
        <v>50000</v>
      </c>
    </row>
  </sheetData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0020"/>
    <pageSetUpPr fitToPage="true"/>
  </sheetPr>
  <dimension ref="B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9.7" hidden="false" customHeight="false" outlineLevel="0" collapsed="false">
      <c r="B1" s="14" t="s">
        <v>216</v>
      </c>
    </row>
    <row r="2" customFormat="false" ht="15" hidden="false" customHeight="false" outlineLevel="0" collapsed="false">
      <c r="B2" s="15" t="s">
        <v>217</v>
      </c>
    </row>
    <row r="4" customFormat="false" ht="15" hidden="false" customHeight="false" outlineLevel="0" collapsed="false">
      <c r="B4" s="17" t="s">
        <v>97</v>
      </c>
      <c r="C4" s="18" t="s">
        <v>218</v>
      </c>
      <c r="D4" s="18" t="s">
        <v>219</v>
      </c>
    </row>
    <row r="5" customFormat="false" ht="15" hidden="false" customHeight="false" outlineLevel="0" collapsed="false">
      <c r="B5" s="33" t="s">
        <v>220</v>
      </c>
      <c r="C5" s="38" t="n">
        <f aca="false">SUM(Assumptions!C50:N50)</f>
        <v>1</v>
      </c>
      <c r="D5" s="50" t="str">
        <f aca="false">IF(ABS(SUM(Assumptions!C50:N50)-1)&lt;0.0001,"PASS","FAIL")</f>
        <v>PASS</v>
      </c>
    </row>
    <row r="6" customFormat="false" ht="15" hidden="false" customHeight="false" outlineLevel="0" collapsed="false">
      <c r="B6" s="33" t="s">
        <v>221</v>
      </c>
      <c r="C6" s="40" t="n">
        <f aca="false">MIN(Assumptions!C11:H11)</f>
        <v>14</v>
      </c>
      <c r="D6" s="50" t="str">
        <f aca="false">IF(MIN(Assumptions!C11:H11)&gt;0,"PASS","FAIL")</f>
        <v>PASS</v>
      </c>
    </row>
    <row r="7" customFormat="false" ht="15" hidden="false" customHeight="false" outlineLevel="0" collapsed="false">
      <c r="B7" s="33" t="s">
        <v>222</v>
      </c>
      <c r="C7" s="34" t="n">
        <f aca="false">MIN(Assumptions!C28:H28)</f>
        <v>4000</v>
      </c>
      <c r="D7" s="50" t="str">
        <f aca="false">IF(MIN(Assumptions!C28:H28)&gt;=0,"PASS","FAIL")</f>
        <v>PASS</v>
      </c>
    </row>
    <row r="8" customFormat="false" ht="15" hidden="false" customHeight="false" outlineLevel="0" collapsed="false">
      <c r="B8" s="33" t="s">
        <v>223</v>
      </c>
      <c r="C8" s="38" t="n">
        <f aca="false">MAX(Assumptions!C12:H12)</f>
        <v>0.08</v>
      </c>
      <c r="D8" s="50" t="str">
        <f aca="false">IF(AND(MIN(Assumptions!C12:H12)&gt;=0,MAX(Assumptions!C12:H12)&lt;=0.5),"PASS","FAIL")</f>
        <v>PASS</v>
      </c>
    </row>
    <row r="9" customFormat="false" ht="15" hidden="false" customHeight="false" outlineLevel="0" collapsed="false">
      <c r="B9" s="33" t="s">
        <v>224</v>
      </c>
      <c r="C9" s="38" t="n">
        <f aca="false">Base!I23</f>
        <v>0.467992930425037</v>
      </c>
      <c r="D9" s="50" t="str">
        <f aca="false">IF(AND(Base!I23&gt;0,Base!I23&lt;1),"PASS","FAIL")</f>
        <v>PASS</v>
      </c>
    </row>
    <row r="10" customFormat="false" ht="15" hidden="false" customHeight="false" outlineLevel="0" collapsed="false">
      <c r="B10" s="33" t="s">
        <v>225</v>
      </c>
      <c r="C10" s="34" t="n">
        <f aca="false">SUMPRODUCT(--(Assumptions!C19:H19&gt;=Assumptions!C11:H11))</f>
        <v>0</v>
      </c>
      <c r="D10" s="50" t="str">
        <f aca="false">IF(SUMPRODUCT(--(Assumptions!C19:H19&gt;=Assumptions!C11:H11))=0,"PASS","FAIL")</f>
        <v>PASS</v>
      </c>
    </row>
    <row r="11" customFormat="false" ht="15" hidden="false" customHeight="false" outlineLevel="0" collapsed="false">
      <c r="B11" s="33" t="s">
        <v>226</v>
      </c>
      <c r="C11" s="38" t="n">
        <f aca="false">Assumptions!C38</f>
        <v>0.27</v>
      </c>
      <c r="D11" s="50" t="str">
        <f aca="false">IF(AND(Assumptions!C38&gt;=0,Assumptions!C38&lt;=0.5),"PASS","FAIL")</f>
        <v>PASS</v>
      </c>
    </row>
    <row r="12" customFormat="false" ht="15" hidden="false" customHeight="false" outlineLevel="0" collapsed="false">
      <c r="B12" s="33" t="s">
        <v>227</v>
      </c>
      <c r="C12" s="51" t="n">
        <f aca="false">MIN(Assumptions!C43:C46)</f>
        <v>0.7</v>
      </c>
      <c r="D12" s="50" t="str">
        <f aca="false">IF(MIN(Assumptions!C43:C46)&gt;0,"PASS","FAIL")</f>
        <v>PASS</v>
      </c>
    </row>
    <row r="13" customFormat="false" ht="15" hidden="false" customHeight="false" outlineLevel="0" collapsed="false">
      <c r="B13" s="33" t="s">
        <v>228</v>
      </c>
      <c r="C13" s="52" t="n">
        <f aca="false">Assumptions!C39</f>
        <v>0</v>
      </c>
      <c r="D13" s="50" t="str">
        <f aca="false">IF(Assumptions!C39&lt;=0,"PASS","FAIL")</f>
        <v>PASS</v>
      </c>
    </row>
    <row r="14" customFormat="false" ht="15" hidden="false" customHeight="false" outlineLevel="0" collapsed="false">
      <c r="B14" s="33" t="s">
        <v>229</v>
      </c>
      <c r="C14" s="36" t="n">
        <f aca="false">Dashboard!D8-Base!I18</f>
        <v>0</v>
      </c>
      <c r="D14" s="50" t="str">
        <f aca="false">IF(ABS(Dashboard!D8-Base!I18)&lt;1,"PASS","FAIL")</f>
        <v>PASS</v>
      </c>
    </row>
    <row r="16" customFormat="false" ht="15" hidden="false" customHeight="false" outlineLevel="0" collapsed="false">
      <c r="B16" s="23" t="s">
        <v>230</v>
      </c>
      <c r="D16" s="50" t="str">
        <f aca="false">IF(COUNTIF(D5:D14,"FAIL")=0,"ALL PASS","REVIEW")</f>
        <v>ALL PASS</v>
      </c>
    </row>
  </sheetData>
  <conditionalFormatting sqref="D5:D16">
    <cfRule type="expression" priority="2" aboveAverage="0" equalAverage="0" bottom="0" percent="0" rank="0" text="" dxfId="0">
      <formula>ISNUMBER(SEARCH("PASS",D5))</formula>
    </cfRule>
    <cfRule type="expression" priority="3" aboveAverage="0" equalAverage="0" bottom="0" percent="0" rank="0" text="" dxfId="1">
      <formula>OR(ISNUMBER(SEARCH("FAIL",D5)),ISNUMBER(SEARCH("REVIEW",D5)))</formula>
    </cfRule>
  </conditionalFormatting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A99"/>
    <pageSetUpPr fitToPage="true"/>
  </sheetPr>
  <dimension ref="B1:B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B1" s="53" t="s">
        <v>231</v>
      </c>
    </row>
    <row r="2" customFormat="false" ht="15" hidden="false" customHeight="false" outlineLevel="0" collapsed="false">
      <c r="B2" s="54"/>
    </row>
    <row r="3" customFormat="false" ht="15" hidden="false" customHeight="false" outlineLevel="0" collapsed="false">
      <c r="B3" s="23" t="s">
        <v>232</v>
      </c>
    </row>
    <row r="4" customFormat="false" ht="15" hidden="false" customHeight="false" outlineLevel="0" collapsed="false">
      <c r="B4" s="20" t="s">
        <v>233</v>
      </c>
    </row>
    <row r="5" customFormat="false" ht="15" hidden="false" customHeight="false" outlineLevel="0" collapsed="false">
      <c r="B5" s="20" t="s">
        <v>234</v>
      </c>
    </row>
    <row r="6" customFormat="false" ht="15" hidden="false" customHeight="false" outlineLevel="0" collapsed="false">
      <c r="B6" s="20" t="s">
        <v>235</v>
      </c>
    </row>
    <row r="7" customFormat="false" ht="15" hidden="false" customHeight="false" outlineLevel="0" collapsed="false">
      <c r="B7" s="20" t="s">
        <v>236</v>
      </c>
    </row>
    <row r="8" customFormat="false" ht="15" hidden="false" customHeight="false" outlineLevel="0" collapsed="false">
      <c r="B8" s="54"/>
    </row>
    <row r="9" customFormat="false" ht="15" hidden="false" customHeight="false" outlineLevel="0" collapsed="false">
      <c r="B9" s="23" t="s">
        <v>237</v>
      </c>
    </row>
    <row r="10" customFormat="false" ht="15" hidden="false" customHeight="false" outlineLevel="0" collapsed="false">
      <c r="B10" s="20" t="s">
        <v>238</v>
      </c>
    </row>
    <row r="11" customFormat="false" ht="15" hidden="false" customHeight="false" outlineLevel="0" collapsed="false">
      <c r="B11" s="20" t="s">
        <v>239</v>
      </c>
    </row>
    <row r="12" customFormat="false" ht="15" hidden="false" customHeight="false" outlineLevel="0" collapsed="false">
      <c r="B12" s="54"/>
    </row>
    <row r="13" customFormat="false" ht="15" hidden="false" customHeight="false" outlineLevel="0" collapsed="false">
      <c r="B13" s="23" t="s">
        <v>240</v>
      </c>
    </row>
    <row r="14" customFormat="false" ht="15" hidden="false" customHeight="false" outlineLevel="0" collapsed="false">
      <c r="B14" s="20" t="s">
        <v>241</v>
      </c>
    </row>
    <row r="15" customFormat="false" ht="15" hidden="false" customHeight="false" outlineLevel="0" collapsed="false">
      <c r="B15" s="20" t="s">
        <v>242</v>
      </c>
    </row>
    <row r="16" customFormat="false" ht="15" hidden="false" customHeight="false" outlineLevel="0" collapsed="false">
      <c r="B16" s="20" t="s">
        <v>243</v>
      </c>
    </row>
    <row r="17" customFormat="false" ht="15" hidden="false" customHeight="false" outlineLevel="0" collapsed="false">
      <c r="B17" s="20" t="s">
        <v>244</v>
      </c>
    </row>
    <row r="18" customFormat="false" ht="15" hidden="false" customHeight="false" outlineLevel="0" collapsed="false">
      <c r="B18" s="20" t="s">
        <v>245</v>
      </c>
    </row>
    <row r="19" customFormat="false" ht="15" hidden="false" customHeight="false" outlineLevel="0" collapsed="false">
      <c r="B19" s="54"/>
    </row>
    <row r="20" customFormat="false" ht="15" hidden="false" customHeight="false" outlineLevel="0" collapsed="false">
      <c r="B20" s="23" t="s">
        <v>246</v>
      </c>
    </row>
    <row r="21" customFormat="false" ht="15" hidden="false" customHeight="false" outlineLevel="0" collapsed="false">
      <c r="B21" s="20" t="s">
        <v>247</v>
      </c>
    </row>
    <row r="22" customFormat="false" ht="15" hidden="false" customHeight="false" outlineLevel="0" collapsed="false">
      <c r="B22" s="20" t="s">
        <v>248</v>
      </c>
    </row>
    <row r="23" customFormat="false" ht="15" hidden="false" customHeight="false" outlineLevel="0" collapsed="false">
      <c r="B23" s="20" t="s">
        <v>249</v>
      </c>
    </row>
    <row r="24" customFormat="false" ht="15" hidden="false" customHeight="false" outlineLevel="0" collapsed="false">
      <c r="B24" s="20" t="s">
        <v>250</v>
      </c>
    </row>
    <row r="25" customFormat="false" ht="15" hidden="false" customHeight="false" outlineLevel="0" collapsed="false">
      <c r="B25" s="20" t="s">
        <v>251</v>
      </c>
    </row>
    <row r="26" customFormat="false" ht="15" hidden="false" customHeight="false" outlineLevel="0" collapsed="false">
      <c r="B26" s="20" t="s">
        <v>252</v>
      </c>
    </row>
    <row r="27" customFormat="false" ht="15" hidden="false" customHeight="false" outlineLevel="0" collapsed="false">
      <c r="B27" s="54"/>
    </row>
    <row r="28" customFormat="false" ht="15" hidden="false" customHeight="false" outlineLevel="0" collapsed="false">
      <c r="B28" s="23" t="s">
        <v>253</v>
      </c>
    </row>
    <row r="29" customFormat="false" ht="15" hidden="false" customHeight="false" outlineLevel="0" collapsed="false">
      <c r="B29" s="20" t="s">
        <v>254</v>
      </c>
    </row>
    <row r="30" customFormat="false" ht="15" hidden="false" customHeight="false" outlineLevel="0" collapsed="false">
      <c r="B30" s="20" t="s">
        <v>255</v>
      </c>
    </row>
    <row r="31" customFormat="false" ht="15" hidden="false" customHeight="false" outlineLevel="0" collapsed="false">
      <c r="B31" s="20" t="s">
        <v>256</v>
      </c>
    </row>
    <row r="32" customFormat="false" ht="15" hidden="false" customHeight="false" outlineLevel="0" collapsed="false">
      <c r="B32" s="20" t="s">
        <v>257</v>
      </c>
    </row>
    <row r="33" customFormat="false" ht="15" hidden="false" customHeight="false" outlineLevel="0" collapsed="false">
      <c r="B33" s="20" t="s">
        <v>258</v>
      </c>
    </row>
    <row r="34" customFormat="false" ht="15" hidden="false" customHeight="false" outlineLevel="0" collapsed="false">
      <c r="B34" s="20" t="s">
        <v>259</v>
      </c>
    </row>
    <row r="35" customFormat="false" ht="15" hidden="false" customHeight="false" outlineLevel="0" collapsed="false">
      <c r="B35" s="54"/>
    </row>
    <row r="36" customFormat="false" ht="15" hidden="false" customHeight="false" outlineLevel="0" collapsed="false">
      <c r="B36" s="23" t="s">
        <v>260</v>
      </c>
    </row>
    <row r="37" customFormat="false" ht="15" hidden="false" customHeight="false" outlineLevel="0" collapsed="false">
      <c r="B37" s="20" t="s">
        <v>261</v>
      </c>
    </row>
    <row r="38" customFormat="false" ht="15" hidden="false" customHeight="false" outlineLevel="0" collapsed="false">
      <c r="B38" s="20" t="s">
        <v>262</v>
      </c>
    </row>
  </sheetData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A99"/>
    <pageSetUpPr fitToPage="true"/>
  </sheetPr>
  <dimension ref="B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52"/>
    <col collapsed="false" customWidth="true" hidden="false" outlineLevel="0" max="4" min="4" style="0" width="60"/>
    <col collapsed="false" customWidth="true" hidden="false" outlineLevel="0" max="5" min="5" style="0" width="12"/>
  </cols>
  <sheetData>
    <row r="1" customFormat="false" ht="19.7" hidden="false" customHeight="false" outlineLevel="0" collapsed="false">
      <c r="B1" s="14" t="s">
        <v>263</v>
      </c>
    </row>
    <row r="2" customFormat="false" ht="15" hidden="false" customHeight="false" outlineLevel="0" collapsed="false">
      <c r="B2" s="15" t="s">
        <v>264</v>
      </c>
    </row>
    <row r="4" customFormat="false" ht="15" hidden="false" customHeight="false" outlineLevel="0" collapsed="false">
      <c r="B4" s="17" t="s">
        <v>265</v>
      </c>
      <c r="C4" s="17" t="s">
        <v>266</v>
      </c>
      <c r="D4" s="17" t="s">
        <v>267</v>
      </c>
      <c r="E4" s="17" t="s">
        <v>219</v>
      </c>
    </row>
    <row r="5" customFormat="false" ht="15" hidden="false" customHeight="false" outlineLevel="0" collapsed="false">
      <c r="B5" s="21" t="n">
        <v>1</v>
      </c>
      <c r="C5" s="55" t="s">
        <v>268</v>
      </c>
      <c r="D5" s="55" t="s">
        <v>269</v>
      </c>
      <c r="E5" s="50" t="s">
        <v>270</v>
      </c>
    </row>
    <row r="6" customFormat="false" ht="15" hidden="false" customHeight="false" outlineLevel="0" collapsed="false">
      <c r="B6" s="21" t="n">
        <v>2</v>
      </c>
      <c r="C6" s="55" t="s">
        <v>271</v>
      </c>
      <c r="D6" s="55" t="s">
        <v>272</v>
      </c>
      <c r="E6" s="50" t="s">
        <v>270</v>
      </c>
    </row>
    <row r="7" customFormat="false" ht="15" hidden="false" customHeight="false" outlineLevel="0" collapsed="false">
      <c r="B7" s="21" t="n">
        <v>3</v>
      </c>
      <c r="C7" s="55" t="s">
        <v>273</v>
      </c>
      <c r="D7" s="55" t="s">
        <v>274</v>
      </c>
      <c r="E7" s="50" t="s">
        <v>270</v>
      </c>
    </row>
    <row r="8" customFormat="false" ht="15" hidden="false" customHeight="false" outlineLevel="0" collapsed="false">
      <c r="B8" s="21" t="n">
        <v>4</v>
      </c>
      <c r="C8" s="55" t="s">
        <v>275</v>
      </c>
      <c r="D8" s="55" t="s">
        <v>276</v>
      </c>
      <c r="E8" s="50" t="s">
        <v>270</v>
      </c>
    </row>
    <row r="9" customFormat="false" ht="15" hidden="false" customHeight="false" outlineLevel="0" collapsed="false">
      <c r="B9" s="21" t="n">
        <v>5</v>
      </c>
      <c r="C9" s="55" t="s">
        <v>277</v>
      </c>
      <c r="D9" s="55" t="s">
        <v>278</v>
      </c>
      <c r="E9" s="50" t="s">
        <v>270</v>
      </c>
    </row>
    <row r="10" customFormat="false" ht="15" hidden="false" customHeight="false" outlineLevel="0" collapsed="false">
      <c r="B10" s="21" t="n">
        <v>6</v>
      </c>
      <c r="C10" s="55" t="s">
        <v>279</v>
      </c>
      <c r="D10" s="55" t="s">
        <v>280</v>
      </c>
      <c r="E10" s="50" t="s">
        <v>270</v>
      </c>
    </row>
    <row r="11" customFormat="false" ht="15" hidden="false" customHeight="false" outlineLevel="0" collapsed="false">
      <c r="B11" s="21" t="n">
        <v>7</v>
      </c>
      <c r="C11" s="55" t="s">
        <v>281</v>
      </c>
      <c r="D11" s="55" t="s">
        <v>282</v>
      </c>
      <c r="E11" s="50" t="s">
        <v>270</v>
      </c>
    </row>
    <row r="12" customFormat="false" ht="15" hidden="false" customHeight="false" outlineLevel="0" collapsed="false">
      <c r="B12" s="21" t="n">
        <v>8</v>
      </c>
      <c r="C12" s="55" t="s">
        <v>283</v>
      </c>
      <c r="D12" s="55" t="s">
        <v>284</v>
      </c>
      <c r="E12" s="50" t="s">
        <v>270</v>
      </c>
    </row>
    <row r="13" customFormat="false" ht="15" hidden="false" customHeight="false" outlineLevel="0" collapsed="false">
      <c r="B13" s="21" t="n">
        <v>9</v>
      </c>
      <c r="C13" s="55" t="s">
        <v>285</v>
      </c>
      <c r="D13" s="55" t="s">
        <v>286</v>
      </c>
      <c r="E13" s="50" t="s">
        <v>270</v>
      </c>
    </row>
    <row r="14" customFormat="false" ht="15" hidden="false" customHeight="false" outlineLevel="0" collapsed="false">
      <c r="B14" s="21" t="n">
        <v>10</v>
      </c>
      <c r="C14" s="55" t="s">
        <v>287</v>
      </c>
      <c r="D14" s="55" t="s">
        <v>288</v>
      </c>
      <c r="E14" s="50" t="s">
        <v>270</v>
      </c>
    </row>
    <row r="15" customFormat="false" ht="15" hidden="false" customHeight="false" outlineLevel="0" collapsed="false">
      <c r="B15" s="21" t="n">
        <v>11</v>
      </c>
      <c r="C15" s="55" t="s">
        <v>289</v>
      </c>
      <c r="D15" s="55" t="s">
        <v>290</v>
      </c>
      <c r="E15" s="50" t="s">
        <v>270</v>
      </c>
    </row>
    <row r="16" customFormat="false" ht="23.85" hidden="false" customHeight="false" outlineLevel="0" collapsed="false">
      <c r="B16" s="21" t="n">
        <v>12</v>
      </c>
      <c r="C16" s="55" t="s">
        <v>291</v>
      </c>
      <c r="D16" s="55" t="s">
        <v>292</v>
      </c>
      <c r="E16" s="50" t="s">
        <v>270</v>
      </c>
    </row>
    <row r="17" customFormat="false" ht="15" hidden="false" customHeight="false" outlineLevel="0" collapsed="false">
      <c r="B17" s="21" t="n">
        <v>13</v>
      </c>
      <c r="C17" s="55" t="s">
        <v>293</v>
      </c>
      <c r="D17" s="55" t="s">
        <v>294</v>
      </c>
      <c r="E17" s="50" t="s">
        <v>270</v>
      </c>
    </row>
    <row r="18" customFormat="false" ht="23.85" hidden="false" customHeight="false" outlineLevel="0" collapsed="false">
      <c r="B18" s="21" t="n">
        <v>14</v>
      </c>
      <c r="C18" s="55" t="s">
        <v>295</v>
      </c>
      <c r="D18" s="55" t="s">
        <v>296</v>
      </c>
      <c r="E18" s="50" t="s">
        <v>270</v>
      </c>
    </row>
    <row r="19" customFormat="false" ht="23.85" hidden="false" customHeight="false" outlineLevel="0" collapsed="false">
      <c r="B19" s="21" t="n">
        <v>15</v>
      </c>
      <c r="C19" s="55" t="s">
        <v>297</v>
      </c>
      <c r="D19" s="55" t="s">
        <v>298</v>
      </c>
      <c r="E19" s="50" t="s">
        <v>270</v>
      </c>
    </row>
  </sheetData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A99"/>
    <pageSetUpPr fitToPage="true"/>
  </sheetPr>
  <dimension ref="B2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7" min="4" style="0" width="16"/>
  </cols>
  <sheetData>
    <row r="2" customFormat="false" ht="19.7" hidden="false" customHeight="false" outlineLevel="0" collapsed="false">
      <c r="B2" s="14" t="s">
        <v>0</v>
      </c>
    </row>
    <row r="3" customFormat="false" ht="15" hidden="false" customHeight="false" outlineLevel="0" collapsed="false">
      <c r="B3" s="56" t="s">
        <v>299</v>
      </c>
    </row>
    <row r="5" customFormat="false" ht="15" hidden="false" customHeight="false" outlineLevel="0" collapsed="false">
      <c r="B5" s="57" t="s">
        <v>300</v>
      </c>
      <c r="C5" s="58"/>
      <c r="D5" s="58"/>
      <c r="E5" s="58"/>
      <c r="F5" s="58"/>
      <c r="G5" s="58"/>
    </row>
    <row r="6" customFormat="false" ht="15" hidden="false" customHeight="false" outlineLevel="0" collapsed="false">
      <c r="B6" s="18" t="s">
        <v>107</v>
      </c>
      <c r="C6" s="18" t="s">
        <v>301</v>
      </c>
      <c r="D6" s="18" t="s">
        <v>8</v>
      </c>
      <c r="E6" s="18" t="s">
        <v>114</v>
      </c>
      <c r="F6" s="18" t="s">
        <v>302</v>
      </c>
      <c r="G6" s="18" t="s">
        <v>303</v>
      </c>
    </row>
    <row r="7" customFormat="false" ht="25.5" hidden="false" customHeight="true" outlineLevel="0" collapsed="false">
      <c r="B7" s="59" t="n">
        <f aca="false">Base!I18</f>
        <v>927920</v>
      </c>
      <c r="C7" s="60" t="n">
        <f aca="false">Base!I23</f>
        <v>0.467992930425037</v>
      </c>
      <c r="D7" s="59" t="n">
        <f aca="false">Base!I34</f>
        <v>19143.2</v>
      </c>
      <c r="E7" s="59" t="n">
        <f aca="false">Base!I41</f>
        <v>-15856.8</v>
      </c>
      <c r="F7" s="61" t="n">
        <f aca="false">Base!I8</f>
        <v>50000</v>
      </c>
      <c r="G7" s="61" t="n">
        <f aca="false">Sensitivity!$C$23</f>
        <v>47000.8447618499</v>
      </c>
    </row>
    <row r="9" customFormat="false" ht="15" hidden="false" customHeight="false" outlineLevel="0" collapsed="false">
      <c r="B9" s="23" t="s">
        <v>304</v>
      </c>
      <c r="C9" s="20" t="s">
        <v>305</v>
      </c>
    </row>
    <row r="10" customFormat="false" ht="15" hidden="false" customHeight="false" outlineLevel="0" collapsed="false">
      <c r="B10" s="23" t="s">
        <v>306</v>
      </c>
      <c r="C10" s="20" t="s">
        <v>307</v>
      </c>
    </row>
    <row r="11" customFormat="false" ht="15" hidden="false" customHeight="false" outlineLevel="0" collapsed="false">
      <c r="B11" s="23" t="s">
        <v>308</v>
      </c>
      <c r="C11" s="20" t="s">
        <v>309</v>
      </c>
    </row>
    <row r="12" customFormat="false" ht="15" hidden="false" customHeight="false" outlineLevel="0" collapsed="false">
      <c r="B12" s="23" t="s">
        <v>310</v>
      </c>
      <c r="C12" s="20" t="s">
        <v>311</v>
      </c>
    </row>
    <row r="13" customFormat="false" ht="15" hidden="false" customHeight="false" outlineLevel="0" collapsed="false">
      <c r="B13" s="23" t="s">
        <v>312</v>
      </c>
      <c r="C13" s="20" t="s">
        <v>313</v>
      </c>
    </row>
    <row r="14" customFormat="false" ht="15" hidden="false" customHeight="false" outlineLevel="0" collapsed="false">
      <c r="B14" s="23" t="s">
        <v>314</v>
      </c>
      <c r="C14" s="20" t="s">
        <v>121</v>
      </c>
    </row>
    <row r="15" customFormat="false" ht="15" hidden="false" customHeight="false" outlineLevel="0" collapsed="false">
      <c r="B15" s="23" t="s">
        <v>315</v>
      </c>
      <c r="C15" s="20" t="s">
        <v>316</v>
      </c>
    </row>
    <row r="16" customFormat="false" ht="15" hidden="false" customHeight="false" outlineLevel="0" collapsed="false">
      <c r="B16" s="23" t="s">
        <v>219</v>
      </c>
      <c r="C16" s="20" t="s">
        <v>317</v>
      </c>
    </row>
    <row r="18" customFormat="false" ht="15" hidden="false" customHeight="false" outlineLevel="0" collapsed="false">
      <c r="B18" s="57" t="s">
        <v>318</v>
      </c>
      <c r="C18" s="62"/>
    </row>
    <row r="19" customFormat="false" ht="15" hidden="false" customHeight="false" outlineLevel="0" collapsed="false">
      <c r="B19" s="23" t="s">
        <v>319</v>
      </c>
      <c r="C19" s="20" t="s">
        <v>320</v>
      </c>
    </row>
    <row r="20" customFormat="false" ht="15" hidden="false" customHeight="false" outlineLevel="0" collapsed="false">
      <c r="B20" s="23" t="s">
        <v>321</v>
      </c>
      <c r="C20" s="20" t="s">
        <v>322</v>
      </c>
    </row>
    <row r="21" customFormat="false" ht="15" hidden="false" customHeight="false" outlineLevel="0" collapsed="false">
      <c r="B21" s="23" t="s">
        <v>323</v>
      </c>
      <c r="C21" s="20" t="s">
        <v>324</v>
      </c>
    </row>
    <row r="22" customFormat="false" ht="15" hidden="false" customHeight="false" outlineLevel="0" collapsed="false">
      <c r="B22" s="23" t="s">
        <v>325</v>
      </c>
      <c r="C22" s="20" t="s">
        <v>326</v>
      </c>
    </row>
    <row r="23" customFormat="false" ht="15" hidden="false" customHeight="false" outlineLevel="0" collapsed="false">
      <c r="B23" s="23" t="s">
        <v>327</v>
      </c>
      <c r="C23" s="20" t="s">
        <v>328</v>
      </c>
    </row>
    <row r="24" customFormat="false" ht="15" hidden="false" customHeight="false" outlineLevel="0" collapsed="false">
      <c r="B24" s="23" t="s">
        <v>21</v>
      </c>
      <c r="C24" s="20" t="s">
        <v>329</v>
      </c>
    </row>
    <row r="25" customFormat="false" ht="15" hidden="false" customHeight="false" outlineLevel="0" collapsed="false">
      <c r="B25" s="23" t="s">
        <v>27</v>
      </c>
      <c r="C25" s="20" t="s">
        <v>330</v>
      </c>
    </row>
    <row r="26" customFormat="false" ht="15" hidden="false" customHeight="false" outlineLevel="0" collapsed="false">
      <c r="B26" s="23" t="s">
        <v>29</v>
      </c>
      <c r="C26" s="20" t="s">
        <v>331</v>
      </c>
    </row>
    <row r="28" customFormat="false" ht="15" hidden="false" customHeight="false" outlineLevel="0" collapsed="false">
      <c r="B28" s="57" t="s">
        <v>332</v>
      </c>
      <c r="C28" s="62"/>
    </row>
    <row r="29" customFormat="false" ht="15" hidden="false" customHeight="false" outlineLevel="0" collapsed="false">
      <c r="B29" s="43" t="s">
        <v>333</v>
      </c>
      <c r="C29" s="20" t="s">
        <v>334</v>
      </c>
    </row>
    <row r="30" customFormat="false" ht="15" hidden="false" customHeight="false" outlineLevel="0" collapsed="false">
      <c r="B30" s="63" t="s">
        <v>335</v>
      </c>
      <c r="C30" s="20" t="s">
        <v>336</v>
      </c>
    </row>
  </sheetData>
  <printOptions headings="false" gridLines="false" gridLinesSet="true" horizontalCentered="false" verticalCentered="false"/>
  <pageMargins left="0.4" right="0.4" top="0.6" bottom="0.6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&amp;LSparkling Daily • FY2026&amp;C&amp;A&amp;Rv2.0 •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2026-06-26T07:09:36Z</dcterms:created>
  <dc:creator>openpyxl</dc:creator>
  <dc:description/>
  <dc:language>en-US</dc:language>
  <cp:lastModifiedBy/>
  <dcterms:modified xsi:type="dcterms:W3CDTF">2026-10-24T01:37:35Z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