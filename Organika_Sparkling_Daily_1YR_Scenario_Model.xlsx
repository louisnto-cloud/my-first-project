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'Dashboard'!$C$15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'Dashboard'!$D$15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'Dashboard'!$E$15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Sales · Gross Profit · EBITDA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Sales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'Dashboard'!$C$8:$F$8</f>
            </numRef>
          </val>
        </ser>
        <ser>
          <idx val="1"/>
          <order val="1"/>
          <tx>
            <v>Gross Profit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'Dashboard'!$C$9:$F$9</f>
            </numRef>
          </val>
        </ser>
        <ser>
          <idx val="2"/>
          <order val="2"/>
          <tx>
            <v>EBITDA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'Dashboard'!$C$15:$F$15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CDN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profile by scenario</a:t>
            </a:r>
          </a:p>
        </rich>
      </tx>
    </title>
    <plotArea>
      <lineChart>
        <grouping val="standard"/>
        <ser>
          <idx val="0"/>
          <order val="0"/>
          <tx>
            <v>GP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'Dashboard'!$C$10:$F$10</f>
            </numRef>
          </val>
        </ser>
        <ser>
          <idx val="1"/>
          <order val="1"/>
          <tx>
            <v>CM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'Dashboard'!$C$13:$F$13</f>
            </numRef>
          </val>
        </ser>
        <ser>
          <idx val="2"/>
          <order val="2"/>
          <tx>
            <v>EBITDA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'Dashboard'!$C$16:$F$16</f>
            </numRef>
          </val>
        </ser>
        <ser>
          <idx val="3"/>
          <order val="3"/>
          <tx>
            <v>Net Income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'Dashboard'!$C$18:$F$18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net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Net Sales &amp; EBITDA (selected scenario)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Sales</v>
          </tx>
          <spPr>
            <a:ln>
              <a:prstDash val="solid"/>
            </a:ln>
          </spPr>
          <cat>
            <numRef>
              <f>'Monthly'!$C$6:$N$6</f>
            </numRef>
          </cat>
          <val>
            <numRef>
              <f>'Monthly'!$C$8:$N$8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'Monthly'!$C$6:$N$6</f>
            </numRef>
          </cat>
          <val>
            <numRef>
              <f>'Monthly'!$C$14:$N$14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CDN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Profit % vs CP</a:t>
            </a:r>
          </a:p>
        </rich>
      </tx>
    </title>
    <plotArea>
      <lineChart>
        <grouping val="standard"/>
        <ser>
          <idx val="0"/>
          <order val="0"/>
          <tx>
            <v>Pineapple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Lab'!$C$6:$I$6</f>
            </numRef>
          </val>
        </ser>
        <ser>
          <idx val="1"/>
          <order val="1"/>
          <tx>
            <v>Passionfruit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Lab'!$C$7:$I$7</f>
            </numRef>
          </val>
        </ser>
        <ser>
          <idx val="2"/>
          <order val="2"/>
          <tx>
            <v>Lime Lemon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Lab'!$C$8:$I$8</f>
            </numRef>
          </val>
        </ser>
        <ser>
          <idx val="3"/>
          <order val="3"/>
          <tx>
            <v>Pineapple 12-Pack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Lab'!$C$9:$I$9</f>
            </numRef>
          </val>
        </ser>
        <ser>
          <idx val="4"/>
          <order val="4"/>
          <tx>
            <v>Passionfruit 12-Pack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Lab'!$C$10:$I$10</f>
            </numRef>
          </val>
        </ser>
        <ser>
          <idx val="5"/>
          <order val="5"/>
          <tx>
            <v>Lime Lemon 12-Pack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Lab'!$C$11:$I$11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CP vs base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GP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EXPLORE</t>
        </is>
      </c>
    </row>
    <row r="14">
      <c r="B14" s="13" t="inlineStr">
        <is>
          <t>Assumptions</t>
        </is>
      </c>
      <c r="C14" s="6" t="inlineStr">
        <is>
          <t>The one place you type. Edit the yellow cells.</t>
        </is>
      </c>
    </row>
    <row r="15">
      <c r="B15" s="13" t="inlineStr">
        <is>
          <t>Dashboard</t>
        </is>
      </c>
      <c r="C15" s="6" t="inlineStr">
        <is>
          <t>All four scenarios compared, with charts.</t>
        </is>
      </c>
    </row>
    <row r="16">
      <c r="B16" s="13" t="inlineStr">
        <is>
          <t>Base · Low · High · Stretch</t>
        </is>
      </c>
      <c r="C16" s="6" t="inlineStr">
        <is>
          <t>Full P&amp;L for each scenario.</t>
        </is>
      </c>
    </row>
    <row r="17">
      <c r="B17" s="13" t="inlineStr">
        <is>
          <t>Monthly</t>
        </is>
      </c>
      <c r="C17" s="6" t="inlineStr">
        <is>
          <t>Spread a scenario across the year.</t>
        </is>
      </c>
    </row>
    <row r="18">
      <c r="B18" s="13" t="inlineStr">
        <is>
          <t>Pricing Lab</t>
        </is>
      </c>
      <c r="C18" s="6" t="inlineStr">
        <is>
          <t>Find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12-PACK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12-Pack</t>
        </is>
      </c>
      <c r="G7" s="22" t="inlineStr">
        <is>
          <t>12-Pack</t>
        </is>
      </c>
      <c r="H7" s="22" t="inlineStr">
        <is>
          <t>12-Pack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24</v>
      </c>
      <c r="D9" s="23" t="n">
        <v>24</v>
      </c>
      <c r="E9" s="23" t="n">
        <v>24</v>
      </c>
      <c r="F9" s="23" t="n">
        <v>8</v>
      </c>
      <c r="G9" s="23" t="n">
        <v>8</v>
      </c>
      <c r="H9" s="23" t="n">
        <v>8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28</v>
      </c>
      <c r="D11" s="25" t="n">
        <v>28</v>
      </c>
      <c r="E11" s="25" t="n">
        <v>26</v>
      </c>
      <c r="F11" s="25" t="n">
        <v>34</v>
      </c>
      <c r="G11" s="25" t="n">
        <v>34</v>
      </c>
      <c r="H11" s="25" t="n">
        <v>32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4.3</v>
      </c>
      <c r="D15" s="25" t="n">
        <v>4.3</v>
      </c>
      <c r="E15" s="25" t="n">
        <v>4.1</v>
      </c>
      <c r="F15" s="25" t="n">
        <v>4.9</v>
      </c>
      <c r="G15" s="25" t="n">
        <v>4.9</v>
      </c>
      <c r="H15" s="25" t="n">
        <v>4.7</v>
      </c>
    </row>
    <row r="16">
      <c r="B16" s="21" t="inlineStr">
        <is>
          <t xml:space="preserve">   Packaging</t>
        </is>
      </c>
      <c r="C16" s="25" t="n">
        <v>5.3</v>
      </c>
      <c r="D16" s="25" t="n">
        <v>5.3</v>
      </c>
      <c r="E16" s="25" t="n">
        <v>5.1</v>
      </c>
      <c r="F16" s="25" t="n">
        <v>7.4</v>
      </c>
      <c r="G16" s="25" t="n">
        <v>7.4</v>
      </c>
      <c r="H16" s="25" t="n">
        <v>7.2</v>
      </c>
    </row>
    <row r="17">
      <c r="B17" s="21" t="inlineStr">
        <is>
          <t xml:space="preserve">   Manufacturing / Co-pack</t>
        </is>
      </c>
      <c r="C17" s="25" t="n">
        <v>2.9</v>
      </c>
      <c r="D17" s="25" t="n">
        <v>2.9</v>
      </c>
      <c r="E17" s="25" t="n">
        <v>2.8</v>
      </c>
      <c r="F17" s="25" t="n">
        <v>3.1</v>
      </c>
      <c r="G17" s="25" t="n">
        <v>3.1</v>
      </c>
      <c r="H17" s="25" t="n">
        <v>3</v>
      </c>
    </row>
    <row r="18">
      <c r="B18" s="21" t="inlineStr">
        <is>
          <t xml:space="preserve">   Inbound Freight</t>
        </is>
      </c>
      <c r="C18" s="25" t="n">
        <v>0.58</v>
      </c>
      <c r="D18" s="25" t="n">
        <v>0.58</v>
      </c>
      <c r="E18" s="25" t="n">
        <v>0.55</v>
      </c>
      <c r="F18" s="25" t="n">
        <v>0.6</v>
      </c>
      <c r="G18" s="25" t="n">
        <v>0.6</v>
      </c>
      <c r="H18" s="25" t="n">
        <v>0.58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1.44</v>
      </c>
      <c r="D20" s="25" t="n">
        <v>1.44</v>
      </c>
      <c r="E20" s="25" t="n">
        <v>1.4</v>
      </c>
      <c r="F20" s="25" t="n">
        <v>2.25</v>
      </c>
      <c r="G20" s="25" t="n">
        <v>2.25</v>
      </c>
      <c r="H20" s="25" t="n">
        <v>2.2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0.75</v>
      </c>
      <c r="D23" s="25" t="n">
        <v>0.75</v>
      </c>
      <c r="E23" s="25" t="n">
        <v>0.75</v>
      </c>
      <c r="F23" s="25" t="n">
        <v>0.75</v>
      </c>
      <c r="G23" s="25" t="n">
        <v>0.75</v>
      </c>
      <c r="H23" s="25" t="n">
        <v>0.75</v>
      </c>
    </row>
    <row r="24">
      <c r="B24" s="21" t="inlineStr">
        <is>
          <t xml:space="preserve">   Trade</t>
        </is>
      </c>
      <c r="C24" s="25" t="n">
        <v>1.25</v>
      </c>
      <c r="D24" s="25" t="n">
        <v>1.25</v>
      </c>
      <c r="E24" s="25" t="n">
        <v>1.25</v>
      </c>
      <c r="F24" s="25" t="n">
        <v>1.5</v>
      </c>
      <c r="G24" s="25" t="n">
        <v>1.5</v>
      </c>
      <c r="H24" s="25" t="n">
        <v>1.5</v>
      </c>
    </row>
    <row r="25">
      <c r="B25" s="21" t="inlineStr">
        <is>
          <t xml:space="preserve">   Sales / Broker</t>
        </is>
      </c>
      <c r="C25" s="25" t="n">
        <v>0.5</v>
      </c>
      <c r="D25" s="25" t="n">
        <v>0.5</v>
      </c>
      <c r="E25" s="25" t="n">
        <v>0.5</v>
      </c>
      <c r="F25" s="25" t="n">
        <v>0.5</v>
      </c>
      <c r="G25" s="25" t="n">
        <v>0.5</v>
      </c>
      <c r="H25" s="25" t="n">
        <v>0.5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12000</v>
      </c>
      <c r="D28" s="23" t="n">
        <v>9000</v>
      </c>
      <c r="E28" s="23" t="n">
        <v>7000</v>
      </c>
      <c r="F28" s="23" t="n">
        <v>5000</v>
      </c>
      <c r="G28" s="23" t="n">
        <v>4000</v>
      </c>
      <c r="H28" s="23" t="n">
        <v>3000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conditionalFormatting sqref="C8:F8">
    <cfRule type="dataBar" priority="1">
      <dataBar>
        <cfvo type="min"/>
        <cfvo type="max"/>
        <color rgb="00638EC6"/>
      </dataBar>
    </cfRule>
  </conditionalFormatting>
  <conditionalFormatting sqref="C15:F15">
    <cfRule type="dataBar" priority="2">
      <dataBar>
        <cfvo type="min"/>
        <cfvo type="max"/>
        <color rgb="0063BE7B"/>
      </dataBar>
    </cfRule>
  </conditionalFormatting>
  <conditionalFormatting sqref="C17:F17">
    <cfRule type="dataBar" priority="3">
      <dataBar>
        <cfvo type="min"/>
        <cfvo type="max"/>
        <color rgb="008E7CC3"/>
      </dataBar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12-PACK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12-PACK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12-PACK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12-PACK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12-Pack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12-Pack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12-Pack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12-Pack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12-Pack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12-Pack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conditionalFormatting sqref="C6:I11">
    <cfRule type="colorScale" priority="1">
      <colorScale>
        <cfvo type="num" val="0"/>
        <cfvo type="num" val="0.4"/>
        <cfvo type="num" val="0.6"/>
        <color rgb="00F8696B"/>
        <color rgb="00FFEB84"/>
        <color rgb="0063BE7B"/>
      </colorScale>
    </cfRule>
  </conditionalFormatting>
  <conditionalFormatting sqref="C16:I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conditionalFormatting sqref="C13:I18">
    <cfRule type="colorScale" priority="1">
      <colorScale>
        <cfvo type="num" val="0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and 12-Pack hold different unit counts (see Units per case).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+ 12-Pack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+ chart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2026-06-13T08:03:03Z</dcterms:created>
  <dcterms:modified xsi:type="dcterms:W3CDTF">2026-06-13T08:03:03Z</dcterms:modified>
</cp:coreProperties>
</file>