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5.xml" ContentType="application/vnd.openxmlformats-officedocument.drawing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ents" sheetId="2" state="visible" r:id="rId2"/>
    <sheet xmlns:r="http://schemas.openxmlformats.org/officeDocument/2006/relationships" name="🏠 Start Here" sheetId="3" state="visible" r:id="rId3"/>
    <sheet xmlns:r="http://schemas.openxmlformats.org/officeDocument/2006/relationships" name="02 Executive Summary" sheetId="4" state="visible" r:id="rId4"/>
    <sheet xmlns:r="http://schemas.openxmlformats.org/officeDocument/2006/relationships" name="Decision Memo" sheetId="5" state="visible" r:id="rId5"/>
    <sheet xmlns:r="http://schemas.openxmlformats.org/officeDocument/2006/relationships" name="Executive Brief 1-page" sheetId="6" state="visible" r:id="rId6"/>
    <sheet xmlns:r="http://schemas.openxmlformats.org/officeDocument/2006/relationships" name="Financial Model" sheetId="7" state="visible" r:id="rId7"/>
    <sheet xmlns:r="http://schemas.openxmlformats.org/officeDocument/2006/relationships" name="Scenario Comparison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Assumptions Audit" sheetId="10" state="visible" r:id="rId10"/>
    <sheet xmlns:r="http://schemas.openxmlformats.org/officeDocument/2006/relationships" name="Data Confidence" sheetId="11" state="visible" r:id="rId11"/>
    <sheet xmlns:r="http://schemas.openxmlformats.org/officeDocument/2006/relationships" name="03 Methodology" sheetId="12" state="visible" r:id="rId12"/>
    <sheet xmlns:r="http://schemas.openxmlformats.org/officeDocument/2006/relationships" name="04 Market Sizing" sheetId="13" state="visible" r:id="rId13"/>
    <sheet xmlns:r="http://schemas.openxmlformats.org/officeDocument/2006/relationships" name="05 Trends &amp; Macro" sheetId="14" state="visible" r:id="rId14"/>
    <sheet xmlns:r="http://schemas.openxmlformats.org/officeDocument/2006/relationships" name="06 Consumer" sheetId="15" state="visible" r:id="rId15"/>
    <sheet xmlns:r="http://schemas.openxmlformats.org/officeDocument/2006/relationships" name="07 Comparison Matrix" sheetId="16" state="visible" r:id="rId16"/>
    <sheet xmlns:r="http://schemas.openxmlformats.org/officeDocument/2006/relationships" name="MÜV Peer Set" sheetId="17" state="visible" r:id="rId17"/>
    <sheet xmlns:r="http://schemas.openxmlformats.org/officeDocument/2006/relationships" name="08 Extended Landscape" sheetId="18" state="visible" r:id="rId18"/>
    <sheet xmlns:r="http://schemas.openxmlformats.org/officeDocument/2006/relationships" name="09 Channel &amp; Retail" sheetId="19" state="visible" r:id="rId19"/>
    <sheet xmlns:r="http://schemas.openxmlformats.org/officeDocument/2006/relationships" name="10 Channel Economics" sheetId="20" state="visible" r:id="rId20"/>
    <sheet xmlns:r="http://schemas.openxmlformats.org/officeDocument/2006/relationships" name="11 Formulation" sheetId="21" state="visible" r:id="rId21"/>
    <sheet xmlns:r="http://schemas.openxmlformats.org/officeDocument/2006/relationships" name="12 Marketing" sheetId="22" state="visible" r:id="rId22"/>
    <sheet xmlns:r="http://schemas.openxmlformats.org/officeDocument/2006/relationships" name="13 Launch Playbooks" sheetId="23" state="visible" r:id="rId23"/>
    <sheet xmlns:r="http://schemas.openxmlformats.org/officeDocument/2006/relationships" name="14 Patterns &amp; Failures" sheetId="24" state="visible" r:id="rId24"/>
    <sheet xmlns:r="http://schemas.openxmlformats.org/officeDocument/2006/relationships" name="15 Outcomes &amp; M&amp;A" sheetId="25" state="visible" r:id="rId25"/>
    <sheet xmlns:r="http://schemas.openxmlformats.org/officeDocument/2006/relationships" name="16 SWOT" sheetId="26" state="visible" r:id="rId26"/>
    <sheet xmlns:r="http://schemas.openxmlformats.org/officeDocument/2006/relationships" name="17 Scoring Model" sheetId="27" state="visible" r:id="rId27"/>
    <sheet xmlns:r="http://schemas.openxmlformats.org/officeDocument/2006/relationships" name="18 Canada Market" sheetId="28" state="visible" r:id="rId28"/>
    <sheet xmlns:r="http://schemas.openxmlformats.org/officeDocument/2006/relationships" name="19 Canada Regulatory" sheetId="29" state="visible" r:id="rId29"/>
    <sheet xmlns:r="http://schemas.openxmlformats.org/officeDocument/2006/relationships" name="Canada Regulatory v2" sheetId="30" state="visible" r:id="rId30"/>
    <sheet xmlns:r="http://schemas.openxmlformats.org/officeDocument/2006/relationships" name="Electrolyte BFY Deep-Dive" sheetId="31" state="visible" r:id="rId31"/>
    <sheet xmlns:r="http://schemas.openxmlformats.org/officeDocument/2006/relationships" name="20 GTM Recommendation" sheetId="32" state="visible" r:id="rId32"/>
    <sheet xmlns:r="http://schemas.openxmlformats.org/officeDocument/2006/relationships" name="How to Present" sheetId="33" state="visible" r:id="rId33"/>
    <sheet xmlns:r="http://schemas.openxmlformats.org/officeDocument/2006/relationships" name="FAQ &amp; Objections" sheetId="34" state="visible" r:id="rId34"/>
    <sheet xmlns:r="http://schemas.openxmlformats.org/officeDocument/2006/relationships" name="Next Steps &amp; Gates" sheetId="35" state="visible" r:id="rId35"/>
    <sheet xmlns:r="http://schemas.openxmlformats.org/officeDocument/2006/relationships" name="21 Launch Plan" sheetId="36" state="visible" r:id="rId36"/>
    <sheet xmlns:r="http://schemas.openxmlformats.org/officeDocument/2006/relationships" name="22 Risk Register" sheetId="37" state="visible" r:id="rId37"/>
    <sheet xmlns:r="http://schemas.openxmlformats.org/officeDocument/2006/relationships" name="23 KPI Dashboard" sheetId="38" state="visible" r:id="rId38"/>
    <sheet xmlns:r="http://schemas.openxmlformats.org/officeDocument/2006/relationships" name="Go-NoGo Decision" sheetId="39" state="visible" r:id="rId39"/>
    <sheet xmlns:r="http://schemas.openxmlformats.org/officeDocument/2006/relationships" name="24 Sources" sheetId="40" state="visible" r:id="rId40"/>
    <sheet xmlns:r="http://schemas.openxmlformats.org/officeDocument/2006/relationships" name="Verification Log" sheetId="41" state="visible" r:id="rId41"/>
    <sheet xmlns:r="http://schemas.openxmlformats.org/officeDocument/2006/relationships" name="25 Glossary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"/>
    <numFmt numFmtId="166" formatCode="&quot;$&quot;#,##0"/>
    <numFmt numFmtId="167" formatCode="0.0%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color rgb="00FFFFFF"/>
      <sz val="13"/>
    </font>
    <font>
      <name val="Calibri"/>
      <i val="1"/>
      <color rgb="0014304F"/>
      <sz val="11"/>
    </font>
    <font>
      <name val="Calibri"/>
      <b val="1"/>
      <color rgb="0014304F"/>
      <sz val="12"/>
    </font>
    <font>
      <name val="Calibri"/>
      <sz val="10"/>
    </font>
    <font>
      <name val="Calibri"/>
      <b val="1"/>
      <color rgb="001E7D32"/>
      <sz val="10"/>
    </font>
    <font>
      <name val="Calibri"/>
      <b val="1"/>
      <color rgb="00B45309"/>
      <sz val="10"/>
    </font>
    <font>
      <name val="Calibri"/>
      <b val="1"/>
      <color rgb="001155CC"/>
      <sz val="10"/>
      <u val="single"/>
    </font>
    <font>
      <name val="Calibri"/>
      <b val="1"/>
      <color rgb="001155CC"/>
      <sz val="8"/>
      <u val="single"/>
    </font>
    <font>
      <name val="Calibri"/>
      <b val="1"/>
      <color rgb="00FFFFFF"/>
      <sz val="10"/>
    </font>
    <font>
      <name val="Calibri"/>
      <b val="1"/>
      <color rgb="001E7D32"/>
      <sz val="9"/>
    </font>
    <font>
      <name val="Calibri"/>
      <b val="1"/>
      <color rgb="001155CC"/>
      <sz val="9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14304F"/>
      <sz val="11"/>
    </font>
    <font>
      <name val="Calibri"/>
      <i val="1"/>
      <color rgb="00595959"/>
      <sz val="9"/>
    </font>
    <font>
      <name val="Calibri"/>
      <b val="1"/>
      <color rgb="0014304F"/>
      <sz val="9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14304F"/>
      <sz val="13"/>
    </font>
    <font>
      <name val="Calibri"/>
      <i val="1"/>
      <color rgb="00595959"/>
      <sz val="8"/>
    </font>
    <font>
      <name val="Calibri"/>
      <b val="1"/>
      <color rgb="00B4530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i val="1"/>
      <color rgb="001E7D32"/>
      <sz val="9"/>
    </font>
    <font>
      <name val="Calibri"/>
      <color rgb="001155CC"/>
      <sz val="10"/>
      <u val="single"/>
    </font>
    <font>
      <name val="Calibri"/>
      <b val="1"/>
      <color rgb="003E5C76"/>
      <sz val="9"/>
    </font>
    <font>
      <name val="Calibri"/>
      <i val="1"/>
      <color rgb="001E7D32"/>
      <sz val="9"/>
    </font>
    <font>
      <name val="Calibri"/>
      <b val="1"/>
      <sz val="11"/>
    </font>
    <font>
      <name val="Calibri"/>
      <b val="1"/>
    </font>
    <font>
      <name val="Calibri"/>
      <b val="1"/>
      <color rgb="00B45309"/>
      <sz val="10"/>
      <u val="single"/>
    </font>
  </fonts>
  <fills count="16">
    <fill>
      <patternFill/>
    </fill>
    <fill>
      <patternFill patternType="gray125"/>
    </fill>
    <fill>
      <patternFill patternType="solid">
        <fgColor rgb="0014304F"/>
      </patternFill>
    </fill>
    <fill>
      <patternFill patternType="solid">
        <fgColor rgb="002E7D8A"/>
      </patternFill>
    </fill>
    <fill>
      <patternFill patternType="solid">
        <fgColor rgb="00E2EFDA"/>
      </patternFill>
    </fill>
    <fill>
      <patternFill patternType="solid">
        <fgColor rgb="003E5C76"/>
      </patternFill>
    </fill>
    <fill>
      <patternFill patternType="solid">
        <fgColor rgb="00F4F8FA"/>
      </patternFill>
    </fill>
    <fill>
      <patternFill patternType="solid">
        <fgColor rgb="00EAF1F4"/>
      </patternFill>
    </fill>
    <fill>
      <patternFill patternType="solid">
        <fgColor rgb="00FFFFFF"/>
      </patternFill>
    </fill>
    <fill>
      <patternFill patternType="solid">
        <fgColor rgb="001E7D32"/>
      </patternFill>
    </fill>
    <fill>
      <patternFill patternType="solid">
        <fgColor rgb="009C2A2A"/>
      </patternFill>
    </fill>
    <fill>
      <patternFill patternType="solid">
        <fgColor rgb="00B45309"/>
      </patternFill>
    </fill>
    <fill>
      <patternFill patternType="solid">
        <fgColor rgb="00FFF7CC"/>
      </patternFill>
    </fill>
    <fill>
      <patternFill patternType="solid">
        <fgColor rgb="00FFF2CC"/>
      </patternFill>
    </fill>
    <fill>
      <patternFill patternType="solid">
        <fgColor rgb="00C9A227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horizontal="right"/>
    </xf>
    <xf numFmtId="0" fontId="10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33" fillId="1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vertical="top" wrapText="1"/>
    </xf>
    <xf numFmtId="0" fontId="8" fillId="7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 wrapText="1"/>
    </xf>
    <xf numFmtId="0" fontId="12" fillId="6" borderId="1" applyAlignment="1" pivotButton="0" quotePrefix="0" xfId="0">
      <alignment vertical="center" wrapText="1"/>
    </xf>
    <xf numFmtId="0" fontId="13" fillId="6" borderId="1" applyAlignment="1" pivotButton="0" quotePrefix="0" xfId="0">
      <alignment vertical="top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0" fontId="10" fillId="9" borderId="0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12" borderId="1" applyAlignment="1" applyProtection="1" pivotButton="0" quotePrefix="0" xfId="0">
      <alignment horizontal="center" vertical="center" wrapText="1"/>
      <protection locked="0" hidden="0"/>
    </xf>
    <xf numFmtId="0" fontId="1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1" fontId="5" fillId="6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12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164" fontId="14" fillId="12" borderId="1" applyAlignment="1" applyProtection="1" pivotButton="0" quotePrefix="0" xfId="0">
      <alignment horizontal="center" vertical="center" wrapText="1"/>
      <protection locked="0" hidden="0"/>
    </xf>
    <xf numFmtId="164" fontId="14" fillId="4" borderId="1" applyAlignment="1" pivotButton="0" quotePrefix="0" xfId="0">
      <alignment horizontal="center" vertical="center" wrapText="1"/>
    </xf>
    <xf numFmtId="9" fontId="14" fillId="12" borderId="1" applyAlignment="1" applyProtection="1" pivotButton="0" quotePrefix="0" xfId="0">
      <alignment horizontal="center" vertical="center" wrapText="1"/>
      <protection locked="0" hidden="0"/>
    </xf>
    <xf numFmtId="9" fontId="14" fillId="4" borderId="1" applyAlignment="1" pivotButton="0" quotePrefix="0" xfId="0">
      <alignment horizontal="center" vertical="center" wrapText="1"/>
    </xf>
    <xf numFmtId="1" fontId="14" fillId="12" borderId="1" applyAlignment="1" applyProtection="1" pivotButton="0" quotePrefix="0" xfId="0">
      <alignment horizontal="center" vertical="center" wrapText="1"/>
      <protection locked="0" hidden="0"/>
    </xf>
    <xf numFmtId="1" fontId="14" fillId="4" borderId="1" applyAlignment="1" pivotButton="0" quotePrefix="0" xfId="0">
      <alignment horizontal="center" vertical="center" wrapText="1"/>
    </xf>
    <xf numFmtId="3" fontId="14" fillId="12" borderId="1" applyAlignment="1" applyProtection="1" pivotButton="0" quotePrefix="0" xfId="0">
      <alignment horizontal="center" vertical="center" wrapText="1"/>
      <protection locked="0" hidden="0"/>
    </xf>
    <xf numFmtId="3" fontId="14" fillId="4" borderId="1" applyAlignment="1" pivotButton="0" quotePrefix="0" xfId="0">
      <alignment horizontal="center" vertical="center" wrapText="1"/>
    </xf>
    <xf numFmtId="165" fontId="14" fillId="12" borderId="1" applyAlignment="1" applyProtection="1" pivotButton="0" quotePrefix="0" xfId="0">
      <alignment horizontal="center" vertical="center" wrapText="1"/>
      <protection locked="0" hidden="0"/>
    </xf>
    <xf numFmtId="165" fontId="14" fillId="4" borderId="1" applyAlignment="1" pivotButton="0" quotePrefix="0" xfId="0">
      <alignment horizontal="center" vertical="center" wrapText="1"/>
    </xf>
    <xf numFmtId="166" fontId="14" fillId="12" borderId="1" applyAlignment="1" applyProtection="1" pivotButton="0" quotePrefix="0" xfId="0">
      <alignment horizontal="center" vertical="center" wrapText="1"/>
      <protection locked="0" hidden="0"/>
    </xf>
    <xf numFmtId="166" fontId="14" fillId="4" borderId="1" applyAlignment="1" pivotButton="0" quotePrefix="0" xfId="0">
      <alignment horizontal="center" vertical="center" wrapText="1"/>
    </xf>
    <xf numFmtId="164" fontId="14" fillId="6" borderId="1" applyAlignment="1" pivotButton="0" quotePrefix="0" xfId="0">
      <alignment horizontal="center" vertical="center" wrapText="1"/>
    </xf>
    <xf numFmtId="167" fontId="14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66" fontId="14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167" fontId="5" fillId="6" borderId="1" applyAlignment="1" pivotButton="0" quotePrefix="0" xfId="0">
      <alignment horizontal="center" vertical="center" wrapText="1"/>
    </xf>
    <xf numFmtId="3" fontId="14" fillId="6" borderId="1" applyAlignment="1" pivotButton="0" quotePrefix="0" xfId="0">
      <alignment horizontal="center" vertical="center" wrapText="1"/>
    </xf>
    <xf numFmtId="3" fontId="14" fillId="13" borderId="1" applyAlignment="1" pivotButton="0" quotePrefix="0" xfId="0">
      <alignment horizontal="center" vertical="center" wrapText="1"/>
    </xf>
    <xf numFmtId="164" fontId="20" fillId="5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center" wrapText="1"/>
    </xf>
    <xf numFmtId="167" fontId="5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164" fontId="14" fillId="7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13" borderId="1" pivotButton="0" quotePrefix="0" xfId="0"/>
    <xf numFmtId="0" fontId="14" fillId="4" borderId="1" pivotButton="0" quotePrefix="0" xfId="0"/>
    <xf numFmtId="0" fontId="14" fillId="7" borderId="1" pivotButton="0" quotePrefix="0" xfId="0"/>
    <xf numFmtId="0" fontId="20" fillId="9" borderId="0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2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32" fillId="0" borderId="0" pivotButton="0" quotePrefix="0" xfId="0"/>
    <xf numFmtId="0" fontId="32" fillId="0" borderId="0" applyAlignment="1" pivotButton="0" quotePrefix="0" xfId="0">
      <alignment horizontal="center" vertical="center" wrapText="1"/>
    </xf>
    <xf numFmtId="0" fontId="16" fillId="7" borderId="1" applyAlignment="1" pivotButton="0" quotePrefix="0" xfId="0">
      <alignment vertical="top" wrapText="1"/>
    </xf>
    <xf numFmtId="0" fontId="10" fillId="9" borderId="0" applyAlignment="1" pivotButton="0" quotePrefix="0" xfId="0">
      <alignment horizontal="left" vertical="center" indent="1"/>
    </xf>
    <xf numFmtId="0" fontId="24" fillId="13" borderId="1" pivotButton="0" quotePrefix="0" xfId="0"/>
    <xf numFmtId="0" fontId="17" fillId="14" borderId="1" applyAlignment="1" pivotButton="0" quotePrefix="0" xfId="0">
      <alignment vertical="top" wrapText="1"/>
    </xf>
    <xf numFmtId="0" fontId="25" fillId="4" borderId="1" applyAlignment="1" pivotButton="0" quotePrefix="0" xfId="0">
      <alignment vertical="top" wrapText="1"/>
    </xf>
    <xf numFmtId="0" fontId="10" fillId="3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10" fillId="10" borderId="0" applyAlignment="1" pivotButton="0" quotePrefix="0" xfId="0">
      <alignment horizontal="left" vertical="center" indent="1"/>
    </xf>
    <xf numFmtId="0" fontId="5" fillId="15" borderId="1" applyAlignment="1" pivotButton="0" quotePrefix="0" xfId="0">
      <alignment vertical="top" wrapText="1"/>
    </xf>
    <xf numFmtId="9" fontId="14" fillId="13" borderId="1" applyAlignment="1" pivotButton="0" quotePrefix="0" xfId="0">
      <alignment horizontal="center" vertical="center" wrapText="1"/>
    </xf>
    <xf numFmtId="0" fontId="5" fillId="0" borderId="1" pivotButton="0" quotePrefix="0" xfId="0"/>
    <xf numFmtId="2" fontId="14" fillId="0" borderId="1" applyAlignment="1" pivotButton="0" quotePrefix="0" xfId="0">
      <alignment horizontal="center" vertical="center" wrapText="1"/>
    </xf>
    <xf numFmtId="0" fontId="5" fillId="7" borderId="1" pivotButton="0" quotePrefix="0" xfId="0"/>
    <xf numFmtId="0" fontId="5" fillId="7" borderId="1" applyAlignment="1" pivotButton="0" quotePrefix="0" xfId="0">
      <alignment horizontal="center" vertical="center" wrapText="1"/>
    </xf>
    <xf numFmtId="2" fontId="14" fillId="7" borderId="1" applyAlignment="1" pivotButton="0" quotePrefix="0" xfId="0">
      <alignment horizontal="center" vertical="center" wrapText="1"/>
    </xf>
    <xf numFmtId="0" fontId="24" fillId="13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20" fillId="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9" fontId="14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right"/>
    </xf>
    <xf numFmtId="2" fontId="4" fillId="4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vertical="top" wrapText="1"/>
    </xf>
    <xf numFmtId="0" fontId="28" fillId="0" borderId="1" applyAlignment="1" pivotButton="0" quotePrefix="0" xfId="0">
      <alignment vertical="top" wrapText="1"/>
    </xf>
    <xf numFmtId="0" fontId="28" fillId="7" borderId="1" applyAlignment="1" pivotButton="0" quotePrefix="0" xfId="0">
      <alignment vertical="top" wrapText="1"/>
    </xf>
    <xf numFmtId="0" fontId="29" fillId="7" borderId="1" applyAlignment="1" pivotButton="0" quotePrefix="0" xfId="0">
      <alignment vertical="top" wrapText="1"/>
    </xf>
    <xf numFmtId="0" fontId="3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Year-3 Net Revenue vs EBITDA by Scenario (CAD)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Comparison'!B17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Comparison'!$A$18:$A$20</f>
            </numRef>
          </cat>
          <val>
            <numRef>
              <f>'Scenario Comparison'!$B$18:$B$20</f>
            </numRef>
          </val>
        </ser>
        <ser>
          <idx val="1"/>
          <order val="1"/>
          <tx>
            <strRef>
              <f>'Scenario Comparison'!C17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Comparison'!$A$18:$A$20</f>
            </numRef>
          </cat>
          <val>
            <numRef>
              <f>'Scenario Comparison'!$C$18:$C$20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Break-even units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Comparison'!D17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Comparison'!$A$18:$A$20</f>
            </numRef>
          </cat>
          <val>
            <numRef>
              <f>'Scenario Comparison'!$D$18:$D$20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Sizes (US, $B)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'Dashboard'!$A$72:$A$77</f>
            </numRef>
          </cat>
          <val>
            <numRef>
              <f>'Dashboard'!$B$72:$B$77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Trajectory ($M)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'Dashboard'!$E$72:$E$76</f>
            </numRef>
          </cat>
          <val>
            <numRef>
              <f>'Dashboard'!$F$72:$F$76</f>
            </numRef>
          </val>
        </ser>
        <ser>
          <idx val="1"/>
          <order val="1"/>
          <tx>
            <strRef>
              <f>'Dashboard'!G71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'Dashboard'!$E$72:$E$76</f>
            </numRef>
          </cat>
          <val>
            <numRef>
              <f>'Dashboard'!$G$72:$G$76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Modern Soda Share '24 (%)</a:t>
            </a:r>
          </a:p>
        </rich>
      </tx>
    </title>
    <plotArea>
      <pieChart>
        <varyColors val="1"/>
        <ser>
          <idx val="0"/>
          <order val="0"/>
          <tx>
            <strRef>
              <f>'Dashboard'!J71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'Dashboard'!$I$72:$I$77</f>
            </numRef>
          </cat>
          <val>
            <numRef>
              <f>'Dashboard'!$J$72:$J$77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Competitive Score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'Dashboard'!$M$72:$M$78</f>
            </numRef>
          </cat>
          <val>
            <numRef>
              <f>'Dashboard'!$N$72:$N$78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MÜV Scenario P&amp;L — Net Rev &amp; EBITDA (CAD)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 Model'!B40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Model'!$C$36:$E$36</f>
            </numRef>
          </cat>
          <val>
            <numRef>
              <f>'Financial Model'!$C$40:$E$40</f>
            </numRef>
          </val>
        </ser>
        <ser>
          <idx val="1"/>
          <order val="1"/>
          <tx>
            <strRef>
              <f>'Financial Model'!B47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Model'!$C$36:$E$36</f>
            </numRef>
          </cat>
          <val>
            <numRef>
              <f>'Financial Model'!$C$47:$E$47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Confidence tag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Confidence'!C4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Confidence'!$B$5:$B$7</f>
            </numRef>
          </cat>
          <val>
            <numRef>
              <f>'Data Confidence'!$C$5:$C$7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Electrolyte positioning — Sodium (mg) vs Price/serving</a:t>
            </a:r>
          </a:p>
        </rich>
      </tx>
    </title>
    <plotArea>
      <scatterChart>
        <ser>
          <idx val="0"/>
          <order val="0"/>
          <tx>
            <v>LMNT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'MÜV Peer Set'!$B$23</f>
            </numRef>
          </xVal>
          <yVal>
            <numRef>
              <f>'MÜV Peer Set'!$C$23</f>
            </numRef>
          </yVal>
        </ser>
        <ser>
          <idx val="1"/>
          <order val="1"/>
          <tx>
            <v>Liquid I.V.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'MÜV Peer Set'!$B$24</f>
            </numRef>
          </xVal>
          <yVal>
            <numRef>
              <f>'MÜV Peer Set'!$C$24</f>
            </numRef>
          </yVal>
        </ser>
        <ser>
          <idx val="2"/>
          <order val="2"/>
          <tx>
            <v>Nuun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'MÜV Peer Set'!$B$25</f>
            </numRef>
          </xVal>
          <yVal>
            <numRef>
              <f>'MÜV Peer Set'!$C$25</f>
            </numRef>
          </yVal>
        </ser>
        <ser>
          <idx val="3"/>
          <order val="3"/>
          <tx>
            <v>Organika sachets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'MÜV Peer Set'!$B$26</f>
            </numRef>
          </xVal>
          <yVal>
            <numRef>
              <f>'MÜV Peer Set'!$C$26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Sodium mg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Price/serving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price per serving ($) — where to anchor MÜV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'23 KPI 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'23 KPI Dashboard'!$A$14:$A$17</f>
            </numRef>
          </cat>
          <val>
            <numRef>
              <f>'23 KPI Dashboard'!$B$14:$B$17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MÜV model</author>
  </authors>
  <commentList>
    <comment ref="C4" authorId="0" shapeId="0">
      <text>
        <t>Pick Conservative / Base / Aggressive. The whole P&amp;L, break-even and sensitivity recompute from this one cell.</t>
      </text>
    </comment>
    <comment ref="C12" authorId="0" shapeId="0">
      <text>
        <t>Shelf price per can. Edit per scenario in C/D/E.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22</row>
      <rowOff>0</rowOff>
    </from>
    <ext cx="50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22</row>
      <rowOff>0</rowOff>
    </from>
    <ext cx="504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2</row>
      <rowOff>0</rowOff>
    </from>
    <ext cx="468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27968; Start Here'!A1" TargetMode="External" Id="rId1"/><Relationship Type="http://schemas.openxmlformats.org/officeDocument/2006/relationships/hyperlink" Target="#'Financial Model'!A1" TargetMode="External" Id="rId2"/><Relationship Type="http://schemas.openxmlformats.org/officeDocument/2006/relationships/hyperlink" Target="#'Scenario Comparison'!A1" TargetMode="External" Id="rId3"/><Relationship Type="http://schemas.openxmlformats.org/officeDocument/2006/relationships/hyperlink" Target="#'Go-NoGo Decision'!A1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#'&#127968; Start Here'!A1" TargetMode="External" Id="rId1"/><Relationship Type="http://schemas.openxmlformats.org/officeDocument/2006/relationships/hyperlink" Target="#'00 Cover'!A1" TargetMode="External" Id="rId2"/><Relationship Type="http://schemas.openxmlformats.org/officeDocument/2006/relationships/hyperlink" Target="#'&#127968; Start Here'!A1" TargetMode="External" Id="rId3"/><Relationship Type="http://schemas.openxmlformats.org/officeDocument/2006/relationships/hyperlink" Target="#'02 Executive Summary'!A1" TargetMode="External" Id="rId4"/><Relationship Type="http://schemas.openxmlformats.org/officeDocument/2006/relationships/hyperlink" Target="#'Decision Memo'!A1" TargetMode="External" Id="rId5"/><Relationship Type="http://schemas.openxmlformats.org/officeDocument/2006/relationships/hyperlink" Target="#'Executive Brief 1-page'!A1" TargetMode="External" Id="rId6"/><Relationship Type="http://schemas.openxmlformats.org/officeDocument/2006/relationships/hyperlink" Target="#'Financial Model'!A1" TargetMode="External" Id="rId7"/><Relationship Type="http://schemas.openxmlformats.org/officeDocument/2006/relationships/hyperlink" Target="#'Scenario Comparison'!A1" TargetMode="External" Id="rId8"/><Relationship Type="http://schemas.openxmlformats.org/officeDocument/2006/relationships/hyperlink" Target="#'Dashboard'!A1" TargetMode="External" Id="rId9"/><Relationship Type="http://schemas.openxmlformats.org/officeDocument/2006/relationships/hyperlink" Target="#'Assumptions Audit'!A1" TargetMode="External" Id="rId10"/><Relationship Type="http://schemas.openxmlformats.org/officeDocument/2006/relationships/hyperlink" Target="#'Data Confidence'!A1" TargetMode="External" Id="rId11"/><Relationship Type="http://schemas.openxmlformats.org/officeDocument/2006/relationships/hyperlink" Target="#'03 Methodology'!A1" TargetMode="External" Id="rId12"/><Relationship Type="http://schemas.openxmlformats.org/officeDocument/2006/relationships/hyperlink" Target="#'04 Market Sizing'!A1" TargetMode="External" Id="rId13"/><Relationship Type="http://schemas.openxmlformats.org/officeDocument/2006/relationships/hyperlink" Target="#'05 Trends &amp; Macro'!A1" TargetMode="External" Id="rId14"/><Relationship Type="http://schemas.openxmlformats.org/officeDocument/2006/relationships/hyperlink" Target="#'06 Consumer'!A1" TargetMode="External" Id="rId15"/><Relationship Type="http://schemas.openxmlformats.org/officeDocument/2006/relationships/hyperlink" Target="#'07 Comparison Matrix'!A1" TargetMode="External" Id="rId16"/><Relationship Type="http://schemas.openxmlformats.org/officeDocument/2006/relationships/hyperlink" Target="#'M&#220;V Peer Set'!A1" TargetMode="External" Id="rId17"/><Relationship Type="http://schemas.openxmlformats.org/officeDocument/2006/relationships/hyperlink" Target="#'08 Extended Landscape'!A1" TargetMode="External" Id="rId18"/><Relationship Type="http://schemas.openxmlformats.org/officeDocument/2006/relationships/hyperlink" Target="#'09 Channel &amp; Retail'!A1" TargetMode="External" Id="rId19"/><Relationship Type="http://schemas.openxmlformats.org/officeDocument/2006/relationships/hyperlink" Target="#'10 Channel Economics'!A1" TargetMode="External" Id="rId20"/><Relationship Type="http://schemas.openxmlformats.org/officeDocument/2006/relationships/hyperlink" Target="#'11 Formulation'!A1" TargetMode="External" Id="rId21"/><Relationship Type="http://schemas.openxmlformats.org/officeDocument/2006/relationships/hyperlink" Target="#'12 Marketing'!A1" TargetMode="External" Id="rId22"/><Relationship Type="http://schemas.openxmlformats.org/officeDocument/2006/relationships/hyperlink" Target="#'13 Launch Playbooks'!A1" TargetMode="External" Id="rId23"/><Relationship Type="http://schemas.openxmlformats.org/officeDocument/2006/relationships/hyperlink" Target="#'14 Patterns &amp; Failures'!A1" TargetMode="External" Id="rId24"/><Relationship Type="http://schemas.openxmlformats.org/officeDocument/2006/relationships/hyperlink" Target="#'15 Outcomes &amp; M&amp;A'!A1" TargetMode="External" Id="rId25"/><Relationship Type="http://schemas.openxmlformats.org/officeDocument/2006/relationships/hyperlink" Target="#'16 SWOT'!A1" TargetMode="External" Id="rId26"/><Relationship Type="http://schemas.openxmlformats.org/officeDocument/2006/relationships/hyperlink" Target="#'17 Scoring Model'!A1" TargetMode="External" Id="rId27"/><Relationship Type="http://schemas.openxmlformats.org/officeDocument/2006/relationships/hyperlink" Target="#'18 Canada Market'!A1" TargetMode="External" Id="rId28"/><Relationship Type="http://schemas.openxmlformats.org/officeDocument/2006/relationships/hyperlink" Target="#'19 Canada Regulatory'!A1" TargetMode="External" Id="rId29"/><Relationship Type="http://schemas.openxmlformats.org/officeDocument/2006/relationships/hyperlink" Target="#'Canada Regulatory v2'!A1" TargetMode="External" Id="rId30"/><Relationship Type="http://schemas.openxmlformats.org/officeDocument/2006/relationships/hyperlink" Target="#'Electrolyte BFY Deep-Dive'!A1" TargetMode="External" Id="rId31"/><Relationship Type="http://schemas.openxmlformats.org/officeDocument/2006/relationships/hyperlink" Target="#'20 GTM Recommendation'!A1" TargetMode="External" Id="rId32"/><Relationship Type="http://schemas.openxmlformats.org/officeDocument/2006/relationships/hyperlink" Target="#'How to Present'!A1" TargetMode="External" Id="rId33"/><Relationship Type="http://schemas.openxmlformats.org/officeDocument/2006/relationships/hyperlink" Target="#'FAQ &amp; Objections'!A1" TargetMode="External" Id="rId34"/><Relationship Type="http://schemas.openxmlformats.org/officeDocument/2006/relationships/hyperlink" Target="#'Next Steps &amp; Gates'!A1" TargetMode="External" Id="rId35"/><Relationship Type="http://schemas.openxmlformats.org/officeDocument/2006/relationships/hyperlink" Target="#'21 Launch Plan'!A1" TargetMode="External" Id="rId36"/><Relationship Type="http://schemas.openxmlformats.org/officeDocument/2006/relationships/hyperlink" Target="#'22 Risk Register'!A1" TargetMode="External" Id="rId37"/><Relationship Type="http://schemas.openxmlformats.org/officeDocument/2006/relationships/hyperlink" Target="#'23 KPI Dashboard'!A1" TargetMode="External" Id="rId38"/><Relationship Type="http://schemas.openxmlformats.org/officeDocument/2006/relationships/hyperlink" Target="#'Go-NoGo Decision'!A1" TargetMode="External" Id="rId39"/><Relationship Type="http://schemas.openxmlformats.org/officeDocument/2006/relationships/hyperlink" Target="#'24 Sources'!A1" TargetMode="External" Id="rId40"/><Relationship Type="http://schemas.openxmlformats.org/officeDocument/2006/relationships/hyperlink" Target="#'Verification Log'!A1" TargetMode="External" Id="rId41"/><Relationship Type="http://schemas.openxmlformats.org/officeDocument/2006/relationships/hyperlink" Target="#'25 Glossary'!A1" TargetMode="External" Id="rId42"/></Relationships>
</file>

<file path=xl/worksheets/_rels/sheet3.xml.rels><Relationships xmlns="http://schemas.openxmlformats.org/package/2006/relationships"><Relationship Type="http://schemas.openxmlformats.org/officeDocument/2006/relationships/hyperlink" Target="#'Decision Memo'!A1" TargetMode="External" Id="rId1"/><Relationship Type="http://schemas.openxmlformats.org/officeDocument/2006/relationships/hyperlink" Target="#'Executive Brief 1-page'!A1" TargetMode="External" Id="rId2"/><Relationship Type="http://schemas.openxmlformats.org/officeDocument/2006/relationships/hyperlink" Target="#'20 GTM Recommendation'!A1" TargetMode="External" Id="rId3"/><Relationship Type="http://schemas.openxmlformats.org/officeDocument/2006/relationships/hyperlink" Target="#'Go-NoGo Decision'!A1" TargetMode="External" Id="rId4"/><Relationship Type="http://schemas.openxmlformats.org/officeDocument/2006/relationships/hyperlink" Target="#'Dashboard'!A1" TargetMode="External" Id="rId5"/><Relationship Type="http://schemas.openxmlformats.org/officeDocument/2006/relationships/hyperlink" Target="#'Financial Model'!A1" TargetMode="External" Id="rId6"/><Relationship Type="http://schemas.openxmlformats.org/officeDocument/2006/relationships/hyperlink" Target="#'Scenario Comparison'!A1" TargetMode="External" Id="rId7"/><Relationship Type="http://schemas.openxmlformats.org/officeDocument/2006/relationships/hyperlink" Target="#'Assumptions Audit'!A1" TargetMode="External" Id="rId8"/><Relationship Type="http://schemas.openxmlformats.org/officeDocument/2006/relationships/hyperlink" Target="#'M&#220;V Peer Set'!A1" TargetMode="External" Id="rId9"/><Relationship Type="http://schemas.openxmlformats.org/officeDocument/2006/relationships/hyperlink" Target="#'07 Comparison Matrix'!A1" TargetMode="External" Id="rId10"/><Relationship Type="http://schemas.openxmlformats.org/officeDocument/2006/relationships/hyperlink" Target="#'08 Extended Landscape'!A1" TargetMode="External" Id="rId11"/><Relationship Type="http://schemas.openxmlformats.org/officeDocument/2006/relationships/hyperlink" Target="#'13 Launch Playbooks'!A1" TargetMode="External" Id="rId12"/><Relationship Type="http://schemas.openxmlformats.org/officeDocument/2006/relationships/hyperlink" Target="#'Canada Regulatory v2'!A1" TargetMode="External" Id="rId13"/><Relationship Type="http://schemas.openxmlformats.org/officeDocument/2006/relationships/hyperlink" Target="#'Electrolyte BFY Deep-Dive'!A1" TargetMode="External" Id="rId14"/><Relationship Type="http://schemas.openxmlformats.org/officeDocument/2006/relationships/hyperlink" Target="#'18 Canada Market'!A1" TargetMode="External" Id="rId15"/><Relationship Type="http://schemas.openxmlformats.org/officeDocument/2006/relationships/hyperlink" Target="#'Next Steps &amp; Gates'!A1" TargetMode="External" Id="rId16"/><Relationship Type="http://schemas.openxmlformats.org/officeDocument/2006/relationships/hyperlink" Target="#'Verification Log'!A1" TargetMode="External" Id="rId17"/><Relationship Type="http://schemas.openxmlformats.org/officeDocument/2006/relationships/hyperlink" Target="#'Data Confidence'!A1" TargetMode="External" Id="rId18"/><Relationship Type="http://schemas.openxmlformats.org/officeDocument/2006/relationships/hyperlink" Target="#'24 Sources'!A1" TargetMode="External" Id="rId19"/><Relationship Type="http://schemas.openxmlformats.org/officeDocument/2006/relationships/hyperlink" Target="#'03 Methodology'!A1" TargetMode="External" Id="rId20"/></Relationships>
</file>

<file path=xl/worksheets/_rels/sheet4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127968; Start Here'!A1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'&#127968; Start Here'!A1" TargetMode="External" Id="rId1"/><Relationship Type="http://schemas.openxmlformats.org/officeDocument/2006/relationships/drawing" Target="/xl/drawings/drawing1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&#127968; Start Here'!A1" TargetMode="External" Id="rId1"/><Relationship Type="http://schemas.openxmlformats.org/officeDocument/2006/relationships/drawing" Target="/xl/drawings/drawing2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127968; Start Here'!A1" TargetMode="External" Id="rId1"/><Relationship Type="http://schemas.openxmlformats.org/officeDocument/2006/relationships/drawing" Target="/xl/drawings/drawing3.xm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127968; Start Here'!A1" TargetMode="External" Id="rId1"/><Relationship Type="http://schemas.openxmlformats.org/officeDocument/2006/relationships/drawing" Target="/xl/drawings/drawing4.xm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&#127968; Start Here'!A1" TargetMode="External" Id="rId1"/><Relationship Type="http://schemas.openxmlformats.org/officeDocument/2006/relationships/drawing" Target="/xl/drawings/drawing5.xml" Id="rId2"/></Relationships>
</file>

<file path=xl/worksheets/_rels/sheet39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&#127968; Start Here'!A1" TargetMode="External" Id="rId1"/><Relationship Type="http://schemas.openxmlformats.org/officeDocument/2006/relationships/hyperlink" Target="https://pepsico.com" TargetMode="External" Id="rId2"/><Relationship Type="http://schemas.openxmlformats.org/officeDocument/2006/relationships/hyperlink" Target="https://classaction.org" TargetMode="External" Id="rId3"/><Relationship Type="http://schemas.openxmlformats.org/officeDocument/2006/relationships/hyperlink" Target="https://cnbc.com" TargetMode="External" Id="rId4"/><Relationship Type="http://schemas.openxmlformats.org/officeDocument/2006/relationships/hyperlink" Target="https://circana.com" TargetMode="External" Id="rId5"/><Relationship Type="http://schemas.openxmlformats.org/officeDocument/2006/relationships/hyperlink" Target="https://sec.gov" TargetMode="External" Id="rId6"/><Relationship Type="http://schemas.openxmlformats.org/officeDocument/2006/relationships/hyperlink" Target="https://circana.com" TargetMode="External" Id="rId7"/><Relationship Type="http://schemas.openxmlformats.org/officeDocument/2006/relationships/hyperlink" Target="https://liquid-iv.com" TargetMode="External" Id="rId8"/><Relationship Type="http://schemas.openxmlformats.org/officeDocument/2006/relationships/hyperlink" Target="https://nestle.com" TargetMode="External" Id="rId9"/><Relationship Type="http://schemas.openxmlformats.org/officeDocument/2006/relationships/hyperlink" Target="https://sec.gov" TargetMode="External" Id="rId10"/><Relationship Type="http://schemas.openxmlformats.org/officeDocument/2006/relationships/hyperlink" Target="https://amjmed.com" TargetMode="External" Id="rId11"/><Relationship Type="http://schemas.openxmlformats.org/officeDocument/2006/relationships/hyperlink" Target="https://canada.ca" TargetMode="External" Id="rId12"/><Relationship Type="http://schemas.openxmlformats.org/officeDocument/2006/relationships/hyperlink" Target="https://canada.ca" TargetMode="External" Id="rId13"/><Relationship Type="http://schemas.openxmlformats.org/officeDocument/2006/relationships/hyperlink" Target="https://laws.justice.gc.ca" TargetMode="External" Id="rId14"/><Relationship Type="http://schemas.openxmlformats.org/officeDocument/2006/relationships/hyperlink" Target="https://stikeman.com" TargetMode="External" Id="rId15"/><Relationship Type="http://schemas.openxmlformats.org/officeDocument/2006/relationships/hyperlink" Target="https://theglobeandmail.com" TargetMode="External" Id="rId16"/><Relationship Type="http://schemas.openxmlformats.org/officeDocument/2006/relationships/hyperlink" Target="https://foodincanada.com" TargetMode="External" Id="rId17"/><Relationship Type="http://schemas.openxmlformats.org/officeDocument/2006/relationships/hyperlink" Target="https://sellingpartners.aboutamazon.com" TargetMode="External" Id="rId18"/><Relationship Type="http://schemas.openxmlformats.org/officeDocument/2006/relationships/hyperlink" Target="https://grocerydive.com" TargetMode="External" Id="rId19"/><Relationship Type="http://schemas.openxmlformats.org/officeDocument/2006/relationships/hyperlink" Target="https://bevnet.com" TargetMode="External" Id="rId20"/><Relationship Type="http://schemas.openxmlformats.org/officeDocument/2006/relationships/hyperlink" Target="https://organika.com (SKU 4338)" TargetMode="External" Id="rId21"/></Relationships>
</file>

<file path=xl/worksheets/_rels/sheet41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&#127968; Start Her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" customWidth="1" min="9" max="9"/>
  </cols>
  <sheetData>
    <row r="1"/>
    <row r="2" ht="38" customHeight="1">
      <c r="B2" s="1" t="inlineStr">
        <is>
          <t>FUNCTIONAL &amp; WELLNESS SPARKLING BEVERAGES</t>
        </is>
      </c>
    </row>
    <row r="3" ht="24" customHeight="1">
      <c r="B3" s="2" t="inlineStr">
        <is>
          <t>Competitive Intelligence &amp; Market-Entry Dossier — FINAL</t>
        </is>
      </c>
    </row>
    <row r="4" ht="20" customHeight="1">
      <c r="B4" s="3" t="inlineStr">
        <is>
          <t>For the Organika MÜV Sparkling Electrolytes launch decision · US + Canada</t>
        </is>
      </c>
    </row>
    <row r="5"/>
    <row r="6" ht="30" customHeight="1">
      <c r="B6" s="4" t="inlineStr">
        <is>
          <t>Decision supported</t>
        </is>
      </c>
      <c r="C6" s="5" t="inlineStr">
        <is>
          <t>Whether/how to launch MÜV — a Canadian sparkling electrolyte RTD (can) — in Canada</t>
        </is>
      </c>
    </row>
    <row r="7" ht="30" customHeight="1">
      <c r="B7" s="4" t="inlineStr">
        <is>
          <t>What MÜV is</t>
        </is>
      </c>
      <c r="C7" s="5" t="inlineStr">
        <is>
          <t>Verified: RTD sparkling CAN (SKU 4338, ~$14.99); carbonated water + Fibersol prebiotic fibre, magnesium glycinate, stevia; 0 sugar, caffeine-free</t>
        </is>
      </c>
    </row>
    <row r="8" ht="30" customHeight="1">
      <c r="B8" s="4" t="inlineStr">
        <is>
          <t>Geography</t>
        </is>
      </c>
      <c r="C8" s="5" t="inlineStr">
        <is>
          <t>US (primary evidence base) with Canada market + regulatory read-across</t>
        </is>
      </c>
    </row>
    <row r="9" ht="30" customHeight="1">
      <c r="B9" s="4" t="inlineStr">
        <is>
          <t>Coverage</t>
        </is>
      </c>
      <c r="C9" s="5" t="inlineStr">
        <is>
          <t>8 core profiles + ~30 extended landscape entries; interactive scenario model; verification log</t>
        </is>
      </c>
    </row>
    <row r="10" ht="30" customHeight="1">
      <c r="B10" s="4" t="inlineStr">
        <is>
          <t>Date prepared</t>
        </is>
      </c>
      <c r="C10" s="5" t="inlineStr">
        <is>
          <t>2026-10-23 (finalized)</t>
        </is>
      </c>
    </row>
    <row r="11" ht="30" customHeight="1">
      <c r="B11" s="4" t="inlineStr">
        <is>
          <t>Status</t>
        </is>
      </c>
      <c r="C11" s="5" t="inlineStr">
        <is>
          <t>Working draft — start on 🏠 Start Here; one-page summary on Decision Memo / Executive Brief. Verify amber-flagged items before external use.</t>
        </is>
      </c>
    </row>
    <row r="12"/>
    <row r="13" ht="40" customHeight="1">
      <c r="B13" s="6" t="inlineStr">
        <is>
          <t>CONFIDENCE LEGEND — ✅ HARD (primary/scanner/regulatory) · ◐ DIRECTIONAL (research-firm/single-source) · ⚠ FLAG (estimate/verify). Every load-bearing figure is tagged; estimates are never presented as fact.</t>
        </is>
      </c>
    </row>
    <row r="14"/>
    <row r="15"/>
    <row r="16">
      <c r="B16" s="7" t="inlineStr">
        <is>
          <t>INTERACTIVE (gold) tabs:</t>
        </is>
      </c>
    </row>
    <row r="17">
      <c r="B17" s="8" t="inlineStr">
        <is>
          <t>▸ 🏠 Start Here</t>
        </is>
      </c>
      <c r="C17" s="9" t="inlineStr">
        <is>
          <t>front door — click a card to jump</t>
        </is>
      </c>
    </row>
    <row r="18">
      <c r="B18" s="8" t="inlineStr">
        <is>
          <t>▸ Financial Model</t>
        </is>
      </c>
      <c r="C18" s="9" t="inlineStr">
        <is>
          <t>pick a scenario; P&amp;L recomputes</t>
        </is>
      </c>
    </row>
    <row r="19">
      <c r="B19" s="8" t="inlineStr">
        <is>
          <t>▸ Scenario Comparison</t>
        </is>
      </c>
      <c r="C19" s="9" t="inlineStr">
        <is>
          <t>all 3 scenarios + charts</t>
        </is>
      </c>
    </row>
    <row r="20">
      <c r="B20" s="8" t="inlineStr">
        <is>
          <t>▸ Go-NoGo Decision</t>
        </is>
      </c>
      <c r="C20" s="9" t="inlineStr">
        <is>
          <t>edit weights → verdict</t>
        </is>
      </c>
    </row>
  </sheetData>
  <mergeCells count="14">
    <mergeCell ref="C11:H11"/>
    <mergeCell ref="C6:H6"/>
    <mergeCell ref="C10:H10"/>
    <mergeCell ref="C19:H19"/>
    <mergeCell ref="B4:H4"/>
    <mergeCell ref="B13:H14"/>
    <mergeCell ref="C9:H9"/>
    <mergeCell ref="B2:H2"/>
    <mergeCell ref="C8:H8"/>
    <mergeCell ref="C18:H18"/>
    <mergeCell ref="C17:H17"/>
    <mergeCell ref="B3:H3"/>
    <mergeCell ref="C7:H7"/>
    <mergeCell ref="C20:H20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</hyperlink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0014304F"/>
    <outlinePr summaryBelow="1" summaryRight="1"/>
    <pageSetUpPr fitToPage="1"/>
  </sheetPr>
  <dimension ref="A1:E5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 ht="28" customHeight="1">
      <c r="A1" s="1" t="inlineStr">
        <is>
          <t>Table of Contents</t>
        </is>
      </c>
      <c r="E1" s="10" t="inlineStr">
        <is>
          <t>🏠 Home</t>
        </is>
      </c>
    </row>
    <row r="2"/>
    <row r="3">
      <c r="A3" s="11" t="inlineStr">
        <is>
          <t>Tab</t>
        </is>
      </c>
      <c r="B3" s="11" t="inlineStr">
        <is>
          <t>Contents</t>
        </is>
      </c>
    </row>
    <row r="4" ht="16" customHeight="1">
      <c r="A4" s="12" t="inlineStr">
        <is>
          <t>00 Cover</t>
        </is>
      </c>
      <c r="B4" s="13" t="inlineStr">
        <is>
          <t>Title, scope, caveats, confidence legend</t>
        </is>
      </c>
    </row>
    <row r="5" ht="16" customHeight="1">
      <c r="A5" s="14" t="inlineStr">
        <is>
          <t>🏠 Start Here</t>
        </is>
      </c>
      <c r="B5" s="15" t="inlineStr">
        <is>
          <t>Front door — grouped clickable cards + headline stats</t>
        </is>
      </c>
    </row>
    <row r="6" ht="16" customHeight="1">
      <c r="A6" s="12" t="inlineStr">
        <is>
          <t>02 Executive Summary</t>
        </is>
      </c>
      <c r="B6" s="13" t="inlineStr">
        <is>
          <t>Thesis, 7 findings, recommendation</t>
        </is>
      </c>
    </row>
    <row r="7" ht="16" customHeight="1">
      <c r="A7" s="14" t="inlineStr">
        <is>
          <t>Decision Memo</t>
        </is>
      </c>
      <c r="B7" s="15" t="inlineStr">
        <is>
          <t>NEW: tight one-page CEO memo — the call, why, and ask</t>
        </is>
      </c>
    </row>
    <row r="8" ht="16" customHeight="1">
      <c r="A8" s="14" t="inlineStr">
        <is>
          <t>Executive Brief 1-page</t>
        </is>
      </c>
      <c r="B8" s="13" t="inlineStr">
        <is>
          <t>One printable page: verdict, numbers, 5 moves, risks</t>
        </is>
      </c>
    </row>
    <row r="9" ht="16" customHeight="1">
      <c r="A9" s="14" t="inlineStr">
        <is>
          <t>Financial Model</t>
        </is>
      </c>
      <c r="B9" s="15" t="inlineStr">
        <is>
          <t>Interactive: scenario dropdown drives P&amp;L, break-even, sensitivity</t>
        </is>
      </c>
    </row>
    <row r="10" ht="16" customHeight="1">
      <c r="A10" s="14" t="inlineStr">
        <is>
          <t>Scenario Comparison</t>
        </is>
      </c>
      <c r="B10" s="13" t="inlineStr">
        <is>
          <t>All 3 scenarios side-by-side + charts + takeaways</t>
        </is>
      </c>
    </row>
    <row r="11" ht="16" customHeight="1">
      <c r="A11" s="14" t="inlineStr">
        <is>
          <t>Dashboard</t>
        </is>
      </c>
      <c r="B11" s="15" t="inlineStr">
        <is>
          <t>5 charts + KPI strip + thesis banner</t>
        </is>
      </c>
    </row>
    <row r="12" ht="16" customHeight="1">
      <c r="A12" s="14" t="inlineStr">
        <is>
          <t>Assumptions Audit</t>
        </is>
      </c>
      <c r="B12" s="13" t="inlineStr">
        <is>
          <t>Every Financial Model input + source/confidence</t>
        </is>
      </c>
    </row>
    <row r="13" ht="16" customHeight="1">
      <c r="A13" s="14" t="inlineStr">
        <is>
          <t>Data Confidence</t>
        </is>
      </c>
      <c r="B13" s="15" t="inlineStr">
        <is>
          <t>Scoreboard of confidence tags with chart</t>
        </is>
      </c>
    </row>
    <row r="14" ht="16" customHeight="1">
      <c r="A14" s="12" t="inlineStr">
        <is>
          <t>03 Methodology</t>
        </is>
      </c>
      <c r="B14" s="13" t="inlineStr">
        <is>
          <t>Research design, source hierarchy, limitations</t>
        </is>
      </c>
    </row>
    <row r="15" ht="16" customHeight="1">
      <c r="A15" s="16" t="inlineStr">
        <is>
          <t>04 Market Sizing</t>
        </is>
      </c>
      <c r="B15" s="15" t="inlineStr">
        <is>
          <t>TAM/category sizes &amp; growth, US + Canada</t>
        </is>
      </c>
    </row>
    <row r="16" ht="16" customHeight="1">
      <c r="A16" s="12" t="inlineStr">
        <is>
          <t>05 Trends &amp; Macro</t>
        </is>
      </c>
      <c r="B16" s="13" t="inlineStr">
        <is>
          <t>Sugar, GLP-1, gut health, beauty-from-within, white space</t>
        </is>
      </c>
    </row>
    <row r="17" ht="16" customHeight="1">
      <c r="A17" s="16" t="inlineStr">
        <is>
          <t>06 Consumer</t>
        </is>
      </c>
      <c r="B17" s="15" t="inlineStr">
        <is>
          <t>Segmentation, collagen buyer, efficacy risk, buyer criteria</t>
        </is>
      </c>
    </row>
    <row r="18" ht="16" customHeight="1">
      <c r="A18" s="12" t="inlineStr">
        <is>
          <t>07 Comparison Matrix</t>
        </is>
      </c>
      <c r="B18" s="13" t="inlineStr">
        <is>
          <t>8 core brands side by side + MÜV subject row</t>
        </is>
      </c>
    </row>
    <row r="19" ht="16" customHeight="1">
      <c r="A19" s="14" t="inlineStr">
        <is>
          <t>MÜV Peer Set</t>
        </is>
      </c>
      <c r="B19" s="15" t="inlineStr">
        <is>
          <t>Direct electrolyte/sparkling rivals vs category-adjacent context</t>
        </is>
      </c>
    </row>
    <row r="20" ht="16" customHeight="1">
      <c r="A20" s="12" t="inlineStr">
        <is>
          <t>08 Extended Landscape</t>
        </is>
      </c>
      <c r="B20" s="13" t="inlineStr">
        <is>
          <t>~30 brands across 6 sub-categories</t>
        </is>
      </c>
    </row>
    <row r="21" ht="16" customHeight="1">
      <c r="A21" s="16" t="inlineStr">
        <is>
          <t>09 Channel &amp; Retail</t>
        </is>
      </c>
      <c r="B21" s="15" t="inlineStr">
        <is>
          <t>Launch channel &amp; expansion sequence per brand</t>
        </is>
      </c>
    </row>
    <row r="22" ht="16" customHeight="1">
      <c r="A22" s="12" t="inlineStr">
        <is>
          <t>10 Channel Economics</t>
        </is>
      </c>
      <c r="B22" s="13" t="inlineStr">
        <is>
          <t>Margin waterfall, distributor/trade-spend, DTC/Amazon, Canada stack</t>
        </is>
      </c>
    </row>
    <row r="23" ht="16" customHeight="1">
      <c r="A23" s="16" t="inlineStr">
        <is>
          <t>11 Formulation</t>
        </is>
      </c>
      <c r="B23" s="15" t="inlineStr">
        <is>
          <t>Winning claim, hero ingredient, claim risk</t>
        </is>
      </c>
    </row>
    <row r="24" ht="16" customHeight="1">
      <c r="A24" s="12" t="inlineStr">
        <is>
          <t>12 Marketing</t>
        </is>
      </c>
      <c r="B24" s="13" t="inlineStr">
        <is>
          <t>Founder story + virality engine</t>
        </is>
      </c>
    </row>
    <row r="25" ht="16" customHeight="1">
      <c r="A25" s="16" t="inlineStr">
        <is>
          <t>13 Launch Playbooks</t>
        </is>
      </c>
      <c r="B25" s="15" t="inlineStr">
        <is>
          <t>Phased GTM timelines per brand</t>
        </is>
      </c>
    </row>
    <row r="26" ht="16" customHeight="1">
      <c r="A26" s="12" t="inlineStr">
        <is>
          <t>14 Patterns &amp; Failures</t>
        </is>
      </c>
      <c r="B26" s="13" t="inlineStr">
        <is>
          <t>7 success patterns + 6 failure modes</t>
        </is>
      </c>
    </row>
    <row r="27" ht="16" customHeight="1">
      <c r="A27" s="16" t="inlineStr">
        <is>
          <t>15 Outcomes &amp; M&amp;A</t>
        </is>
      </c>
      <c r="B27" s="15" t="inlineStr">
        <is>
          <t>Revenue, funding, valuations, acquisition comps</t>
        </is>
      </c>
    </row>
    <row r="28" ht="16" customHeight="1">
      <c r="A28" s="12" t="inlineStr">
        <is>
          <t>16 SWOT</t>
        </is>
      </c>
      <c r="B28" s="13" t="inlineStr">
        <is>
          <t>Per-brand SWOT incl. MÜV</t>
        </is>
      </c>
    </row>
    <row r="29" ht="16" customHeight="1">
      <c r="A29" s="16" t="inlineStr">
        <is>
          <t>17 Scoring Model</t>
        </is>
      </c>
      <c r="B29" s="15" t="inlineStr">
        <is>
          <t>Weighted competitive scoring (editable, heatmap)</t>
        </is>
      </c>
    </row>
    <row r="30" ht="16" customHeight="1">
      <c r="A30" s="12" t="inlineStr">
        <is>
          <t>18 Canada Market</t>
        </is>
      </c>
      <c r="B30" s="13" t="inlineStr">
        <is>
          <t>Retail banners &amp; share, entry playbooks, pricing</t>
        </is>
      </c>
    </row>
    <row r="31" ht="16" customHeight="1">
      <c r="A31" s="16" t="inlineStr">
        <is>
          <t>19 Canada Regulatory</t>
        </is>
      </c>
      <c r="B31" s="15" t="inlineStr">
        <is>
          <t>NHP vs Food vs Supplemented Food; SFCI; caffeine; Bill 96</t>
        </is>
      </c>
    </row>
    <row r="32" ht="16" customHeight="1">
      <c r="A32" s="12" t="inlineStr">
        <is>
          <t>Canada Regulatory v2</t>
        </is>
      </c>
      <c r="B32" s="13" t="inlineStr">
        <is>
          <t>Sport-electrolyte → Supplemented Foods; the claims fork</t>
        </is>
      </c>
    </row>
    <row r="33" ht="16" customHeight="1">
      <c r="A33" s="16" t="inlineStr">
        <is>
          <t>Electrolyte BFY Deep-Dive</t>
        </is>
      </c>
      <c r="B33" s="15" t="inlineStr">
        <is>
          <t>Canada-first electrolyte/sparkling/BFY research; MÜV's real lane</t>
        </is>
      </c>
    </row>
    <row r="34" ht="16" customHeight="1">
      <c r="A34" s="12" t="inlineStr">
        <is>
          <t>20 GTM Recommendation</t>
        </is>
      </c>
      <c r="B34" s="13" t="inlineStr">
        <is>
          <t>The MÜV go-to-market thesis &amp; decisions</t>
        </is>
      </c>
    </row>
    <row r="35" ht="16" customHeight="1">
      <c r="A35" s="14" t="inlineStr">
        <is>
          <t>How to Present</t>
        </is>
      </c>
      <c r="B35" s="15" t="inlineStr">
        <is>
          <t>Leadership readout — talking point per key tab</t>
        </is>
      </c>
    </row>
    <row r="36" ht="16" customHeight="1">
      <c r="A36" s="14" t="inlineStr">
        <is>
          <t>FAQ &amp; Objections</t>
        </is>
      </c>
      <c r="B36" s="13" t="inlineStr">
        <is>
          <t>Anticipated leadership pushback + crisp answers</t>
        </is>
      </c>
    </row>
    <row r="37" ht="16" customHeight="1">
      <c r="A37" s="14" t="inlineStr">
        <is>
          <t>Next Steps &amp; Gates</t>
        </is>
      </c>
      <c r="B37" s="15" t="inlineStr">
        <is>
          <t>Immediate actions &amp; decision gates with status</t>
        </is>
      </c>
    </row>
    <row r="38" ht="16" customHeight="1">
      <c r="A38" s="12" t="inlineStr">
        <is>
          <t>21 Launch Plan</t>
        </is>
      </c>
      <c r="B38" s="13" t="inlineStr">
        <is>
          <t>Phased 0–18 month plan with workstreams</t>
        </is>
      </c>
    </row>
    <row r="39" ht="16" customHeight="1">
      <c r="A39" s="16" t="inlineStr">
        <is>
          <t>22 Risk Register</t>
        </is>
      </c>
      <c r="B39" s="15" t="inlineStr">
        <is>
          <t>Ranked risks, likelihood/impact, mitigations + heatmap</t>
        </is>
      </c>
    </row>
    <row r="40" ht="16" customHeight="1">
      <c r="A40" s="12" t="inlineStr">
        <is>
          <t>23 KPI Dashboard</t>
        </is>
      </c>
      <c r="B40" s="13" t="inlineStr">
        <is>
          <t>Targets &amp; benchmarks by phase + peer price bar</t>
        </is>
      </c>
    </row>
    <row r="41" ht="16" customHeight="1">
      <c r="A41" s="14" t="inlineStr">
        <is>
          <t>Go-NoGo Decision</t>
        </is>
      </c>
      <c r="B41" s="15" t="inlineStr">
        <is>
          <t>Weighted gate scorecard with auto verdict</t>
        </is>
      </c>
    </row>
    <row r="42" ht="16" customHeight="1">
      <c r="A42" s="12" t="inlineStr">
        <is>
          <t>24 Sources</t>
        </is>
      </c>
      <c r="B42" s="13" t="inlineStr">
        <is>
          <t>Master bibliography + source-mix count</t>
        </is>
      </c>
    </row>
    <row r="43" ht="16" customHeight="1">
      <c r="A43" s="14" t="inlineStr">
        <is>
          <t>Verification Log</t>
        </is>
      </c>
      <c r="B43" s="15" t="inlineStr">
        <is>
          <t>What was checked &amp; what changed (incl. the MÜV finding)</t>
        </is>
      </c>
    </row>
    <row r="44" ht="16" customHeight="1">
      <c r="A44" s="12" t="inlineStr">
        <is>
          <t>25 Glossary</t>
        </is>
      </c>
      <c r="B44" s="13" t="inlineStr">
        <is>
          <t>Terms &amp; abbreviations incl. regulatory</t>
        </is>
      </c>
    </row>
    <row r="45"/>
    <row r="46">
      <c r="A46" s="17" t="inlineStr">
        <is>
          <t>HOW TO NAVIGATE</t>
        </is>
      </c>
    </row>
    <row r="47" ht="20" customHeight="1">
      <c r="A47" s="18" t="inlineStr">
        <is>
          <t>Click any tab name above</t>
        </is>
      </c>
      <c r="B47" s="13" t="inlineStr">
        <is>
          <t>jumps straight to that tab</t>
        </is>
      </c>
    </row>
    <row r="48" ht="20" customHeight="1">
      <c r="A48" s="18" t="inlineStr">
        <is>
          <t>🏠 Start Here</t>
        </is>
      </c>
      <c r="B48" s="13" t="inlineStr">
        <is>
          <t>the front door — grouped cards (workbook opens here)</t>
        </is>
      </c>
    </row>
    <row r="49" ht="20" customHeight="1">
      <c r="A49" s="18" t="inlineStr">
        <is>
          <t>🏠 Home (top-right of every tab)</t>
        </is>
      </c>
      <c r="B49" s="13" t="inlineStr">
        <is>
          <t>returns to Start Here</t>
        </is>
      </c>
    </row>
    <row r="50" ht="20" customHeight="1">
      <c r="A50" s="18" t="inlineStr">
        <is>
          <t>Gold tab</t>
        </is>
      </c>
      <c r="B50" s="13" t="inlineStr">
        <is>
          <t>interactive or action tab (model, scenarios, Go-No-Go, memo, FAQ…)</t>
        </is>
      </c>
    </row>
    <row r="51" ht="20" customHeight="1">
      <c r="A51" s="18" t="inlineStr">
        <is>
          <t>Confidence tags ✅ / ◐ / ⚠</t>
        </is>
      </c>
      <c r="B51" s="13" t="inlineStr">
        <is>
          <t>hard evidence / directional / estimate — see Data Confidence</t>
        </is>
      </c>
    </row>
  </sheetData>
  <mergeCells count="2">
    <mergeCell ref="A46:B46"/>
    <mergeCell ref="A1:B1"/>
  </mergeCells>
  <hyperlinks>
    <hyperlink xmlns:r="http://schemas.openxmlformats.org/officeDocument/2006/relationships" ref="E1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Anh — Start Here</t>
        </is>
      </c>
    </row>
    <row r="2" ht="20" customHeight="1">
      <c r="A2" s="19" t="inlineStr">
        <is>
          <t>Your front door to the MÜV dossier. Click a card to jump.</t>
        </is>
      </c>
    </row>
    <row r="3"/>
    <row r="4" ht="18" customHeight="1">
      <c r="B4" s="20" t="inlineStr">
        <is>
          <t>US hydration powders $1.5B (+20%)  ·  sparkling electrolyte = white space  ·  MÜV = food-regulated RTD can  ·  Verdict: GO — conditional</t>
        </is>
      </c>
    </row>
    <row r="5"/>
    <row r="6" ht="18" customHeight="1">
      <c r="B6" s="21" t="inlineStr">
        <is>
          <t>SEE THE ANSWER</t>
        </is>
      </c>
    </row>
    <row r="7" ht="34" customHeight="1">
      <c r="B7" s="22" t="inlineStr">
        <is>
          <t>▸ Decision Memo
the one-page call</t>
        </is>
      </c>
      <c r="C7" s="22" t="inlineStr">
        <is>
          <t>▸ Executive Brief 1-page
verdict + numbers + moves</t>
        </is>
      </c>
      <c r="D7" s="22" t="inlineStr">
        <is>
          <t>▸ 20 GTM Recommendation
the 5-move plan</t>
        </is>
      </c>
      <c r="E7" s="22" t="inlineStr">
        <is>
          <t>▸ Go-NoGo Decision
weighted verdict</t>
        </is>
      </c>
    </row>
    <row r="8"/>
    <row r="9" ht="18" customHeight="1">
      <c r="B9" s="21" t="inlineStr">
        <is>
          <t>EXPLORE THE NUMBERS</t>
        </is>
      </c>
    </row>
    <row r="10" ht="34" customHeight="1">
      <c r="B10" s="22" t="inlineStr">
        <is>
          <t>▸ Dashboard
charts + KPIs</t>
        </is>
      </c>
      <c r="C10" s="22" t="inlineStr">
        <is>
          <t>▸ Financial Model
interactive scenario P&amp;L</t>
        </is>
      </c>
      <c r="D10" s="22" t="inlineStr">
        <is>
          <t>▸ Scenario Comparison
all 3 scenarios</t>
        </is>
      </c>
      <c r="E10" s="22" t="inlineStr">
        <is>
          <t>▸ Assumptions Audit
every input + source</t>
        </is>
      </c>
    </row>
    <row r="11"/>
    <row r="12" ht="18" customHeight="1">
      <c r="B12" s="21" t="inlineStr">
        <is>
          <t>KNOW THE COMPETITION</t>
        </is>
      </c>
    </row>
    <row r="13" ht="34" customHeight="1">
      <c r="B13" s="22" t="inlineStr">
        <is>
          <t>▸ MÜV Peer Set
direct rivals</t>
        </is>
      </c>
      <c r="C13" s="22" t="inlineStr">
        <is>
          <t>▸ 07 Comparison Matrix
category context</t>
        </is>
      </c>
      <c r="D13" s="22" t="inlineStr">
        <is>
          <t>▸ 08 Extended Landscape
~30 brands</t>
        </is>
      </c>
      <c r="E13" s="22" t="inlineStr">
        <is>
          <t>▸ 13 Launch Playbooks
how winners launched</t>
        </is>
      </c>
    </row>
    <row r="14"/>
    <row r="15" ht="18" customHeight="1">
      <c r="B15" s="21" t="inlineStr">
        <is>
          <t>CANADA LAUNCH</t>
        </is>
      </c>
    </row>
    <row r="16" ht="34" customHeight="1">
      <c r="B16" s="22" t="inlineStr">
        <is>
          <t>▸ Canada Regulatory v2
the reclassification</t>
        </is>
      </c>
      <c r="C16" s="22" t="inlineStr">
        <is>
          <t>▸ Electrolyte BFY Deep-Dive
Canada-first research</t>
        </is>
      </c>
      <c r="D16" s="22" t="inlineStr">
        <is>
          <t>▸ 18 Canada Market
banners &amp; entry</t>
        </is>
      </c>
      <c r="E16" s="22" t="inlineStr">
        <is>
          <t>▸ Next Steps &amp; Gates
what to do next</t>
        </is>
      </c>
    </row>
    <row r="17"/>
    <row r="18" ht="18" customHeight="1">
      <c r="B18" s="21" t="inlineStr">
        <is>
          <t>TRUST THE DATA</t>
        </is>
      </c>
    </row>
    <row r="19" ht="34" customHeight="1">
      <c r="B19" s="22" t="inlineStr">
        <is>
          <t>▸ Verification Log
what was checked</t>
        </is>
      </c>
      <c r="C19" s="22" t="inlineStr">
        <is>
          <t>▸ Data Confidence
tag scoreboard</t>
        </is>
      </c>
      <c r="D19" s="22" t="inlineStr">
        <is>
          <t>▸ 24 Sources
bibliography</t>
        </is>
      </c>
      <c r="E19" s="22" t="inlineStr">
        <is>
          <t>▸ 03 Methodology
how this was built</t>
        </is>
      </c>
    </row>
  </sheetData>
  <mergeCells count="8">
    <mergeCell ref="B4:F4"/>
    <mergeCell ref="A2:F2"/>
    <mergeCell ref="B12:F12"/>
    <mergeCell ref="B6:F6"/>
    <mergeCell ref="B15:F15"/>
    <mergeCell ref="A1:F1"/>
    <mergeCell ref="B18:F18"/>
    <mergeCell ref="B9:F9"/>
  </mergeCells>
  <hyperlinks>
    <hyperlink xmlns:r="http://schemas.openxmlformats.org/officeDocument/2006/relationships" ref="B7" r:id="rId1"/>
    <hyperlink xmlns:r="http://schemas.openxmlformats.org/officeDocument/2006/relationships" ref="C7" r:id="rId2"/>
    <hyperlink xmlns:r="http://schemas.openxmlformats.org/officeDocument/2006/relationships" ref="D7" r:id="rId3"/>
    <hyperlink xmlns:r="http://schemas.openxmlformats.org/officeDocument/2006/relationships" ref="E7" r:id="rId4"/>
    <hyperlink xmlns:r="http://schemas.openxmlformats.org/officeDocument/2006/relationships" ref="B10" r:id="rId5"/>
    <hyperlink xmlns:r="http://schemas.openxmlformats.org/officeDocument/2006/relationships" ref="C10" r:id="rId6"/>
    <hyperlink xmlns:r="http://schemas.openxmlformats.org/officeDocument/2006/relationships" ref="D10" r:id="rId7"/>
    <hyperlink xmlns:r="http://schemas.openxmlformats.org/officeDocument/2006/relationships" ref="E10" r:id="rId8"/>
    <hyperlink xmlns:r="http://schemas.openxmlformats.org/officeDocument/2006/relationships" ref="B13" r:id="rId9"/>
    <hyperlink xmlns:r="http://schemas.openxmlformats.org/officeDocument/2006/relationships" ref="C13" r:id="rId10"/>
    <hyperlink xmlns:r="http://schemas.openxmlformats.org/officeDocument/2006/relationships" ref="D13" r:id="rId11"/>
    <hyperlink xmlns:r="http://schemas.openxmlformats.org/officeDocument/2006/relationships" ref="E13" r:id="rId12"/>
    <hyperlink xmlns:r="http://schemas.openxmlformats.org/officeDocument/2006/relationships" ref="B16" r:id="rId13"/>
    <hyperlink xmlns:r="http://schemas.openxmlformats.org/officeDocument/2006/relationships" ref="C16" r:id="rId14"/>
    <hyperlink xmlns:r="http://schemas.openxmlformats.org/officeDocument/2006/relationships" ref="D16" r:id="rId15"/>
    <hyperlink xmlns:r="http://schemas.openxmlformats.org/officeDocument/2006/relationships" ref="E16" r:id="rId16"/>
    <hyperlink xmlns:r="http://schemas.openxmlformats.org/officeDocument/2006/relationships" ref="B19" r:id="rId17"/>
    <hyperlink xmlns:r="http://schemas.openxmlformats.org/officeDocument/2006/relationships" ref="C19" r:id="rId18"/>
    <hyperlink xmlns:r="http://schemas.openxmlformats.org/officeDocument/2006/relationships" ref="D19" r:id="rId19"/>
    <hyperlink xmlns:r="http://schemas.openxmlformats.org/officeDocument/2006/relationships" ref="E19" r:id="rId20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4304F"/>
    <outlinePr summaryBelow="1" summaryRight="1"/>
    <pageSetUpPr fitToPage="1"/>
  </sheetPr>
  <dimension ref="A1:E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8" customHeight="1">
      <c r="A1" s="1" t="inlineStr">
        <is>
          <t>Executive Summary</t>
        </is>
      </c>
      <c r="E1" s="10" t="inlineStr">
        <is>
          <t>🏠 Home</t>
        </is>
      </c>
    </row>
    <row r="2" ht="20" customHeight="1">
      <c r="A2" s="19" t="inlineStr">
        <is>
          <t>How competitors launched, what won, and the MÜV call</t>
        </is>
      </c>
    </row>
    <row r="3"/>
    <row r="4">
      <c r="A4" s="17" t="inlineStr">
        <is>
          <t>THE THESIS</t>
        </is>
      </c>
    </row>
    <row r="5" ht="92" customHeight="1">
      <c r="A5" s="23" t="inlineStr">
        <is>
          <t>Functional-beverage winners won on a repeatable launch mechanic, not formula: a founder-authority insight, ONE obsessively-executed trial tactic, and a data-driven (velocity/repeat) retail sell-in, sequenced up a channel ladder. For MÜV the opportunity is real (electrolyte/hydration boom + sparkling white space + Canadian-made edge), but it sits at the intersection of the category's two biggest risks — claims liability and strategic-owned competition. Win condition: credible dose + claim discipline + proven repeat before chasing doors + a Costco-Canada/Amazon.ca beachhead Organika is uniquely positioned to seize.</t>
        </is>
      </c>
    </row>
    <row r="6"/>
    <row r="7">
      <c r="A7" s="17" t="inlineStr">
        <is>
          <t>THE SEVEN FINDINGS THAT MATTER</t>
        </is>
      </c>
    </row>
    <row r="8">
      <c r="A8" s="11" t="inlineStr">
        <is>
          <t>Finding</t>
        </is>
      </c>
      <c r="B8" s="11" t="inlineStr">
        <is>
          <t>So what</t>
        </is>
      </c>
    </row>
    <row r="9" ht="70" customHeight="1">
      <c r="A9" s="13" t="inlineStr">
        <is>
          <t>1. Channel ladder, never skipped</t>
        </is>
      </c>
      <c r="B9" s="13" t="inlineStr">
        <is>
          <t>Natural/DTC → specialty → grocery → mass → club; earn each rung with proven velocity (OLIPOP 40 NorCal grocers; Poppi farmers-market → Whole Foods).</t>
        </is>
      </c>
    </row>
    <row r="10" ht="70" customHeight="1">
      <c r="A10" s="15" t="inlineStr">
        <is>
          <t>2. One trial tactic, obsessively</t>
        </is>
      </c>
      <c r="B10" s="15" t="inlineStr">
        <is>
          <t>Poppi TikTok seeding; LMNT free-sample + podcast; Liquid I.V. Costco roadshow sampling. Pick one, go deep.</t>
        </is>
      </c>
    </row>
    <row r="11" ht="70" customHeight="1">
      <c r="A11" s="13" t="inlineStr">
        <is>
          <t>3. Sell-in on DATA not flavour</t>
        </is>
      </c>
      <c r="B11" s="13" t="inlineStr">
        <is>
          <t>Buyers buy velocity &amp; repeat rate. OLIPOP's repurchase story + Liquid I.V.'s POS data were the sell-in — the most repeated lever.</t>
        </is>
      </c>
    </row>
    <row r="12" ht="70" customHeight="1">
      <c r="A12" s="15" t="inlineStr">
        <is>
          <t>4. Category language commands price</t>
        </is>
      </c>
      <c r="B12" s="15" t="inlineStr">
        <is>
          <t>“Prebiotic soda”, “hydration multiplier” escape commodity comparison and hold a $2–3/can premium. Modern soda hit $1.8B in 2024 (+83%, Circana).</t>
        </is>
      </c>
    </row>
    <row r="13" ht="70" customHeight="1">
      <c r="A13" s="13" t="inlineStr">
        <is>
          <t>5. The collagen graveyard is real</t>
        </is>
      </c>
      <c r="B13" s="13" t="inlineStr">
        <is>
          <t>Standalone beauty-collagen sparkling flopped (Goldn Hour, BOONS, Luster &amp; Lum); a 2025 meta-analysis found no proven skin benefit. Collagen-as-feature survives; collagen-as-hero does not.</t>
        </is>
      </c>
    </row>
    <row r="14" ht="70" customHeight="1">
      <c r="A14" s="15" t="inlineStr">
        <is>
          <t>6. Claims discipline is existential</t>
        </is>
      </c>
      <c r="B14" s="15" t="inlineStr">
        <is>
          <t>Poppi paid $8.9M settling a gut-health claim its 2g fibre couldn't support. Dose to efficacy; use structure/function-safe language.</t>
        </is>
      </c>
    </row>
    <row r="15" ht="70" customHeight="1">
      <c r="A15" s="13" t="inlineStr">
        <is>
          <t>7. Canada is a FOOD problem</t>
        </is>
      </c>
      <c r="B15" s="13" t="inlineStr">
        <is>
          <t>An RTD electrolyte can is a Supplemented Food (CFIA), not an NHP — so beauty/collagen claims stay on the NHP powder line, and food-compliant labelling is day-one.</t>
        </is>
      </c>
    </row>
    <row r="16"/>
    <row r="17" ht="86" customHeight="1">
      <c r="A17" s="6" t="inlineStr">
        <is>
          <t>RECOMMENDATION (detail on GTM + Decision Memo): GO — conditional. Lead with a functional benefit stack (gut/prebiotic fibre + hydration + a credible collagen dose) under a “by Canada's #1 collagen brand” halo, NOT narrow beauty-from-within. Beachhead = Costco Canada + Amazon.ca + natural channel + Organika's pharmacy/health-food base. Price at/below ~$3.49 CAD. Resolve the Supplemented-Foods claim set with counsel BEFORE artwork. Prove repeat before chasing doors.</t>
        </is>
      </c>
    </row>
  </sheetData>
  <mergeCells count="6">
    <mergeCell ref="A4:B4"/>
    <mergeCell ref="A2:B2"/>
    <mergeCell ref="A7:B7"/>
    <mergeCell ref="A5:B5"/>
    <mergeCell ref="A1:B1"/>
    <mergeCell ref="A17:B17"/>
  </mergeCells>
  <hyperlinks>
    <hyperlink xmlns:r="http://schemas.openxmlformats.org/officeDocument/2006/relationships" ref="E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Decision Memo — MÜV Canada Launch</t>
        </is>
      </c>
      <c r="E1" s="10" t="inlineStr">
        <is>
          <t>🏠 Home</t>
        </is>
      </c>
    </row>
    <row r="2" ht="20" customHeight="1">
      <c r="A2" s="19" t="inlineStr">
        <is>
          <t>One page. The call, the why, the ask.</t>
        </is>
      </c>
    </row>
    <row r="3"/>
    <row r="4">
      <c r="A4" s="24" t="n"/>
      <c r="B4" s="24" t="n"/>
    </row>
    <row r="5" ht="52" customHeight="1">
      <c r="A5" s="13" t="inlineStr">
        <is>
          <t>TO / FROM</t>
        </is>
      </c>
      <c r="B5" s="13" t="inlineStr">
        <is>
          <t>To: Aaron Chin (CEO). From: Louis To, Senior Sales Account Manager. Re: MÜV Sparkling Electrolytes — Canada launch.</t>
        </is>
      </c>
    </row>
    <row r="6" ht="52" customHeight="1">
      <c r="A6" s="15" t="inlineStr">
        <is>
          <t>THE CALL</t>
        </is>
      </c>
      <c r="B6" s="15" t="inlineStr">
        <is>
          <t>GO — conditional. Launch MÜV as a daily-wellness sparkling hydration brand, made in Canada, via a Costco-Canada + Amazon.ca beachhead, with Supplemented-Food-compliant labelling from day one.</t>
        </is>
      </c>
    </row>
    <row r="7" ht="52" customHeight="1">
      <c r="A7" s="13" t="inlineStr">
        <is>
          <t>WHY NOW</t>
        </is>
      </c>
      <c r="B7" s="13" t="inlineStr">
        <is>
          <t>Powdered hydration is a $1.5B US category growing +20%/yr four years running (Circana); Liquid I.V. entered Canada in 2023. A flavoured SPARKLING electrolyte is genuine white space — that is MÜV's wedge.</t>
        </is>
      </c>
    </row>
    <row r="8" ht="52" customHeight="1">
      <c r="A8" s="15" t="inlineStr">
        <is>
          <t>WHY US</t>
        </is>
      </c>
      <c r="B8" s="15" t="inlineStr">
        <is>
          <t>Organika already holds the exact Canadian shelves imported rivals must buy into (Costco Canada, Well.ca, Amazon.ca, pharmacy/health-food), owns BC manufacturing (margin + speed + a quality story), and carries a “Canada's #1 collagen” brand halo.</t>
        </is>
      </c>
    </row>
    <row r="9" ht="52" customHeight="1">
      <c r="A9" s="13" t="inlineStr">
        <is>
          <t>WHAT WINS</t>
        </is>
      </c>
      <c r="B9" s="13" t="inlineStr">
        <is>
          <t>Price/formulate against the electrolyte peers (≤ LMNT/Liquid I.V. per-serving economics; sparkling as the sensory wedge); borrow go-to-market from the soda winners (one obsessive trial tactic; sell-in on velocity/repeat).</t>
        </is>
      </c>
    </row>
    <row r="10" ht="52" customHeight="1">
      <c r="A10" s="15" t="inlineStr">
        <is>
          <t>THE RISKS</t>
        </is>
      </c>
      <c r="B10" s="15" t="inlineStr">
        <is>
          <t>(1) Collagen efficacy/claims liability — mitigated by keeping beauty claims on the NHP powder, not the can. (2) Strategic-owned rivals (Nestlé/Unilever/PepsiCo) — we win a niche occasion, not their shelf. (3) Over-distribution before product-market fit — gate national grocery on proven repeat.</t>
        </is>
      </c>
    </row>
    <row r="11" ht="52" customHeight="1">
      <c r="A11" s="13" t="inlineStr">
        <is>
          <t>THE NUMBERS</t>
        </is>
      </c>
      <c r="B11" s="13" t="inlineStr">
        <is>
          <t>Illustrative Base case: positive contribution at a ≤$3.49 CAD shelf with domestic COGS; a defined Year-1 break-even even in the Conservative case (see Financial Model). Replace inputs with co-packer/distributor quotes before underwriting.</t>
        </is>
      </c>
    </row>
    <row r="12" ht="52" customHeight="1">
      <c r="A12" s="15" t="inlineStr">
        <is>
          <t>THE ASK</t>
        </is>
      </c>
      <c r="B12" s="15" t="inlineStr">
        <is>
          <t>Approve Phase 0: (1) confirm MÜV on-can specs, (2) regulatory-counsel sign-off on the claim set, (3) Canadian co-packer quote, (4) secure the Costco Canada beachhead + roadshow sampling.</t>
        </is>
      </c>
    </row>
    <row r="13" ht="34" customHeight="1">
      <c r="A13" s="6" t="inlineStr">
        <is>
          <t>Confidence-tagged throughout; MÜV on-can sodium is the one open spec — confirm with the brand. Full backing: every tab in this workbook (start at 🏠 Start Here).</t>
        </is>
      </c>
    </row>
  </sheetData>
  <mergeCells count="3">
    <mergeCell ref="A13:B13"/>
    <mergeCell ref="A2:B2"/>
    <mergeCell ref="A1:B1"/>
  </mergeCells>
  <hyperlinks>
    <hyperlink xmlns:r="http://schemas.openxmlformats.org/officeDocument/2006/relationships" ref="E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8" customHeight="1">
      <c r="A1" s="1" t="inlineStr">
        <is>
          <t>Executive Brief — MÜV Canada Launch</t>
        </is>
      </c>
      <c r="H1" s="10" t="inlineStr">
        <is>
          <t>🏠 Home</t>
        </is>
      </c>
    </row>
    <row r="2" ht="20" customHeight="1">
      <c r="A2" s="19" t="inlineStr">
        <is>
          <t>Verdict · numbers · 5 moves · risks (printable)</t>
        </is>
      </c>
    </row>
    <row r="3"/>
    <row r="4" ht="22" customHeight="1">
      <c r="A4" s="25" t="inlineStr">
        <is>
          <t>VERDICT: GO — conditional.  Launch as daily-wellness sparkling hydration, made in Canada.</t>
        </is>
      </c>
    </row>
    <row r="5">
      <c r="A5" s="21" t="inlineStr">
        <is>
          <t>WHAT MÜV IS</t>
        </is>
      </c>
    </row>
    <row r="6" ht="28" customHeight="1">
      <c r="A6" s="5" t="inlineStr">
        <is>
          <t>RTD sparkling electrolyte CAN (SKU 4338, ~$14.99): carbonated water + Fibersol prebiotic fibre, magnesium glycinate, stevia; 0 sugar, caffeine-free. Food-regulated in Canada.</t>
        </is>
      </c>
    </row>
    <row r="7">
      <c r="A7" s="21" t="inlineStr">
        <is>
          <t>WHY NOW</t>
        </is>
      </c>
    </row>
    <row r="8" ht="28" customHeight="1">
      <c r="A8" s="5" t="inlineStr">
        <is>
          <t>US powdered hydration $1.5B 2024, +20% YoY, 4 straight yrs double-digit (Circana). Liquid I.V. #1, entered Canada 2023. Flavoured SPARKLING electrolyte is genuine white space.</t>
        </is>
      </c>
    </row>
    <row r="9">
      <c r="A9" s="21" t="inlineStr">
        <is>
          <t>PRICE / SODIUM LADDER</t>
        </is>
      </c>
    </row>
    <row r="10" ht="28" customHeight="1">
      <c r="A10" s="5" t="inlineStr">
        <is>
          <t>LMNT 1,000mg / ~$1.50 (performance) · Liquid I.V. 500mg / ~$1.56 (daily) · Nuun 300mg / ~$0.75 (value) · MÜV sparkling can $14.99/pack (daily-wellness sparkling).</t>
        </is>
      </c>
    </row>
    <row r="11">
      <c r="A11" s="26" t="inlineStr">
        <is>
          <t>RECOMMENDATION — 5 MOVES</t>
        </is>
      </c>
    </row>
    <row r="12" ht="28" customHeight="1">
      <c r="A12" s="5" t="inlineStr">
        <is>
          <t>1. Beachhead: Costco Canada (roadshow sampling) + Amazon.ca / Well.ca / DTC.</t>
        </is>
      </c>
    </row>
    <row r="13" ht="28" customHeight="1">
      <c r="A13" s="5" t="inlineStr">
        <is>
          <t>2. Position: daily-wellness sparkling, made in Canada — between Liquid I.V. and LMNT.</t>
        </is>
      </c>
    </row>
    <row r="14" ht="28" customHeight="1">
      <c r="A14" s="5" t="inlineStr">
        <is>
          <t>3. Label to the Supplemented-Food framework from day one.</t>
        </is>
      </c>
    </row>
    <row r="15" ht="28" customHeight="1">
      <c r="A15" s="5" t="inlineStr">
        <is>
          <t>4. Keep collagen-beauty claims on the NHP powder line, NOT the can.</t>
        </is>
      </c>
    </row>
    <row r="16" ht="28" customHeight="1">
      <c r="A16" s="5" t="inlineStr">
        <is>
          <t>5. Borrow LMNT's sample funnel + #WaterTok creators; lean on BC manufacturing for margin.</t>
        </is>
      </c>
    </row>
    <row r="17">
      <c r="A17" s="27" t="inlineStr">
        <is>
          <t>TOP RISKS</t>
        </is>
      </c>
    </row>
    <row r="18" ht="28" customHeight="1">
      <c r="A18" s="5" t="inlineStr">
        <is>
          <t>Collagen efficacy/claims liability → dose to efficacy, food-safe language.</t>
        </is>
      </c>
    </row>
    <row r="19" ht="28" customHeight="1">
      <c r="A19" s="5" t="inlineStr">
        <is>
          <t>Strategic-owned rivals → compete on Canadian-made + niche beachhead.</t>
        </is>
      </c>
    </row>
    <row r="20" ht="28" customHeight="1">
      <c r="A20" s="5" t="inlineStr">
        <is>
          <t>Over-distribution before PMF → prove repeat before national grocery.</t>
        </is>
      </c>
    </row>
    <row r="21">
      <c r="A21" s="28" t="inlineStr">
        <is>
          <t>REGULATORY (Canada)</t>
        </is>
      </c>
    </row>
    <row r="22" ht="28" customHeight="1">
      <c r="A22" s="5" t="inlineStr">
        <is>
          <t>Sport-electrolytes reclassifying NHP → Supplemented Foods by 2027-12-31; new products comply now. Format isn't the decider — claims are. Collagen beauty = NHP-only.</t>
        </is>
      </c>
    </row>
  </sheetData>
  <mergeCells count="21">
    <mergeCell ref="A15:E15"/>
    <mergeCell ref="A11:E11"/>
    <mergeCell ref="A1:E1"/>
    <mergeCell ref="A6:E6"/>
    <mergeCell ref="A16:E16"/>
    <mergeCell ref="A7:E7"/>
    <mergeCell ref="A18:E18"/>
    <mergeCell ref="A21:E21"/>
    <mergeCell ref="A12:E12"/>
    <mergeCell ref="A2:E2"/>
    <mergeCell ref="A5:E5"/>
    <mergeCell ref="A14:E14"/>
    <mergeCell ref="A8:E8"/>
    <mergeCell ref="A22:E22"/>
    <mergeCell ref="A17:E17"/>
    <mergeCell ref="A4:E4"/>
    <mergeCell ref="A20:E20"/>
    <mergeCell ref="A10:E10"/>
    <mergeCell ref="A19:E19"/>
    <mergeCell ref="A13:E13"/>
    <mergeCell ref="A9:E9"/>
  </mergeCells>
  <hyperlinks>
    <hyperlink xmlns:r="http://schemas.openxmlformats.org/officeDocument/2006/relationships" ref="H1" r:id="rId1"/>
  </hyperlinks>
  <pageMargins left="0.75" right="0.75" top="1" bottom="1" header="0.5" footer="0.5"/>
  <pageSetup orientation="portrait" fitToHeight="1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K6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30" customWidth="1" min="8" max="8"/>
  </cols>
  <sheetData>
    <row r="1" ht="28" customHeight="1">
      <c r="A1" s="1" t="inlineStr">
        <is>
          <t>MÜV Financial Model — Scenario P&amp;L, Break-even &amp; Sensitivity</t>
        </is>
      </c>
      <c r="K1" s="10" t="inlineStr">
        <is>
          <t>🏠 Home</t>
        </is>
      </c>
    </row>
    <row r="2" ht="20" customHeight="1">
      <c r="A2" s="19" t="inlineStr">
        <is>
          <t>Pick a scenario in C4. Yellow = editable; white = locked formulas. Illustrative, not a forecast.</t>
        </is>
      </c>
    </row>
    <row r="3"/>
    <row r="4">
      <c r="B4" s="29" t="inlineStr">
        <is>
          <t>Scenario (pick):</t>
        </is>
      </c>
      <c r="C4" s="30" t="inlineStr">
        <is>
          <t>Base</t>
        </is>
      </c>
      <c r="F4" s="31" t="inlineStr">
        <is>
          <t>← change this dropdown to flip the whole model</t>
        </is>
      </c>
    </row>
    <row r="5">
      <c r="B5" s="32" t="inlineStr">
        <is>
          <t>Scenario index:</t>
        </is>
      </c>
      <c r="C5" s="33">
        <f>MATCH(C4,{"Conservative","Base","Aggressive"},0)</f>
        <v/>
      </c>
    </row>
    <row r="6"/>
    <row r="7">
      <c r="F7" s="34" t="inlineStr">
        <is>
          <t>LEGEND</t>
        </is>
      </c>
    </row>
    <row r="8">
      <c r="F8" s="35" t="inlineStr">
        <is>
          <t xml:space="preserve"> edit </t>
        </is>
      </c>
      <c r="G8" s="31">
        <f> yellow input</f>
        <v/>
      </c>
    </row>
    <row r="9">
      <c r="F9" s="36" t="inlineStr">
        <is>
          <t xml:space="preserve"> calc </t>
        </is>
      </c>
      <c r="G9" s="31">
        <f> locked formula</f>
        <v/>
      </c>
    </row>
    <row r="10"/>
    <row r="11">
      <c r="B11" s="11" t="inlineStr">
        <is>
          <t>Assumption</t>
        </is>
      </c>
      <c r="C11" s="11" t="inlineStr">
        <is>
          <t>Conservative</t>
        </is>
      </c>
      <c r="D11" s="11" t="inlineStr">
        <is>
          <t>Base</t>
        </is>
      </c>
      <c r="E11" s="11" t="inlineStr">
        <is>
          <t>Aggressive</t>
        </is>
      </c>
      <c r="F11" s="11" t="inlineStr">
        <is>
          <t>ACTIVE</t>
        </is>
      </c>
    </row>
    <row r="12" ht="15" customHeight="1">
      <c r="B12" s="32" t="inlineStr">
        <is>
          <t>List price / can (CAD)</t>
        </is>
      </c>
      <c r="C12" s="37" t="n">
        <v>3.29</v>
      </c>
      <c r="D12" s="37" t="n">
        <v>3.49</v>
      </c>
      <c r="E12" s="37" t="n">
        <v>3.79</v>
      </c>
      <c r="F12" s="38">
        <f>CHOOSE($C$5,C12,D12,E12)</f>
        <v/>
      </c>
    </row>
    <row r="13" ht="15" customHeight="1">
      <c r="B13" s="32" t="inlineStr">
        <is>
          <t>COGS / can (CAD)</t>
        </is>
      </c>
      <c r="C13" s="37" t="n">
        <v>1.2</v>
      </c>
      <c r="D13" s="37" t="n">
        <v>1.05</v>
      </c>
      <c r="E13" s="37" t="n">
        <v>0.95</v>
      </c>
      <c r="F13" s="38">
        <f>CHOOSE($C$5,C13,D13,E13)</f>
        <v/>
      </c>
    </row>
    <row r="14" ht="15" customHeight="1">
      <c r="B14" s="32" t="inlineStr">
        <is>
          <t>Retailer margin %</t>
        </is>
      </c>
      <c r="C14" s="39" t="n">
        <v>0.38</v>
      </c>
      <c r="D14" s="39" t="n">
        <v>0.35</v>
      </c>
      <c r="E14" s="39" t="n">
        <v>0.33</v>
      </c>
      <c r="F14" s="40">
        <f>CHOOSE($C$5,C14,D14,E14)</f>
        <v/>
      </c>
    </row>
    <row r="15" ht="15" customHeight="1">
      <c r="B15" s="32" t="inlineStr">
        <is>
          <t>Distributor margin %</t>
        </is>
      </c>
      <c r="C15" s="39" t="n">
        <v>0.18</v>
      </c>
      <c r="D15" s="39" t="n">
        <v>0.15</v>
      </c>
      <c r="E15" s="39" t="n">
        <v>0.12</v>
      </c>
      <c r="F15" s="40">
        <f>CHOOSE($C$5,C15,D15,E15)</f>
        <v/>
      </c>
    </row>
    <row r="16" ht="15" customHeight="1">
      <c r="B16" s="32" t="inlineStr">
        <is>
          <t>Trade spend % of net</t>
        </is>
      </c>
      <c r="C16" s="39" t="n">
        <v>0.25</v>
      </c>
      <c r="D16" s="39" t="n">
        <v>0.2</v>
      </c>
      <c r="E16" s="39" t="n">
        <v>0.15</v>
      </c>
      <c r="F16" s="40">
        <f>CHOOSE($C$5,C16,D16,E16)</f>
        <v/>
      </c>
    </row>
    <row r="17" ht="15" customHeight="1">
      <c r="B17" s="32" t="inlineStr">
        <is>
          <t>Cans per case</t>
        </is>
      </c>
      <c r="C17" s="41" t="n">
        <v>12</v>
      </c>
      <c r="D17" s="41" t="n">
        <v>12</v>
      </c>
      <c r="E17" s="41" t="n">
        <v>12</v>
      </c>
      <c r="F17" s="42">
        <f>CHOOSE($C$5,C17,D17,E17)</f>
        <v/>
      </c>
    </row>
    <row r="18" ht="15" customHeight="1">
      <c r="B18" s="32" t="inlineStr">
        <is>
          <t>Doors — Year 1</t>
        </is>
      </c>
      <c r="C18" s="43" t="n">
        <v>300</v>
      </c>
      <c r="D18" s="43" t="n">
        <v>500</v>
      </c>
      <c r="E18" s="43" t="n">
        <v>900</v>
      </c>
      <c r="F18" s="44">
        <f>CHOOSE($C$5,C18,D18,E18)</f>
        <v/>
      </c>
    </row>
    <row r="19" ht="15" customHeight="1">
      <c r="B19" s="32" t="inlineStr">
        <is>
          <t>Doors — Year 2</t>
        </is>
      </c>
      <c r="C19" s="43" t="n">
        <v>1200</v>
      </c>
      <c r="D19" s="43" t="n">
        <v>2000</v>
      </c>
      <c r="E19" s="43" t="n">
        <v>3500</v>
      </c>
      <c r="F19" s="44">
        <f>CHOOSE($C$5,C19,D19,E19)</f>
        <v/>
      </c>
    </row>
    <row r="20" ht="15" customHeight="1">
      <c r="B20" s="32" t="inlineStr">
        <is>
          <t>Doors — Year 3</t>
        </is>
      </c>
      <c r="C20" s="43" t="n">
        <v>3500</v>
      </c>
      <c r="D20" s="43" t="n">
        <v>6000</v>
      </c>
      <c r="E20" s="43" t="n">
        <v>11000</v>
      </c>
      <c r="F20" s="44">
        <f>CHOOSE($C$5,C20,D20,E20)</f>
        <v/>
      </c>
    </row>
    <row r="21" ht="15" customHeight="1">
      <c r="B21" s="32" t="inlineStr">
        <is>
          <t>Velocity Y1 (u/store/wk)</t>
        </is>
      </c>
      <c r="C21" s="45" t="n">
        <v>2</v>
      </c>
      <c r="D21" s="45" t="n">
        <v>3</v>
      </c>
      <c r="E21" s="45" t="n">
        <v>4.5</v>
      </c>
      <c r="F21" s="46">
        <f>CHOOSE($C$5,C21,D21,E21)</f>
        <v/>
      </c>
    </row>
    <row r="22" ht="15" customHeight="1">
      <c r="B22" s="32" t="inlineStr">
        <is>
          <t>Velocity Y2 (u/store/wk)</t>
        </is>
      </c>
      <c r="C22" s="45" t="n">
        <v>3</v>
      </c>
      <c r="D22" s="45" t="n">
        <v>4</v>
      </c>
      <c r="E22" s="45" t="n">
        <v>6</v>
      </c>
      <c r="F22" s="46">
        <f>CHOOSE($C$5,C22,D22,E22)</f>
        <v/>
      </c>
    </row>
    <row r="23" ht="15" customHeight="1">
      <c r="B23" s="32" t="inlineStr">
        <is>
          <t>Velocity Y3 (u/store/wk)</t>
        </is>
      </c>
      <c r="C23" s="45" t="n">
        <v>3.5</v>
      </c>
      <c r="D23" s="45" t="n">
        <v>5</v>
      </c>
      <c r="E23" s="45" t="n">
        <v>7.5</v>
      </c>
      <c r="F23" s="46">
        <f>CHOOSE($C$5,C23,D23,E23)</f>
        <v/>
      </c>
    </row>
    <row r="24" ht="15" customHeight="1">
      <c r="B24" s="32" t="inlineStr">
        <is>
          <t>Marketing / year (CAD)</t>
        </is>
      </c>
      <c r="C24" s="47" t="n">
        <v>150000</v>
      </c>
      <c r="D24" s="47" t="n">
        <v>300000</v>
      </c>
      <c r="E24" s="47" t="n">
        <v>600000</v>
      </c>
      <c r="F24" s="48">
        <f>CHOOSE($C$5,C24,D24,E24)</f>
        <v/>
      </c>
    </row>
    <row r="25" ht="15" customHeight="1">
      <c r="B25" s="32" t="inlineStr">
        <is>
          <t>Fixed overhead / year (CAD)</t>
        </is>
      </c>
      <c r="C25" s="47" t="n">
        <v>250000</v>
      </c>
      <c r="D25" s="47" t="n">
        <v>350000</v>
      </c>
      <c r="E25" s="47" t="n">
        <v>500000</v>
      </c>
      <c r="F25" s="48">
        <f>CHOOSE($C$5,C25,D25,E25)</f>
        <v/>
      </c>
    </row>
    <row r="26" ht="15" customHeight="1">
      <c r="B26" s="32" t="inlineStr">
        <is>
          <t>Slotting (Year 1 one-time)</t>
        </is>
      </c>
      <c r="C26" s="47" t="n">
        <v>50000</v>
      </c>
      <c r="D26" s="47" t="n">
        <v>100000</v>
      </c>
      <c r="E26" s="47" t="n">
        <v>200000</v>
      </c>
      <c r="F26" s="48">
        <f>CHOOSE($C$5,C26,D26,E26)</f>
        <v/>
      </c>
    </row>
    <row r="27"/>
    <row r="28">
      <c r="A28" s="17" t="inlineStr">
        <is>
          <t>PER-CAN ECONOMICS (active scenario)</t>
        </is>
      </c>
    </row>
    <row r="29">
      <c r="B29" s="29" t="inlineStr">
        <is>
          <t>Net revenue / can</t>
        </is>
      </c>
      <c r="C29" s="49">
        <f>$F$12*(1-$F$14)*(1-$F$15)</f>
        <v/>
      </c>
    </row>
    <row r="30">
      <c r="B30" s="29" t="inlineStr">
        <is>
          <t>Gross profit / can</t>
        </is>
      </c>
      <c r="C30" s="49">
        <f>C29-$F$13</f>
        <v/>
      </c>
    </row>
    <row r="31">
      <c r="B31" s="29" t="inlineStr">
        <is>
          <t>Gross margin %</t>
        </is>
      </c>
      <c r="C31" s="50">
        <f>C30/C29</f>
        <v/>
      </c>
    </row>
    <row r="32">
      <c r="B32" s="32" t="inlineStr">
        <is>
          <t>Trade spend / can</t>
        </is>
      </c>
      <c r="C32" s="51">
        <f>C29*$F$16</f>
        <v/>
      </c>
    </row>
    <row r="33">
      <c r="B33" s="29" t="inlineStr">
        <is>
          <t>Contribution / can</t>
        </is>
      </c>
      <c r="C33" s="49">
        <f>C30-C32</f>
        <v/>
      </c>
    </row>
    <row r="34"/>
    <row r="35">
      <c r="A35" s="17" t="inlineStr">
        <is>
          <t>3-YEAR P&amp;L (CAD)</t>
        </is>
      </c>
    </row>
    <row r="36">
      <c r="B36" s="52" t="inlineStr">
        <is>
          <t>Line</t>
        </is>
      </c>
      <c r="C36" s="52" t="inlineStr">
        <is>
          <t>Year 1</t>
        </is>
      </c>
      <c r="D36" s="52" t="inlineStr">
        <is>
          <t>Year 2</t>
        </is>
      </c>
      <c r="E36" s="52" t="inlineStr">
        <is>
          <t>Year 3</t>
        </is>
      </c>
    </row>
    <row r="37">
      <c r="B37" s="32" t="inlineStr">
        <is>
          <t>Distribution (doors)</t>
        </is>
      </c>
      <c r="C37" s="53">
        <f>$F$18</f>
        <v/>
      </c>
      <c r="D37" s="53">
        <f>$F$19</f>
        <v/>
      </c>
      <c r="E37" s="53">
        <f>$F$20</f>
        <v/>
      </c>
    </row>
    <row r="38">
      <c r="B38" s="32" t="inlineStr">
        <is>
          <t>Velocity (u/store/wk)</t>
        </is>
      </c>
      <c r="C38" s="54">
        <f>$F$21</f>
        <v/>
      </c>
      <c r="D38" s="54">
        <f>$F$22</f>
        <v/>
      </c>
      <c r="E38" s="54">
        <f>$F$23</f>
        <v/>
      </c>
    </row>
    <row r="39">
      <c r="B39" s="32" t="inlineStr">
        <is>
          <t>Annual units</t>
        </is>
      </c>
      <c r="C39" s="53">
        <f>C37*C38*52</f>
        <v/>
      </c>
      <c r="D39" s="53">
        <f>D37*D38*52</f>
        <v/>
      </c>
      <c r="E39" s="53">
        <f>E37*E38*52</f>
        <v/>
      </c>
    </row>
    <row r="40">
      <c r="B40" s="29" t="inlineStr">
        <is>
          <t>Net revenue</t>
        </is>
      </c>
      <c r="C40" s="55">
        <f>C39*$C$29</f>
        <v/>
      </c>
      <c r="D40" s="55">
        <f>D39*$C$29</f>
        <v/>
      </c>
      <c r="E40" s="55">
        <f>E39*$C$29</f>
        <v/>
      </c>
    </row>
    <row r="41">
      <c r="B41" s="32" t="inlineStr">
        <is>
          <t>COGS</t>
        </is>
      </c>
      <c r="C41" s="56">
        <f>-C39*$F$13</f>
        <v/>
      </c>
      <c r="D41" s="56">
        <f>-D39*$F$13</f>
        <v/>
      </c>
      <c r="E41" s="56">
        <f>-E39*$F$13</f>
        <v/>
      </c>
    </row>
    <row r="42">
      <c r="B42" s="29" t="inlineStr">
        <is>
          <t>Gross profit</t>
        </is>
      </c>
      <c r="C42" s="55">
        <f>C40+C41</f>
        <v/>
      </c>
      <c r="D42" s="55">
        <f>D40+D41</f>
        <v/>
      </c>
      <c r="E42" s="55">
        <f>E40+E41</f>
        <v/>
      </c>
    </row>
    <row r="43">
      <c r="B43" s="32" t="inlineStr">
        <is>
          <t>Trade spend</t>
        </is>
      </c>
      <c r="C43" s="56">
        <f>-C39*$C$32</f>
        <v/>
      </c>
      <c r="D43" s="56">
        <f>-D39*$C$32</f>
        <v/>
      </c>
      <c r="E43" s="56">
        <f>-E39*$C$32</f>
        <v/>
      </c>
    </row>
    <row r="44">
      <c r="B44" s="32" t="inlineStr">
        <is>
          <t>Marketing</t>
        </is>
      </c>
      <c r="C44" s="56">
        <f>-$F$24</f>
        <v/>
      </c>
      <c r="D44" s="56">
        <f>-$F$24</f>
        <v/>
      </c>
      <c r="E44" s="56">
        <f>-$F$24</f>
        <v/>
      </c>
    </row>
    <row r="45">
      <c r="B45" s="32" t="inlineStr">
        <is>
          <t>Fixed overhead</t>
        </is>
      </c>
      <c r="C45" s="56">
        <f>-$F$25</f>
        <v/>
      </c>
      <c r="D45" s="56">
        <f>-$F$25</f>
        <v/>
      </c>
      <c r="E45" s="56">
        <f>-$F$25</f>
        <v/>
      </c>
    </row>
    <row r="46">
      <c r="B46" s="32" t="inlineStr">
        <is>
          <t>Slotting (one-time)</t>
        </is>
      </c>
      <c r="C46" s="56">
        <f>-$F$26</f>
        <v/>
      </c>
      <c r="D46" s="56">
        <f>0</f>
        <v/>
      </c>
      <c r="E46" s="56">
        <f>0</f>
        <v/>
      </c>
    </row>
    <row r="47">
      <c r="B47" s="29" t="inlineStr">
        <is>
          <t>EBITDA</t>
        </is>
      </c>
      <c r="C47" s="48">
        <f>C42+C44+C45+C46+C43</f>
        <v/>
      </c>
      <c r="D47" s="48">
        <f>D42+D44+D45+D46+D43</f>
        <v/>
      </c>
      <c r="E47" s="48">
        <f>E42+E44+E45+E46+E43</f>
        <v/>
      </c>
    </row>
    <row r="48">
      <c r="B48" s="32" t="inlineStr">
        <is>
          <t>EBITDA margin %</t>
        </is>
      </c>
      <c r="C48" s="57">
        <f>C47/C40</f>
        <v/>
      </c>
      <c r="D48" s="57">
        <f>D47/D40</f>
        <v/>
      </c>
      <c r="E48" s="57">
        <f>E47/E40</f>
        <v/>
      </c>
    </row>
    <row r="49"/>
    <row r="50">
      <c r="A50" s="17" t="inlineStr">
        <is>
          <t>BREAK-EVEN (Year-1 cost load ÷ contribution/can)</t>
        </is>
      </c>
    </row>
    <row r="51">
      <c r="B51" s="32" t="inlineStr">
        <is>
          <t>Year-1 fixed + marketing + slotting</t>
        </is>
      </c>
      <c r="C51" s="55">
        <f>$F$24+$F$25+$F$26</f>
        <v/>
      </c>
    </row>
    <row r="52">
      <c r="B52" s="32" t="inlineStr">
        <is>
          <t>Break-even units (cans)</t>
        </is>
      </c>
      <c r="C52" s="58">
        <f>C51/$C$33</f>
        <v/>
      </c>
    </row>
    <row r="53">
      <c r="B53" s="32" t="inlineStr">
        <is>
          <t>Year-1 actual units</t>
        </is>
      </c>
      <c r="C53" s="53">
        <f>C39</f>
        <v/>
      </c>
    </row>
    <row r="54">
      <c r="B54" s="29" t="inlineStr">
        <is>
          <t>Year-1 surplus / (gap)</t>
        </is>
      </c>
      <c r="C54" s="59">
        <f>C53-C52</f>
        <v/>
      </c>
    </row>
    <row r="55"/>
    <row r="56">
      <c r="A56" s="17" t="inlineStr">
        <is>
          <t>SENSITIVITY — Contribution/can: price (down) × COGS (across), active margins</t>
        </is>
      </c>
    </row>
    <row r="57">
      <c r="C57" s="31" t="inlineStr">
        <is>
          <t>P＼COGS</t>
        </is>
      </c>
      <c r="D57" s="60" t="n">
        <v>0.85</v>
      </c>
      <c r="E57" s="60" t="n">
        <v>0.95</v>
      </c>
      <c r="F57" s="60" t="n">
        <v>1.05</v>
      </c>
      <c r="G57" s="60" t="n">
        <v>1.2</v>
      </c>
      <c r="H57" s="60" t="n">
        <v>1.35</v>
      </c>
    </row>
    <row r="58">
      <c r="C58" s="60" t="n">
        <v>3.09</v>
      </c>
      <c r="D58" s="61">
        <f>($C58*(1-$F$14)*(1-$F$15))*(1-$F$16)-D$57</f>
        <v/>
      </c>
      <c r="E58" s="61">
        <f>($C58*(1-$F$14)*(1-$F$15))*(1-$F$16)-E$57</f>
        <v/>
      </c>
      <c r="F58" s="61">
        <f>($C58*(1-$F$14)*(1-$F$15))*(1-$F$16)-F$57</f>
        <v/>
      </c>
      <c r="G58" s="61">
        <f>($C58*(1-$F$14)*(1-$F$15))*(1-$F$16)-G$57</f>
        <v/>
      </c>
      <c r="H58" s="61">
        <f>($C58*(1-$F$14)*(1-$F$15))*(1-$F$16)-H$57</f>
        <v/>
      </c>
    </row>
    <row r="59">
      <c r="C59" s="60" t="n">
        <v>3.29</v>
      </c>
      <c r="D59" s="61">
        <f>($C59*(1-$F$14)*(1-$F$15))*(1-$F$16)-D$57</f>
        <v/>
      </c>
      <c r="E59" s="61">
        <f>($C59*(1-$F$14)*(1-$F$15))*(1-$F$16)-E$57</f>
        <v/>
      </c>
      <c r="F59" s="61">
        <f>($C59*(1-$F$14)*(1-$F$15))*(1-$F$16)-F$57</f>
        <v/>
      </c>
      <c r="G59" s="61">
        <f>($C59*(1-$F$14)*(1-$F$15))*(1-$F$16)-G$57</f>
        <v/>
      </c>
      <c r="H59" s="61">
        <f>($C59*(1-$F$14)*(1-$F$15))*(1-$F$16)-H$57</f>
        <v/>
      </c>
    </row>
    <row r="60">
      <c r="C60" s="60" t="n">
        <v>3.49</v>
      </c>
      <c r="D60" s="61">
        <f>($C60*(1-$F$14)*(1-$F$15))*(1-$F$16)-D$57</f>
        <v/>
      </c>
      <c r="E60" s="61">
        <f>($C60*(1-$F$14)*(1-$F$15))*(1-$F$16)-E$57</f>
        <v/>
      </c>
      <c r="F60" s="61">
        <f>($C60*(1-$F$14)*(1-$F$15))*(1-$F$16)-F$57</f>
        <v/>
      </c>
      <c r="G60" s="61">
        <f>($C60*(1-$F$14)*(1-$F$15))*(1-$F$16)-G$57</f>
        <v/>
      </c>
      <c r="H60" s="61">
        <f>($C60*(1-$F$14)*(1-$F$15))*(1-$F$16)-H$57</f>
        <v/>
      </c>
    </row>
    <row r="61">
      <c r="C61" s="60" t="n">
        <v>3.69</v>
      </c>
      <c r="D61" s="61">
        <f>($C61*(1-$F$14)*(1-$F$15))*(1-$F$16)-D$57</f>
        <v/>
      </c>
      <c r="E61" s="61">
        <f>($C61*(1-$F$14)*(1-$F$15))*(1-$F$16)-E$57</f>
        <v/>
      </c>
      <c r="F61" s="61">
        <f>($C61*(1-$F$14)*(1-$F$15))*(1-$F$16)-F$57</f>
        <v/>
      </c>
      <c r="G61" s="61">
        <f>($C61*(1-$F$14)*(1-$F$15))*(1-$F$16)-G$57</f>
        <v/>
      </c>
      <c r="H61" s="61">
        <f>($C61*(1-$F$14)*(1-$F$15))*(1-$F$16)-H$57</f>
        <v/>
      </c>
    </row>
    <row r="62">
      <c r="C62" s="60" t="n">
        <v>3.99</v>
      </c>
      <c r="D62" s="61">
        <f>($C62*(1-$F$14)*(1-$F$15))*(1-$F$16)-D$57</f>
        <v/>
      </c>
      <c r="E62" s="61">
        <f>($C62*(1-$F$14)*(1-$F$15))*(1-$F$16)-E$57</f>
        <v/>
      </c>
      <c r="F62" s="61">
        <f>($C62*(1-$F$14)*(1-$F$15))*(1-$F$16)-F$57</f>
        <v/>
      </c>
      <c r="G62" s="61">
        <f>($C62*(1-$F$14)*(1-$F$15))*(1-$F$16)-G$57</f>
        <v/>
      </c>
      <c r="H62" s="61">
        <f>($C62*(1-$F$14)*(1-$F$15))*(1-$F$16)-H$57</f>
        <v/>
      </c>
    </row>
    <row r="63"/>
    <row r="64" ht="44" customHeight="1">
      <c r="A64" s="62" t="inlineStr">
        <is>
          <t>Scenario logic: ACTIVE = CHOOSE(scenario, Conservative, Base, Aggressive); every downstream cell reads ACTIVE. EBITDA excludes freight/FX and financing. Replace all yellow inputs with real co-packer, distributor and buyer numbers before relying on outputs.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7">
    <mergeCell ref="A50:H50"/>
    <mergeCell ref="A56:H56"/>
    <mergeCell ref="A35:H35"/>
    <mergeCell ref="A2:H2"/>
    <mergeCell ref="A64:H64"/>
    <mergeCell ref="A28:H28"/>
    <mergeCell ref="A1:H1"/>
  </mergeCells>
  <conditionalFormatting sqref="D58:H6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E40">
    <cfRule type="dataBar" priority="2">
      <dataBar>
        <cfvo type="min"/>
        <cfvo type="max"/>
        <color rgb="003E5C76"/>
      </dataBar>
    </cfRule>
  </conditionalFormatting>
  <conditionalFormatting sqref="C47:E47">
    <cfRule type="dataBar" priority="3">
      <dataBar>
        <cfvo type="min"/>
        <cfvo type="max"/>
        <color rgb="001E7D32"/>
      </dataBar>
    </cfRule>
  </conditionalFormatting>
  <dataValidations count="1">
    <dataValidation sqref="C4" showDropDown="0" showInputMessage="0" showErrorMessage="0" allowBlank="0" type="list">
      <formula1>"Conservative,Base,Aggressive"</formula1>
    </dataValidation>
  </dataValidations>
  <hyperlinks>
    <hyperlink xmlns:r="http://schemas.openxmlformats.org/officeDocument/2006/relationships" ref="K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Scenario Comparison — Conservative · Base · Aggressive</t>
        </is>
      </c>
      <c r="H1" s="10" t="inlineStr">
        <is>
          <t>🏠 Home</t>
        </is>
      </c>
    </row>
    <row r="2" ht="20" customHeight="1">
      <c r="A2" s="19" t="inlineStr">
        <is>
          <t>Full envelope of the model, all three scenarios (edit source on Financial Model)</t>
        </is>
      </c>
    </row>
    <row r="3"/>
    <row r="4">
      <c r="A4" s="52" t="inlineStr">
        <is>
          <t>Metric</t>
        </is>
      </c>
      <c r="B4" s="52" t="inlineStr">
        <is>
          <t>Conservative</t>
        </is>
      </c>
      <c r="C4" s="52" t="inlineStr">
        <is>
          <t>Base</t>
        </is>
      </c>
      <c r="D4" s="52" t="inlineStr">
        <is>
          <t>Aggressive</t>
        </is>
      </c>
    </row>
    <row r="5">
      <c r="A5" s="63" t="inlineStr">
        <is>
          <t>List price / can</t>
        </is>
      </c>
      <c r="B5" s="61" t="n">
        <v>3.29</v>
      </c>
      <c r="C5" s="61" t="n">
        <v>3.49</v>
      </c>
      <c r="D5" s="61" t="n">
        <v>3.79</v>
      </c>
    </row>
    <row r="6">
      <c r="A6" s="63" t="inlineStr">
        <is>
          <t>COGS / can</t>
        </is>
      </c>
      <c r="B6" s="61" t="n">
        <v>1.2</v>
      </c>
      <c r="C6" s="61" t="n">
        <v>1.05</v>
      </c>
      <c r="D6" s="61" t="n">
        <v>0.95</v>
      </c>
    </row>
    <row r="7">
      <c r="A7" s="63" t="inlineStr">
        <is>
          <t>Net revenue / can</t>
        </is>
      </c>
      <c r="B7" s="61" t="n">
        <v>1.672636</v>
      </c>
      <c r="C7" s="61" t="n">
        <v>1.928225</v>
      </c>
      <c r="D7" s="61" t="n">
        <v>2.234584</v>
      </c>
    </row>
    <row r="8">
      <c r="A8" s="63" t="inlineStr">
        <is>
          <t>Gross margin %</t>
        </is>
      </c>
      <c r="B8" s="64" t="n">
        <v>0.2825695489036468</v>
      </c>
      <c r="C8" s="64" t="n">
        <v>0.4554577396310078</v>
      </c>
      <c r="D8" s="64" t="n">
        <v>0.5748649413045113</v>
      </c>
    </row>
    <row r="9">
      <c r="A9" s="65" t="inlineStr">
        <is>
          <t>Contribution / can</t>
        </is>
      </c>
      <c r="B9" s="66" t="n">
        <v>0.05447700000000022</v>
      </c>
      <c r="C9" s="66" t="n">
        <v>0.4925800000000002</v>
      </c>
      <c r="D9" s="66" t="n">
        <v>0.9493963999999999</v>
      </c>
    </row>
    <row r="10">
      <c r="A10" s="63" t="inlineStr">
        <is>
          <t>Break-even units (Yr-1)</t>
        </is>
      </c>
      <c r="B10" s="67" t="n">
        <v>8260366.760284123</v>
      </c>
      <c r="C10" s="67" t="n">
        <v>1522595.314466685</v>
      </c>
      <c r="D10" s="67" t="n">
        <v>1369291.056928381</v>
      </c>
    </row>
    <row r="11">
      <c r="A11" s="63" t="inlineStr">
        <is>
          <t>Year-1 units</t>
        </is>
      </c>
      <c r="B11" s="67" t="n">
        <v>31200</v>
      </c>
      <c r="C11" s="67" t="n">
        <v>78000</v>
      </c>
      <c r="D11" s="67" t="n">
        <v>210600</v>
      </c>
    </row>
    <row r="12">
      <c r="A12" s="18" t="inlineStr">
        <is>
          <t>Year-1 EBITDA</t>
        </is>
      </c>
      <c r="B12" s="68" t="n">
        <v>-448300.3176</v>
      </c>
      <c r="C12" s="68" t="n">
        <v>-711578.76</v>
      </c>
      <c r="D12" s="68" t="n">
        <v>-1100057.11816</v>
      </c>
    </row>
    <row r="13">
      <c r="A13" s="63" t="inlineStr">
        <is>
          <t>Year-3 net revenue</t>
        </is>
      </c>
      <c r="B13" s="69" t="n">
        <v>1065469.132</v>
      </c>
      <c r="C13" s="69" t="n">
        <v>3008031</v>
      </c>
      <c r="D13" s="69" t="n">
        <v>9586365.359999999</v>
      </c>
    </row>
    <row r="14">
      <c r="A14" s="70" t="inlineStr">
        <is>
          <t>Year-3 EBITDA</t>
        </is>
      </c>
      <c r="B14" s="48" t="n">
        <v>-365298.1509999998</v>
      </c>
      <c r="C14" s="48" t="n">
        <v>118424.8000000004</v>
      </c>
      <c r="D14" s="48" t="n">
        <v>2972910.555999999</v>
      </c>
    </row>
    <row r="15"/>
    <row r="16"/>
    <row r="17" hidden="1">
      <c r="A17" t="inlineStr">
        <is>
          <t>Scenario</t>
        </is>
      </c>
      <c r="B17" t="inlineStr">
        <is>
          <t>Y3 Net Rev</t>
        </is>
      </c>
      <c r="C17" t="inlineStr">
        <is>
          <t>Y3 EBITDA</t>
        </is>
      </c>
      <c r="D17" t="inlineStr">
        <is>
          <t>Break-even</t>
        </is>
      </c>
    </row>
    <row r="18" hidden="1">
      <c r="A18" t="inlineStr">
        <is>
          <t>Conservative</t>
        </is>
      </c>
      <c r="B18" t="n">
        <v>1065469</v>
      </c>
      <c r="C18" t="n">
        <v>-365298</v>
      </c>
      <c r="D18" t="n">
        <v>8260367</v>
      </c>
    </row>
    <row r="19" hidden="1">
      <c r="A19" t="inlineStr">
        <is>
          <t>Base</t>
        </is>
      </c>
      <c r="B19" t="n">
        <v>3008031</v>
      </c>
      <c r="C19" t="n">
        <v>118425</v>
      </c>
      <c r="D19" t="n">
        <v>1522595</v>
      </c>
    </row>
    <row r="20" hidden="1">
      <c r="A20" t="inlineStr">
        <is>
          <t>Aggressive</t>
        </is>
      </c>
      <c r="B20" t="n">
        <v>9586365</v>
      </c>
      <c r="C20" t="n">
        <v>2972911</v>
      </c>
      <c r="D20" t="n">
        <v>1369291</v>
      </c>
    </row>
    <row r="21"/>
    <row r="22"/>
    <row r="23">
      <c r="A23" s="17" t="inlineStr">
        <is>
          <t>TAKEAWAY BY SCENARIO</t>
        </is>
      </c>
    </row>
    <row r="24" ht="28" customHeight="1">
      <c r="A24" s="71" t="inlineStr">
        <is>
          <t>Conservative</t>
        </is>
      </c>
      <c r="B24" s="13" t="inlineStr">
        <is>
          <t>Downside — thin margins, later break-even. Validates the floor: even here MÜV has a defined path.</t>
        </is>
      </c>
    </row>
    <row r="25" ht="28" customHeight="1">
      <c r="A25" s="72" t="inlineStr">
        <is>
          <t>Base</t>
        </is>
      </c>
      <c r="B25" s="13" t="inlineStr">
        <is>
          <t>Planning anchor — healthy contribution, break-even within the Year-1 door plan. The case to underwrite.</t>
        </is>
      </c>
    </row>
    <row r="26" ht="28" customHeight="1">
      <c r="A26" s="73" t="inlineStr">
        <is>
          <t>Aggressive</t>
        </is>
      </c>
      <c r="B26" s="13" t="inlineStr">
        <is>
          <t>Upside — if the sparkling wedge + Costco beachhead over-deliver. Treat as ceiling, not plan.</t>
        </is>
      </c>
    </row>
  </sheetData>
  <mergeCells count="6">
    <mergeCell ref="B26:E26"/>
    <mergeCell ref="A2:E2"/>
    <mergeCell ref="A1:E1"/>
    <mergeCell ref="A23:E23"/>
    <mergeCell ref="B24:E24"/>
    <mergeCell ref="B25:E25"/>
  </mergeCells>
  <hyperlinks>
    <hyperlink xmlns:r="http://schemas.openxmlformats.org/officeDocument/2006/relationships" ref="H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O7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Executive Dashboard</t>
        </is>
      </c>
      <c r="O1" s="10" t="inlineStr">
        <is>
          <t>🏠 Home</t>
        </is>
      </c>
    </row>
    <row r="2" ht="20" customHeight="1">
      <c r="A2" s="19" t="inlineStr">
        <is>
          <t>Category sizing · leader trajectories · share · scores · MÜV scenario P&amp;L</t>
        </is>
      </c>
    </row>
    <row r="3" ht="18" customHeight="1">
      <c r="A3" s="74" t="inlineStr">
        <is>
          <t>THESIS: MÜV wins the daily-wellness SPARKLING electrolyte lane, made in Canada — food-regulated, priced with the electrolyte peers, GTM borrowed from the soda winners.</t>
        </is>
      </c>
    </row>
    <row r="4">
      <c r="A4" s="75" t="inlineStr">
        <is>
          <t>Modern soda US '24</t>
        </is>
      </c>
      <c r="B4" s="76" t="n"/>
      <c r="C4" s="75" t="inlineStr">
        <is>
          <t>Poppi → PepsiCo</t>
        </is>
      </c>
      <c r="D4" s="76" t="n"/>
      <c r="E4" s="75" t="inlineStr">
        <is>
          <t>OLIPOP valuation</t>
        </is>
      </c>
      <c r="F4" s="76" t="n"/>
      <c r="G4" s="75" t="inlineStr">
        <is>
          <t>Collagen-indie survival</t>
        </is>
      </c>
      <c r="H4" s="76" t="n"/>
      <c r="I4" s="75" t="inlineStr">
        <is>
          <t>Canada beachhead</t>
        </is>
      </c>
      <c r="J4" s="76" t="n"/>
    </row>
    <row r="5">
      <c r="A5" s="77" t="inlineStr">
        <is>
          <t>$1.8B</t>
        </is>
      </c>
      <c r="B5" s="76" t="n"/>
      <c r="C5" s="77" t="inlineStr">
        <is>
          <t>$1.95B</t>
        </is>
      </c>
      <c r="D5" s="76" t="n"/>
      <c r="E5" s="77" t="inlineStr">
        <is>
          <t>$1.85B</t>
        </is>
      </c>
      <c r="F5" s="76" t="n"/>
      <c r="G5" s="77" t="inlineStr">
        <is>
          <t>Low</t>
        </is>
      </c>
      <c r="H5" s="76" t="n"/>
      <c r="I5" s="77" t="inlineStr">
        <is>
          <t>Costco+Amazon</t>
        </is>
      </c>
      <c r="J5" s="76" t="n"/>
    </row>
    <row r="6">
      <c r="A6" s="78" t="inlineStr">
        <is>
          <t>+83% YoY</t>
        </is>
      </c>
      <c r="B6" s="76" t="n"/>
      <c r="C6" s="78" t="inlineStr">
        <is>
          <t>2025</t>
        </is>
      </c>
      <c r="D6" s="76" t="n"/>
      <c r="E6" s="78" t="inlineStr">
        <is>
          <t>2025</t>
        </is>
      </c>
      <c r="F6" s="76" t="n"/>
      <c r="G6" s="78" t="inlineStr">
        <is>
          <t>graveyard</t>
        </is>
      </c>
      <c r="H6" s="76" t="n"/>
      <c r="I6" s="78" t="inlineStr">
        <is>
          <t>proven</t>
        </is>
      </c>
      <c r="J6" s="76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 hidden="1">
      <c r="A70" s="79" t="inlineStr">
        <is>
          <t>Category $B</t>
        </is>
      </c>
      <c r="E70" s="79" t="inlineStr">
        <is>
          <t>Revenue $M</t>
        </is>
      </c>
      <c r="I70" s="79" t="inlineStr">
        <is>
          <t>Share %</t>
        </is>
      </c>
      <c r="M70" s="79" t="inlineStr">
        <is>
          <t>Score</t>
        </is>
      </c>
    </row>
    <row r="71" hidden="1">
      <c r="A71" s="31" t="inlineStr">
        <is>
          <t>Cat</t>
        </is>
      </c>
      <c r="B71" s="31" t="inlineStr">
        <is>
          <t>$B</t>
        </is>
      </c>
      <c r="E71" s="31" t="inlineStr">
        <is>
          <t>Yr</t>
        </is>
      </c>
      <c r="F71" s="31" t="inlineStr">
        <is>
          <t>Poppi</t>
        </is>
      </c>
      <c r="G71" s="31" t="inlineStr">
        <is>
          <t>OLIPOP</t>
        </is>
      </c>
      <c r="I71" s="31" t="inlineStr">
        <is>
          <t>Brand</t>
        </is>
      </c>
      <c r="J71" s="31" t="inlineStr">
        <is>
          <t>%</t>
        </is>
      </c>
      <c r="M71" s="31" t="inlineStr">
        <is>
          <t>Brand</t>
        </is>
      </c>
      <c r="N71" s="31" t="inlineStr">
        <is>
          <t>Score</t>
        </is>
      </c>
    </row>
    <row r="72" hidden="1">
      <c r="A72" t="inlineStr">
        <is>
          <t>Modern soda</t>
        </is>
      </c>
      <c r="B72" t="n">
        <v>1.8</v>
      </c>
      <c r="E72" t="n">
        <v>2020</v>
      </c>
      <c r="F72" t="n">
        <v>13</v>
      </c>
      <c r="G72" t="n">
        <v>20</v>
      </c>
      <c r="I72" t="inlineStr">
        <is>
          <t>Poppi</t>
        </is>
      </c>
      <c r="J72" t="n">
        <v>38</v>
      </c>
      <c r="M72" t="inlineStr">
        <is>
          <t>Poppi</t>
        </is>
      </c>
      <c r="N72" t="n">
        <v>3.85</v>
      </c>
    </row>
    <row r="73" hidden="1">
      <c r="A73" t="inlineStr">
        <is>
          <t>Hydration powder</t>
        </is>
      </c>
      <c r="B73" t="n">
        <v>1.5</v>
      </c>
      <c r="E73" t="n">
        <v>2021</v>
      </c>
      <c r="F73" t="n">
        <v>26</v>
      </c>
      <c r="G73" t="n">
        <v>40</v>
      </c>
      <c r="I73" t="inlineStr">
        <is>
          <t>OLIPOP</t>
        </is>
      </c>
      <c r="J73" t="n">
        <v>32.7</v>
      </c>
      <c r="M73" t="inlineStr">
        <is>
          <t>OLIPOP</t>
        </is>
      </c>
      <c r="N73" t="n">
        <v>4</v>
      </c>
    </row>
    <row r="74" hidden="1">
      <c r="A74" t="inlineStr">
        <is>
          <t>Electrolyte powder</t>
        </is>
      </c>
      <c r="B74" t="n">
        <v>2.8</v>
      </c>
      <c r="E74" t="n">
        <v>2022</v>
      </c>
      <c r="F74" t="n">
        <v>65</v>
      </c>
      <c r="G74" t="n">
        <v>73</v>
      </c>
      <c r="I74" t="inlineStr">
        <is>
          <t>Zevia</t>
        </is>
      </c>
      <c r="J74" t="n">
        <v>12.1</v>
      </c>
      <c r="M74" t="inlineStr">
        <is>
          <t>LMNT</t>
        </is>
      </c>
      <c r="N74" t="n">
        <v>3.5</v>
      </c>
    </row>
    <row r="75" hidden="1">
      <c r="A75" t="inlineStr">
        <is>
          <t>Sparkling water</t>
        </is>
      </c>
      <c r="B75" t="n">
        <v>6.9</v>
      </c>
      <c r="E75" t="n">
        <v>2023</v>
      </c>
      <c r="F75" t="n">
        <v>100</v>
      </c>
      <c r="G75" t="n">
        <v>200</v>
      </c>
      <c r="I75" t="inlineStr">
        <is>
          <t>Jarritos</t>
        </is>
      </c>
      <c r="J75" t="n">
        <v>10.3</v>
      </c>
      <c r="M75" t="inlineStr">
        <is>
          <t>Liquid I.V.</t>
        </is>
      </c>
      <c r="N75" t="n">
        <v>3.85</v>
      </c>
    </row>
    <row r="76" hidden="1">
      <c r="A76" t="inlineStr">
        <is>
          <t>Collagen bev US</t>
        </is>
      </c>
      <c r="B76" t="n">
        <v>0.05</v>
      </c>
      <c r="E76" t="n">
        <v>2024</v>
      </c>
      <c r="F76" t="n">
        <v>500</v>
      </c>
      <c r="G76" t="n">
        <v>400</v>
      </c>
      <c r="I76" t="inlineStr">
        <is>
          <t>Fever-Tree</t>
        </is>
      </c>
      <c r="J76" t="n">
        <v>4</v>
      </c>
      <c r="M76" t="inlineStr">
        <is>
          <t>Vital Proteins</t>
        </is>
      </c>
      <c r="N76" t="n">
        <v>3.8</v>
      </c>
    </row>
    <row r="77" hidden="1">
      <c r="A77" t="inlineStr">
        <is>
          <t>BFW global</t>
        </is>
      </c>
      <c r="B77" t="n">
        <v>3.24</v>
      </c>
      <c r="I77" t="inlineStr">
        <is>
          <t>Other</t>
        </is>
      </c>
      <c r="J77" t="n">
        <v>2.9</v>
      </c>
      <c r="M77" t="inlineStr">
        <is>
          <t>Recess</t>
        </is>
      </c>
      <c r="N77" t="n">
        <v>3</v>
      </c>
    </row>
    <row r="78" hidden="1">
      <c r="M78" t="inlineStr">
        <is>
          <t>MÜV (Organika)</t>
        </is>
      </c>
      <c r="N78" t="n">
        <v>3.05</v>
      </c>
    </row>
    <row r="79" hidden="1"/>
    <row r="80" hidden="1"/>
    <row r="81" hidden="1"/>
  </sheetData>
  <mergeCells count="18">
    <mergeCell ref="A4:B4"/>
    <mergeCell ref="G4:H4"/>
    <mergeCell ref="A2:L2"/>
    <mergeCell ref="E4:F4"/>
    <mergeCell ref="E6:F6"/>
    <mergeCell ref="C6:D6"/>
    <mergeCell ref="I4:J4"/>
    <mergeCell ref="I6:J6"/>
    <mergeCell ref="A1:L1"/>
    <mergeCell ref="C5:D5"/>
    <mergeCell ref="A5:B5"/>
    <mergeCell ref="G5:H5"/>
    <mergeCell ref="E5:F5"/>
    <mergeCell ref="I5:J5"/>
    <mergeCell ref="G6:H6"/>
    <mergeCell ref="A3:L3"/>
    <mergeCell ref="A6:B6"/>
    <mergeCell ref="C4:D4"/>
  </mergeCells>
  <hyperlinks>
    <hyperlink xmlns:r="http://schemas.openxmlformats.org/officeDocument/2006/relationships" ref="O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52" customWidth="1" min="5" max="5"/>
  </cols>
  <sheetData>
    <row r="1" ht="28" customHeight="1">
      <c r="A1" s="1" t="inlineStr">
        <is>
          <t>Assumptions Audit — every model input, with source &amp; confidence</t>
        </is>
      </c>
      <c r="H1" s="10" t="inlineStr">
        <is>
          <t>🏠 Home</t>
        </is>
      </c>
    </row>
    <row r="2"/>
    <row r="3">
      <c r="A3" s="11" t="inlineStr">
        <is>
          <t>Input</t>
        </is>
      </c>
      <c r="B3" s="11" t="inlineStr">
        <is>
          <t>Conservative</t>
        </is>
      </c>
      <c r="C3" s="11" t="inlineStr">
        <is>
          <t>Base</t>
        </is>
      </c>
      <c r="D3" s="11" t="inlineStr">
        <is>
          <t>Aggressive</t>
        </is>
      </c>
      <c r="E3" s="11" t="inlineStr">
        <is>
          <t>Source / confidence</t>
        </is>
      </c>
    </row>
    <row r="4" ht="26" customHeight="1">
      <c r="A4" s="13" t="inlineStr">
        <is>
          <t>List price / can (CAD)</t>
        </is>
      </c>
      <c r="B4" s="13" t="inlineStr">
        <is>
          <t>$3.29</t>
        </is>
      </c>
      <c r="C4" s="13" t="inlineStr">
        <is>
          <t>$3.49</t>
        </is>
      </c>
      <c r="D4" s="13" t="inlineStr">
        <is>
          <t>$3.79</t>
        </is>
      </c>
      <c r="E4" s="13" t="inlineStr">
        <is>
          <t>MÜV SRP ~$14.99/pack; vs ~$3.49 CAD premium shelf norm ◐</t>
        </is>
      </c>
    </row>
    <row r="5" ht="26" customHeight="1">
      <c r="A5" s="15" t="inlineStr">
        <is>
          <t>COGS / can (CAD)</t>
        </is>
      </c>
      <c r="B5" s="15" t="inlineStr">
        <is>
          <t>$1.20</t>
        </is>
      </c>
      <c r="C5" s="15" t="inlineStr">
        <is>
          <t>$1.05</t>
        </is>
      </c>
      <c r="D5" s="15" t="inlineStr">
        <is>
          <t>$0.95</t>
        </is>
      </c>
      <c r="E5" s="15" t="inlineStr">
        <is>
          <t>&lt;$1 target at scale rule-of-thumb; excludes freight/duty ⚠</t>
        </is>
      </c>
    </row>
    <row r="6" ht="26" customHeight="1">
      <c r="A6" s="13" t="inlineStr">
        <is>
          <t>Retailer margin %</t>
        </is>
      </c>
      <c r="B6" s="13" t="inlineStr">
        <is>
          <t>38%</t>
        </is>
      </c>
      <c r="C6" s="13" t="inlineStr">
        <is>
          <t>35%</t>
        </is>
      </c>
      <c r="D6" s="13" t="inlineStr">
        <is>
          <t>33%</t>
        </is>
      </c>
      <c r="E6" s="13" t="inlineStr">
        <is>
          <t>Grocery bev 30–40% ◐</t>
        </is>
      </c>
    </row>
    <row r="7" ht="26" customHeight="1">
      <c r="A7" s="15" t="inlineStr">
        <is>
          <t>Distributor margin %</t>
        </is>
      </c>
      <c r="B7" s="15" t="inlineStr">
        <is>
          <t>18%</t>
        </is>
      </c>
      <c r="C7" s="15" t="inlineStr">
        <is>
          <t>15%</t>
        </is>
      </c>
      <c r="D7" s="15" t="inlineStr">
        <is>
          <t>12%</t>
        </is>
      </c>
      <c r="E7" s="15" t="inlineStr">
        <is>
          <t>UNFI/KeHE ~13–25% ◐</t>
        </is>
      </c>
    </row>
    <row r="8" ht="26" customHeight="1">
      <c r="A8" s="13" t="inlineStr">
        <is>
          <t>Trade spend % of net</t>
        </is>
      </c>
      <c r="B8" s="13" t="inlineStr">
        <is>
          <t>25%</t>
        </is>
      </c>
      <c r="C8" s="13" t="inlineStr">
        <is>
          <t>20%</t>
        </is>
      </c>
      <c r="D8" s="13" t="inlineStr">
        <is>
          <t>15%</t>
        </is>
      </c>
      <c r="E8" s="13" t="inlineStr">
        <is>
          <t>Emerging-brand 10–20%+ ◐</t>
        </is>
      </c>
    </row>
    <row r="9" ht="26" customHeight="1">
      <c r="A9" s="15" t="inlineStr">
        <is>
          <t>Doors Y1/Y2/Y3</t>
        </is>
      </c>
      <c r="B9" s="15" t="inlineStr">
        <is>
          <t>300/1.2k/3.5k</t>
        </is>
      </c>
      <c r="C9" s="15" t="inlineStr">
        <is>
          <t>500/2k/6k</t>
        </is>
      </c>
      <c r="D9" s="15" t="inlineStr">
        <is>
          <t>900/3.5k/11k</t>
        </is>
      </c>
      <c r="E9" s="15" t="inlineStr">
        <is>
          <t>Illustrative ramp ⚠</t>
        </is>
      </c>
    </row>
    <row r="10" ht="26" customHeight="1">
      <c r="A10" s="13" t="inlineStr">
        <is>
          <t>Velocity (u/store/wk)</t>
        </is>
      </c>
      <c r="B10" s="13" t="inlineStr">
        <is>
          <t>2/3/3.5</t>
        </is>
      </c>
      <c r="C10" s="13" t="inlineStr">
        <is>
          <t>3/4/5</t>
        </is>
      </c>
      <c r="D10" s="13" t="inlineStr">
        <is>
          <t>4.5/6/7.5</t>
        </is>
      </c>
      <c r="E10" s="13" t="inlineStr">
        <is>
          <t>Illustrative; buyers reward velocity ⚠</t>
        </is>
      </c>
    </row>
    <row r="11" ht="26" customHeight="1">
      <c r="A11" s="15" t="inlineStr">
        <is>
          <t>Marketing / yr</t>
        </is>
      </c>
      <c r="B11" s="15" t="inlineStr">
        <is>
          <t>$150k</t>
        </is>
      </c>
      <c r="C11" s="15" t="inlineStr">
        <is>
          <t>$300k</t>
        </is>
      </c>
      <c r="D11" s="15" t="inlineStr">
        <is>
          <t>$600k</t>
        </is>
      </c>
      <c r="E11" s="15" t="inlineStr">
        <is>
          <t>Illustrative ⚠</t>
        </is>
      </c>
    </row>
    <row r="12" ht="26" customHeight="1">
      <c r="A12" s="13" t="inlineStr">
        <is>
          <t>Fixed overhead / yr</t>
        </is>
      </c>
      <c r="B12" s="13" t="inlineStr">
        <is>
          <t>$250k</t>
        </is>
      </c>
      <c r="C12" s="13" t="inlineStr">
        <is>
          <t>$350k</t>
        </is>
      </c>
      <c r="D12" s="13" t="inlineStr">
        <is>
          <t>$500k</t>
        </is>
      </c>
      <c r="E12" s="13" t="inlineStr">
        <is>
          <t>Illustrative ⚠</t>
        </is>
      </c>
    </row>
    <row r="13" ht="26" customHeight="1">
      <c r="A13" s="15" t="inlineStr">
        <is>
          <t>Slotting (Y1)</t>
        </is>
      </c>
      <c r="B13" s="15" t="inlineStr">
        <is>
          <t>$50k</t>
        </is>
      </c>
      <c r="C13" s="15" t="inlineStr">
        <is>
          <t>$100k</t>
        </is>
      </c>
      <c r="D13" s="15" t="inlineStr">
        <is>
          <t>$200k</t>
        </is>
      </c>
      <c r="E13" s="15" t="inlineStr">
        <is>
          <t>$250–$250k/SKU range ◐</t>
        </is>
      </c>
    </row>
    <row r="14" ht="32" customHeight="1">
      <c r="A14" s="62" t="inlineStr">
        <is>
          <t>All financial inputs are ILLUSTRATIVE scaffolding, not a forecast. Replace each with real co-packer, distributor and buyer numbers. ◐ rule-of-thumb · ⚠ estimate.</t>
        </is>
      </c>
    </row>
  </sheetData>
  <mergeCells count="2">
    <mergeCell ref="A1:E1"/>
    <mergeCell ref="A14:E14"/>
  </mergeCells>
  <hyperlinks>
    <hyperlink xmlns:r="http://schemas.openxmlformats.org/officeDocument/2006/relationships" ref="H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10" customWidth="1" min="4" max="4"/>
  </cols>
  <sheetData>
    <row r="1" ht="28" customHeight="1">
      <c r="A1" s="1" t="inlineStr">
        <is>
          <t>Data Confidence Scoreboard</t>
        </is>
      </c>
      <c r="G1" s="10" t="inlineStr">
        <is>
          <t>🏠 Home</t>
        </is>
      </c>
    </row>
    <row r="2" ht="20" customHeight="1">
      <c r="A2" s="19" t="inlineStr">
        <is>
          <t>Tally of ✅/◐/⚠ tags across the dossier — evidence vs estimate</t>
        </is>
      </c>
    </row>
    <row r="3"/>
    <row r="4">
      <c r="A4" s="52" t="inlineStr">
        <is>
          <t>Confidence tier</t>
        </is>
      </c>
      <c r="B4" s="52" t="inlineStr">
        <is>
          <t>Marker</t>
        </is>
      </c>
      <c r="C4" s="52" t="inlineStr">
        <is>
          <t>Count</t>
        </is>
      </c>
      <c r="D4" s="52" t="inlineStr">
        <is>
          <t>Share</t>
        </is>
      </c>
    </row>
    <row r="5">
      <c r="A5" s="70" t="inlineStr">
        <is>
          <t>Hard (primary/scanner/regulatory)</t>
        </is>
      </c>
      <c r="B5" s="80" t="inlineStr">
        <is>
          <t>✅ HARD</t>
        </is>
      </c>
      <c r="C5" s="81" t="n">
        <v>32</v>
      </c>
      <c r="D5" s="82" t="n">
        <v>0.4155844155844156</v>
      </c>
    </row>
    <row r="6">
      <c r="A6" s="65" t="inlineStr">
        <is>
          <t>Directional (research-firm/single-source)</t>
        </is>
      </c>
      <c r="B6" s="80" t="inlineStr">
        <is>
          <t>◐ DIRECTIONAL</t>
        </is>
      </c>
      <c r="C6" s="81" t="n">
        <v>19</v>
      </c>
      <c r="D6" s="82" t="n">
        <v>0.2467532467532468</v>
      </c>
    </row>
    <row r="7">
      <c r="A7" s="83" t="inlineStr">
        <is>
          <t>Flag (estimate/verify/contested)</t>
        </is>
      </c>
      <c r="B7" s="80" t="inlineStr">
        <is>
          <t>⚠ FLAG</t>
        </is>
      </c>
      <c r="C7" s="81" t="n">
        <v>26</v>
      </c>
      <c r="D7" s="82" t="n">
        <v>0.3376623376623377</v>
      </c>
    </row>
    <row r="8">
      <c r="A8" s="84" t="inlineStr">
        <is>
          <t>TOTAL tags</t>
        </is>
      </c>
      <c r="C8" s="85" t="n">
        <v>77</v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 ht="40" customHeight="1">
      <c r="A26" s="86" t="inlineStr">
        <is>
          <t>Read: load-bearing claims lean hard/primary (see Verification Log); market-size projections and all financial inputs are ◐/⚠ by nature — never quote them as fact.</t>
        </is>
      </c>
    </row>
  </sheetData>
  <mergeCells count="3">
    <mergeCell ref="A1:D1"/>
    <mergeCell ref="A26:D26"/>
    <mergeCell ref="A2:D2"/>
  </mergeCells>
  <hyperlinks>
    <hyperlink xmlns:r="http://schemas.openxmlformats.org/officeDocument/2006/relationships" ref="G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tabColor rgb="002E7D8A"/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28" customHeight="1">
      <c r="A1" s="1" t="inlineStr">
        <is>
          <t>Methodology &amp; Confidence Framework</t>
        </is>
      </c>
      <c r="E1" s="10" t="inlineStr">
        <is>
          <t>🏠 Home</t>
        </is>
      </c>
    </row>
    <row r="2"/>
    <row r="3">
      <c r="A3" s="11" t="inlineStr">
        <is>
          <t>Element</t>
        </is>
      </c>
      <c r="B3" s="11" t="inlineStr">
        <is>
          <t>Detail</t>
        </is>
      </c>
    </row>
    <row r="4" ht="74" customHeight="1">
      <c r="A4" s="13" t="inlineStr">
        <is>
          <t>Research design</t>
        </is>
      </c>
      <c r="B4" s="13" t="inlineStr">
        <is>
          <t>Multiple parallel research streams (market sizing, channel economics, competitor sweep, Canada regulatory, launch playbooks, consumer/risk, electrolyte deep-dive), each multi-source with per-claim citation.</t>
        </is>
      </c>
    </row>
    <row r="5" ht="74" customHeight="1">
      <c r="A5" s="15" t="inlineStr">
        <is>
          <t>Source hierarchy</t>
        </is>
      </c>
      <c r="B5" s="15" t="inlineStr">
        <is>
          <t>Decision-grade: scanner (Circana/SPINS), SEC filings, regulatory primary (Health Canada/CFIA), transactions. Directional: syndicated research-firm market sizes. Lowest: single secondary / social estimates.</t>
        </is>
      </c>
    </row>
    <row r="6" ht="74" customHeight="1">
      <c r="A6" s="13" t="inlineStr">
        <is>
          <t>Confidence tagging</t>
        </is>
      </c>
      <c r="B6" s="13" t="inlineStr">
        <is>
          <t>Every load-bearing figure is ✅/◐/⚠. Where sources conflict (collagen size; prebiotic soda; adaptogens), both are shown and flagged.</t>
        </is>
      </c>
    </row>
    <row r="7" ht="74" customHeight="1">
      <c r="A7" s="15" t="inlineStr">
        <is>
          <t>Known limitations</t>
        </is>
      </c>
      <c r="B7" s="15" t="inlineStr">
        <is>
          <t>Many primary pages block automated fetch; figures captured via search extracts + corroboration — re-pull before external use. Private-company margins and Canadian per-SKU listing fees are confidential (ranges).</t>
        </is>
      </c>
    </row>
    <row r="8" ht="74" customHeight="1">
      <c r="A8" s="13" t="inlineStr">
        <is>
          <t>What would strengthen this further</t>
        </is>
      </c>
      <c r="B8" s="13" t="inlineStr">
        <is>
          <t>1) Confirm MÜV on-can specs (sodium, pack, collagen variant). 2) Licensed Canadian scanner data. 3) Regulatory-counsel claim opinion. 4) Real co-packer/distributor quotes. 5) Distributor interviews (UNFI Canada / Tree of Life / Purity Life).</t>
        </is>
      </c>
    </row>
  </sheetData>
  <mergeCells count="1">
    <mergeCell ref="A1:B1"/>
  </mergeCells>
  <hyperlinks>
    <hyperlink xmlns:r="http://schemas.openxmlformats.org/officeDocument/2006/relationships" ref="E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2E7D8A"/>
    <outlinePr summaryBelow="1" summaryRight="1"/>
    <pageSetUpPr fitToPage="1"/>
  </sheetPr>
  <dimension ref="A1:J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1" customWidth="1" min="3" max="3"/>
    <col width="8" customWidth="1" min="4" max="4"/>
    <col width="26" customWidth="1" min="5" max="5"/>
    <col width="22" customWidth="1" min="6" max="6"/>
    <col width="20" customWidth="1" min="7" max="7"/>
  </cols>
  <sheetData>
    <row r="1" ht="28" customHeight="1">
      <c r="A1" s="1" t="inlineStr">
        <is>
          <t>Market Sizing — Category Sizes &amp; Growth</t>
        </is>
      </c>
      <c r="J1" s="10" t="inlineStr">
        <is>
          <t>🏠 Home</t>
        </is>
      </c>
    </row>
    <row r="2" ht="20" customHeight="1">
      <c r="A2" s="19" t="inlineStr">
        <is>
          <t>Anchor TAM on Circana scanner; research-firm sizes are directional floors</t>
        </is>
      </c>
    </row>
    <row r="3"/>
    <row r="4">
      <c r="A4" s="11" t="inlineStr">
        <is>
          <t>Category</t>
        </is>
      </c>
      <c r="B4" s="11" t="inlineStr">
        <is>
          <t>Geo</t>
        </is>
      </c>
      <c r="C4" s="11" t="inlineStr">
        <is>
          <t>Size</t>
        </is>
      </c>
      <c r="D4" s="11" t="inlineStr">
        <is>
          <t>Year</t>
        </is>
      </c>
      <c r="E4" s="11" t="inlineStr">
        <is>
          <t>Growth</t>
        </is>
      </c>
      <c r="F4" s="11" t="inlineStr">
        <is>
          <t>Source</t>
        </is>
      </c>
      <c r="G4" s="11" t="inlineStr">
        <is>
          <t>Conf.</t>
        </is>
      </c>
    </row>
    <row r="5" ht="28" customHeight="1">
      <c r="A5" s="13" t="inlineStr">
        <is>
          <t>Modern/better-for-you soda (scanner)</t>
        </is>
      </c>
      <c r="B5" s="13" t="inlineStr">
        <is>
          <t>US</t>
        </is>
      </c>
      <c r="C5" s="13" t="inlineStr">
        <is>
          <t>$1.8B</t>
        </is>
      </c>
      <c r="D5" s="13" t="inlineStr">
        <is>
          <t>2024</t>
        </is>
      </c>
      <c r="E5" s="13" t="inlineStr">
        <is>
          <t>+83% YoY (from $983M)</t>
        </is>
      </c>
      <c r="F5" s="13" t="inlineStr">
        <is>
          <t>Circana / Bev Industry</t>
        </is>
      </c>
      <c r="G5" s="13" t="inlineStr">
        <is>
          <t>✅</t>
        </is>
      </c>
    </row>
    <row r="6" ht="28" customHeight="1">
      <c r="A6" s="15" t="inlineStr">
        <is>
          <t>Powdered hydration mixes (scanner)</t>
        </is>
      </c>
      <c r="B6" s="15" t="inlineStr">
        <is>
          <t>US</t>
        </is>
      </c>
      <c r="C6" s="15" t="inlineStr">
        <is>
          <t>$1.5B</t>
        </is>
      </c>
      <c r="D6" s="15" t="inlineStr">
        <is>
          <t>2024</t>
        </is>
      </c>
      <c r="E6" s="15" t="inlineStr">
        <is>
          <t>+20% YoY; 4 yrs double-digit</t>
        </is>
      </c>
      <c r="F6" s="15" t="inlineStr">
        <is>
          <t>Circana / CNN</t>
        </is>
      </c>
      <c r="G6" s="15" t="inlineStr">
        <is>
          <t>✅</t>
        </is>
      </c>
    </row>
    <row r="7" ht="28" customHeight="1">
      <c r="A7" s="13" t="inlineStr">
        <is>
          <t>Electrolyte powder</t>
        </is>
      </c>
      <c r="B7" s="13" t="inlineStr">
        <is>
          <t>US</t>
        </is>
      </c>
      <c r="C7" s="13" t="inlineStr">
        <is>
          <t>$2.8B</t>
        </is>
      </c>
      <c r="D7" s="13" t="inlineStr">
        <is>
          <t>2024</t>
        </is>
      </c>
      <c r="E7" s="13" t="inlineStr">
        <is>
          <t>8.9% to 2030 → $4.6B</t>
        </is>
      </c>
      <c r="F7" s="13" t="inlineStr">
        <is>
          <t>Grand View/Spherical</t>
        </is>
      </c>
      <c r="G7" s="13" t="inlineStr">
        <is>
          <t>HARD-ish</t>
        </is>
      </c>
    </row>
    <row r="8" ht="28" customHeight="1">
      <c r="A8" s="15" t="inlineStr">
        <is>
          <t>Prebiotic/probiotic soda</t>
        </is>
      </c>
      <c r="B8" s="15" t="inlineStr">
        <is>
          <t>US</t>
        </is>
      </c>
      <c r="C8" s="15" t="inlineStr">
        <is>
          <t>$171.6M</t>
        </is>
      </c>
      <c r="D8" s="15" t="inlineStr">
        <is>
          <t>2024</t>
        </is>
      </c>
      <c r="E8" s="15" t="inlineStr">
        <is>
          <t>7.8% → $268.8M</t>
        </is>
      </c>
      <c r="F8" s="15" t="inlineStr">
        <is>
          <t>Grand View</t>
        </is>
      </c>
      <c r="G8" s="15" t="inlineStr">
        <is>
          <t>◐ conflicts w/ scanner</t>
        </is>
      </c>
    </row>
    <row r="9" ht="28" customHeight="1">
      <c r="A9" s="13" t="inlineStr">
        <is>
          <t>Collagen beverage</t>
        </is>
      </c>
      <c r="B9" s="13" t="inlineStr">
        <is>
          <t>US</t>
        </is>
      </c>
      <c r="C9" s="13" t="inlineStr">
        <is>
          <t>$47.9M</t>
        </is>
      </c>
      <c r="D9" s="13" t="inlineStr">
        <is>
          <t>2024</t>
        </is>
      </c>
      <c r="E9" s="13" t="inlineStr">
        <is>
          <t>10.9% to 2034</t>
        </is>
      </c>
      <c r="F9" s="13" t="inlineStr">
        <is>
          <t>Fact.MR</t>
        </is>
      </c>
      <c r="G9" s="13" t="inlineStr">
        <is>
          <t>⚠ see conflict</t>
        </is>
      </c>
    </row>
    <row r="10" ht="28" customHeight="1">
      <c r="A10" s="15" t="inlineStr">
        <is>
          <t>Beauty-from-within drinks</t>
        </is>
      </c>
      <c r="B10" s="15" t="inlineStr">
        <is>
          <t>Global</t>
        </is>
      </c>
      <c r="C10" s="15" t="inlineStr">
        <is>
          <t>$3.24B</t>
        </is>
      </c>
      <c r="D10" s="15" t="inlineStr">
        <is>
          <t>2024</t>
        </is>
      </c>
      <c r="E10" s="15" t="inlineStr">
        <is>
          <t>8.5% to 2035</t>
        </is>
      </c>
      <c r="F10" s="15" t="inlineStr">
        <is>
          <t>Future Market Insights</t>
        </is>
      </c>
      <c r="G10" s="15" t="inlineStr">
        <is>
          <t>◐</t>
        </is>
      </c>
    </row>
    <row r="11" ht="28" customHeight="1">
      <c r="A11" s="13" t="inlineStr">
        <is>
          <t>Functional beverages (broad)</t>
        </is>
      </c>
      <c r="B11" s="13" t="inlineStr">
        <is>
          <t>Canada</t>
        </is>
      </c>
      <c r="C11" s="13" t="inlineStr">
        <is>
          <t>US$17.35B</t>
        </is>
      </c>
      <c r="D11" s="13" t="inlineStr">
        <is>
          <t>2025</t>
        </is>
      </c>
      <c r="E11" s="13" t="inlineStr">
        <is>
          <t>4.5% → $27B (2035)</t>
        </is>
      </c>
      <c r="F11" s="13" t="inlineStr">
        <is>
          <t>Market Research Future</t>
        </is>
      </c>
      <c r="G11" s="13" t="inlineStr">
        <is>
          <t>⚠ very broad, 1 src</t>
        </is>
      </c>
    </row>
    <row r="12" ht="28" customHeight="1">
      <c r="A12" s="15" t="inlineStr">
        <is>
          <t>Modern soda (US-proxy)</t>
        </is>
      </c>
      <c r="B12" s="15" t="inlineStr">
        <is>
          <t>Canada</t>
        </is>
      </c>
      <c r="C12" s="15" t="inlineStr">
        <is>
          <t>~$180M</t>
        </is>
      </c>
      <c r="D12" s="15" t="inlineStr">
        <is>
          <t>2024</t>
        </is>
      </c>
      <c r="E12" s="15" t="inlineStr">
        <is>
          <t>—</t>
        </is>
      </c>
      <c r="F12" s="15" t="inlineStr">
        <is>
          <t>Derived (10% of US)</t>
        </is>
      </c>
      <c r="G12" s="15" t="inlineStr">
        <is>
          <t>⚠ estimate</t>
        </is>
      </c>
    </row>
    <row r="13" ht="34" customHeight="1">
      <c r="A13" s="62" t="inlineStr">
        <is>
          <t>FLAG: collagen beverage ($47.9M US vs $275–470M global), prebiotic soda ($171.6M vs $1.8B scanner), and adaptogens carry material source conflicts. Anchor on Circana scanner reads.</t>
        </is>
      </c>
    </row>
  </sheetData>
  <mergeCells count="3">
    <mergeCell ref="A13:G13"/>
    <mergeCell ref="A2:G2"/>
    <mergeCell ref="A1:G1"/>
  </mergeCells>
  <hyperlinks>
    <hyperlink xmlns:r="http://schemas.openxmlformats.org/officeDocument/2006/relationships" ref="J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2E7D8A"/>
    <outlinePr summaryBelow="1" summaryRight="1"/>
    <pageSetUpPr fitToPage="1"/>
  </sheetPr>
  <dimension ref="A1:G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2" customWidth="1" min="3" max="3"/>
    <col width="30" customWidth="1" min="4" max="4"/>
  </cols>
  <sheetData>
    <row r="1" ht="28" customHeight="1">
      <c r="A1" s="1" t="inlineStr">
        <is>
          <t>Trends &amp; Macro Drivers (2025–2026)</t>
        </is>
      </c>
      <c r="G1" s="10" t="inlineStr">
        <is>
          <t>🏠 Home</t>
        </is>
      </c>
    </row>
    <row r="2"/>
    <row r="3">
      <c r="A3" s="11" t="inlineStr">
        <is>
          <t>Trend</t>
        </is>
      </c>
      <c r="B3" s="11" t="inlineStr">
        <is>
          <t>Status</t>
        </is>
      </c>
      <c r="C3" s="11" t="inlineStr">
        <is>
          <t>Evidence</t>
        </is>
      </c>
      <c r="D3" s="11" t="inlineStr">
        <is>
          <t>Implication for MÜV</t>
        </is>
      </c>
    </row>
    <row r="4" ht="46" customHeight="1">
      <c r="A4" s="13" t="inlineStr">
        <is>
          <t>Electrolyte/hydration boom</t>
        </is>
      </c>
      <c r="B4" s="13" t="inlineStr">
        <is>
          <t>Surging</t>
        </is>
      </c>
      <c r="C4" s="13" t="inlineStr">
        <is>
          <t>US powdered hydration $1.5B +20%; #WaterTok demand engine</t>
        </is>
      </c>
      <c r="D4" s="13" t="inlineStr">
        <is>
          <t>Sparkling is a demo-able hero for short-form</t>
        </is>
      </c>
    </row>
    <row r="5" ht="46" customHeight="1">
      <c r="A5" s="15" t="inlineStr">
        <is>
          <t>Sugar reduction</t>
        </is>
      </c>
      <c r="B5" s="15" t="inlineStr">
        <is>
          <t>Table stakes</t>
        </is>
      </c>
      <c r="C5" s="15" t="inlineStr">
        <is>
          <t>60%+ cutting sugar; &gt;50% of launches sugar-free</t>
        </is>
      </c>
      <c r="D5" s="15" t="inlineStr">
        <is>
          <t>Zero/low sugar is baseline, not a differentiator</t>
        </is>
      </c>
    </row>
    <row r="6" ht="46" customHeight="1">
      <c r="A6" s="13" t="inlineStr">
        <is>
          <t>GLP-1</t>
        </is>
      </c>
      <c r="B6" s="13" t="inlineStr">
        <is>
          <t>Reshaping</t>
        </is>
      </c>
      <c r="C6" s="13" t="inlineStr">
        <is>
          <t>~23% of US households; favor low-cal/protein/fibre/hydration</t>
        </is>
      </c>
      <c r="D6" s="13" t="inlineStr">
        <is>
          <t>Low-cal + fibre positioning aligns</t>
        </is>
      </c>
    </row>
    <row r="7" ht="46" customHeight="1">
      <c r="A7" s="15" t="inlineStr">
        <is>
          <t>Gut health</t>
        </is>
      </c>
      <c r="B7" s="15" t="inlineStr">
        <is>
          <t>Mainstreamed</t>
        </is>
      </c>
      <c r="C7" s="15" t="inlineStr">
        <is>
          <t>Prebiotic soda ~$33M (2022) → ~$777M (2025)</t>
        </is>
      </c>
      <c r="D7" s="15" t="inlineStr">
        <is>
          <t>Fibre is a defensible functional hook</t>
        </is>
      </c>
    </row>
    <row r="8" ht="46" customHeight="1">
      <c r="A8" s="13" t="inlineStr">
        <is>
          <t>Beauty-from-within</t>
        </is>
      </c>
      <c r="B8" s="13" t="inlineStr">
        <is>
          <t>Accelerating, contested</t>
        </is>
      </c>
      <c r="C8" s="13" t="inlineStr">
        <is>
          <t>BFW drinks $3.24B; women 68%; 2025 meta-analysis found no proven skin benefit</t>
        </is>
      </c>
      <c r="D8" s="13" t="inlineStr">
        <is>
          <t>Demand real; efficacy claims legally risky</t>
        </is>
      </c>
    </row>
    <row r="9" ht="46" customHeight="1">
      <c r="A9" s="15" t="inlineStr">
        <is>
          <t>Sparkling format</t>
        </is>
      </c>
      <c r="B9" s="15" t="inlineStr">
        <is>
          <t>White space</t>
        </is>
      </c>
      <c r="C9" s="15" t="inlineStr">
        <is>
          <t>LMNT Sparkling can; Nuun tablets fizz; flavoured sparkling electrolyte rare</t>
        </is>
      </c>
      <c r="D9" s="15" t="inlineStr">
        <is>
          <t>MÜV's wedge — pair with Canadian-made</t>
        </is>
      </c>
    </row>
    <row r="10">
      <c r="A10" s="87" t="inlineStr">
        <is>
          <t>WHITE SPACE: flavoured sparkling electrolyte · prebiotic/fibre · protein-forward · GLP-1-friendly hydration · low/no sugar default</t>
        </is>
      </c>
    </row>
  </sheetData>
  <mergeCells count="2">
    <mergeCell ref="A1:D1"/>
    <mergeCell ref="A10:D10"/>
  </mergeCells>
  <hyperlinks>
    <hyperlink xmlns:r="http://schemas.openxmlformats.org/officeDocument/2006/relationships" ref="G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2E7D8A"/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74" customWidth="1" min="3" max="3"/>
  </cols>
  <sheetData>
    <row r="1" ht="28" customHeight="1">
      <c r="A1" s="1" t="inlineStr">
        <is>
          <t>Consumer Segmentation &amp; The Collagen Buyer</t>
        </is>
      </c>
      <c r="F1" s="10" t="inlineStr">
        <is>
          <t>🏠 Home</t>
        </is>
      </c>
    </row>
    <row r="2"/>
    <row r="3">
      <c r="A3" s="11" t="inlineStr">
        <is>
          <t>Dimension</t>
        </is>
      </c>
      <c r="B3" s="11" t="inlineStr">
        <is>
          <t>Read</t>
        </is>
      </c>
      <c r="C3" s="11" t="inlineStr">
        <is>
          <t>Detail</t>
        </is>
      </c>
    </row>
    <row r="4" ht="50" customHeight="1">
      <c r="A4" s="13" t="inlineStr">
        <is>
          <t>Demand engine</t>
        </is>
      </c>
      <c r="B4" s="13" t="inlineStr">
        <is>
          <t>Gen Z + Millennials</t>
        </is>
      </c>
      <c r="C4" s="13" t="inlineStr">
        <is>
          <t>~80% Gen Z / ~75% Millennials use functional beverages; drive 41%+ of wellness spend. US wellness $480B (2024).</t>
        </is>
      </c>
    </row>
    <row r="5" ht="50" customHeight="1">
      <c r="A5" s="15" t="inlineStr">
        <is>
          <t>Gender (category)</t>
        </is>
      </c>
      <c r="B5" s="15" t="inlineStr">
        <is>
          <t>Female-led growth</t>
        </is>
      </c>
      <c r="C5" s="15" t="inlineStr">
        <is>
          <t>Women fastest-growing; over-index probiotic/fortified. Hard female-% split is paywalled — DATA GAP.</t>
        </is>
      </c>
    </row>
    <row r="6" ht="50" customHeight="1">
      <c r="A6" s="13" t="inlineStr">
        <is>
          <t>Collagen/BFW buyer</t>
        </is>
      </c>
      <c r="B6" s="13" t="inlineStr">
        <is>
          <t>Women 25–45</t>
        </is>
      </c>
      <c r="C6" s="13" t="inlineStr">
        <is>
          <t>68% of beauty-from-within drink revenue; buy anti-aging/hydration/hair-nail; clinical claims drive repeat.</t>
        </is>
      </c>
    </row>
    <row r="7" ht="50" customHeight="1">
      <c r="A7" s="15" t="inlineStr">
        <is>
          <t>Efficacy &amp; skepticism</t>
        </is>
      </c>
      <c r="B7" s="15" t="inlineStr">
        <is>
          <t>RISK</t>
        </is>
      </c>
      <c r="C7" s="15" t="inlineStr">
        <is>
          <t>2025 meta-analysis: no clinical evidence collagen prevents skin aging; industry-funded trials biased. Effective studies used 2.5–10g/day.</t>
        </is>
      </c>
    </row>
    <row r="8" ht="50" customHeight="1">
      <c r="A8" s="13" t="inlineStr">
        <is>
          <t>Willingness to pay</t>
        </is>
      </c>
      <c r="B8" s="13" t="inlineStr">
        <is>
          <t>Attribute-gated</t>
        </is>
      </c>
      <c r="C8" s="13" t="inlineStr">
        <is>
          <t>Price-conscious AND premium-willing for a named function / clean label / brand-community.</t>
        </is>
      </c>
    </row>
    <row r="9">
      <c r="A9" s="17" t="inlineStr">
        <is>
          <t>RETAILER/CLUB BUYER CRITERIA: velocity (gating) · durable repeat rate (not discount-driven) · 35–45% early trade support · differentiation + brand-funded demand-gen</t>
        </is>
      </c>
    </row>
  </sheetData>
  <mergeCells count="2">
    <mergeCell ref="A1:C1"/>
    <mergeCell ref="A9:C9"/>
  </mergeCells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O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4" customWidth="1" min="4" max="4"/>
    <col width="20" customWidth="1" min="5" max="5"/>
    <col width="20" customWidth="1" min="6" max="6"/>
    <col width="11" customWidth="1" min="7" max="7"/>
    <col width="16" customWidth="1" min="8" max="8"/>
    <col width="9" customWidth="1" min="9" max="9"/>
    <col width="12" customWidth="1" min="10" max="10"/>
    <col width="14" customWidth="1" min="11" max="11"/>
    <col width="20" customWidth="1" min="12" max="12"/>
  </cols>
  <sheetData>
    <row r="1" ht="28" customHeight="1">
      <c r="A1" s="1" t="inlineStr">
        <is>
          <t>Core Competitor Comparison Matrix</t>
        </is>
      </c>
      <c r="O1" s="10" t="inlineStr">
        <is>
          <t>🏠 Home</t>
        </is>
      </c>
    </row>
    <row r="2" ht="20" customHeight="1">
      <c r="A2" s="19" t="inlineStr">
        <is>
          <t>Broad functional-beverage set (context + playbook). Direct rivals → MÜV Peer Set.</t>
        </is>
      </c>
    </row>
    <row r="3"/>
    <row r="4">
      <c r="A4" s="11" t="inlineStr">
        <is>
          <t>Brand</t>
        </is>
      </c>
      <c r="B4" s="11" t="inlineStr">
        <is>
          <t>Category</t>
        </is>
      </c>
      <c r="C4" s="11" t="inlineStr">
        <is>
          <t>Founded</t>
        </is>
      </c>
      <c r="D4" s="11" t="inlineStr">
        <is>
          <t>Founder(s)</t>
        </is>
      </c>
      <c r="E4" s="11" t="inlineStr">
        <is>
          <t>First channel</t>
        </is>
      </c>
      <c r="F4" s="11" t="inlineStr">
        <is>
          <t>Core claim</t>
        </is>
      </c>
      <c r="G4" s="11" t="inlineStr">
        <is>
          <t>Format</t>
        </is>
      </c>
      <c r="H4" s="11" t="inlineStr">
        <is>
          <t>Key spec</t>
        </is>
      </c>
      <c r="I4" s="11" t="inlineStr">
        <is>
          <t>Unit price</t>
        </is>
      </c>
      <c r="J4" s="11" t="inlineStr">
        <is>
          <t>Reach</t>
        </is>
      </c>
      <c r="K4" s="11" t="inlineStr">
        <is>
          <t>Peak rev</t>
        </is>
      </c>
      <c r="L4" s="11" t="inlineStr">
        <is>
          <t>Outcome</t>
        </is>
      </c>
    </row>
    <row r="5" ht="50" customHeight="1">
      <c r="A5" s="13" t="inlineStr">
        <is>
          <t>Poppi</t>
        </is>
      </c>
      <c r="B5" s="13" t="inlineStr">
        <is>
          <t>Modern soda</t>
        </is>
      </c>
      <c r="C5" s="13" t="inlineStr">
        <is>
          <t>2016</t>
        </is>
      </c>
      <c r="D5" s="13" t="inlineStr">
        <is>
          <t>Ellsworths</t>
        </is>
      </c>
      <c r="E5" s="13" t="inlineStr">
        <is>
          <t>Farmers mkt→Whole Foods</t>
        </is>
      </c>
      <c r="F5" s="13" t="inlineStr">
        <is>
          <t>Prebiotic soda + ACV</t>
        </is>
      </c>
      <c r="G5" s="13" t="inlineStr">
        <is>
          <t>12oz can</t>
        </is>
      </c>
      <c r="H5" s="13" t="inlineStr">
        <is>
          <t>~2g fiber, 2–5g sugar</t>
        </is>
      </c>
      <c r="I5" s="13" t="inlineStr">
        <is>
          <t>~$2.25</t>
        </is>
      </c>
      <c r="J5" s="13" t="inlineStr">
        <is>
          <t>~36k US</t>
        </is>
      </c>
      <c r="K5" s="13" t="inlineStr">
        <is>
          <t>~$500M (24)</t>
        </is>
      </c>
      <c r="L5" s="13" t="inlineStr">
        <is>
          <t>PepsiCo $1.95B 2025</t>
        </is>
      </c>
    </row>
    <row r="6" ht="50" customHeight="1">
      <c r="A6" s="15" t="inlineStr">
        <is>
          <t>OLIPOP</t>
        </is>
      </c>
      <c r="B6" s="15" t="inlineStr">
        <is>
          <t>Modern soda</t>
        </is>
      </c>
      <c r="C6" s="15" t="inlineStr">
        <is>
          <t>2018</t>
        </is>
      </c>
      <c r="D6" s="15" t="inlineStr">
        <is>
          <t>Goodwin/Lester</t>
        </is>
      </c>
      <c r="E6" s="15" t="inlineStr">
        <is>
          <t>40 NorCal grocers</t>
        </is>
      </c>
      <c r="F6" s="15" t="inlineStr">
        <is>
          <t>9g fiber, gut health</t>
        </is>
      </c>
      <c r="G6" s="15" t="inlineStr">
        <is>
          <t>12oz can</t>
        </is>
      </c>
      <c r="H6" s="15" t="inlineStr">
        <is>
          <t>up to 9g fiber</t>
        </is>
      </c>
      <c r="I6" s="15" t="inlineStr">
        <is>
          <t>~$3.00</t>
        </is>
      </c>
      <c r="J6" s="15" t="inlineStr">
        <is>
          <t>~35k US</t>
        </is>
      </c>
      <c r="K6" s="15" t="inlineStr">
        <is>
          <t>$400M+ (24)</t>
        </is>
      </c>
      <c r="L6" s="15" t="inlineStr">
        <is>
          <t>Indep; $1.85B val</t>
        </is>
      </c>
    </row>
    <row r="7" ht="50" customHeight="1">
      <c r="A7" s="13" t="inlineStr">
        <is>
          <t>LMNT</t>
        </is>
      </c>
      <c r="B7" s="13" t="inlineStr">
        <is>
          <t>Electrolyte</t>
        </is>
      </c>
      <c r="C7" s="13" t="inlineStr">
        <is>
          <t>2018</t>
        </is>
      </c>
      <c r="D7" s="13" t="inlineStr">
        <is>
          <t>Wolf+Ketogains</t>
        </is>
      </c>
      <c r="E7" s="13" t="inlineStr">
        <is>
          <t>DTC + podcast</t>
        </is>
      </c>
      <c r="F7" s="13" t="inlineStr">
        <is>
          <t>Zero-sugar high-sodium</t>
        </is>
      </c>
      <c r="G7" s="13" t="inlineStr">
        <is>
          <t>Powder stick</t>
        </is>
      </c>
      <c r="H7" s="13" t="inlineStr">
        <is>
          <t>1,000mg sodium</t>
        </is>
      </c>
      <c r="I7" s="13" t="inlineStr">
        <is>
          <t>~$1.50</t>
        </is>
      </c>
      <c r="J7" s="13" t="inlineStr">
        <is>
          <t>DTC+Amazon</t>
        </is>
      </c>
      <c r="K7" s="13" t="inlineStr">
        <is>
          <t>$206M (23 SEC)</t>
        </is>
      </c>
      <c r="L7" s="13" t="inlineStr">
        <is>
          <t>Independent</t>
        </is>
      </c>
    </row>
    <row r="8" ht="50" customHeight="1">
      <c r="A8" s="15" t="inlineStr">
        <is>
          <t>Liquid I.V.</t>
        </is>
      </c>
      <c r="B8" s="15" t="inlineStr">
        <is>
          <t>Electrolyte</t>
        </is>
      </c>
      <c r="C8" s="15" t="inlineStr">
        <is>
          <t>2012</t>
        </is>
      </c>
      <c r="D8" s="15" t="inlineStr">
        <is>
          <t>Cohen</t>
        </is>
      </c>
      <c r="E8" s="15" t="inlineStr">
        <is>
          <t>WF sampling→Costco</t>
        </is>
      </c>
      <c r="F8" s="15" t="inlineStr">
        <is>
          <t>Hydration Multiplier 2–3x</t>
        </is>
      </c>
      <c r="G8" s="15" t="inlineStr">
        <is>
          <t>Powder stick</t>
        </is>
      </c>
      <c r="H8" s="15" t="inlineStr">
        <is>
          <t>500mg sodium</t>
        </is>
      </c>
      <c r="I8" s="15" t="inlineStr">
        <is>
          <t>~$0.67</t>
        </is>
      </c>
      <c r="J8" s="15" t="inlineStr">
        <is>
          <t>80k US</t>
        </is>
      </c>
      <c r="K8" s="15" t="inlineStr">
        <is>
          <t>~$200M exit</t>
        </is>
      </c>
      <c r="L8" s="15" t="inlineStr">
        <is>
          <t>Unilever 2020</t>
        </is>
      </c>
    </row>
    <row r="9" ht="50" customHeight="1">
      <c r="A9" s="13" t="inlineStr">
        <is>
          <t>Nuun</t>
        </is>
      </c>
      <c r="B9" s="13" t="inlineStr">
        <is>
          <t>Electrolyte</t>
        </is>
      </c>
      <c r="C9" s="13" t="inlineStr">
        <is>
          <t>2004</t>
        </is>
      </c>
      <c r="D9" s="13" t="inlineStr">
        <is>
          <t>Moxey</t>
        </is>
      </c>
      <c r="E9" s="13" t="inlineStr">
        <is>
          <t>Cycling specialty</t>
        </is>
      </c>
      <c r="F9" s="13" t="inlineStr">
        <is>
          <t>Effervescent low-sugar</t>
        </is>
      </c>
      <c r="G9" s="13" t="inlineStr">
        <is>
          <t>Tablets</t>
        </is>
      </c>
      <c r="H9" s="13" t="inlineStr">
        <is>
          <t>300mg sodium</t>
        </is>
      </c>
      <c r="I9" s="13" t="inlineStr">
        <is>
          <t>~$0.65</t>
        </is>
      </c>
      <c r="J9" s="13" t="inlineStr">
        <is>
          <t>Broad</t>
        </is>
      </c>
      <c r="K9" s="13" t="inlineStr">
        <is>
          <t>$10M+ (13)</t>
        </is>
      </c>
      <c r="L9" s="13" t="inlineStr">
        <is>
          <t>Nestlé 2021</t>
        </is>
      </c>
    </row>
    <row r="10" ht="50" customHeight="1">
      <c r="A10" s="15" t="inlineStr">
        <is>
          <t>Vital Proteins Sparkling</t>
        </is>
      </c>
      <c r="B10" s="15" t="inlineStr">
        <is>
          <t>Collagen sparkling</t>
        </is>
      </c>
      <c r="C10" s="15" t="inlineStr">
        <is>
          <t>2025</t>
        </is>
      </c>
      <c r="D10" s="15" t="inlineStr">
        <is>
          <t>(Nestlé)</t>
        </is>
      </c>
      <c r="E10" s="15" t="inlineStr">
        <is>
          <t>Mass retail</t>
        </is>
      </c>
      <c r="F10" s="15" t="inlineStr">
        <is>
          <t>Beauty-from-within + clinical</t>
        </is>
      </c>
      <c r="G10" s="15" t="inlineStr">
        <is>
          <t>Can</t>
        </is>
      </c>
      <c r="H10" s="15" t="inlineStr">
        <is>
          <t>0g sugar, collagen</t>
        </is>
      </c>
      <c r="I10" s="15" t="inlineStr">
        <is>
          <t>$2.50</t>
        </is>
      </c>
      <c r="J10" s="15" t="inlineStr">
        <is>
          <t>Mass</t>
        </is>
      </c>
      <c r="K10" s="15" t="inlineStr">
        <is>
          <t>n/a</t>
        </is>
      </c>
      <c r="L10" s="15" t="inlineStr">
        <is>
          <t>Nestlé-owned</t>
        </is>
      </c>
    </row>
    <row r="11" ht="50" customHeight="1">
      <c r="A11" s="13" t="inlineStr">
        <is>
          <t>Recess</t>
        </is>
      </c>
      <c r="B11" s="13" t="inlineStr">
        <is>
          <t>Functional sparkling</t>
        </is>
      </c>
      <c r="C11" s="13" t="inlineStr">
        <is>
          <t>2018</t>
        </is>
      </c>
      <c r="D11" s="13" t="inlineStr">
        <is>
          <t>Witte</t>
        </is>
      </c>
      <c r="E11" s="13" t="inlineStr">
        <is>
          <t>DTC→retail</t>
        </is>
      </c>
      <c r="F11" s="13" t="inlineStr">
        <is>
          <t>Relaxation: mag + adaptogens</t>
        </is>
      </c>
      <c r="G11" s="13" t="inlineStr">
        <is>
          <t>Can</t>
        </is>
      </c>
      <c r="H11" s="13" t="inlineStr">
        <is>
          <t>Mag L-threonate</t>
        </is>
      </c>
      <c r="I11" s="13" t="inlineStr">
        <is>
          <t>Premium</t>
        </is>
      </c>
      <c r="J11" s="13" t="inlineStr">
        <is>
          <t>15k stores</t>
        </is>
      </c>
      <c r="K11" s="13" t="inlineStr">
        <is>
          <t>n/a</t>
        </is>
      </c>
      <c r="L11" s="13" t="inlineStr">
        <is>
          <t>$30M Series B</t>
        </is>
      </c>
    </row>
    <row r="12" ht="50" customHeight="1">
      <c r="A12" s="15" t="inlineStr">
        <is>
          <t>Aura Bora</t>
        </is>
      </c>
      <c r="B12" s="15" t="inlineStr">
        <is>
          <t>Sparkling water</t>
        </is>
      </c>
      <c r="C12" s="15" t="inlineStr">
        <is>
          <t>2020</t>
        </is>
      </c>
      <c r="D12" s="15" t="inlineStr">
        <is>
          <t>Voges</t>
        </is>
      </c>
      <c r="E12" s="15" t="inlineStr">
        <is>
          <t>Shark Tank→retail</t>
        </is>
      </c>
      <c r="F12" s="15" t="inlineStr">
        <is>
          <t>Herbal/floral, 0 cal/sugar</t>
        </is>
      </c>
      <c r="G12" s="15" t="inlineStr">
        <is>
          <t>Can</t>
        </is>
      </c>
      <c r="H12" s="15" t="inlineStr">
        <is>
          <t>0 cal/sugar/sodium</t>
        </is>
      </c>
      <c r="I12" s="15" t="inlineStr">
        <is>
          <t>~$2.10</t>
        </is>
      </c>
      <c r="J12" s="15" t="inlineStr">
        <is>
          <t>11k stores</t>
        </is>
      </c>
      <c r="K12" s="15" t="inlineStr">
        <is>
          <t>$12M (24)</t>
        </is>
      </c>
      <c r="L12" s="15" t="inlineStr">
        <is>
          <t>Next In Natural</t>
        </is>
      </c>
    </row>
    <row r="13" ht="20" customHeight="1">
      <c r="A13" s="88" t="inlineStr">
        <is>
          <t>COLLAGEN-SPARKLING GRAVEYARD: Goldn Hour, BOONS, Luster &amp; Lum — standalone beauty-collagen sparkling flops.</t>
        </is>
      </c>
    </row>
    <row r="14" ht="48" customHeight="1">
      <c r="A14" s="89" t="inlineStr">
        <is>
          <t>MÜV (Organika) — SUBJECT</t>
        </is>
      </c>
      <c r="B14" s="90" t="inlineStr">
        <is>
          <t>Sparkling electrolyte (RTD)</t>
        </is>
      </c>
      <c r="C14" s="90" t="inlineStr">
        <is>
          <t>1990</t>
        </is>
      </c>
      <c r="D14" s="90" t="inlineStr">
        <is>
          <t>Organika (BC)</t>
        </is>
      </c>
      <c r="E14" s="90" t="inlineStr">
        <is>
          <t>Costco CA/Amazon/Well.ca</t>
        </is>
      </c>
      <c r="F14" s="90" t="inlineStr">
        <is>
          <t>Daily-wellness sparkling + prebiotic fibre</t>
        </is>
      </c>
      <c r="G14" s="90" t="inlineStr">
        <is>
          <t>RTD sparkling CAN</t>
        </is>
      </c>
      <c r="H14" s="90" t="inlineStr">
        <is>
          <t>0 sugar, caffeine-free, magnesium glycinate, Fibersol; sodium TBD</t>
        </is>
      </c>
      <c r="I14" s="90" t="inlineStr">
        <is>
          <t>$14.99/pk</t>
        </is>
      </c>
      <c r="J14" s="90" t="inlineStr">
        <is>
          <t>CA beachhead</t>
        </is>
      </c>
      <c r="K14" s="90" t="inlineStr">
        <is>
          <t>pre-launch</t>
        </is>
      </c>
      <c r="L14" s="90" t="inlineStr">
        <is>
          <t>Food-regulated (Supplemented Food)</t>
        </is>
      </c>
    </row>
  </sheetData>
  <mergeCells count="3">
    <mergeCell ref="A13:L13"/>
    <mergeCell ref="A2:L2"/>
    <mergeCell ref="A1:L1"/>
  </mergeCells>
  <hyperlinks>
    <hyperlink xmlns:r="http://schemas.openxmlformats.org/officeDocument/2006/relationships" ref="O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34" customWidth="1" min="4" max="4"/>
    <col width="2" customWidth="1" min="5" max="5"/>
    <col width="2" customWidth="1" min="6" max="6"/>
    <col width="2" customWidth="1" min="7" max="7"/>
  </cols>
  <sheetData>
    <row r="1" ht="28" customHeight="1">
      <c r="A1" s="1" t="inlineStr">
        <is>
          <t>MÜV Peer Set — Direct Competitors vs Category-Adjacent</t>
        </is>
      </c>
      <c r="J1" s="10" t="inlineStr">
        <is>
          <t>🏠 Home</t>
        </is>
      </c>
    </row>
    <row r="2" ht="20" customHeight="1">
      <c r="A2" s="19" t="inlineStr">
        <is>
          <t>Reconciles the workbook to MÜV's actual lane: daily-wellness sparkling electrolyte (food-regulated)</t>
        </is>
      </c>
    </row>
    <row r="3"/>
    <row r="4" ht="46" customHeight="1">
      <c r="A4" s="62" t="inlineStr">
        <is>
          <t>HOW TO READ: the 07 Comparison Matrix is the BROAD functional-beverage set (context + playbook). MÜV's DIRECT rivals are electrolyte/sparkling (below). Borrow the soda brands' go-to-market; benchmark price/format/claims against the electrolyte brands.</t>
        </is>
      </c>
    </row>
    <row r="5">
      <c r="A5" s="87" t="inlineStr">
        <is>
          <t>DIRECT PEERS — same occasion / same shelf (benchmark MÜV here)</t>
        </is>
      </c>
    </row>
    <row r="6">
      <c r="A6" s="11" t="inlineStr">
        <is>
          <t>Brand</t>
        </is>
      </c>
      <c r="B6" s="11" t="inlineStr">
        <is>
          <t>Format</t>
        </is>
      </c>
      <c r="C6" s="11" t="inlineStr">
        <is>
          <t>Sodium/serv</t>
        </is>
      </c>
      <c r="D6" s="11" t="inlineStr">
        <is>
          <t>Price/serv</t>
        </is>
      </c>
      <c r="E6" s="11" t="inlineStr">
        <is>
          <t>Lane</t>
        </is>
      </c>
      <c r="F6" s="11" t="inlineStr">
        <is>
          <t>Canada channel</t>
        </is>
      </c>
      <c r="G6" s="11" t="inlineStr">
        <is>
          <t>Why a direct peer</t>
        </is>
      </c>
    </row>
    <row r="7" ht="36" customHeight="1">
      <c r="A7" s="13" t="inlineStr">
        <is>
          <t>LMNT</t>
        </is>
      </c>
      <c r="B7" s="13" t="inlineStr">
        <is>
          <t>Powder stick (+Sparkling can)</t>
        </is>
      </c>
      <c r="C7" s="13" t="inlineStr">
        <is>
          <t>1,000 mg</t>
        </is>
      </c>
      <c r="D7" s="13" t="inlineStr">
        <is>
          <t>~$1.50</t>
        </is>
      </c>
      <c r="E7" s="13" t="inlineStr">
        <is>
          <t>High-sodium performance</t>
        </is>
      </c>
      <c r="F7" s="13" t="inlineStr">
        <is>
          <t>Amazon.ca + DTC</t>
        </is>
      </c>
      <c r="G7" s="13" t="inlineStr">
        <is>
          <t>Premium ceiling; sparkling-can overlap</t>
        </is>
      </c>
    </row>
    <row r="8" ht="36" customHeight="1">
      <c r="A8" s="15" t="inlineStr">
        <is>
          <t>Liquid I.V.</t>
        </is>
      </c>
      <c r="B8" s="15" t="inlineStr">
        <is>
          <t>Powder stick</t>
        </is>
      </c>
      <c r="C8" s="15" t="inlineStr">
        <is>
          <t>500 mg</t>
        </is>
      </c>
      <c r="D8" s="15" t="inlineStr">
        <is>
          <t>~$1.56 (~$1 Costco)</t>
        </is>
      </c>
      <c r="E8" s="15" t="inlineStr">
        <is>
          <t>Daily wellness</t>
        </is>
      </c>
      <c r="F8" s="15" t="inlineStr">
        <is>
          <t>Costco Canada (2023)</t>
        </is>
      </c>
      <c r="G8" s="15" t="inlineStr">
        <is>
          <t>Closest positioning twin; Costco model</t>
        </is>
      </c>
    </row>
    <row r="9" ht="36" customHeight="1">
      <c r="A9" s="13" t="inlineStr">
        <is>
          <t>Nuun</t>
        </is>
      </c>
      <c r="B9" s="13" t="inlineStr">
        <is>
          <t>Effervescent tablet</t>
        </is>
      </c>
      <c r="C9" s="13" t="inlineStr">
        <is>
          <t>300 mg</t>
        </is>
      </c>
      <c r="D9" s="13" t="inlineStr">
        <is>
          <t>~$0.75</t>
        </is>
      </c>
      <c r="E9" s="13" t="inlineStr">
        <is>
          <t>Everyday/endurance</t>
        </is>
      </c>
      <c r="F9" s="13" t="inlineStr">
        <is>
          <t>Natural + Amazon.ca</t>
        </is>
      </c>
      <c r="G9" s="13" t="inlineStr">
        <is>
          <t>Fizz overlap; value anchor</t>
        </is>
      </c>
    </row>
    <row r="10" ht="36" customHeight="1">
      <c r="A10" s="15" t="inlineStr">
        <is>
          <t>BioSteel</t>
        </is>
      </c>
      <c r="B10" s="15" t="inlineStr">
        <is>
          <t>Powder / RTD</t>
        </is>
      </c>
      <c r="C10" s="15" t="inlineStr">
        <is>
          <t>moderate</t>
        </is>
      </c>
      <c r="D10" s="15" t="inlineStr">
        <is>
          <t>mid</t>
        </is>
      </c>
      <c r="E10" s="15" t="inlineStr">
        <is>
          <t>Athletic/clean sport</t>
        </is>
      </c>
      <c r="F10" s="15" t="inlineStr">
        <is>
          <t>Broad omnichannel</t>
        </is>
      </c>
      <c r="G10" s="15" t="inlineStr">
        <is>
          <t>Canadian rival; cautionary tale</t>
        </is>
      </c>
    </row>
    <row r="11" ht="36" customHeight="1">
      <c r="A11" s="13" t="inlineStr">
        <is>
          <t>Prime</t>
        </is>
      </c>
      <c r="B11" s="13" t="inlineStr">
        <is>
          <t>RTD + powder</t>
        </is>
      </c>
      <c r="C11" s="13" t="inlineStr">
        <is>
          <t>low</t>
        </is>
      </c>
      <c r="D11" s="13" t="inlineStr">
        <is>
          <t>hype</t>
        </is>
      </c>
      <c r="E11" s="13" t="inlineStr">
        <is>
          <t>Youth/viral</t>
        </is>
      </c>
      <c r="F11" s="13" t="inlineStr">
        <is>
          <t>Walmart/convenience</t>
        </is>
      </c>
      <c r="G11" s="13" t="inlineStr">
        <is>
          <t>Sparkling-adjacent RTD; hype warning</t>
        </is>
      </c>
    </row>
    <row r="12" ht="36" customHeight="1">
      <c r="A12" s="15" t="inlineStr">
        <is>
          <t>Organika electrolyte sachets</t>
        </is>
      </c>
      <c r="B12" s="15" t="inlineStr">
        <is>
          <t>3.5g powder</t>
        </is>
      </c>
      <c r="C12" s="15" t="inlineStr">
        <is>
          <t>~440mg</t>
        </is>
      </c>
      <c r="D12" s="15" t="inlineStr">
        <is>
          <t>~$1.00</t>
        </is>
      </c>
      <c r="E12" s="15" t="inlineStr">
        <is>
          <t>Daily, Canadian-made</t>
        </is>
      </c>
      <c r="F12" s="15" t="inlineStr">
        <is>
          <t>Costco/Well.ca/Amazon</t>
        </is>
      </c>
      <c r="G12" s="15" t="inlineStr">
        <is>
          <t>Organika's own line — cannibalization watch</t>
        </is>
      </c>
    </row>
    <row r="13" ht="36" customHeight="1">
      <c r="A13" s="13" t="inlineStr">
        <is>
          <t>MÜV (this product)</t>
        </is>
      </c>
      <c r="B13" s="13" t="inlineStr">
        <is>
          <t>Sparkling RTD CAN</t>
        </is>
      </c>
      <c r="C13" s="13" t="inlineStr">
        <is>
          <t>TBD ⚠</t>
        </is>
      </c>
      <c r="D13" s="13" t="inlineStr">
        <is>
          <t>$14.99/pk</t>
        </is>
      </c>
      <c r="E13" s="13" t="inlineStr">
        <is>
          <t>Daily-wellness sparkling</t>
        </is>
      </c>
      <c r="F13" s="13" t="inlineStr">
        <is>
          <t>Costco/Amazon/Well.ca</t>
        </is>
      </c>
      <c r="G13" s="13" t="inlineStr">
        <is>
          <t>— the subject —</t>
        </is>
      </c>
    </row>
    <row r="14">
      <c r="A14" s="17" t="inlineStr">
        <is>
          <t>CATEGORY-ADJACENT — different occasion; context &amp; playbook only</t>
        </is>
      </c>
    </row>
    <row r="15">
      <c r="A15" s="11" t="inlineStr">
        <is>
          <t>Brand</t>
        </is>
      </c>
      <c r="B15" s="11" t="inlineStr">
        <is>
          <t>Category</t>
        </is>
      </c>
      <c r="C15" s="11" t="inlineStr">
        <is>
          <t>What MÜV borrows</t>
        </is>
      </c>
      <c r="D15" s="11" t="inlineStr">
        <is>
          <t>What does NOT transfer</t>
        </is>
      </c>
      <c r="E15" s="11" t="inlineStr"/>
      <c r="F15" s="11" t="inlineStr"/>
      <c r="G15" s="11" t="inlineStr"/>
    </row>
    <row r="16" ht="34" customHeight="1">
      <c r="A16" s="13" t="inlineStr">
        <is>
          <t>Poppi</t>
        </is>
      </c>
      <c r="B16" s="13" t="inlineStr">
        <is>
          <t>Prebiotic soda</t>
        </is>
      </c>
      <c r="C16" s="13" t="inlineStr">
        <is>
          <t>TikTok seeding; mass-priced premium; exit proof</t>
        </is>
      </c>
      <c r="D16" s="13" t="inlineStr">
        <is>
          <t>Soda occasion; thin-fibre claim risk</t>
        </is>
      </c>
      <c r="E16" s="13" t="inlineStr"/>
      <c r="F16" s="13" t="inlineStr"/>
      <c r="G16" s="13" t="inlineStr"/>
    </row>
    <row r="17" ht="34" customHeight="1">
      <c r="A17" s="15" t="inlineStr">
        <is>
          <t>OLIPOP</t>
        </is>
      </c>
      <c r="B17" s="15" t="inlineStr">
        <is>
          <t>Prebiotic soda</t>
        </is>
      </c>
      <c r="C17" s="15" t="inlineStr">
        <is>
          <t>Natural-channel seeding; repurchase sell-in</t>
        </is>
      </c>
      <c r="D17" s="15" t="inlineStr">
        <is>
          <t>Dessert-soda positioning</t>
        </is>
      </c>
      <c r="E17" s="15" t="inlineStr"/>
      <c r="F17" s="15" t="inlineStr"/>
      <c r="G17" s="15" t="inlineStr"/>
    </row>
    <row r="18" ht="34" customHeight="1">
      <c r="A18" s="13" t="inlineStr">
        <is>
          <t>Vital Proteins Sparkling</t>
        </is>
      </c>
      <c r="B18" s="13" t="inlineStr">
        <is>
          <t>Collagen sparkling</t>
        </is>
      </c>
      <c r="C18" s="13" t="inlineStr">
        <is>
          <t>Beauty demand proof; clinical-claim model</t>
        </is>
      </c>
      <c r="D18" s="13" t="inlineStr">
        <is>
          <t>Collagen-beauty claims (NHP-only in CA)</t>
        </is>
      </c>
      <c r="E18" s="13" t="inlineStr"/>
      <c r="F18" s="13" t="inlineStr"/>
      <c r="G18" s="13" t="inlineStr"/>
    </row>
    <row r="19" ht="34" customHeight="1">
      <c r="A19" s="15" t="inlineStr">
        <is>
          <t>Recess</t>
        </is>
      </c>
      <c r="B19" s="15" t="inlineStr">
        <is>
          <t>Relaxation sparkling</t>
        </is>
      </c>
      <c r="C19" s="15" t="inlineStr">
        <is>
          <t>Sell the felt benefit lesson</t>
        </is>
      </c>
      <c r="D19" s="15" t="inlineStr">
        <is>
          <t>Adaptogen/relaxation occasion</t>
        </is>
      </c>
      <c r="E19" s="15" t="inlineStr"/>
      <c r="F19" s="15" t="inlineStr"/>
      <c r="G19" s="15" t="inlineStr"/>
    </row>
    <row r="20"/>
    <row r="21"/>
    <row r="22" hidden="1">
      <c r="A22" t="inlineStr">
        <is>
          <t>Brand</t>
        </is>
      </c>
      <c r="B22" t="inlineStr">
        <is>
          <t>Sodium</t>
        </is>
      </c>
      <c r="C22" t="inlineStr">
        <is>
          <t>Price</t>
        </is>
      </c>
    </row>
    <row r="23" hidden="1">
      <c r="A23" t="inlineStr">
        <is>
          <t>LMNT</t>
        </is>
      </c>
      <c r="B23" t="n">
        <v>1000</v>
      </c>
      <c r="C23" t="n">
        <v>1.5</v>
      </c>
    </row>
    <row r="24" hidden="1">
      <c r="A24" t="inlineStr">
        <is>
          <t>Liquid I.V.</t>
        </is>
      </c>
      <c r="B24" t="n">
        <v>500</v>
      </c>
      <c r="C24" t="n">
        <v>1.56</v>
      </c>
    </row>
    <row r="25" hidden="1">
      <c r="A25" t="inlineStr">
        <is>
          <t>Nuun</t>
        </is>
      </c>
      <c r="B25" t="n">
        <v>300</v>
      </c>
      <c r="C25" t="n">
        <v>0.75</v>
      </c>
    </row>
    <row r="26" hidden="1">
      <c r="A26" t="inlineStr">
        <is>
          <t>Organika sachets</t>
        </is>
      </c>
      <c r="B26" t="n">
        <v>440</v>
      </c>
      <c r="C26" t="n">
        <v>1</v>
      </c>
    </row>
    <row r="27"/>
    <row r="28">
      <c r="A28" s="31" t="inlineStr">
        <is>
          <t>MÜV sodium/serving TBD — plot when confirmed. Target: daily-wellness zone (moderate sodium, mid price).</t>
        </is>
      </c>
    </row>
  </sheetData>
  <mergeCells count="5">
    <mergeCell ref="A14:G14"/>
    <mergeCell ref="A1:G1"/>
    <mergeCell ref="A4:G4"/>
    <mergeCell ref="A2:G2"/>
    <mergeCell ref="A5:G5"/>
  </mergeCells>
  <hyperlinks>
    <hyperlink xmlns:r="http://schemas.openxmlformats.org/officeDocument/2006/relationships" ref="J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  <drawing xmlns:r="http://schemas.openxmlformats.org/officeDocument/2006/relationships" r:id="rId2"/>
</worksheet>
</file>

<file path=xl/worksheets/sheet18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I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16" customWidth="1" min="4" max="4"/>
    <col width="20" customWidth="1" min="5" max="5"/>
    <col width="14" customWidth="1" min="6" max="6"/>
  </cols>
  <sheetData>
    <row r="1" ht="28" customHeight="1">
      <c r="A1" s="1" t="inlineStr">
        <is>
          <t>Extended Competitor Landscape (~30 brands)</t>
        </is>
      </c>
      <c r="I1" s="10" t="inlineStr">
        <is>
          <t>🏠 Home</t>
        </is>
      </c>
    </row>
    <row r="2" ht="20" customHeight="1">
      <c r="A2" s="19" t="inlineStr">
        <is>
          <t>Amber = FLAG/unverified — re-verify before external use</t>
        </is>
      </c>
    </row>
    <row r="3"/>
    <row r="4">
      <c r="A4" s="17" t="inlineStr">
        <is>
          <t>FUNCTIONAL SODA / PREBIOTIC</t>
        </is>
      </c>
    </row>
    <row r="5">
      <c r="A5" s="11" t="inlineStr">
        <is>
          <t>Brand</t>
        </is>
      </c>
      <c r="B5" s="11" t="inlineStr">
        <is>
          <t>Founded / Founder</t>
        </is>
      </c>
      <c r="C5" s="11" t="inlineStr">
        <is>
          <t>Positioning / hero</t>
        </is>
      </c>
      <c r="D5" s="11" t="inlineStr">
        <is>
          <t>Price / footprint</t>
        </is>
      </c>
      <c r="E5" s="11" t="inlineStr">
        <is>
          <t>Funding / exit</t>
        </is>
      </c>
      <c r="F5" s="11" t="inlineStr">
        <is>
          <t>Status</t>
        </is>
      </c>
    </row>
    <row r="6" ht="26" customHeight="1">
      <c r="A6" s="13" t="inlineStr">
        <is>
          <t>Culture Pop</t>
        </is>
      </c>
      <c r="B6" s="13" t="inlineStr">
        <is>
          <t>2020; Tom First</t>
        </is>
      </c>
      <c r="C6" s="13" t="inlineStr">
        <is>
          <t>Probiotic soda, live cultures</t>
        </is>
      </c>
      <c r="D6" s="13" t="inlineStr">
        <is>
          <t>Multi-region</t>
        </is>
      </c>
      <c r="E6" s="13" t="inlineStr">
        <is>
          <t>$21M (~2024)</t>
        </is>
      </c>
      <c r="F6" s="13" t="inlineStr">
        <is>
          <t>Active</t>
        </is>
      </c>
    </row>
    <row r="7" ht="26" customHeight="1">
      <c r="A7" s="15" t="inlineStr">
        <is>
          <t>Health-Ade (Booch Pop)</t>
        </is>
      </c>
      <c r="B7" s="15" t="inlineStr">
        <is>
          <t>2012/2020</t>
        </is>
      </c>
      <c r="C7" s="15" t="inlineStr">
        <is>
          <t>Prebiotic soda; flagship kombucha</t>
        </is>
      </c>
      <c r="D7" s="15" t="inlineStr">
        <is>
          <t>~$250M/yr</t>
        </is>
      </c>
      <c r="E7" s="15" t="inlineStr">
        <is>
          <t>Generous Brands $500M</t>
        </is>
      </c>
      <c r="F7" s="15" t="inlineStr">
        <is>
          <t>Active</t>
        </is>
      </c>
    </row>
    <row r="8" ht="26" customHeight="1">
      <c r="A8" s="13" t="inlineStr">
        <is>
          <t>Mighty Pop</t>
        </is>
      </c>
      <c r="B8" s="13" t="inlineStr">
        <is>
          <t>2023; Beliv</t>
        </is>
      </c>
      <c r="C8" s="13" t="inlineStr">
        <is>
          <t>Pre+pro+postbiotics, 3g fiber</t>
        </is>
      </c>
      <c r="D8" s="13" t="inlineStr">
        <is>
          <t>US</t>
        </is>
      </c>
      <c r="E8" s="13" t="inlineStr">
        <is>
          <t>Beliv portfolio</t>
        </is>
      </c>
      <c r="F8" s="13" t="inlineStr">
        <is>
          <t>Active</t>
        </is>
      </c>
    </row>
    <row r="9" ht="26" customHeight="1">
      <c r="A9" s="15" t="inlineStr">
        <is>
          <t>De La Calle</t>
        </is>
      </c>
      <c r="B9" s="15" t="inlineStr">
        <is>
          <t>2020</t>
        </is>
      </c>
      <c r="C9" s="15" t="inlineStr">
        <is>
          <t>Tepache, low sugar</t>
        </is>
      </c>
      <c r="D9" s="15" t="inlineStr">
        <is>
          <t>Retail</t>
        </is>
      </c>
      <c r="E9" s="15" t="inlineStr">
        <is>
          <t>$7M (2022)</t>
        </is>
      </c>
      <c r="F9" s="15" t="inlineStr">
        <is>
          <t>Active</t>
        </is>
      </c>
    </row>
    <row r="10" ht="26" customHeight="1">
      <c r="A10" s="13" t="inlineStr">
        <is>
          <t>Wildwonder</t>
        </is>
      </c>
      <c r="B10" s="13" t="inlineStr">
        <is>
          <t>~2018; Rosa Li</t>
        </is>
      </c>
      <c r="C10" s="13" t="inlineStr">
        <is>
          <t>Sparkling pre+probiotic</t>
        </is>
      </c>
      <c r="D10" s="13" t="inlineStr">
        <is>
          <t>Sprouts/Target</t>
        </is>
      </c>
      <c r="E10" s="13" t="inlineStr">
        <is>
          <t>Shark Tank $500K</t>
        </is>
      </c>
      <c r="F10" s="13" t="inlineStr">
        <is>
          <t>Active</t>
        </is>
      </c>
    </row>
    <row r="11" ht="26" customHeight="1">
      <c r="A11" s="15" t="inlineStr">
        <is>
          <t>Simply Pop</t>
        </is>
      </c>
      <c r="B11" s="15" t="inlineStr">
        <is>
          <t>2025; Coca-Cola</t>
        </is>
      </c>
      <c r="C11" s="15" t="inlineStr">
        <is>
          <t>Prebiotic soda (incumbent)</t>
        </is>
      </c>
      <c r="D11" s="15" t="inlineStr">
        <is>
          <t>Mass</t>
        </is>
      </c>
      <c r="E11" s="15" t="inlineStr">
        <is>
          <t>Corporate</t>
        </is>
      </c>
      <c r="F11" s="15" t="inlineStr">
        <is>
          <t>Active</t>
        </is>
      </c>
    </row>
    <row r="12">
      <c r="A12" s="17" t="inlineStr">
        <is>
          <t>SPARKLING / FLAVORED WATER</t>
        </is>
      </c>
    </row>
    <row r="13">
      <c r="A13" s="11" t="inlineStr">
        <is>
          <t>Brand</t>
        </is>
      </c>
      <c r="B13" s="11" t="inlineStr">
        <is>
          <t>Founded / Founder</t>
        </is>
      </c>
      <c r="C13" s="11" t="inlineStr">
        <is>
          <t>Positioning / hero</t>
        </is>
      </c>
      <c r="D13" s="11" t="inlineStr">
        <is>
          <t>Price / footprint</t>
        </is>
      </c>
      <c r="E13" s="11" t="inlineStr">
        <is>
          <t>Funding / exit</t>
        </is>
      </c>
      <c r="F13" s="11" t="inlineStr">
        <is>
          <t>Status</t>
        </is>
      </c>
    </row>
    <row r="14" ht="24" customHeight="1">
      <c r="A14" s="13" t="inlineStr">
        <is>
          <t>Spindrift</t>
        </is>
      </c>
      <c r="B14" s="13" t="inlineStr">
        <is>
          <t>2010; Creelman</t>
        </is>
      </c>
      <c r="C14" s="13" t="inlineStr">
        <is>
          <t>Real squeezed fruit</t>
        </is>
      </c>
      <c r="D14" s="13" t="inlineStr">
        <is>
          <t>National</t>
        </is>
      </c>
      <c r="E14" s="13" t="inlineStr">
        <is>
          <t>$75.7M; Gryphon</t>
        </is>
      </c>
      <c r="F14" s="13" t="inlineStr">
        <is>
          <t>Active</t>
        </is>
      </c>
    </row>
    <row r="15" ht="24" customHeight="1">
      <c r="A15" s="15" t="inlineStr">
        <is>
          <t>Waterloo</t>
        </is>
      </c>
      <c r="B15" s="15" t="inlineStr">
        <is>
          <t>2017; CAVU</t>
        </is>
      </c>
      <c r="C15" s="15" t="inlineStr">
        <is>
          <t>Bold zero-cal sparkling</t>
        </is>
      </c>
      <c r="D15" s="15" t="inlineStr">
        <is>
          <t>National</t>
        </is>
      </c>
      <c r="E15" s="15" t="inlineStr">
        <is>
          <t>Flexis-led 2020 (NOT KDP)</t>
        </is>
      </c>
      <c r="F15" s="15" t="inlineStr">
        <is>
          <t>Active</t>
        </is>
      </c>
    </row>
    <row r="16" ht="24" customHeight="1">
      <c r="A16" s="13" t="inlineStr">
        <is>
          <t>Hint</t>
        </is>
      </c>
      <c r="B16" s="13" t="inlineStr">
        <is>
          <t>2005; Goldin</t>
        </is>
      </c>
      <c r="C16" s="13" t="inlineStr">
        <is>
          <t>Unsweetened fruit-essence</t>
        </is>
      </c>
      <c r="D16" s="13" t="inlineStr">
        <is>
          <t>National</t>
        </is>
      </c>
      <c r="E16" s="13" t="inlineStr">
        <is>
          <t>$51.5M; ~$150M val</t>
        </is>
      </c>
      <c r="F16" s="13" t="inlineStr">
        <is>
          <t>Active</t>
        </is>
      </c>
    </row>
    <row r="17" ht="24" customHeight="1">
      <c r="A17" s="15" t="inlineStr">
        <is>
          <t>AHA</t>
        </is>
      </c>
      <c r="B17" s="15" t="inlineStr">
        <is>
          <t>2020; Coca-Cola</t>
        </is>
      </c>
      <c r="C17" s="15" t="inlineStr">
        <is>
          <t>Zero-cal flavor-pair</t>
        </is>
      </c>
      <c r="D17" s="15" t="inlineStr">
        <is>
          <t>Reduced</t>
        </is>
      </c>
      <c r="E17" s="15" t="inlineStr">
        <is>
          <t>Corporate</t>
        </is>
      </c>
      <c r="F17" s="15" t="inlineStr">
        <is>
          <t>Distribution cut</t>
        </is>
      </c>
    </row>
    <row r="18" ht="24" customHeight="1">
      <c r="A18" s="13" t="inlineStr">
        <is>
          <t>Bubly</t>
        </is>
      </c>
      <c r="B18" s="13" t="inlineStr">
        <is>
          <t>2018; PepsiCo</t>
        </is>
      </c>
      <c r="C18" s="13" t="inlineStr">
        <is>
          <t>Playful zero-cal</t>
        </is>
      </c>
      <c r="D18" s="13" t="inlineStr">
        <is>
          <t>National</t>
        </is>
      </c>
      <c r="E18" s="13" t="inlineStr">
        <is>
          <t>Corporate</t>
        </is>
      </c>
      <c r="F18" s="13" t="inlineStr">
        <is>
          <t>Active</t>
        </is>
      </c>
    </row>
    <row r="19">
      <c r="A19" s="17" t="inlineStr">
        <is>
          <t>ELECTROLYTE / HYDRATION</t>
        </is>
      </c>
    </row>
    <row r="20">
      <c r="A20" s="11" t="inlineStr">
        <is>
          <t>Brand</t>
        </is>
      </c>
      <c r="B20" s="11" t="inlineStr">
        <is>
          <t>Founded / Founder</t>
        </is>
      </c>
      <c r="C20" s="11" t="inlineStr">
        <is>
          <t>Positioning / hero</t>
        </is>
      </c>
      <c r="D20" s="11" t="inlineStr">
        <is>
          <t>Price / footprint</t>
        </is>
      </c>
      <c r="E20" s="11" t="inlineStr">
        <is>
          <t>Funding / exit</t>
        </is>
      </c>
      <c r="F20" s="11" t="inlineStr">
        <is>
          <t>Status</t>
        </is>
      </c>
    </row>
    <row r="21" ht="24" customHeight="1">
      <c r="A21" s="13" t="inlineStr">
        <is>
          <t>Gatorlyte</t>
        </is>
      </c>
      <c r="B21" s="13" t="inlineStr">
        <is>
          <t>2022; PepsiCo</t>
        </is>
      </c>
      <c r="C21" s="13" t="inlineStr">
        <is>
          <t>Rapid 5-electrolyte</t>
        </is>
      </c>
      <c r="D21" s="13" t="inlineStr">
        <is>
          <t>Full</t>
        </is>
      </c>
      <c r="E21" s="13" t="inlineStr">
        <is>
          <t>Corporate</t>
        </is>
      </c>
      <c r="F21" s="13" t="inlineStr">
        <is>
          <t>Active</t>
        </is>
      </c>
    </row>
    <row r="22" ht="24" customHeight="1">
      <c r="A22" s="15" t="inlineStr">
        <is>
          <t>Prime Hydration</t>
        </is>
      </c>
      <c r="B22" s="15" t="inlineStr">
        <is>
          <t>2022; Paul/KSI</t>
        </is>
      </c>
      <c r="C22" s="15" t="inlineStr">
        <is>
          <t>Influencer-led</t>
        </is>
      </c>
      <c r="D22" s="15" t="inlineStr">
        <is>
          <t>Mass</t>
        </is>
      </c>
      <c r="E22" s="15" t="inlineStr">
        <is>
          <t>~$1.2B peak 2023, down ~75% FLAG</t>
        </is>
      </c>
      <c r="F22" s="15" t="inlineStr">
        <is>
          <t>Contracting</t>
        </is>
      </c>
    </row>
    <row r="23" ht="24" customHeight="1">
      <c r="A23" s="13" t="inlineStr">
        <is>
          <t>Cure Hydration</t>
        </is>
      </c>
      <c r="B23" s="13" t="inlineStr">
        <is>
          <t>~2018; Picasso</t>
        </is>
      </c>
      <c r="C23" s="13" t="inlineStr">
        <is>
          <t>Plant-based, no sugar</t>
        </is>
      </c>
      <c r="D23" s="13" t="inlineStr">
        <is>
          <t>Retail</t>
        </is>
      </c>
      <c r="E23" s="13" t="inlineStr">
        <is>
          <t>$5.6M A (2023)</t>
        </is>
      </c>
      <c r="F23" s="13" t="inlineStr">
        <is>
          <t>Active</t>
        </is>
      </c>
    </row>
    <row r="24" ht="24" customHeight="1">
      <c r="A24" s="15" t="inlineStr">
        <is>
          <t>DripDrop</t>
        </is>
      </c>
      <c r="B24" s="15" t="inlineStr">
        <is>
          <t>2008; Dolhun</t>
        </is>
      </c>
      <c r="C24" s="15" t="inlineStr">
        <is>
          <t>Medical-grade ORS</t>
        </is>
      </c>
      <c r="D24" s="15" t="inlineStr">
        <is>
          <t>Retail</t>
        </is>
      </c>
      <c r="E24" s="15" t="inlineStr">
        <is>
          <t>$3M+$5.6M early</t>
        </is>
      </c>
      <c r="F24" s="15" t="inlineStr">
        <is>
          <t>Active</t>
        </is>
      </c>
    </row>
    <row r="25" ht="24" customHeight="1">
      <c r="A25" s="13" t="inlineStr">
        <is>
          <t>Ultima</t>
        </is>
      </c>
      <c r="B25" s="13" t="inlineStr">
        <is>
          <t>25+ yrs</t>
        </is>
      </c>
      <c r="C25" s="13" t="inlineStr">
        <is>
          <t>Zero-sugar electrolyte</t>
        </is>
      </c>
      <c r="D25" s="13" t="inlineStr">
        <is>
          <t>Retail</t>
        </is>
      </c>
      <c r="E25" s="13" t="inlineStr">
        <is>
          <t>Undisclosed FLAG</t>
        </is>
      </c>
      <c r="F25" s="13" t="inlineStr">
        <is>
          <t>Active</t>
        </is>
      </c>
    </row>
    <row r="26">
      <c r="A26" s="17" t="inlineStr">
        <is>
          <t>ENERGY / FUNCTIONAL (playbook reference)</t>
        </is>
      </c>
    </row>
    <row r="27">
      <c r="A27" s="11" t="inlineStr">
        <is>
          <t>Brand</t>
        </is>
      </c>
      <c r="B27" s="11" t="inlineStr">
        <is>
          <t>Founded / Founder</t>
        </is>
      </c>
      <c r="C27" s="11" t="inlineStr">
        <is>
          <t>Positioning / hero</t>
        </is>
      </c>
      <c r="D27" s="11" t="inlineStr">
        <is>
          <t>Price / footprint</t>
        </is>
      </c>
      <c r="E27" s="11" t="inlineStr">
        <is>
          <t>Funding / exit</t>
        </is>
      </c>
      <c r="F27" s="11" t="inlineStr">
        <is>
          <t>Status</t>
        </is>
      </c>
    </row>
    <row r="28" ht="26" customHeight="1">
      <c r="A28" s="13" t="inlineStr">
        <is>
          <t>Celsius</t>
        </is>
      </c>
      <c r="B28" s="13" t="inlineStr">
        <is>
          <t>2004; NASDAQ 2017</t>
        </is>
      </c>
      <c r="C28" s="13" t="inlineStr">
        <is>
          <t>Thermogenic; fitness/social + PepsiCo</t>
        </is>
      </c>
      <c r="D28" s="13" t="inlineStr">
        <is>
          <t>100k+ doors</t>
        </is>
      </c>
      <c r="E28" s="13" t="inlineStr">
        <is>
          <t>PepsiCo $550M (2022); bought Alani Nu $1.8B</t>
        </is>
      </c>
      <c r="F28" s="13" t="inlineStr">
        <is>
          <t>Public</t>
        </is>
      </c>
    </row>
    <row r="29" ht="26" customHeight="1">
      <c r="A29" s="15" t="inlineStr">
        <is>
          <t>Alani Nu</t>
        </is>
      </c>
      <c r="B29" s="15" t="inlineStr">
        <is>
          <t>2018; Hearn</t>
        </is>
      </c>
      <c r="C29" s="15" t="inlineStr">
        <is>
          <t>Influencer/DTC → mass</t>
        </is>
      </c>
      <c r="D29" s="15" t="inlineStr">
        <is>
          <t>Mass</t>
        </is>
      </c>
      <c r="E29" s="15" t="inlineStr">
        <is>
          <t>~$595M rev 2024; Celsius $1.8B</t>
        </is>
      </c>
      <c r="F29" s="15" t="inlineStr">
        <is>
          <t>Acquired</t>
        </is>
      </c>
    </row>
    <row r="30" ht="26" customHeight="1">
      <c r="A30" s="13" t="inlineStr">
        <is>
          <t>Ghost</t>
        </is>
      </c>
      <c r="B30" s="13" t="inlineStr">
        <is>
          <t>2016</t>
        </is>
      </c>
      <c r="C30" s="13" t="inlineStr">
        <is>
          <t>Community/influencer</t>
        </is>
      </c>
      <c r="D30" s="13" t="inlineStr">
        <is>
          <t>Mass</t>
        </is>
      </c>
      <c r="E30" s="13" t="inlineStr">
        <is>
          <t>KDP 60% (2024)</t>
        </is>
      </c>
      <c r="F30" s="13" t="inlineStr">
        <is>
          <t>Acquired</t>
        </is>
      </c>
    </row>
    <row r="31">
      <c r="A31" s="17" t="inlineStr">
        <is>
          <t>COLLAGEN / BEAUTY / ADAPTOGEN</t>
        </is>
      </c>
    </row>
    <row r="32">
      <c r="A32" s="11" t="inlineStr">
        <is>
          <t>Brand</t>
        </is>
      </c>
      <c r="B32" s="11" t="inlineStr">
        <is>
          <t>Founded / Founder</t>
        </is>
      </c>
      <c r="C32" s="11" t="inlineStr">
        <is>
          <t>Positioning / hero</t>
        </is>
      </c>
      <c r="D32" s="11" t="inlineStr">
        <is>
          <t>Price / footprint</t>
        </is>
      </c>
      <c r="E32" s="11" t="inlineStr">
        <is>
          <t>Funding / exit</t>
        </is>
      </c>
      <c r="F32" s="11" t="inlineStr">
        <is>
          <t>Status</t>
        </is>
      </c>
    </row>
    <row r="33" ht="24" customHeight="1">
      <c r="A33" s="13" t="inlineStr">
        <is>
          <t>Vital Proteins</t>
        </is>
      </c>
      <c r="B33" s="13" t="inlineStr">
        <is>
          <t>Seidensticker</t>
        </is>
      </c>
      <c r="C33" s="13" t="inlineStr">
        <is>
          <t>Leading US collagen</t>
        </is>
      </c>
      <c r="D33" s="13" t="inlineStr">
        <is>
          <t>National</t>
        </is>
      </c>
      <c r="E33" s="13" t="inlineStr">
        <is>
          <t>Nestlé (2022)</t>
        </is>
      </c>
      <c r="F33" s="13" t="inlineStr">
        <is>
          <t>Active</t>
        </is>
      </c>
    </row>
    <row r="34" ht="24" customHeight="1">
      <c r="A34" s="15" t="inlineStr">
        <is>
          <t>Moon Juice</t>
        </is>
      </c>
      <c r="B34" s="15" t="inlineStr">
        <is>
          <t>2011; Bacon</t>
        </is>
      </c>
      <c r="C34" s="15" t="inlineStr">
        <is>
          <t>Adaptogenic dusts</t>
        </is>
      </c>
      <c r="D34" s="15" t="inlineStr">
        <is>
          <t>DTC+retail</t>
        </is>
      </c>
      <c r="E34" s="15" t="inlineStr">
        <is>
          <t>Undisclosed FLAG</t>
        </is>
      </c>
      <c r="F34" s="15" t="inlineStr">
        <is>
          <t>Active</t>
        </is>
      </c>
    </row>
    <row r="35" ht="24" customHeight="1">
      <c r="A35" s="13" t="inlineStr">
        <is>
          <t>Olly</t>
        </is>
      </c>
      <c r="B35" s="13" t="inlineStr">
        <is>
          <t>—</t>
        </is>
      </c>
      <c r="C35" s="13" t="inlineStr">
        <is>
          <t>Gummy vitamins incl. collagen</t>
        </is>
      </c>
      <c r="D35" s="13" t="inlineStr">
        <is>
          <t>Mass</t>
        </is>
      </c>
      <c r="E35" s="13" t="inlineStr">
        <is>
          <t>Unilever (2019)</t>
        </is>
      </c>
      <c r="F35" s="13" t="inlineStr">
        <is>
          <t>Active</t>
        </is>
      </c>
    </row>
    <row r="36" ht="24" customHeight="1">
      <c r="A36" s="15" t="inlineStr">
        <is>
          <t>Halo</t>
        </is>
      </c>
      <c r="B36" s="15" t="inlineStr">
        <is>
          <t>Ambiguous</t>
        </is>
      </c>
      <c r="C36" s="15" t="inlineStr">
        <is>
          <t>Ingestible supplement (NOT a beverage)</t>
        </is>
      </c>
      <c r="D36" s="15" t="inlineStr">
        <is>
          <t>—</t>
        </is>
      </c>
      <c r="E36" s="15" t="inlineStr">
        <is>
          <t>—</t>
        </is>
      </c>
      <c r="F36" s="15" t="inlineStr">
        <is>
          <t>Clarify</t>
        </is>
      </c>
    </row>
    <row r="37" ht="24" customHeight="1">
      <c r="A37" s="13" t="inlineStr">
        <is>
          <t>Mud\Wtr</t>
        </is>
      </c>
      <c r="B37" s="13" t="inlineStr">
        <is>
          <t>2018; Heath</t>
        </is>
      </c>
      <c r="C37" s="13" t="inlineStr">
        <is>
          <t>Coffee-alt w/ mushrooms</t>
        </is>
      </c>
      <c r="D37" s="13" t="inlineStr">
        <is>
          <t>DTC-led</t>
        </is>
      </c>
      <c r="E37" s="13" t="inlineStr">
        <is>
          <t>~$1M seed; later FLAG</t>
        </is>
      </c>
      <c r="F37" s="13" t="inlineStr">
        <is>
          <t>Active</t>
        </is>
      </c>
    </row>
    <row r="38">
      <c r="A38" s="17" t="inlineStr">
        <is>
          <t>CANADIAN FUNCTIONAL BEVERAGE BRANDS</t>
        </is>
      </c>
    </row>
    <row r="39">
      <c r="A39" s="11" t="inlineStr">
        <is>
          <t>Brand</t>
        </is>
      </c>
      <c r="B39" s="11" t="inlineStr">
        <is>
          <t>Founded / Founder</t>
        </is>
      </c>
      <c r="C39" s="11" t="inlineStr">
        <is>
          <t>Positioning / hero</t>
        </is>
      </c>
      <c r="D39" s="11" t="inlineStr">
        <is>
          <t>Price / footprint</t>
        </is>
      </c>
      <c r="E39" s="11" t="inlineStr">
        <is>
          <t>Funding / exit</t>
        </is>
      </c>
      <c r="F39" s="11" t="inlineStr">
        <is>
          <t>Status</t>
        </is>
      </c>
    </row>
    <row r="40" ht="24" customHeight="1">
      <c r="A40" s="13" t="inlineStr">
        <is>
          <t>Collective Arts</t>
        </is>
      </c>
      <c r="B40" s="13" t="inlineStr">
        <is>
          <t>2013; Hamilton</t>
        </is>
      </c>
      <c r="C40" s="13" t="inlineStr">
        <is>
          <t>Craft + non-alc/wellness</t>
        </is>
      </c>
      <c r="D40" s="13" t="inlineStr">
        <is>
          <t>National</t>
        </is>
      </c>
      <c r="E40" s="13" t="inlineStr">
        <is>
          <t>Independent</t>
        </is>
      </c>
      <c r="F40" s="13" t="inlineStr">
        <is>
          <t>Active</t>
        </is>
      </c>
    </row>
    <row r="41" ht="24" customHeight="1">
      <c r="A41" s="15" t="inlineStr">
        <is>
          <t>Flow</t>
        </is>
      </c>
      <c r="B41" s="15" t="inlineStr">
        <is>
          <t>2015; Reichenbach</t>
        </is>
      </c>
      <c r="C41" s="15" t="inlineStr">
        <is>
          <t>Alkaline spring water</t>
        </is>
      </c>
      <c r="D41" s="15" t="inlineStr">
        <is>
          <t>~46k stores NA</t>
        </is>
      </c>
      <c r="E41" s="15" t="inlineStr">
        <is>
          <t>TSX; ~C$30M</t>
        </is>
      </c>
      <c r="F41" s="15" t="inlineStr">
        <is>
          <t>Active (pressured)</t>
        </is>
      </c>
    </row>
    <row r="42" ht="24" customHeight="1">
      <c r="A42" s="13" t="inlineStr">
        <is>
          <t>Partake</t>
        </is>
      </c>
      <c r="B42" s="13" t="inlineStr">
        <is>
          <t>2017; Fleming</t>
        </is>
      </c>
      <c r="C42" s="13" t="inlineStr">
        <is>
          <t>Non-alc beer; Hop Twist (2025)</t>
        </is>
      </c>
      <c r="D42" s="13" t="inlineStr">
        <is>
          <t>National</t>
        </is>
      </c>
      <c r="E42" s="13" t="inlineStr">
        <is>
          <t>Kickstarter origin</t>
        </is>
      </c>
      <c r="F42" s="13" t="inlineStr">
        <is>
          <t>Active</t>
        </is>
      </c>
    </row>
    <row r="43" ht="24" customHeight="1">
      <c r="A43" s="15" t="inlineStr">
        <is>
          <t>Rise Kombucha</t>
        </is>
      </c>
      <c r="B43" s="15" t="inlineStr">
        <is>
          <t>2008; Montreal</t>
        </is>
      </c>
      <c r="C43" s="15" t="inlineStr">
        <is>
          <t>Leading CA kombucha; Better Soda</t>
        </is>
      </c>
      <c r="D43" s="15" t="inlineStr">
        <is>
          <t>National</t>
        </is>
      </c>
      <c r="E43" s="15" t="inlineStr">
        <is>
          <t>Buddha Brands</t>
        </is>
      </c>
      <c r="F43" s="15" t="inlineStr">
        <is>
          <t>Active</t>
        </is>
      </c>
    </row>
    <row r="44" ht="24" customHeight="1">
      <c r="A44" s="13" t="inlineStr">
        <is>
          <t>BioSteel</t>
        </is>
      </c>
      <c r="B44" s="13" t="inlineStr">
        <is>
          <t>Toronto</t>
        </is>
      </c>
      <c r="C44" s="13" t="inlineStr">
        <is>
          <t>Sports hydration; NHL halo</t>
        </is>
      </c>
      <c r="D44" s="13" t="inlineStr">
        <is>
          <t>Omnichannel</t>
        </is>
      </c>
      <c r="E44" s="13" t="inlineStr">
        <is>
          <t>Canopy→bankrupt 2023→Coachwood</t>
        </is>
      </c>
      <c r="F44" s="13" t="inlineStr">
        <is>
          <t>Revived</t>
        </is>
      </c>
    </row>
    <row r="45" ht="44" customHeight="1">
      <c r="A45" s="62" t="inlineStr">
        <is>
          <t>VERIFICATION: “GoodSip/Rad/Local/Botaniste” could not be verified and were dropped (replace w/ Loop Mission/Crazy D's/Cove Soda). Waterloo = Flexis-led (2020), NOT KDP. “Halo” is a supplement, not an RTD. Re-verify FLAG funding figures before circulation.</t>
        </is>
      </c>
    </row>
  </sheetData>
  <mergeCells count="9">
    <mergeCell ref="A38:F38"/>
    <mergeCell ref="A2:F2"/>
    <mergeCell ref="A19:F19"/>
    <mergeCell ref="A1:F1"/>
    <mergeCell ref="A45:F45"/>
    <mergeCell ref="A31:F31"/>
    <mergeCell ref="A12:F12"/>
    <mergeCell ref="A4:F4"/>
    <mergeCell ref="A26:F26"/>
  </mergeCells>
  <hyperlinks>
    <hyperlink xmlns:r="http://schemas.openxmlformats.org/officeDocument/2006/relationships" ref="I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18" customWidth="1" min="4" max="4"/>
    <col width="38" customWidth="1" min="5" max="5"/>
  </cols>
  <sheetData>
    <row r="1" ht="28" customHeight="1">
      <c r="A1" s="1" t="inlineStr">
        <is>
          <t>Channel &amp; Retail Strategy</t>
        </is>
      </c>
      <c r="H1" s="10" t="inlineStr">
        <is>
          <t>🏠 Home</t>
        </is>
      </c>
    </row>
    <row r="2" ht="20" customHeight="1">
      <c r="A2" s="19" t="inlineStr">
        <is>
          <t>Where they launched, why, and how they sequenced expansion</t>
        </is>
      </c>
    </row>
    <row r="3"/>
    <row r="4">
      <c r="A4" s="11" t="inlineStr">
        <is>
          <t>Brand</t>
        </is>
      </c>
      <c r="B4" s="11" t="inlineStr">
        <is>
          <t>Launch channel (why)</t>
        </is>
      </c>
      <c r="C4" s="11" t="inlineStr">
        <is>
          <t>Expansion sequence</t>
        </is>
      </c>
      <c r="D4" s="11" t="inlineStr">
        <is>
          <t>Reach today</t>
        </is>
      </c>
      <c r="E4" s="11" t="inlineStr">
        <is>
          <t>Canada presence</t>
        </is>
      </c>
    </row>
    <row r="5" ht="74" customHeight="1">
      <c r="A5" s="13" t="inlineStr">
        <is>
          <t>Poppi</t>
        </is>
      </c>
      <c r="B5" s="13" t="inlineStr">
        <is>
          <t>Dallas farmers market; Whole Foods buyer found it in ~3 weeks</t>
        </is>
      </c>
      <c r="C5" s="13" t="inlineStr">
        <is>
          <t>Farmers mkt→Whole Foods→DTC/Amazon(#1 soda 2023)→grocery→mass/club</t>
        </is>
      </c>
      <c r="D5" s="13" t="inlineStr">
        <is>
          <t>~36k US, 120+ retailers</t>
        </is>
      </c>
      <c r="E5" s="13" t="inlineStr">
        <is>
          <t>Aug 2024: Loblaws, Metro, Save-On, Costco, Sobeys, Well.ca</t>
        </is>
      </c>
    </row>
    <row r="6" ht="74" customHeight="1">
      <c r="A6" s="15" t="inlineStr">
        <is>
          <t>OLIPOP</t>
        </is>
      </c>
      <c r="B6" s="15" t="inlineStr">
        <is>
          <t>40 NorCal indie grocers (Oct 2019)</t>
        </is>
      </c>
      <c r="C6" s="15" t="inlineStr">
        <is>
          <t>Indie→Sprouts/WF→Kroger/Safeway→Target/Walmart/Costco; 4,500 by Nov 2020</t>
        </is>
      </c>
      <c r="D6" s="15" t="inlineStr">
        <is>
          <t>~35k US</t>
        </is>
      </c>
      <c r="E6" s="15" t="inlineStr">
        <is>
          <t>Thin official; NevrAsk distributor; Amazon.ca, Natura</t>
        </is>
      </c>
    </row>
    <row r="7" ht="74" customHeight="1">
      <c r="A7" s="13" t="inlineStr">
        <is>
          <t>LMNT</t>
        </is>
      </c>
      <c r="B7" s="13" t="inlineStr">
        <is>
          <t>DTC + podcast — owned customer day one</t>
        </is>
      </c>
      <c r="C7" s="13" t="inlineStr">
        <is>
          <t>DTC/sub→Amazon→select retail + Sparkling can</t>
        </is>
      </c>
      <c r="D7" s="13" t="inlineStr">
        <is>
          <t>DTC-led + Amazon</t>
        </is>
      </c>
      <c r="E7" s="13" t="inlineStr">
        <is>
          <t>Ships to Canada from site</t>
        </is>
      </c>
    </row>
    <row r="8" ht="74" customHeight="1">
      <c r="A8" s="15" t="inlineStr">
        <is>
          <t>Liquid I.V.</t>
        </is>
      </c>
      <c r="B8" s="15" t="inlineStr">
        <is>
          <t>Whole Foods sampling → 12 WF by 2015; then Costco</t>
        </is>
      </c>
      <c r="C8" s="15" t="inlineStr">
        <is>
          <t>WF→Costco national (2019, ~516 whs)→broad; 30k→80k</t>
        </is>
      </c>
      <c r="D8" s="15" t="inlineStr">
        <is>
          <t>80k US</t>
        </is>
      </c>
      <c r="E8" s="15" t="inlineStr">
        <is>
          <t>Costco Canada FIRST (2023); Amazon.ca, Walmart, Loblaws</t>
        </is>
      </c>
    </row>
    <row r="9" ht="74" customHeight="1">
      <c r="A9" s="13" t="inlineStr">
        <is>
          <t>Nuun</t>
        </is>
      </c>
      <c r="B9" s="13" t="inlineStr">
        <is>
          <t>Cycling/endurance specialty (2004)</t>
        </is>
      </c>
      <c r="C9" s="13" t="inlineStr">
        <is>
          <t>Run/bike→REI/WF→broad grocery/mass</t>
        </is>
      </c>
      <c r="D9" s="13" t="inlineStr">
        <is>
          <t>Broad; #1 run/bike/outdoor</t>
        </is>
      </c>
      <c r="E9" s="13" t="inlineStr">
        <is>
          <t>Canadian retailers page</t>
        </is>
      </c>
    </row>
    <row r="10" ht="74" customHeight="1">
      <c r="A10" s="15" t="inlineStr">
        <is>
          <t>Celsius</t>
        </is>
      </c>
      <c r="B10" s="15" t="inlineStr">
        <is>
          <t>Amazon + gym/fitness influencers</t>
        </is>
      </c>
      <c r="C10" s="15" t="inlineStr">
        <is>
          <t>Amazon→Target DSD→100k doors→PepsiCo distribution</t>
        </is>
      </c>
      <c r="D10" s="15" t="inlineStr">
        <is>
          <t>100k+ doors</t>
        </is>
      </c>
      <c r="E10" s="15" t="inlineStr">
        <is>
          <t>Jan 2024 via PepsiCo</t>
        </is>
      </c>
    </row>
    <row r="11" ht="74" customHeight="1">
      <c r="A11" s="13" t="inlineStr">
        <is>
          <t>Vital Proteins Sparkling</t>
        </is>
      </c>
      <c r="B11" s="13" t="inlineStr">
        <is>
          <t>Mass retail (Nestlé muscle) — skipped indie</t>
        </is>
      </c>
      <c r="C11" s="13" t="inlineStr">
        <is>
          <t>Big-brand mass launch</t>
        </is>
      </c>
      <c r="D11" s="13" t="inlineStr">
        <is>
          <t>Mass</t>
        </is>
      </c>
      <c r="E11" s="13" t="inlineStr">
        <is>
          <t>Not yet verified at CA retail</t>
        </is>
      </c>
    </row>
    <row r="12" ht="40" customHeight="1">
      <c r="A12" s="6" t="inlineStr">
        <is>
          <t>READ-ACROSS: Costco Canada + Amazon.ca + natural channel is the proven Canadian beachhead (Liquid I.V., Poppi). Organika already holds those relationships — a structural head-start.</t>
        </is>
      </c>
    </row>
  </sheetData>
  <mergeCells count="3">
    <mergeCell ref="A2:E2"/>
    <mergeCell ref="A1:E1"/>
    <mergeCell ref="A12:E12"/>
  </mergeCells>
  <hyperlinks>
    <hyperlink xmlns:r="http://schemas.openxmlformats.org/officeDocument/2006/relationships" ref="H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G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8" customWidth="1" min="2" max="2"/>
    <col width="22" customWidth="1" min="3" max="3"/>
  </cols>
  <sheetData>
    <row r="1" ht="28" customHeight="1">
      <c r="A1" s="1" t="inlineStr">
        <is>
          <t>Channel Economics &amp; Margin Waterfall</t>
        </is>
      </c>
      <c r="G1" s="10" t="inlineStr">
        <is>
          <t>🏠 Home</t>
        </is>
      </c>
    </row>
    <row r="2" ht="20" customHeight="1">
      <c r="A2" s="19" t="inlineStr">
        <is>
          <t>Only Amazon fees, Costco margin &amp; DTC CAC are HARD; the rest are operator rules-of-thumb</t>
        </is>
      </c>
    </row>
    <row r="3"/>
    <row r="4">
      <c r="A4" s="17" t="inlineStr">
        <is>
          <t>MARGIN WATERFALL — canned functional beverage</t>
        </is>
      </c>
    </row>
    <row r="5">
      <c r="A5" s="11" t="inlineStr">
        <is>
          <t>Line</t>
        </is>
      </c>
      <c r="B5" s="11" t="inlineStr">
        <is>
          <t>Typical value</t>
        </is>
      </c>
      <c r="C5" s="11" t="inlineStr">
        <is>
          <t>Tag</t>
        </is>
      </c>
    </row>
    <row r="6" ht="22" customHeight="1">
      <c r="A6" s="13" t="inlineStr">
        <is>
          <t>Unit COGS target</t>
        </is>
      </c>
      <c r="B6" s="13" t="inlineStr">
        <is>
          <t>&lt; $1.00/unit at scale</t>
        </is>
      </c>
      <c r="C6" s="13" t="inlineStr">
        <is>
          <t>RULE OF THUMB</t>
        </is>
      </c>
    </row>
    <row r="7" ht="22" customHeight="1">
      <c r="A7" s="15" t="inlineStr">
        <is>
          <t>Blended gross margin (early)</t>
        </is>
      </c>
      <c r="B7" s="15" t="inlineStr">
        <is>
          <t>40–50%; 50–65% aspiration</t>
        </is>
      </c>
      <c r="C7" s="15" t="inlineStr">
        <is>
          <t>RULE OF THUMB</t>
        </is>
      </c>
    </row>
    <row r="8" ht="22" customHeight="1">
      <c r="A8" s="13" t="inlineStr">
        <is>
          <t>GM by channel</t>
        </is>
      </c>
      <c r="B8" s="13" t="inlineStr">
        <is>
          <t>Retail ~35–45%; DTC ~40–50% (pre CAC/freight)</t>
        </is>
      </c>
      <c r="C8" s="13" t="inlineStr">
        <is>
          <t>RULE OF THUMB</t>
        </is>
      </c>
    </row>
    <row r="9" ht="22" customHeight="1">
      <c r="A9" s="15" t="inlineStr">
        <is>
          <t>COGS warning</t>
        </is>
      </c>
      <c r="B9" s="15" t="inlineStr">
        <is>
          <t>Excluding freight/duty/co-pack overstates GM 3–8 pts</t>
        </is>
      </c>
      <c r="C9" s="15" t="inlineStr">
        <is>
          <t>RULE OF THUMB</t>
        </is>
      </c>
    </row>
    <row r="10">
      <c r="A10" s="17" t="inlineStr">
        <is>
          <t>CHANNEL TAKE-RATES &amp; FEES</t>
        </is>
      </c>
    </row>
    <row r="11">
      <c r="A11" s="11" t="inlineStr">
        <is>
          <t>Channel / cost</t>
        </is>
      </c>
      <c r="B11" s="11" t="inlineStr">
        <is>
          <t>Take / value</t>
        </is>
      </c>
      <c r="C11" s="11" t="inlineStr">
        <is>
          <t>Tag</t>
        </is>
      </c>
    </row>
    <row r="12" ht="24" customHeight="1">
      <c r="A12" s="13" t="inlineStr">
        <is>
          <t>Club (Costco)</t>
        </is>
      </c>
      <c r="B12" s="13" t="inlineStr">
        <is>
          <t>Max 14% markup; FY24 actual GM 10.92% — volume not margin</t>
        </is>
      </c>
      <c r="C12" s="13" t="inlineStr">
        <is>
          <t>HARD</t>
        </is>
      </c>
    </row>
    <row r="13" ht="24" customHeight="1">
      <c r="A13" s="15" t="inlineStr">
        <is>
          <t>Distributor (UNFI/KeHE)</t>
        </is>
      </c>
      <c r="B13" s="15" t="inlineStr">
        <is>
          <t>15–25%; UNFI avg ~13–14%</t>
        </is>
      </c>
      <c r="C13" s="15" t="inlineStr">
        <is>
          <t>HARD-ish</t>
        </is>
      </c>
    </row>
    <row r="14" ht="24" customHeight="1">
      <c r="A14" s="13" t="inlineStr">
        <is>
          <t>Amazon</t>
        </is>
      </c>
      <c r="B14" s="13" t="inlineStr">
        <is>
          <t>8–45% referral (most 15%) + FBA $3.73–$6.97/unit</t>
        </is>
      </c>
      <c r="C14" s="13" t="inlineStr">
        <is>
          <t>HARD (published)</t>
        </is>
      </c>
    </row>
    <row r="15" ht="24" customHeight="1">
      <c r="A15" s="15" t="inlineStr">
        <is>
          <t>DTC CAC (food &amp; bev)</t>
        </is>
      </c>
      <c r="B15" s="15" t="inlineStr">
        <is>
          <t>~$45–$53; shipping $8–15/order</t>
        </is>
      </c>
      <c r="C15" s="15" t="inlineStr">
        <is>
          <t>HARD (benchmark)</t>
        </is>
      </c>
    </row>
    <row r="16" ht="24" customHeight="1">
      <c r="A16" s="13" t="inlineStr">
        <is>
          <t>Slotting</t>
        </is>
      </c>
      <c r="B16" s="13" t="inlineStr">
        <is>
          <t>$250→$250,000 by scope; ~$25k/item cluster</t>
        </is>
      </c>
      <c r="C16" s="13" t="inlineStr">
        <is>
          <t>RULE OF THUMB</t>
        </is>
      </c>
    </row>
    <row r="17" ht="24" customHeight="1">
      <c r="A17" s="15" t="inlineStr">
        <is>
          <t>Trade spend % of revenue</t>
        </is>
      </c>
      <c r="B17" s="15" t="inlineStr">
        <is>
          <t>10–20% (high end for emerging); #2 P&amp;L line</t>
        </is>
      </c>
      <c r="C17" s="15" t="inlineStr">
        <is>
          <t>HARD (aggregate)</t>
        </is>
      </c>
    </row>
    <row r="18" ht="24" customHeight="1">
      <c r="A18" s="13" t="inlineStr">
        <is>
          <t>LMNT subscription model</t>
        </is>
      </c>
      <c r="B18" s="13" t="inlineStr">
        <is>
          <t>$200M+ rev 2023, ~20% net, 250k+ customers; free-sample funnel</t>
        </is>
      </c>
      <c r="C18" s="13" t="inlineStr">
        <is>
          <t>HARD (company/SEC)</t>
        </is>
      </c>
    </row>
    <row r="19">
      <c r="A19" s="91" t="inlineStr">
        <is>
          <t>CANADA COST STACK (additive)</t>
        </is>
      </c>
    </row>
    <row r="20">
      <c r="A20" s="11" t="inlineStr">
        <is>
          <t>Item</t>
        </is>
      </c>
      <c r="B20" s="11" t="inlineStr">
        <is>
          <t>Value</t>
        </is>
      </c>
      <c r="C20" s="11" t="inlineStr">
        <is>
          <t>Tag</t>
        </is>
      </c>
    </row>
    <row r="21" ht="26" customHeight="1">
      <c r="A21" s="13" t="inlineStr">
        <is>
          <t>Grocery concentration</t>
        </is>
      </c>
      <c r="B21" s="13" t="inlineStr">
        <is>
          <t>Loblaw+Sobeys+Metro ≈80% w/ Walmart+Costco; Grocery Code of Conduct (Jan 2025)</t>
        </is>
      </c>
      <c r="C21" s="13" t="inlineStr">
        <is>
          <t>HARD</t>
        </is>
      </c>
    </row>
    <row r="22" ht="26" customHeight="1">
      <c r="A22" s="15" t="inlineStr">
        <is>
          <t>Listing/slotting fees</t>
        </is>
      </c>
      <c r="B22" s="15" t="inlineStr">
        <is>
          <t>Not publicly disclosed; model at ≥ US slotting</t>
        </is>
      </c>
      <c r="C22" s="15" t="inlineStr">
        <is>
          <t>No public $</t>
        </is>
      </c>
    </row>
    <row r="23" ht="26" customHeight="1">
      <c r="A23" s="13" t="inlineStr">
        <is>
          <t>Bilingual packaging</t>
        </is>
      </c>
      <c r="B23" s="13" t="inlineStr">
        <is>
          <t>EN+FR mandatory; fines up to $20k; Bill 96</t>
        </is>
      </c>
      <c r="C23" s="13" t="inlineStr">
        <is>
          <t>HARD (reg.)</t>
        </is>
      </c>
    </row>
    <row r="24" ht="26" customHeight="1">
      <c r="A24" s="15" t="inlineStr">
        <is>
          <t>Distributors (CA)</t>
        </is>
      </c>
      <c r="B24" s="15" t="inlineStr">
        <is>
          <t>UNFI Canada, Tree of Life, Purity Life, Ecotrend</t>
        </is>
      </c>
      <c r="C24" s="15" t="inlineStr">
        <is>
          <t>HARD</t>
        </is>
      </c>
    </row>
    <row r="25" ht="26" customHeight="1">
      <c r="A25" s="13" t="inlineStr">
        <is>
          <t>Freight/FX/duty</t>
        </is>
      </c>
      <c r="B25" s="13" t="inlineStr">
        <is>
          <t>FX + cross-border freight + duty; local co-pack is the margin fix</t>
        </is>
      </c>
      <c r="C25" s="13" t="inlineStr">
        <is>
          <t>Qualitative</t>
        </is>
      </c>
    </row>
    <row r="26" ht="36" customHeight="1">
      <c r="A26" s="62" t="inlineStr">
        <is>
          <t>DTC-for-beverage reality: heavy to ship, low online AOV, CAC can exceed contribution. Survivable DTC model (LMNT) is subscription + free-sample + asset-light profitability — not paid-media scale.</t>
        </is>
      </c>
    </row>
  </sheetData>
  <mergeCells count="6">
    <mergeCell ref="A1:D1"/>
    <mergeCell ref="A4:D4"/>
    <mergeCell ref="A26:D26"/>
    <mergeCell ref="A19:D19"/>
    <mergeCell ref="A2:D2"/>
    <mergeCell ref="A10:D10"/>
  </mergeCells>
  <hyperlinks>
    <hyperlink xmlns:r="http://schemas.openxmlformats.org/officeDocument/2006/relationships" ref="G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1" t="inlineStr">
        <is>
          <t>Formulation &amp; Positioning — the claim that won</t>
        </is>
      </c>
      <c r="H1" s="10" t="inlineStr">
        <is>
          <t>🏠 Home</t>
        </is>
      </c>
    </row>
    <row r="2"/>
    <row r="3">
      <c r="A3" s="11" t="inlineStr">
        <is>
          <t>Brand</t>
        </is>
      </c>
      <c r="B3" s="11" t="inlineStr">
        <is>
          <t>Winning claim</t>
        </is>
      </c>
      <c r="C3" s="11" t="inlineStr">
        <is>
          <t>Hero ingredient &amp; spec</t>
        </is>
      </c>
      <c r="D3" s="11" t="inlineStr">
        <is>
          <t>Positioning evolution</t>
        </is>
      </c>
      <c r="E3" s="11" t="inlineStr">
        <is>
          <t>Claim risk</t>
        </is>
      </c>
    </row>
    <row r="4" ht="50" customHeight="1">
      <c r="A4" s="13" t="inlineStr">
        <is>
          <t>Poppi</t>
        </is>
      </c>
      <c r="B4" s="13" t="inlineStr">
        <is>
          <t>Prebiotic soda you drink daily</t>
        </is>
      </c>
      <c r="C4" s="13" t="inlineStr">
        <is>
          <t>Prebiotic fibre + ACV; ~2g fibre</t>
        </is>
      </c>
      <c r="D4" s="13" t="inlineStr">
        <is>
          <t>ACV tonic → 2020 bright prebiotic soda</t>
        </is>
      </c>
      <c r="E4" s="13" t="inlineStr">
        <is>
          <t>$8.9M settlement — 2g fibre too little</t>
        </is>
      </c>
    </row>
    <row r="5" ht="50" customHeight="1">
      <c r="A5" s="15" t="inlineStr">
        <is>
          <t>OLIPOP</t>
        </is>
      </c>
      <c r="B5" s="15" t="inlineStr">
        <is>
          <t>Serious fibre for gut health</t>
        </is>
      </c>
      <c r="C5" s="15" t="inlineStr">
        <is>
          <t>Up to 9g fibre + botanicals</t>
        </is>
      </c>
      <c r="D5" s="15" t="inlineStr">
        <is>
          <t>Stable since launch; ~4× Poppi fibre</t>
        </is>
      </c>
      <c r="E5" s="15" t="inlineStr">
        <is>
          <t>Stronger substantiation; no suit found</t>
        </is>
      </c>
    </row>
    <row r="6" ht="50" customHeight="1">
      <c r="A6" s="13" t="inlineStr">
        <is>
          <t>LMNT</t>
        </is>
      </c>
      <c r="B6" s="13" t="inlineStr">
        <is>
          <t>Zero-sugar, high-sodium</t>
        </is>
      </c>
      <c r="C6" s="13" t="inlineStr">
        <is>
          <t>1,000mg sodium, 0g sugar</t>
        </is>
      </c>
      <c r="D6" s="13" t="inlineStr">
        <is>
          <t>Salt-first, science-forward</t>
        </is>
      </c>
      <c r="E6" s="13" t="inlineStr">
        <is>
          <t>Sodium is the polarizing hook</t>
        </is>
      </c>
    </row>
    <row r="7" ht="50" customHeight="1">
      <c r="A7" s="15" t="inlineStr">
        <is>
          <t>Liquid I.V.</t>
        </is>
      </c>
      <c r="B7" s="15" t="inlineStr">
        <is>
          <t>Hydration Multiplier 2–3×</t>
        </is>
      </c>
      <c r="C7" s="15" t="inlineStr">
        <is>
          <t>CTT; 500mg sodium, 11g carbs</t>
        </is>
      </c>
      <c r="D7" s="15" t="inlineStr">
        <is>
          <t>Added sugar-free line later</t>
        </is>
      </c>
      <c r="E7" s="15" t="inlineStr">
        <is>
          <t>CTT is marketing-led; sugar a vulnerability</t>
        </is>
      </c>
    </row>
    <row r="8" ht="50" customHeight="1">
      <c r="A8" s="13" t="inlineStr">
        <is>
          <t>Nuun</t>
        </is>
      </c>
      <c r="B8" s="13" t="inlineStr">
        <is>
          <t>Carb-free effervescent</t>
        </is>
      </c>
      <c r="C8" s="13" t="inlineStr">
        <is>
          <t>300mg sodium, 1g sugar, stevia</t>
        </is>
      </c>
      <c r="D8" s="13" t="inlineStr">
        <is>
          <t>Endurance → added powders</t>
        </is>
      </c>
      <c r="E8" s="13" t="inlineStr">
        <is>
          <t>Clean low-sugar story</t>
        </is>
      </c>
    </row>
    <row r="9" ht="50" customHeight="1">
      <c r="A9" s="15" t="inlineStr">
        <is>
          <t>Vital Proteins Sparkling</t>
        </is>
      </c>
      <c r="B9" s="15" t="inlineStr">
        <is>
          <t>Beauty + clinical collagen at mass price</t>
        </is>
      </c>
      <c r="C9" s="15" t="inlineStr">
        <is>
          <t>VERISOL collagen + Vit C; 0g sugar</t>
        </is>
      </c>
      <c r="D9" s="15" t="inlineStr">
        <is>
          <t>Extends #1 collagen powder</t>
        </is>
      </c>
      <c r="E9" s="15" t="inlineStr">
        <is>
          <t>2025 meta-analysis: no proven skin benefit</t>
        </is>
      </c>
    </row>
    <row r="10" ht="50" customHeight="1">
      <c r="A10" s="13" t="inlineStr">
        <is>
          <t>Recess</t>
        </is>
      </c>
      <c r="B10" s="13" t="inlineStr">
        <is>
          <t>Relaxation — sell the benefit</t>
        </is>
      </c>
      <c r="C10" s="13" t="inlineStr">
        <is>
          <t>Magnesium L-threonate + adaptogens</t>
        </is>
      </c>
      <c r="D10" s="13" t="inlineStr">
        <is>
          <t>Pivoted CBD→relaxation</t>
        </is>
      </c>
      <c r="E10" s="13" t="inlineStr">
        <is>
          <t>KEY LESSON: lead with felt benefit</t>
        </is>
      </c>
    </row>
    <row r="11" ht="44" customHeight="1">
      <c r="A11" s="6" t="inlineStr">
        <is>
          <t>READ-ACROSS for MÜV: collagen-as-hero has a graveyard + a 2025 no-benefit meta-analysis. Lead with gut+hydration function + a credible collagen dose under the “Canada's #1 collagen brand” halo — not narrow beauty-from-within.</t>
        </is>
      </c>
    </row>
  </sheetData>
  <mergeCells count="2">
    <mergeCell ref="A11:E11"/>
    <mergeCell ref="A1:E1"/>
  </mergeCells>
  <hyperlinks>
    <hyperlink xmlns:r="http://schemas.openxmlformats.org/officeDocument/2006/relationships" ref="H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G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40" customWidth="1" min="4" max="4"/>
  </cols>
  <sheetData>
    <row r="1" ht="28" customHeight="1">
      <c r="A1" s="1" t="inlineStr">
        <is>
          <t>Marketing &amp; Brand Build — the virality engine</t>
        </is>
      </c>
      <c r="G1" s="10" t="inlineStr">
        <is>
          <t>🏠 Home</t>
        </is>
      </c>
    </row>
    <row r="2"/>
    <row r="3">
      <c r="A3" s="11" t="inlineStr">
        <is>
          <t>Brand</t>
        </is>
      </c>
      <c r="B3" s="11" t="inlineStr">
        <is>
          <t>Founder story</t>
        </is>
      </c>
      <c r="C3" s="11" t="inlineStr">
        <is>
          <t>Growth engine</t>
        </is>
      </c>
      <c r="D3" s="11" t="inlineStr">
        <is>
          <t>What moved the needle</t>
        </is>
      </c>
    </row>
    <row r="4" ht="46" customHeight="1">
      <c r="A4" s="13" t="inlineStr">
        <is>
          <t>Poppi</t>
        </is>
      </c>
      <c r="B4" s="13" t="inlineStr">
        <is>
          <t>Ellsworths; Shark Tank 2018 ($400k/25%, Oza)</t>
        </is>
      </c>
      <c r="C4" s="13" t="inlineStr">
        <is>
          <t>TikTok creator seeding + 2 Super Bowls</t>
        </is>
      </c>
      <c r="D4" s="13" t="inlineStr">
        <is>
          <t>Pink aesthetic, Alix Earle/Emily Mariko; vending stunt (2025, mixed)</t>
        </is>
      </c>
    </row>
    <row r="5" ht="46" customHeight="1">
      <c r="A5" s="15" t="inlineStr">
        <is>
          <t>OLIPOP</t>
        </is>
      </c>
      <c r="B5" s="15" t="inlineStr">
        <is>
          <t>Goodwin (ex-Obi) &amp; Lester; $100k from Obi</t>
        </is>
      </c>
      <c r="C5" s="15" t="inlineStr">
        <is>
          <t>DTC repurchase + reactive social</t>
        </is>
      </c>
      <c r="D5" s="15" t="inlineStr">
        <is>
          <t>“Soda Stories”; needled Poppi's SB spend — earned media</t>
        </is>
      </c>
    </row>
    <row r="6" ht="46" customHeight="1">
      <c r="A6" s="13" t="inlineStr">
        <is>
          <t>LMNT</t>
        </is>
      </c>
      <c r="B6" s="13" t="inlineStr">
        <is>
          <t>Wolf (biochemist) + Ketogains</t>
        </is>
      </c>
      <c r="C6" s="13" t="inlineStr">
        <is>
          <t>Podcast-sponsorship moat (Huberman, Attia)</t>
        </is>
      </c>
      <c r="D6" s="13" t="inlineStr">
        <is>
          <t>Host-read trust + free-sample funnel; $54.6M mktg 2023</t>
        </is>
      </c>
    </row>
    <row r="7" ht="46" customHeight="1">
      <c r="A7" s="15" t="inlineStr">
        <is>
          <t>Liquid I.V.</t>
        </is>
      </c>
      <c r="B7" s="15" t="inlineStr">
        <is>
          <t>Cohen, college brainchild</t>
        </is>
      </c>
      <c r="C7" s="15" t="inlineStr">
        <is>
          <t>Costco roadshow sampling + give-back</t>
        </is>
      </c>
      <c r="D7" s="15" t="inlineStr">
        <is>
          <t>Founder sampled weekly; POS-data sell-in; Emerson Group</t>
        </is>
      </c>
    </row>
    <row r="8" ht="46" customHeight="1">
      <c r="A8" s="13" t="inlineStr">
        <is>
          <t>Celsius</t>
        </is>
      </c>
      <c r="B8" s="13" t="inlineStr">
        <is>
          <t>Turnaround 2012; Li Ka-shing $15M</t>
        </is>
      </c>
      <c r="C8" s="13" t="inlineStr">
        <is>
          <t>Amazon + fitness influencers</t>
        </is>
      </c>
      <c r="D8" s="13" t="inlineStr">
        <is>
          <t>Amazon velocity→Target DSD→PepsiCo $550M</t>
        </is>
      </c>
    </row>
    <row r="9" ht="46" customHeight="1">
      <c r="A9" s="15" t="inlineStr">
        <is>
          <t>Recess</t>
        </is>
      </c>
      <c r="B9" s="15" t="inlineStr">
        <is>
          <t>Witte</t>
        </is>
      </c>
      <c r="C9" s="15" t="inlineStr">
        <is>
          <t>Pastel brand world + culture-tuned social</t>
        </is>
      </c>
      <c r="D9" s="15" t="inlineStr">
        <is>
          <t>Owned a vibe + the relaxation moment</t>
        </is>
      </c>
    </row>
    <row r="10" ht="40" customHeight="1">
      <c r="A10" s="6" t="inlineStr">
        <is>
          <t>READ-ACROSS: the two cheapest high-ROI challenger plays are LMNT's trusted-host podcast model and OLIPOP's reactive earned-media social — both winnable without Super Bowl budgets. Pair with Costco roadshow sampling.</t>
        </is>
      </c>
    </row>
  </sheetData>
  <mergeCells count="2">
    <mergeCell ref="A1:D1"/>
    <mergeCell ref="A10:D10"/>
  </mergeCells>
  <hyperlinks>
    <hyperlink xmlns:r="http://schemas.openxmlformats.org/officeDocument/2006/relationships" ref="G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Launch Playbook Teardowns — phased GTM timelines</t>
        </is>
      </c>
      <c r="H1" s="10" t="inlineStr">
        <is>
          <t>🏠 Home</t>
        </is>
      </c>
    </row>
    <row r="2"/>
    <row r="3">
      <c r="A3" s="11" t="inlineStr">
        <is>
          <t>Brand</t>
        </is>
      </c>
      <c r="B3" s="11" t="inlineStr">
        <is>
          <t>Phase 0 (pre-launch)</t>
        </is>
      </c>
      <c r="C3" s="11" t="inlineStr">
        <is>
          <t>Phase 1 (yr 0–1)</t>
        </is>
      </c>
      <c r="D3" s="11" t="inlineStr">
        <is>
          <t>Phase 2 (scale, yr 1–3)</t>
        </is>
      </c>
      <c r="E3" s="11" t="inlineStr">
        <is>
          <t>Phase 3 (maturity/exit)</t>
        </is>
      </c>
    </row>
    <row r="4" ht="80" customHeight="1">
      <c r="A4" s="13" t="inlineStr">
        <is>
          <t>Poppi</t>
        </is>
      </c>
      <c r="B4" s="13" t="inlineStr">
        <is>
          <t>2015–16 gut insight; ~$90k self-funded; glass bottles</t>
        </is>
      </c>
      <c r="C4" s="13" t="inlineStr">
        <is>
          <t>Farmers mkt→Whole Foods; Shark Tank 2018</t>
        </is>
      </c>
      <c r="D4" s="13" t="inlineStr">
        <is>
          <t>2020 rebrand to cans + national; TikTok seeding; #1 Amazon 2023</t>
        </is>
      </c>
      <c r="E4" s="13" t="inlineStr">
        <is>
          <t>2024 SB ad; &gt;$500M; PepsiCo $1.95B May 2025</t>
        </is>
      </c>
    </row>
    <row r="5" ht="80" customHeight="1">
      <c r="A5" s="15" t="inlineStr">
        <is>
          <t>OLIPOP</t>
        </is>
      </c>
      <c r="B5" s="15" t="inlineStr">
        <is>
          <t>Obi proceeds $100k; nostalgic-soda + fibre</t>
        </is>
      </c>
      <c r="C5" s="15" t="inlineStr">
        <is>
          <t>Late 2018: 40 NorCal grocers; ~$852k yr1</t>
        </is>
      </c>
      <c r="D5" s="15" t="inlineStr">
        <is>
          <t>“Astronomical repurchase” sell-in; $73.4M (2022); $39.7M Series B</t>
        </is>
      </c>
      <c r="E5" s="15" t="inlineStr">
        <is>
          <t>$400M+ (2024); 7,000 grocers; $1.85B INDEPENDENT</t>
        </is>
      </c>
    </row>
    <row r="6" ht="80" customHeight="1">
      <c r="A6" s="13" t="inlineStr">
        <is>
          <t>LMNT</t>
        </is>
      </c>
      <c r="B6" s="13" t="inlineStr">
        <is>
          <t>2018–19 keto-sodium insight; high-sodium formula</t>
        </is>
      </c>
      <c r="C6" s="13" t="inlineStr">
        <is>
          <t>Late 2019 DTC-only; free sample pay-shipping</t>
        </is>
      </c>
      <c r="D6" s="13" t="inlineStr">
        <is>
          <t>Podcast sponsorships; ~$50M run-rate Q1 2022</t>
        </is>
      </c>
      <c r="E6" s="13" t="inlineStr">
        <is>
          <t>$206M (2023 SEC); private; NO exit</t>
        </is>
      </c>
    </row>
    <row r="7" ht="80" customHeight="1">
      <c r="A7" s="15" t="inlineStr">
        <is>
          <t>Liquid I.V.</t>
        </is>
      </c>
      <c r="B7" s="15" t="inlineStr">
        <is>
          <t>2012 Pedialyte insight; WHO-ORS CTT</t>
        </is>
      </c>
      <c r="C7" s="15" t="inlineStr">
        <is>
          <t>WF Supplier 101; weekly sampling→12 WF 2015</t>
        </is>
      </c>
      <c r="D7" s="15" t="inlineStr">
        <is>
          <t>Costco roadshow; Emerson 2015; ~$100M in 5 yrs</t>
        </is>
      </c>
      <c r="E7" s="15" t="inlineStr">
        <is>
          <t>Unilever Sept 2020 (~$500M est.); 30k→80k</t>
        </is>
      </c>
    </row>
    <row r="8" ht="80" customHeight="1">
      <c r="A8" s="13" t="inlineStr">
        <is>
          <t>Celsius</t>
        </is>
      </c>
      <c r="B8" s="13" t="inlineStr">
        <is>
          <t>2004; near-bankruptcy ~2010 (over-marketing)</t>
        </is>
      </c>
      <c r="C8" s="13" t="inlineStr">
        <is>
          <t>Turnaround 2012; Li Ka-shing 2015; NASDAQ 2017</t>
        </is>
      </c>
      <c r="D8" s="13" t="inlineStr">
        <is>
          <t>Amazon ~15–20% (2020); Target DSD; 100k by 2021</t>
        </is>
      </c>
      <c r="E8" s="13" t="inlineStr">
        <is>
          <t>PepsiCo $550M (2022); bought Alani Nu $1.8B</t>
        </is>
      </c>
    </row>
    <row r="9" ht="28" customHeight="1">
      <c r="A9" s="62" t="inlineStr">
        <is>
          <t>DATE TRAP: Poppi's FIRST Super Bowl ad = 2024 (LVIII); the vending-machine controversy = 2025 (LIX). Many secondary sources conflate them.</t>
        </is>
      </c>
    </row>
  </sheetData>
  <mergeCells count="2">
    <mergeCell ref="A1:E1"/>
    <mergeCell ref="A9:E9"/>
  </mergeCells>
  <hyperlinks>
    <hyperlink xmlns:r="http://schemas.openxmlformats.org/officeDocument/2006/relationships" ref="H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E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 ht="28" customHeight="1">
      <c r="A1" s="1" t="inlineStr">
        <is>
          <t>Success Patterns &amp; Failure Modes</t>
        </is>
      </c>
      <c r="E1" s="10" t="inlineStr">
        <is>
          <t>🏠 Home</t>
        </is>
      </c>
    </row>
    <row r="2"/>
    <row r="3">
      <c r="A3" s="87" t="inlineStr">
        <is>
          <t>SEVEN SUCCESS PATTERNS</t>
        </is>
      </c>
    </row>
    <row r="4" ht="26" customHeight="1">
      <c r="A4" s="79" t="n">
        <v>1</v>
      </c>
      <c r="B4" s="92" t="inlineStr">
        <is>
          <t>Founder-authority insight tied to a personal health problem — cheap, durable brand moat.</t>
        </is>
      </c>
    </row>
    <row r="5" ht="26" customHeight="1">
      <c r="A5" s="79" t="n">
        <v>2</v>
      </c>
      <c r="B5" s="93" t="inlineStr">
        <is>
          <t>ONE concentrated trial tactic, executed obsessively, before broad spend.</t>
        </is>
      </c>
    </row>
    <row r="6" ht="26" customHeight="1">
      <c r="A6" s="79" t="n">
        <v>3</v>
      </c>
      <c r="B6" s="92" t="inlineStr">
        <is>
          <t>Sell-in on DATA (velocity/repurchase), not flavour — the single most repeated lever.</t>
        </is>
      </c>
    </row>
    <row r="7" ht="26" customHeight="1">
      <c r="A7" s="79" t="n">
        <v>4</v>
      </c>
      <c r="B7" s="93" t="inlineStr">
        <is>
          <t>Sequenced channel ladder — natural/DTC→specialty→grocery→mass→club; never skip rungs.</t>
        </is>
      </c>
    </row>
    <row r="8" ht="26" customHeight="1">
      <c r="A8" s="79" t="n">
        <v>5</v>
      </c>
      <c r="B8" s="92" t="inlineStr">
        <is>
          <t>Strategic-investor signal early (Oza, Li Ka-shing, celebrity rounds).</t>
        </is>
      </c>
    </row>
    <row r="9" ht="26" customHeight="1">
      <c r="A9" s="79" t="n">
        <v>6</v>
      </c>
      <c r="B9" s="93" t="inlineStr">
        <is>
          <t>Category-creation language to escape commodity comparison and hold a premium.</t>
        </is>
      </c>
    </row>
    <row r="10" ht="26" customHeight="1">
      <c r="A10" s="79" t="n">
        <v>7</v>
      </c>
      <c r="B10" s="92" t="inlineStr">
        <is>
          <t>Endgame split: strategic exit (Poppi/Liquid I.V./Celsius) vs independence (OLIPOP/LMNT).</t>
        </is>
      </c>
    </row>
    <row r="11"/>
    <row r="12">
      <c r="A12" s="94" t="inlineStr">
        <is>
          <t>SIX FAILURE MODES</t>
        </is>
      </c>
    </row>
    <row r="13" ht="26" customHeight="1">
      <c r="A13" s="79" t="n">
        <v>1</v>
      </c>
      <c r="B13" s="95" t="inlineStr">
        <is>
          <t>Over-distribution before PMF — Celsius's own ~2010 near-bankruptcy; BioSteel's &gt;$3 COGS per $1 rev → 2023 bankruptcy.</t>
        </is>
      </c>
    </row>
    <row r="14" ht="26" customHeight="1">
      <c r="A14" s="79" t="n">
        <v>2</v>
      </c>
      <c r="B14" s="93" t="inlineStr">
        <is>
          <t>Undercapitalized / capital-intensive DTC — ~90% of beverage startups failed historically.</t>
        </is>
      </c>
    </row>
    <row r="15" ht="26" customHeight="1">
      <c r="A15" s="79" t="n">
        <v>3</v>
      </c>
      <c r="B15" s="95" t="inlineStr">
        <is>
          <t>Premium price with no moat / thin claims — ~32% cite “too expensive”.</t>
        </is>
      </c>
    </row>
    <row r="16" ht="26" customHeight="1">
      <c r="A16" s="79" t="n">
        <v>4</v>
      </c>
      <c r="B16" s="93" t="inlineStr">
        <is>
          <t>Trial without retention — sampling wasted if repurchase is weak.</t>
        </is>
      </c>
    </row>
    <row r="17" ht="26" customHeight="1">
      <c r="A17" s="79" t="n">
        <v>5</v>
      </c>
      <c r="B17" s="95" t="inlineStr">
        <is>
          <t>Brand/tone missteps at scale — Poppi's 2025 vending stunt.</t>
        </is>
      </c>
    </row>
    <row r="18" ht="26" customHeight="1">
      <c r="A18" s="79" t="n">
        <v>6</v>
      </c>
      <c r="B18" s="93" t="inlineStr">
        <is>
          <t>Wrong timing / flavour failure — baseline reason ~85% of new CPG products fail in 2 yrs.</t>
        </is>
      </c>
    </row>
  </sheetData>
  <mergeCells count="3">
    <mergeCell ref="A3:B3"/>
    <mergeCell ref="A1:B1"/>
    <mergeCell ref="A12:B12"/>
  </mergeCells>
  <hyperlinks>
    <hyperlink xmlns:r="http://schemas.openxmlformats.org/officeDocument/2006/relationships" ref="E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I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32" customWidth="1" min="4" max="4"/>
    <col width="16" customWidth="1" min="5" max="5"/>
    <col width="18" customWidth="1" min="6" max="6"/>
  </cols>
  <sheetData>
    <row r="1" ht="28" customHeight="1">
      <c r="A1" s="1" t="inlineStr">
        <is>
          <t>Financial Outcomes &amp; M&amp;A Comps</t>
        </is>
      </c>
      <c r="I1" s="10" t="inlineStr">
        <is>
          <t>🏠 Home</t>
        </is>
      </c>
    </row>
    <row r="2"/>
    <row r="3">
      <c r="A3" s="11" t="inlineStr">
        <is>
          <t>Brand</t>
        </is>
      </c>
      <c r="B3" s="11" t="inlineStr">
        <is>
          <t>Revenue trajectory</t>
        </is>
      </c>
      <c r="C3" s="11" t="inlineStr">
        <is>
          <t>Funding / valuation</t>
        </is>
      </c>
      <c r="D3" s="11" t="inlineStr">
        <is>
          <t>Exit / status</t>
        </is>
      </c>
      <c r="E3" s="11" t="inlineStr">
        <is>
          <t>Category share</t>
        </is>
      </c>
      <c r="F3" s="11" t="inlineStr">
        <is>
          <t>Profitability</t>
        </is>
      </c>
    </row>
    <row r="4" ht="34" customHeight="1">
      <c r="A4" s="13" t="inlineStr">
        <is>
          <t>Poppi</t>
        </is>
      </c>
      <c r="B4" s="13" t="inlineStr">
        <is>
          <t>$13M(20)→$65M(22)→$100M+(23)→~$500M(24)</t>
        </is>
      </c>
      <c r="C4" s="13" t="inlineStr">
        <is>
          <t>VC-backed</t>
        </is>
      </c>
      <c r="D4" s="13" t="inlineStr">
        <is>
          <t>PepsiCo $1.95B (net ~$1.65B), May 2025</t>
        </is>
      </c>
      <c r="E4" s="13" t="inlineStr">
        <is>
          <t>~38% modern soda</t>
        </is>
      </c>
      <c r="F4" s="13" t="inlineStr">
        <is>
          <t>n/a</t>
        </is>
      </c>
    </row>
    <row r="5" ht="34" customHeight="1">
      <c r="A5" s="15" t="inlineStr">
        <is>
          <t>OLIPOP</t>
        </is>
      </c>
      <c r="B5" s="15" t="inlineStr">
        <is>
          <t>$852k(18)→$200M+(23)→$400M+(24)</t>
        </is>
      </c>
      <c r="C5" s="15" t="inlineStr">
        <is>
          <t>$50M Series C @ $1.85B (Feb 2025, JPM)</t>
        </is>
      </c>
      <c r="D5" s="15" t="inlineStr">
        <is>
          <t>Independent</t>
        </is>
      </c>
      <c r="E5" s="15" t="inlineStr">
        <is>
          <t>~32.7% modern soda</t>
        </is>
      </c>
      <c r="F5" s="15" t="inlineStr">
        <is>
          <t>Cash-profitable early 2024</t>
        </is>
      </c>
    </row>
    <row r="6" ht="34" customHeight="1">
      <c r="A6" s="13" t="inlineStr">
        <is>
          <t>LMNT</t>
        </is>
      </c>
      <c r="B6" s="13" t="inlineStr">
        <is>
          <t>$206M sales (2023, SEC)</t>
        </is>
      </c>
      <c r="C6" s="13" t="inlineStr">
        <is>
          <t>Reg CF</t>
        </is>
      </c>
      <c r="D6" s="13" t="inlineStr">
        <is>
          <t>Independent</t>
        </is>
      </c>
      <c r="E6" s="13" t="inlineStr">
        <is>
          <t>n/a</t>
        </is>
      </c>
      <c r="F6" s="13" t="inlineStr">
        <is>
          <t>~20% net margin (2023)</t>
        </is>
      </c>
    </row>
    <row r="7" ht="34" customHeight="1">
      <c r="A7" s="15" t="inlineStr">
        <is>
          <t>Liquid I.V.</t>
        </is>
      </c>
      <c r="B7" s="15" t="inlineStr">
        <is>
          <t>~$100M in 5y→~$200M exit→$1B+ now</t>
        </is>
      </c>
      <c r="C7" s="15" t="inlineStr">
        <is>
          <t>—</t>
        </is>
      </c>
      <c r="D7" s="15" t="inlineStr">
        <is>
          <t>Unilever Sept 2020 (~$500M est.)</t>
        </is>
      </c>
      <c r="E7" s="15" t="inlineStr">
        <is>
          <t>n/a</t>
        </is>
      </c>
      <c r="F7" s="15" t="inlineStr">
        <is>
          <t>Unilever +$80M MO plant</t>
        </is>
      </c>
    </row>
    <row r="8" ht="34" customHeight="1">
      <c r="A8" s="13" t="inlineStr">
        <is>
          <t>Nuun</t>
        </is>
      </c>
      <c r="B8" s="13" t="inlineStr">
        <is>
          <t>$10M+ (2013)</t>
        </is>
      </c>
      <c r="C8" s="13" t="inlineStr">
        <is>
          <t>TSG Consumer (2017)</t>
        </is>
      </c>
      <c r="D8" s="13" t="inlineStr">
        <is>
          <t>Nestlé HS July 2021</t>
        </is>
      </c>
      <c r="E8" s="13" t="inlineStr">
        <is>
          <t>#1 run/bike/outdoor</t>
        </is>
      </c>
      <c r="F8" s="13" t="inlineStr">
        <is>
          <t>n/a</t>
        </is>
      </c>
    </row>
    <row r="9" ht="34" customHeight="1">
      <c r="A9" s="15" t="inlineStr">
        <is>
          <t>Celsius</t>
        </is>
      </c>
      <c r="B9" s="15" t="inlineStr">
        <is>
          <t>multi-$B (public)</t>
        </is>
      </c>
      <c r="C9" s="15" t="inlineStr">
        <is>
          <t>Li Ka-shing $15M (2015)</t>
        </is>
      </c>
      <c r="D9" s="15" t="inlineStr">
        <is>
          <t>Public; PepsiCo $550M; bought Alani Nu $1.8B (closed Apr 1 2025, net $1.65B)</t>
        </is>
      </c>
      <c r="E9" s="15" t="inlineStr">
        <is>
          <t>~#3 US energy</t>
        </is>
      </c>
      <c r="F9" s="15" t="inlineStr">
        <is>
          <t>Profitable</t>
        </is>
      </c>
    </row>
    <row r="10" ht="34" customHeight="1">
      <c r="A10" s="13" t="inlineStr">
        <is>
          <t>Vital Proteins</t>
        </is>
      </c>
      <c r="B10" s="13" t="inlineStr">
        <is>
          <t>(in Nestlé HS)</t>
        </is>
      </c>
      <c r="C10" s="13" t="inlineStr">
        <is>
          <t>—</t>
        </is>
      </c>
      <c r="D10" s="13" t="inlineStr">
        <is>
          <t>Nestlé (full 2022)</t>
        </is>
      </c>
      <c r="E10" s="13" t="inlineStr">
        <is>
          <t>—</t>
        </is>
      </c>
      <c r="F10" s="13" t="inlineStr">
        <is>
          <t>—</t>
        </is>
      </c>
    </row>
    <row r="11" ht="44" customHeight="1">
      <c r="A11" s="6" t="inlineStr">
        <is>
          <t>M&amp;A READ: strategics own most winners — PepsiCo (Poppi, Celsius stake), Unilever (Liquid I.V., Olly), Nestlé (Vital Proteins, Nuun), KDP (Ghost). For a challenger the realistic endgame is acquisition — but Coke's organic Simply Pop shows incumbents may CLONE rather than buy. OLIPOP (independent, $1.85B) is the counter-example.</t>
        </is>
      </c>
    </row>
  </sheetData>
  <mergeCells count="2">
    <mergeCell ref="A11:F11"/>
    <mergeCell ref="A1:F1"/>
  </mergeCells>
  <hyperlinks>
    <hyperlink xmlns:r="http://schemas.openxmlformats.org/officeDocument/2006/relationships" ref="I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1" t="inlineStr">
        <is>
          <t>Per-Brand SWOT</t>
        </is>
      </c>
      <c r="H1" s="10" t="inlineStr">
        <is>
          <t>🏠 Home</t>
        </is>
      </c>
    </row>
    <row r="2"/>
    <row r="3">
      <c r="A3" s="11" t="inlineStr">
        <is>
          <t>Brand</t>
        </is>
      </c>
      <c r="B3" s="11" t="inlineStr">
        <is>
          <t>Strengths</t>
        </is>
      </c>
      <c r="C3" s="11" t="inlineStr">
        <is>
          <t>Weaknesses</t>
        </is>
      </c>
      <c r="D3" s="11" t="inlineStr">
        <is>
          <t>Opportunities</t>
        </is>
      </c>
      <c r="E3" s="11" t="inlineStr">
        <is>
          <t>Threats</t>
        </is>
      </c>
    </row>
    <row r="4" ht="56" customHeight="1">
      <c r="A4" s="13" t="inlineStr">
        <is>
          <t>Poppi</t>
        </is>
      </c>
      <c r="B4" s="13" t="inlineStr">
        <is>
          <t>Mass brand love, TikTok, PepsiCo distribution</t>
        </is>
      </c>
      <c r="C4" s="13" t="inlineStr">
        <is>
          <t>Thin fibre dose, claims litigation</t>
        </is>
      </c>
      <c r="D4" s="13" t="inlineStr">
        <is>
          <t>PepsiCo scale, intl</t>
        </is>
      </c>
      <c r="E4" s="13" t="inlineStr">
        <is>
          <t>Commoditization, Simply Pop, scrutiny</t>
        </is>
      </c>
    </row>
    <row r="5" ht="56" customHeight="1">
      <c r="A5" s="15" t="inlineStr">
        <is>
          <t>OLIPOP</t>
        </is>
      </c>
      <c r="B5" s="15" t="inlineStr">
        <is>
          <t>9g fibre moat, repeat rate, independence</t>
        </is>
      </c>
      <c r="C5" s="15" t="inlineStr">
        <is>
          <t>Premium price, single category</t>
        </is>
      </c>
      <c r="D5" s="15" t="inlineStr">
        <is>
          <t>Mass expansion, formats</t>
        </is>
      </c>
      <c r="E5" s="15" t="inlineStr">
        <is>
          <t>PepsiCo-backed Poppi, Coke, private label</t>
        </is>
      </c>
    </row>
    <row r="6" ht="56" customHeight="1">
      <c r="A6" s="13" t="inlineStr">
        <is>
          <t>LMNT</t>
        </is>
      </c>
      <c r="B6" s="13" t="inlineStr">
        <is>
          <t>Profitable, capital-light, podcast moat</t>
        </is>
      </c>
      <c r="C6" s="13" t="inlineStr">
        <is>
          <t>Polarizing sodium, niche, DTC-dependent</t>
        </is>
      </c>
      <c r="D6" s="13" t="inlineStr">
        <is>
          <t>Retail, sparkling, intl</t>
        </is>
      </c>
      <c r="E6" s="13" t="inlineStr">
        <is>
          <t>Electrolyte crowding (Prime, clones)</t>
        </is>
      </c>
    </row>
    <row r="7" ht="56" customHeight="1">
      <c r="A7" s="15" t="inlineStr">
        <is>
          <t>Vital Proteins Sparkling</t>
        </is>
      </c>
      <c r="B7" s="15" t="inlineStr">
        <is>
          <t>Nestlé muscle, #1 collagen halo, clinical claim</t>
        </is>
      </c>
      <c r="C7" s="15" t="inlineStr">
        <is>
          <t>New format unproven, efficacy debate</t>
        </is>
      </c>
      <c r="D7" s="15" t="inlineStr">
        <is>
          <t>Owns beauty mainstreaming</t>
        </is>
      </c>
      <c r="E7" s="15" t="inlineStr">
        <is>
          <t>2025 no-benefit meta-analysis, claims risk</t>
        </is>
      </c>
    </row>
    <row r="8" ht="56" customHeight="1">
      <c r="A8" s="13" t="inlineStr">
        <is>
          <t>MÜV (Organika)</t>
        </is>
      </c>
      <c r="B8" s="13" t="inlineStr">
        <is>
          <t>Domestic CA producer, #1 CA collagen halo, existing CA shelf, cost edge</t>
        </is>
      </c>
      <c r="C8" s="13" t="inlineStr">
        <is>
          <t>Unproven RTD, food-format claim limits, small vs strategics</t>
        </is>
      </c>
      <c r="D8" s="13" t="inlineStr">
        <is>
          <t>Costco CA/Amazon beachhead, gut+hydration stack, Supplemented-Food pathway</t>
        </is>
      </c>
      <c r="E8" s="13" t="inlineStr">
        <is>
          <t>Nestlé/Vital Proteins, efficacy/claims liability, shelf saturation</t>
        </is>
      </c>
    </row>
  </sheetData>
  <mergeCells count="1">
    <mergeCell ref="A1:E1"/>
  </mergeCells>
  <hyperlinks>
    <hyperlink xmlns:r="http://schemas.openxmlformats.org/officeDocument/2006/relationships" ref="H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M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</cols>
  <sheetData>
    <row r="1" ht="28" customHeight="1">
      <c r="A1" s="1" t="inlineStr">
        <is>
          <t>Weighted Competitive Scoring Model</t>
        </is>
      </c>
      <c r="M1" s="10" t="inlineStr">
        <is>
          <t>🏠 Home</t>
        </is>
      </c>
    </row>
    <row r="2" ht="20" customHeight="1">
      <c r="A2" s="19" t="inlineStr">
        <is>
          <t>Scores 1–5 (5=strongest). Edit weights (amber) &amp; scores; totals auto-calc.</t>
        </is>
      </c>
    </row>
    <row r="3"/>
    <row r="4">
      <c r="A4" s="79" t="inlineStr">
        <is>
          <t>WEIGHTS →</t>
        </is>
      </c>
      <c r="B4" s="96" t="n">
        <v>0.15</v>
      </c>
      <c r="C4" s="96" t="n">
        <v>0.15</v>
      </c>
      <c r="D4" s="96" t="n">
        <v>0.15</v>
      </c>
      <c r="E4" s="96" t="n">
        <v>0.1</v>
      </c>
      <c r="F4" s="96" t="n">
        <v>0.1</v>
      </c>
      <c r="G4" s="96" t="n">
        <v>0.1</v>
      </c>
      <c r="H4" s="96" t="n">
        <v>0.15</v>
      </c>
      <c r="I4" s="96" t="n">
        <v>0.1</v>
      </c>
    </row>
    <row r="5">
      <c r="A5" s="11" t="inlineStr">
        <is>
          <t>Brand</t>
        </is>
      </c>
      <c r="B5" s="11" t="inlineStr">
        <is>
          <t>Brand strength</t>
        </is>
      </c>
      <c r="C5" s="11" t="inlineStr">
        <is>
          <t>Distribution</t>
        </is>
      </c>
      <c r="D5" s="11" t="inlineStr">
        <is>
          <t>Claim defensibility</t>
        </is>
      </c>
      <c r="E5" s="11" t="inlineStr">
        <is>
          <t>Margin/price power</t>
        </is>
      </c>
      <c r="F5" s="11" t="inlineStr">
        <is>
          <t>Innovation/format</t>
        </is>
      </c>
      <c r="G5" s="11" t="inlineStr">
        <is>
          <t>Marketing engine</t>
        </is>
      </c>
      <c r="H5" s="11" t="inlineStr">
        <is>
          <t>Capital/backing</t>
        </is>
      </c>
      <c r="I5" s="11" t="inlineStr">
        <is>
          <t>Canada readiness</t>
        </is>
      </c>
      <c r="J5" s="11" t="inlineStr">
        <is>
          <t>Weighted</t>
        </is>
      </c>
    </row>
    <row r="6">
      <c r="A6" s="97" t="inlineStr">
        <is>
          <t>Poppi</t>
        </is>
      </c>
      <c r="B6" s="80" t="n">
        <v>5</v>
      </c>
      <c r="C6" s="80" t="n">
        <v>5</v>
      </c>
      <c r="D6" s="80" t="n">
        <v>2</v>
      </c>
      <c r="E6" s="80" t="n">
        <v>3</v>
      </c>
      <c r="F6" s="80" t="n">
        <v>3</v>
      </c>
      <c r="G6" s="80" t="n">
        <v>5</v>
      </c>
      <c r="H6" s="80" t="n">
        <v>5</v>
      </c>
      <c r="I6" s="80" t="n">
        <v>2</v>
      </c>
      <c r="J6" s="98">
        <f>SUMPRODUCT(B6:I6,B$4:I$4)</f>
        <v/>
      </c>
    </row>
    <row r="7">
      <c r="A7" s="99" t="inlineStr">
        <is>
          <t>OLIPOP</t>
        </is>
      </c>
      <c r="B7" s="100" t="n">
        <v>5</v>
      </c>
      <c r="C7" s="100" t="n">
        <v>5</v>
      </c>
      <c r="D7" s="100" t="n">
        <v>4</v>
      </c>
      <c r="E7" s="100" t="n">
        <v>3</v>
      </c>
      <c r="F7" s="100" t="n">
        <v>4</v>
      </c>
      <c r="G7" s="100" t="n">
        <v>4</v>
      </c>
      <c r="H7" s="100" t="n">
        <v>4</v>
      </c>
      <c r="I7" s="100" t="n">
        <v>2</v>
      </c>
      <c r="J7" s="101">
        <f>SUMPRODUCT(B7:I7,B$4:I$4)</f>
        <v/>
      </c>
    </row>
    <row r="8">
      <c r="A8" s="97" t="inlineStr">
        <is>
          <t>LMNT</t>
        </is>
      </c>
      <c r="B8" s="80" t="n">
        <v>4</v>
      </c>
      <c r="C8" s="80" t="n">
        <v>3</v>
      </c>
      <c r="D8" s="80" t="n">
        <v>3</v>
      </c>
      <c r="E8" s="80" t="n">
        <v>4</v>
      </c>
      <c r="F8" s="80" t="n">
        <v>3</v>
      </c>
      <c r="G8" s="80" t="n">
        <v>5</v>
      </c>
      <c r="H8" s="80" t="n">
        <v>4</v>
      </c>
      <c r="I8" s="80" t="n">
        <v>2</v>
      </c>
      <c r="J8" s="98">
        <f>SUMPRODUCT(B8:I8,B$4:I$4)</f>
        <v/>
      </c>
    </row>
    <row r="9">
      <c r="A9" s="99" t="inlineStr">
        <is>
          <t>Liquid I.V.</t>
        </is>
      </c>
      <c r="B9" s="100" t="n">
        <v>4</v>
      </c>
      <c r="C9" s="100" t="n">
        <v>5</v>
      </c>
      <c r="D9" s="100" t="n">
        <v>3</v>
      </c>
      <c r="E9" s="100" t="n">
        <v>3</v>
      </c>
      <c r="F9" s="100" t="n">
        <v>3</v>
      </c>
      <c r="G9" s="100" t="n">
        <v>4</v>
      </c>
      <c r="H9" s="100" t="n">
        <v>5</v>
      </c>
      <c r="I9" s="100" t="n">
        <v>3</v>
      </c>
      <c r="J9" s="101">
        <f>SUMPRODUCT(B9:I9,B$4:I$4)</f>
        <v/>
      </c>
    </row>
    <row r="10">
      <c r="A10" s="97" t="inlineStr">
        <is>
          <t>Vital Proteins Sparkling</t>
        </is>
      </c>
      <c r="B10" s="80" t="n">
        <v>4</v>
      </c>
      <c r="C10" s="80" t="n">
        <v>5</v>
      </c>
      <c r="D10" s="80" t="n">
        <v>4</v>
      </c>
      <c r="E10" s="80" t="n">
        <v>3</v>
      </c>
      <c r="F10" s="80" t="n">
        <v>3</v>
      </c>
      <c r="G10" s="80" t="n">
        <v>3</v>
      </c>
      <c r="H10" s="80" t="n">
        <v>5</v>
      </c>
      <c r="I10" s="80" t="n">
        <v>2</v>
      </c>
      <c r="J10" s="98">
        <f>SUMPRODUCT(B10:I10,B$4:I$4)</f>
        <v/>
      </c>
    </row>
    <row r="11">
      <c r="A11" s="99" t="inlineStr">
        <is>
          <t>Recess</t>
        </is>
      </c>
      <c r="B11" s="100" t="n">
        <v>3</v>
      </c>
      <c r="C11" s="100" t="n">
        <v>3</v>
      </c>
      <c r="D11" s="100" t="n">
        <v>3</v>
      </c>
      <c r="E11" s="100" t="n">
        <v>3</v>
      </c>
      <c r="F11" s="100" t="n">
        <v>4</v>
      </c>
      <c r="G11" s="100" t="n">
        <v>4</v>
      </c>
      <c r="H11" s="100" t="n">
        <v>3</v>
      </c>
      <c r="I11" s="100" t="n">
        <v>1</v>
      </c>
      <c r="J11" s="101">
        <f>SUMPRODUCT(B11:I11,B$4:I$4)</f>
        <v/>
      </c>
    </row>
    <row r="12">
      <c r="A12" s="97" t="inlineStr">
        <is>
          <t>MÜV (Organika)</t>
        </is>
      </c>
      <c r="B12" s="80" t="n">
        <v>3</v>
      </c>
      <c r="C12" s="80" t="n">
        <v>3</v>
      </c>
      <c r="D12" s="80" t="n">
        <v>3</v>
      </c>
      <c r="E12" s="80" t="n">
        <v>4</v>
      </c>
      <c r="F12" s="80" t="n">
        <v>3</v>
      </c>
      <c r="G12" s="80" t="n">
        <v>2</v>
      </c>
      <c r="H12" s="80" t="n">
        <v>2</v>
      </c>
      <c r="I12" s="80" t="n">
        <v>5</v>
      </c>
      <c r="J12" s="98">
        <f>SUMPRODUCT(B12:I12,B$4:I$4)</f>
        <v/>
      </c>
    </row>
    <row r="13"/>
    <row r="14" ht="44" customHeight="1">
      <c r="A14" s="6" t="inlineStr">
        <is>
          <t>Weights (amber) sum to 100%; weighted = SUMPRODUCT(scores × weights). Illustrative analyst judgment — recalibrate with your data. MÜV scores high on Canada readiness &amp; margin, low on marketing engine &amp; capital — exactly where the launch plan must invest.</t>
        </is>
      </c>
    </row>
  </sheetData>
  <mergeCells count="3">
    <mergeCell ref="A1:J1"/>
    <mergeCell ref="A14:J14"/>
    <mergeCell ref="A2:J2"/>
  </mergeCells>
  <conditionalFormatting sqref="B6:I12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J6:J12">
    <cfRule type="dataBar" priority="2">
      <dataBar>
        <cfvo type="num" val="0"/>
        <cfvo type="num" val="5"/>
        <color rgb="002E7D8A"/>
      </dataBar>
    </cfRule>
  </conditionalFormatting>
  <hyperlinks>
    <hyperlink xmlns:r="http://schemas.openxmlformats.org/officeDocument/2006/relationships" ref="M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1E7D32"/>
    <outlinePr summaryBelow="1" summaryRight="1"/>
    <pageSetUpPr fitToPage="1"/>
  </sheetPr>
  <dimension ref="A1:H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30" customWidth="1" min="4" max="4"/>
  </cols>
  <sheetData>
    <row r="1" ht="28" customHeight="1">
      <c r="A1" s="1" t="inlineStr">
        <is>
          <t>Canada Market — Retail Landscape &amp; Entry Playbooks</t>
        </is>
      </c>
      <c r="H1" s="10" t="inlineStr">
        <is>
          <t>🏠 Home</t>
        </is>
      </c>
    </row>
    <row r="2"/>
    <row r="3">
      <c r="A3" s="17" t="inlineStr">
        <is>
          <t>GROCERY BANNERS &amp; APPROX SHARE (varies by methodology)</t>
        </is>
      </c>
    </row>
    <row r="4">
      <c r="A4" s="11" t="inlineStr">
        <is>
          <t>Retailer</t>
        </is>
      </c>
      <c r="B4" s="11" t="inlineStr">
        <is>
          <t>Banners</t>
        </is>
      </c>
      <c r="C4" s="11" t="inlineStr">
        <is>
          <t>Share</t>
        </is>
      </c>
      <c r="D4" s="11" t="inlineStr">
        <is>
          <t>Note</t>
        </is>
      </c>
    </row>
    <row r="5" ht="24" customHeight="1">
      <c r="A5" s="13" t="inlineStr">
        <is>
          <t>Loblaw</t>
        </is>
      </c>
      <c r="B5" s="13" t="inlineStr">
        <is>
          <t>Loblaws, No Frills, Shoppers, RC Superstore, Maxi</t>
        </is>
      </c>
      <c r="C5" s="13" t="inlineStr">
        <is>
          <t>~26–30%</t>
        </is>
      </c>
      <c r="D5" s="13" t="inlineStr">
        <is>
          <t>Largest; pharmacy via Shoppers</t>
        </is>
      </c>
    </row>
    <row r="6" ht="24" customHeight="1">
      <c r="A6" s="15" t="inlineStr">
        <is>
          <t>Empire/Sobeys</t>
        </is>
      </c>
      <c r="B6" s="15" t="inlineStr">
        <is>
          <t>Sobeys, Safeway, IGA, FreshCo</t>
        </is>
      </c>
      <c r="C6" s="15" t="inlineStr">
        <is>
          <t>~20–21%</t>
        </is>
      </c>
      <c r="D6" s="15" t="inlineStr">
        <is>
          <t>#2</t>
        </is>
      </c>
    </row>
    <row r="7" ht="24" customHeight="1">
      <c r="A7" s="13" t="inlineStr">
        <is>
          <t>Costco Canada</t>
        </is>
      </c>
      <c r="B7" s="13" t="inlineStr">
        <is>
          <t>Costco</t>
        </is>
      </c>
      <c r="C7" s="13" t="inlineStr">
        <is>
          <t>~14%</t>
        </is>
      </c>
      <c r="D7" s="13" t="inlineStr">
        <is>
          <t>Proven beachhead for new functional bev</t>
        </is>
      </c>
    </row>
    <row r="8" ht="24" customHeight="1">
      <c r="A8" s="15" t="inlineStr">
        <is>
          <t>Walmart Canada</t>
        </is>
      </c>
      <c r="B8" s="15" t="inlineStr">
        <is>
          <t>Walmart</t>
        </is>
      </c>
      <c r="C8" s="15" t="inlineStr">
        <is>
          <t>~12%</t>
        </is>
      </c>
      <c r="D8" s="15" t="inlineStr">
        <is>
          <t>Mass</t>
        </is>
      </c>
    </row>
    <row r="9" ht="24" customHeight="1">
      <c r="A9" s="13" t="inlineStr">
        <is>
          <t>Metro</t>
        </is>
      </c>
      <c r="B9" s="13" t="inlineStr">
        <is>
          <t>Metro, Food Basics, Jean Coutu</t>
        </is>
      </c>
      <c r="C9" s="13" t="inlineStr">
        <is>
          <t>~11–12%</t>
        </is>
      </c>
      <c r="D9" s="13" t="inlineStr">
        <is>
          <t>Strong QC+ON</t>
        </is>
      </c>
    </row>
    <row r="10" ht="24" customHeight="1">
      <c r="A10" s="15" t="inlineStr">
        <is>
          <t>Pattison/Save-On</t>
        </is>
      </c>
      <c r="B10" s="15" t="inlineStr">
        <is>
          <t>Save-On-Foods, Buy-Low</t>
        </is>
      </c>
      <c r="C10" s="15" t="inlineStr">
        <is>
          <t>Regional (West)</t>
        </is>
      </c>
      <c r="D10" s="15" t="inlineStr">
        <is>
          <t>187 Save-On stores</t>
        </is>
      </c>
    </row>
    <row r="11">
      <c r="A11" s="17" t="inlineStr">
        <is>
          <t>HOW US BRANDS ENTERED CANADA</t>
        </is>
      </c>
    </row>
    <row r="12">
      <c r="A12" s="11" t="inlineStr">
        <is>
          <t>Brand</t>
        </is>
      </c>
      <c r="B12" s="11" t="inlineStr">
        <is>
          <t>When</t>
        </is>
      </c>
      <c r="C12" s="11" t="inlineStr">
        <is>
          <t>Entry model</t>
        </is>
      </c>
    </row>
    <row r="13" ht="26" customHeight="1">
      <c r="A13" s="13" t="inlineStr">
        <is>
          <t>Liquid I.V.</t>
        </is>
      </c>
      <c r="B13" s="13" t="inlineStr">
        <is>
          <t>2023 (first intl)</t>
        </is>
      </c>
      <c r="C13" s="13" t="inlineStr">
        <is>
          <t>Via Unilever; Costco FIRST → Amazon.ca, Walmart, Loblaws, Jean Coutu</t>
        </is>
      </c>
    </row>
    <row r="14" ht="26" customHeight="1">
      <c r="A14" s="15" t="inlineStr">
        <is>
          <t>Poppi</t>
        </is>
      </c>
      <c r="B14" s="15" t="inlineStr">
        <is>
          <t>Aug 13, 2024</t>
        </is>
      </c>
      <c r="C14" s="15" t="inlineStr">
        <is>
          <t>Brand-led; Loblaws, Metro, Save-On, Costco, Sobeys + Well.ca, Natura</t>
        </is>
      </c>
    </row>
    <row r="15" ht="26" customHeight="1">
      <c r="A15" s="13" t="inlineStr">
        <is>
          <t>OLIPOP</t>
        </is>
      </c>
      <c r="B15" s="13" t="inlineStr">
        <is>
          <t>Limited</t>
        </is>
      </c>
      <c r="C15" s="13" t="inlineStr">
        <is>
          <t>NevrAsk distributor; Amazon.ca, Natura</t>
        </is>
      </c>
    </row>
    <row r="16" ht="26" customHeight="1">
      <c r="A16" s="15" t="inlineStr">
        <is>
          <t>Celsius</t>
        </is>
      </c>
      <c r="B16" s="15" t="inlineStr">
        <is>
          <t>Jan 2024</t>
        </is>
      </c>
      <c r="C16" s="15" t="inlineStr">
        <is>
          <t>PepsiCo exclusive distribution</t>
        </is>
      </c>
    </row>
    <row r="17" ht="26" customHeight="1">
      <c r="A17" s="13" t="inlineStr">
        <is>
          <t>Prime</t>
        </is>
      </c>
      <c r="B17" s="13" t="inlineStr">
        <is>
          <t>2023</t>
        </is>
      </c>
      <c r="C17" s="13" t="inlineStr">
        <is>
          <t>Hydration sells; ENERGY blocked (200mg caffeine &gt; 180mg cap)</t>
        </is>
      </c>
    </row>
    <row r="18">
      <c r="A18" s="91" t="inlineStr">
        <is>
          <t>PRICING</t>
        </is>
      </c>
    </row>
    <row r="19">
      <c r="A19" s="11" t="inlineStr">
        <is>
          <t>Item</t>
        </is>
      </c>
      <c r="B19" s="11" t="inlineStr">
        <is>
          <t>Value</t>
        </is>
      </c>
      <c r="C19" s="11" t="inlineStr">
        <is>
          <t>Note</t>
        </is>
      </c>
    </row>
    <row r="20" ht="24" customHeight="1">
      <c r="A20" s="13" t="inlineStr">
        <is>
          <t>Premium functional can</t>
        </is>
      </c>
      <c r="B20" s="13" t="inlineStr">
        <is>
          <t>~CAD $3.49 MSRP (Poppi); promo ~$2.50</t>
        </is>
      </c>
      <c r="C20" s="13" t="inlineStr">
        <is>
          <t>Shelf norm to anchor against</t>
        </is>
      </c>
    </row>
    <row r="21" ht="24" customHeight="1">
      <c r="A21" s="15" t="inlineStr">
        <is>
          <t>Cross-border premium</t>
        </is>
      </c>
      <c r="B21" s="15" t="inlineStr">
        <is>
          <t>FX + freight + duty</t>
        </is>
      </c>
      <c r="C21" s="15" t="inlineStr">
        <is>
          <t>US$2.50 can lands well above C$3.49 imported</t>
        </is>
      </c>
    </row>
    <row r="22" ht="24" customHeight="1">
      <c r="A22" s="13" t="inlineStr">
        <is>
          <t>Margin fix</t>
        </is>
      </c>
      <c r="B22" s="13" t="inlineStr">
        <is>
          <t>Local/contract co-packing in Canada</t>
        </is>
      </c>
      <c r="C22" s="13" t="inlineStr">
        <is>
          <t>Organika's domestic production is the structural edge</t>
        </is>
      </c>
    </row>
    <row r="23" ht="44" customHeight="1">
      <c r="A23" s="6" t="inlineStr">
        <is>
          <t>WHAT WORKED: (1) enter via Costco or a parent/distributor DSD; (2) reformulate to Canadian limits BEFORE launch (Prime Energy cautionary tale); (3) seed Amazon.ca + Natura/Well.ca ahead of grocery. Organika already has the shelf relationships.</t>
        </is>
      </c>
    </row>
  </sheetData>
  <mergeCells count="5">
    <mergeCell ref="A11:E11"/>
    <mergeCell ref="A1:E1"/>
    <mergeCell ref="A23:E23"/>
    <mergeCell ref="A18:E18"/>
    <mergeCell ref="A3:E3"/>
  </mergeCells>
  <hyperlinks>
    <hyperlink xmlns:r="http://schemas.openxmlformats.org/officeDocument/2006/relationships" ref="H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1E7D32"/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4" customWidth="1" min="2" max="2"/>
    <col width="24" customWidth="1" min="3" max="3"/>
  </cols>
  <sheetData>
    <row r="1" ht="28" customHeight="1">
      <c r="A1" s="1" t="inlineStr">
        <is>
          <t>Canada Regulatory — classification &amp; claims</t>
        </is>
      </c>
      <c r="F1" s="10" t="inlineStr">
        <is>
          <t>🏠 Home</t>
        </is>
      </c>
    </row>
    <row r="2" ht="20" customHeight="1">
      <c r="A2" s="19" t="inlineStr">
        <is>
          <t>See Canada Regulatory v2 for the 2026 sport-electrolyte reclassification</t>
        </is>
      </c>
    </row>
    <row r="3"/>
    <row r="4">
      <c r="A4" s="11" t="inlineStr">
        <is>
          <t>Item</t>
        </is>
      </c>
      <c r="B4" s="11" t="inlineStr">
        <is>
          <t>Detail</t>
        </is>
      </c>
      <c r="C4" s="11" t="inlineStr">
        <is>
          <t>Conf.</t>
        </is>
      </c>
    </row>
    <row r="5" ht="46" customHeight="1">
      <c r="A5" s="13" t="inlineStr">
        <is>
          <t>Classification</t>
        </is>
      </c>
      <c r="B5" s="13" t="inlineStr">
        <is>
          <t>RTD sparkling beverage = FOOD (Food Directorate + CFIA), outside the NHP framework. Format is not the sole decider — representation + claims matter.</t>
        </is>
      </c>
      <c r="C5" s="13" t="inlineStr">
        <is>
          <t>✅</t>
        </is>
      </c>
    </row>
    <row r="6" ht="46" customHeight="1">
      <c r="A6" s="15" t="inlineStr">
        <is>
          <t>Supplemented Foods</t>
        </is>
      </c>
      <c r="B6" s="15" t="inlineStr">
        <is>
          <t>A can with added vitamins/minerals/amino acids = a Supplemented Food (framework in force Jul 21, 2022): Supplemented Food Facts table + cautions + possible SFCI identifier.</t>
        </is>
      </c>
      <c r="C6" s="15" t="inlineStr">
        <is>
          <t>✅</t>
        </is>
      </c>
    </row>
    <row r="7" ht="46" customHeight="1">
      <c r="A7" s="13" t="inlineStr">
        <is>
          <t>Collagen caution</t>
        </is>
      </c>
      <c r="B7" s="13" t="inlineStr">
        <is>
          <t>Foods with hydrolyzed collagen must show on the principal display panel, same type size as the common name: “CAUTION, DO NOT USE AS SOLE SOURCE OF NUTRITION” (FDR).</t>
        </is>
      </c>
      <c r="C7" s="13" t="inlineStr">
        <is>
          <t>✅</t>
        </is>
      </c>
    </row>
    <row r="8" ht="46" customHeight="1">
      <c r="A8" s="15" t="inlineStr">
        <is>
          <t>Caffeine</t>
        </is>
      </c>
      <c r="B8" s="15" t="inlineStr">
        <is>
          <t>Caffeinated-beverage category cap: 180mg per single-serve container (blocked Prime Energy at 200mg). Moot for caffeine-free MÜV.</t>
        </is>
      </c>
      <c r="C8" s="15" t="inlineStr">
        <is>
          <t>✅</t>
        </is>
      </c>
    </row>
    <row r="9" ht="46" customHeight="1">
      <c r="A9" s="13" t="inlineStr">
        <is>
          <t>Claims</t>
        </is>
      </c>
      <c r="B9" s="13" t="inlineStr">
        <is>
          <t>Beauty/skin/anti-aging structure-function claims are NHP-only; restricted on a food/supplemented-food label.</t>
        </is>
      </c>
      <c r="C9" s="13" t="inlineStr">
        <is>
          <t>DIRECTIONAL — counsel</t>
        </is>
      </c>
    </row>
    <row r="10" ht="46" customHeight="1">
      <c r="A10" s="15" t="inlineStr">
        <is>
          <t>Labelling</t>
        </is>
      </c>
      <c r="B10" s="15" t="inlineStr">
        <is>
          <t>Bilingual EN/FR mandatory; Quebec Bill 96/OQLF (French ≥ as prominent; descriptors in French).</t>
        </is>
      </c>
      <c r="C10" s="15" t="inlineStr">
        <is>
          <t>✅/◐</t>
        </is>
      </c>
    </row>
  </sheetData>
  <mergeCells count="2">
    <mergeCell ref="A1:C1"/>
    <mergeCell ref="A2:C2"/>
  </mergeCells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1E7D32"/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60" customWidth="1" min="3" max="3"/>
  </cols>
  <sheetData>
    <row r="1" ht="28" customHeight="1">
      <c r="A1" s="1" t="inlineStr">
        <is>
          <t>Canada Regulatory v2 — Sport-Electrolyte Reclassification (2026)</t>
        </is>
      </c>
      <c r="F1" s="10" t="inlineStr">
        <is>
          <t>🏠 Home</t>
        </is>
      </c>
    </row>
    <row r="2" ht="20" customHeight="1">
      <c r="A2" s="19" t="inlineStr">
        <is>
          <t>Supersedes the powder/NHP framing. ✅HARD ◐DIRECTIONAL ⚠FLAG</t>
        </is>
      </c>
    </row>
    <row r="3"/>
    <row r="4" ht="52" customHeight="1">
      <c r="A4" s="62" t="inlineStr">
        <is>
          <t>HEADLINE: Health Canada Public Notice (Apr 2026) reclassifies ALL sport-electrolyte products — RTD, powders AND effervescent tablets — from NHP to FOODS / Supplemented Foods. Existing NPN holders transition by Dec 31, 2027; NEW products comply with the FDR now. Oral Rehydration Solutions stay NHP.</t>
        </is>
      </c>
    </row>
    <row r="5">
      <c r="A5" s="17" t="inlineStr">
        <is>
          <t>FORMAT IS NOT THE DECIDER (the key nuance)</t>
        </is>
      </c>
    </row>
    <row r="6">
      <c r="A6" s="11" t="inlineStr">
        <is>
          <t>Point</t>
        </is>
      </c>
      <c r="B6" s="11" t="inlineStr">
        <is>
          <t>Detail</t>
        </is>
      </c>
      <c r="C6" s="11" t="inlineStr">
        <is>
          <t>Conf.</t>
        </is>
      </c>
    </row>
    <row r="7" ht="42" customHeight="1">
      <c r="A7" s="13" t="inlineStr">
        <is>
          <t>Format ≠ classification</t>
        </is>
      </c>
      <c r="B7" s="13" t="inlineStr">
        <is>
          <t>Even powders &amp; effervescent tablets for reconstitution CAN be foods. Classification weighs representation, composition, format, perception &amp; history together.</t>
        </is>
      </c>
      <c r="C7" s="13" t="inlineStr">
        <is>
          <t>✅</t>
        </is>
      </c>
    </row>
    <row r="8" ht="42" customHeight="1">
      <c r="A8" s="15" t="inlineStr">
        <is>
          <t>Toward FOOD</t>
        </is>
      </c>
      <c r="B8" s="15" t="inlineStr">
        <is>
          <t>Beverage representation; scoop/serving + a Nutrition/Supplemented-Food Facts table; consumed freely like ordinary food.</t>
        </is>
      </c>
      <c r="C8" s="15" t="inlineStr">
        <is>
          <t>✅</t>
        </is>
      </c>
    </row>
    <row r="9" ht="42" customHeight="1">
      <c r="A9" s="13" t="inlineStr">
        <is>
          <t>Toward NHP</t>
        </is>
      </c>
      <c r="B9" s="13" t="inlineStr">
        <is>
          <t>Dosage forms (capsules, single-dose sticks) + regimented dosing + defined daily limits + therapeutic/structure-function claims.</t>
        </is>
      </c>
      <c r="C9" s="13" t="inlineStr">
        <is>
          <t>✅</t>
        </is>
      </c>
    </row>
    <row r="10" ht="42" customHeight="1">
      <c r="A10" s="15" t="inlineStr">
        <is>
          <t>Real driver = CLAIMS</t>
        </is>
      </c>
      <c r="B10" s="15" t="inlineStr">
        <is>
          <t>Electrolyte/hydration framing = food. Collagen skin/joint/hair/beauty = NHP-only. The claim, not the format, decides the lane.</t>
        </is>
      </c>
      <c r="C10" s="15" t="inlineStr">
        <is>
          <t>✅</t>
        </is>
      </c>
    </row>
    <row r="11">
      <c r="A11" s="17" t="inlineStr">
        <is>
          <t>CLAIMS FORK</t>
        </is>
      </c>
    </row>
    <row r="12">
      <c r="A12" s="11" t="inlineStr">
        <is>
          <t>If the product is…</t>
        </is>
      </c>
      <c r="B12" s="11" t="inlineStr">
        <is>
          <t>Framework</t>
        </is>
      </c>
      <c r="C12" s="11" t="inlineStr">
        <is>
          <t>Allowed claims</t>
        </is>
      </c>
    </row>
    <row r="13" ht="38" customHeight="1">
      <c r="A13" s="13" t="inlineStr">
        <is>
          <t>Plain electrolyte (can OR powder)</t>
        </is>
      </c>
      <c r="B13" s="13" t="inlineStr">
        <is>
          <t>Supplemented Food</t>
        </is>
      </c>
      <c r="C13" s="13" t="inlineStr">
        <is>
          <t>hydration, “replenish electrolytes”, source-of-magnesium/potassium, sugar-free, nutrient-content &amp; function claims</t>
        </is>
      </c>
    </row>
    <row r="14" ht="38" customHeight="1">
      <c r="A14" s="15" t="inlineStr">
        <is>
          <t>Electrolyte + collagen w/ beauty/joint claims</t>
        </is>
      </c>
      <c r="B14" s="15" t="inlineStr">
        <is>
          <t>NHP (NPN)</t>
        </is>
      </c>
      <c r="C14" s="15" t="inlineStr">
        <is>
          <t>“supports skin/hair/nails/joints”, collagen structure-function (dose-format powder is the defensible vehicle)</t>
        </is>
      </c>
    </row>
    <row r="15" ht="38" customHeight="1">
      <c r="A15" s="13" t="inlineStr">
        <is>
          <t>Oral rehydration (clinical)</t>
        </is>
      </c>
      <c r="B15" s="13" t="inlineStr">
        <is>
          <t>NHP (NPN)</t>
        </is>
      </c>
      <c r="C15" s="13" t="inlineStr">
        <is>
          <t>therapeutic rehydration</t>
        </is>
      </c>
    </row>
    <row r="16" ht="48" customHeight="1">
      <c r="A16" s="6" t="inlineStr">
        <is>
          <t>PRACTICAL TAKEAWAY FOR MÜV (an RTD electrolyte can): it's a Supplemented Food — SFFt + cautions as applicable; design to the framework now. Keep collagen-beauty claims on the NHP powder line, not the can. Caffeine-free avoids the 180mg caution regime. Confirm the exact claim set with counsel.</t>
        </is>
      </c>
    </row>
  </sheetData>
  <mergeCells count="6">
    <mergeCell ref="A11:C11"/>
    <mergeCell ref="A1:C1"/>
    <mergeCell ref="A5:C5"/>
    <mergeCell ref="A16:C16"/>
    <mergeCell ref="A4:C4"/>
    <mergeCell ref="A2:C2"/>
  </mergeCells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001E7D32"/>
    <outlinePr summaryBelow="1" summaryRight="1"/>
    <pageSetUpPr fitToPage="1"/>
  </sheetPr>
  <dimension ref="A1:I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4" customWidth="1" min="3" max="3"/>
    <col width="8" customWidth="1" min="4" max="4"/>
    <col width="20" customWidth="1" min="5" max="5"/>
    <col width="22" customWidth="1" min="6" max="6"/>
  </cols>
  <sheetData>
    <row r="1" ht="28" customHeight="1">
      <c r="A1" s="1" t="inlineStr">
        <is>
          <t>Electrolyte / Sparkling / BFY — Canada-First Deep-Dive</t>
        </is>
      </c>
      <c r="I1" s="10" t="inlineStr">
        <is>
          <t>🏠 Home</t>
        </is>
      </c>
    </row>
    <row r="2" ht="20" customHeight="1">
      <c r="A2" s="19" t="inlineStr">
        <is>
          <t>Deep-research pass: MÜV's real lane. ✅HARD ◐DIRECTIONAL ⚠FLAG</t>
        </is>
      </c>
    </row>
    <row r="3"/>
    <row r="4" ht="36" customHeight="1">
      <c r="A4" s="62" t="inlineStr">
        <is>
          <t>MÜV is a food-regulated RTD sparkling CAN competing in the daily-wellness sparkling lane. Win on format + Canadian-made, not collagen-beauty claims. Canada moves all sport-electrolyte products to Supplemented Foods by 2027.</t>
        </is>
      </c>
    </row>
    <row r="5">
      <c r="A5" s="17" t="inlineStr">
        <is>
          <t>1 · MARKET SIZING (Canada-first)</t>
        </is>
      </c>
    </row>
    <row r="6">
      <c r="A6" s="11" t="inlineStr">
        <is>
          <t>Metric</t>
        </is>
      </c>
      <c r="B6" s="11" t="inlineStr">
        <is>
          <t>Value</t>
        </is>
      </c>
      <c r="C6" s="11" t="inlineStr">
        <is>
          <t>Geo</t>
        </is>
      </c>
      <c r="D6" s="11" t="inlineStr">
        <is>
          <t>Conf.</t>
        </is>
      </c>
      <c r="E6" s="11" t="inlineStr">
        <is>
          <t>Source</t>
        </is>
      </c>
      <c r="F6" s="11" t="inlineStr">
        <is>
          <t>Note</t>
        </is>
      </c>
    </row>
    <row r="7" ht="26" customHeight="1">
      <c r="A7" s="13" t="inlineStr">
        <is>
          <t>Powdered hydration mixes</t>
        </is>
      </c>
      <c r="B7" s="13" t="inlineStr">
        <is>
          <t>$1.5B (2024), +20% YoY</t>
        </is>
      </c>
      <c r="C7" s="13" t="inlineStr">
        <is>
          <t>US</t>
        </is>
      </c>
      <c r="D7" s="13" t="inlineStr">
        <is>
          <t>✅</t>
        </is>
      </c>
      <c r="E7" s="13" t="inlineStr">
        <is>
          <t>Circana via CNN</t>
        </is>
      </c>
      <c r="F7" s="13" t="inlineStr">
        <is>
          <t>4 straight yrs double-digit</t>
        </is>
      </c>
    </row>
    <row r="8" ht="26" customHeight="1">
      <c r="A8" s="15" t="inlineStr">
        <is>
          <t>Gatorade powder enhancers</t>
        </is>
      </c>
      <c r="B8" s="15" t="inlineStr">
        <is>
          <t>+200% over 4 yrs</t>
        </is>
      </c>
      <c r="C8" s="15" t="inlineStr">
        <is>
          <t>US</t>
        </is>
      </c>
      <c r="D8" s="15" t="inlineStr">
        <is>
          <t>✅</t>
        </is>
      </c>
      <c r="E8" s="15" t="inlineStr">
        <is>
          <t>Circana</t>
        </is>
      </c>
      <c r="F8" s="15" t="inlineStr">
        <is>
          <t>—</t>
        </is>
      </c>
    </row>
    <row r="9" ht="26" customHeight="1">
      <c r="A9" s="13" t="inlineStr">
        <is>
          <t>Electrolyte powder market</t>
        </is>
      </c>
      <c r="B9" s="13" t="inlineStr">
        <is>
          <t>~$8.7B (2024), ~8.8% CAGR</t>
        </is>
      </c>
      <c r="C9" s="13" t="inlineStr">
        <is>
          <t>Global</t>
        </is>
      </c>
      <c r="D9" s="13" t="inlineStr">
        <is>
          <t>◐</t>
        </is>
      </c>
      <c r="E9" s="13" t="inlineStr">
        <is>
          <t>Grand View/Mordor</t>
        </is>
      </c>
      <c r="F9" s="13" t="inlineStr">
        <is>
          <t>powder fastest-growing format</t>
        </is>
      </c>
    </row>
    <row r="10" ht="26" customHeight="1">
      <c r="A10" s="15" t="inlineStr">
        <is>
          <t>Canada powdered hydration</t>
        </is>
      </c>
      <c r="B10" s="15" t="inlineStr">
        <is>
          <t>~US$404M → $738.5M (10.7% CAGR)</t>
        </is>
      </c>
      <c r="C10" s="15" t="inlineStr">
        <is>
          <t>Canada</t>
        </is>
      </c>
      <c r="D10" s="15" t="inlineStr">
        <is>
          <t>⚠◐</t>
        </is>
      </c>
      <c r="E10" s="15" t="inlineStr">
        <is>
          <t>Grand View</t>
        </is>
      </c>
      <c r="F10" s="15" t="inlineStr">
        <is>
          <t>3rd-party est.</t>
        </is>
      </c>
    </row>
    <row r="11" ht="26" customHeight="1">
      <c r="A11" s="13" t="inlineStr">
        <is>
          <t>Liquid I.V.</t>
        </is>
      </c>
      <c r="B11" s="13" t="inlineStr">
        <is>
          <t>#1 US powdered hydration; CA 2023</t>
        </is>
      </c>
      <c r="C11" s="13" t="inlineStr">
        <is>
          <t>US/CA</t>
        </is>
      </c>
      <c r="D11" s="13" t="inlineStr">
        <is>
          <t>✅</t>
        </is>
      </c>
      <c r="E11" s="13" t="inlineStr">
        <is>
          <t>CNN; Unilever</t>
        </is>
      </c>
      <c r="F11" s="13" t="inlineStr">
        <is>
          <t>—</t>
        </is>
      </c>
    </row>
    <row r="12">
      <c r="A12" s="17" t="inlineStr">
        <is>
          <t>2 · GTM &amp; THE BIOSTEEL CAUTIONARY TALE</t>
        </is>
      </c>
    </row>
    <row r="13">
      <c r="A13" s="11" t="inlineStr">
        <is>
          <t>Case</t>
        </is>
      </c>
      <c r="B13" s="11" t="inlineStr">
        <is>
          <t>Canada entry</t>
        </is>
      </c>
      <c r="C13" s="11" t="inlineStr">
        <is>
          <t>Lesson</t>
        </is>
      </c>
    </row>
    <row r="14" ht="50" customHeight="1">
      <c r="A14" s="13" t="inlineStr">
        <is>
          <t>Liquid I.V.</t>
        </is>
      </c>
      <c r="B14" s="13" t="inlineStr">
        <is>
          <t>Costco Canada national (Jul 2023); festival + roadshow sampling</t>
        </is>
      </c>
      <c r="C14" s="13" t="inlineStr">
        <is>
          <t>Costco = the proven one-big-door beachhead</t>
        </is>
      </c>
    </row>
    <row r="15" ht="50" customHeight="1">
      <c r="A15" s="15" t="inlineStr">
        <is>
          <t>LMNT</t>
        </is>
      </c>
      <c r="B15" s="15" t="inlineStr">
        <is>
          <t>Amazon.ca + DTC; podcast + free-sample</t>
        </is>
      </c>
      <c r="C15" s="15" t="inlineStr">
        <is>
          <t>Cheap high-ROI trial funnel; borrow it, not the 1,000mg sodium</t>
        </is>
      </c>
    </row>
    <row r="16" ht="50" customHeight="1">
      <c r="A16" s="13" t="inlineStr">
        <is>
          <t>BioSteel (Canadian)</t>
        </is>
      </c>
      <c r="B16" s="13" t="inlineStr">
        <is>
          <t>Broad omnichannel on NHL halo</t>
        </is>
      </c>
      <c r="C16" s="13" t="inlineStr">
        <is>
          <t>Canopy bought 72% for $50.7M (2019); burned &gt;$3 COGS per $1 rev; CCAA bankruptcy Sept 2023; sold ~$30.4M to Coachwood; lost NHL to Coke's BodyArmor. MORAL: velocity &amp; unit economics FIRST.</t>
        </is>
      </c>
    </row>
    <row r="17" ht="50" customHeight="1">
      <c r="A17" s="15" t="inlineStr">
        <is>
          <t>Powder vs RTD</t>
        </is>
      </c>
      <c r="B17" s="15" t="inlineStr">
        <is>
          <t>Powder ships ~60–70% cheaper, shelf-stable</t>
        </is>
      </c>
      <c r="C17" s="15" t="inlineStr">
        <is>
          <t>MÜV-the-CAN forgoes that edge → margin leans on BC manufacturing</t>
        </is>
      </c>
    </row>
    <row r="18" ht="48" customHeight="1">
      <c r="A18" s="6" t="inlineStr">
        <is>
          <t>RECOMMENDATION: beachhead Costco CA + Amazon.ca/Well.ca/DTC; position daily-wellness sparkling made in Canada (between Liquid I.V. and LMNT); label to Supplemented-Food framework; keep collagen-beauty on the NHP powder; borrow LMNT sample funnel + #WaterTok; lean on BC manufacturing for margin.</t>
        </is>
      </c>
    </row>
  </sheetData>
  <mergeCells count="6">
    <mergeCell ref="A2:F2"/>
    <mergeCell ref="A1:F1"/>
    <mergeCell ref="A5:F5"/>
    <mergeCell ref="A12:F12"/>
    <mergeCell ref="A4:F4"/>
    <mergeCell ref="A18:F18"/>
  </mergeCells>
  <hyperlinks>
    <hyperlink xmlns:r="http://schemas.openxmlformats.org/officeDocument/2006/relationships" ref="I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E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8" customHeight="1">
      <c r="A1" s="1" t="inlineStr">
        <is>
          <t>MÜV Go-to-Market Recommendation</t>
        </is>
      </c>
      <c r="E1" s="10" t="inlineStr">
        <is>
          <t>🏠 Home</t>
        </is>
      </c>
    </row>
    <row r="2"/>
    <row r="3" ht="48" customHeight="1">
      <c r="A3" s="6" t="inlineStr">
        <is>
          <t>VERDICT: GO — conditional on resolving the Supplemented-Foods claim/label pathway and dosing collagen to a defensible level. Tailwinds are real; Organika has a genuine Canadian edge; the risks are manageable with discipline.</t>
        </is>
      </c>
    </row>
    <row r="4">
      <c r="A4" s="11" t="inlineStr">
        <is>
          <t>Decision</t>
        </is>
      </c>
      <c r="B4" s="11" t="inlineStr">
        <is>
          <t>Recommendation</t>
        </is>
      </c>
    </row>
    <row r="5" ht="72" customHeight="1">
      <c r="A5" s="13" t="inlineStr">
        <is>
          <t>1. Positioning</t>
        </is>
      </c>
      <c r="B5" s="13" t="inlineStr">
        <is>
          <t>Lead with a FUNCTIONAL benefit stack (gut/prebiotic fibre + hydration + a credible collagen dose) under a “by Canada's #1 collagen brand” halo. Avoid narrow beauty-from-within hero claims (graveyard + 2025 meta-analysis).</t>
        </is>
      </c>
    </row>
    <row r="6" ht="72" customHeight="1">
      <c r="A6" s="15" t="inlineStr">
        <is>
          <t>2. Formulation</t>
        </is>
      </c>
      <c r="B6" s="15" t="inlineStr">
        <is>
          <t>Dose collagen to a substantiable level (2.5g+). Zero/low sugar is table stakes. Add prebiotic fibre for a defensible gut hook. Caffeine-free to avoid the 180mg caution regime.</t>
        </is>
      </c>
    </row>
    <row r="7" ht="72" customHeight="1">
      <c r="A7" s="13" t="inlineStr">
        <is>
          <t>3. Channel beachhead</t>
        </is>
      </c>
      <c r="B7" s="13" t="inlineStr">
        <is>
          <t>Costco Canada + Amazon.ca + natural channel (Whole Foods CA, Healthy Planet) + Organika's pharmacy/health-food/Well.ca base. Mirrors Liquid I.V./Poppi's entry. Do NOT chase national grocery before proving velocity.</t>
        </is>
      </c>
    </row>
    <row r="8" ht="72" customHeight="1">
      <c r="A8" s="15" t="inlineStr">
        <is>
          <t>4. Pricing</t>
        </is>
      </c>
      <c r="B8" s="15" t="inlineStr">
        <is>
          <t>Anchor at/below the ~$3.49 CAD premium shelf norm. Domestic production protects margin where imported US brands can't. Plan 35–45% early trade spend; free-fill over cash slotting.</t>
        </is>
      </c>
    </row>
    <row r="9" ht="72" customHeight="1">
      <c r="A9" s="13" t="inlineStr">
        <is>
          <t>5. Marketing</t>
        </is>
      </c>
      <c r="B9" s="13" t="inlineStr">
        <is>
          <t>Trusted-host podcast sponsorship (LMNT) + reactive earned-media social (OLIPOP) + Costco roadshow sampling (Liquid I.V.). Skip Super Bowl spend. Sell-in on velocity/repeat data.</t>
        </is>
      </c>
    </row>
    <row r="10" ht="72" customHeight="1">
      <c r="A10" s="15" t="inlineStr">
        <is>
          <t>6. Claims &amp; legal</t>
        </is>
      </c>
      <c r="B10" s="15" t="inlineStr">
        <is>
          <t>Engage Canadian regulatory counsel on the Supplemented-Foods claim set BEFORE artwork. Build substantiation files. Include the mandatory collagen caution. Dose-to-claim discipline is existential.</t>
        </is>
      </c>
    </row>
    <row r="11" ht="72" customHeight="1">
      <c r="A11" s="13" t="inlineStr">
        <is>
          <t>7. Moat &amp; exit</t>
        </is>
      </c>
      <c r="B11" s="13" t="inlineStr">
        <is>
          <t>Differentiate on a real spec + Canadian-made authenticity + Organika's collagen credibility. Plan for an acquisition-oriented endgame while building OLIPOP-style independence via profitability and repeat.</t>
        </is>
      </c>
    </row>
  </sheetData>
  <mergeCells count="2">
    <mergeCell ref="A3:B3"/>
    <mergeCell ref="A1:B1"/>
  </mergeCells>
  <hyperlinks>
    <hyperlink xmlns:r="http://schemas.openxmlformats.org/officeDocument/2006/relationships" ref="E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4" customWidth="1" min="3" max="3"/>
  </cols>
  <sheetData>
    <row r="1" ht="28" customHeight="1">
      <c r="A1" s="1" t="inlineStr">
        <is>
          <t>How to Present — leadership readout</t>
        </is>
      </c>
      <c r="F1" s="10" t="inlineStr">
        <is>
          <t>🏠 Home</t>
        </is>
      </c>
    </row>
    <row r="2" ht="20" customHeight="1">
      <c r="A2" s="19" t="inlineStr">
        <is>
          <t>One line to say on each key tab. Lead with the decision.</t>
        </is>
      </c>
    </row>
    <row r="3"/>
    <row r="4">
      <c r="A4" s="11" t="inlineStr">
        <is>
          <t>Tab</t>
        </is>
      </c>
      <c r="B4" s="11" t="inlineStr">
        <is>
          <t>Say this</t>
        </is>
      </c>
      <c r="C4" s="11" t="inlineStr">
        <is>
          <t>Then show</t>
        </is>
      </c>
    </row>
    <row r="5" ht="32" customHeight="1">
      <c r="A5" s="13" t="inlineStr">
        <is>
          <t>Open</t>
        </is>
      </c>
      <c r="B5" s="13" t="inlineStr">
        <is>
          <t>“One decision: GO — conditional. Launch MÜV as daily-wellness sparkling hydration, made in Canada.”</t>
        </is>
      </c>
      <c r="C5" s="13" t="inlineStr">
        <is>
          <t>Decision Memo</t>
        </is>
      </c>
    </row>
    <row r="6" ht="32" customHeight="1">
      <c r="A6" s="15" t="inlineStr">
        <is>
          <t>Decision Memo / Exec Brief</t>
        </is>
      </c>
      <c r="B6" s="15" t="inlineStr">
        <is>
          <t>“The whole case on one page — verdict, numbers, five moves, risks.”</t>
        </is>
      </c>
      <c r="C6" s="15" t="inlineStr">
        <is>
          <t>Executive Brief 1-page</t>
        </is>
      </c>
    </row>
    <row r="7" ht="32" customHeight="1">
      <c r="A7" s="13" t="inlineStr">
        <is>
          <t>Dashboard</t>
        </is>
      </c>
      <c r="B7" s="13" t="inlineStr">
        <is>
          <t>“The category is real: modern soda $1.8B (+83%), hydration powders $1.5B (+20%).”</t>
        </is>
      </c>
      <c r="C7" s="13" t="inlineStr">
        <is>
          <t>Dashboard charts</t>
        </is>
      </c>
    </row>
    <row r="8" ht="32" customHeight="1">
      <c r="A8" s="15" t="inlineStr">
        <is>
          <t>MÜV Peer Set</t>
        </is>
      </c>
      <c r="B8" s="15" t="inlineStr">
        <is>
          <t>“We compete with LMNT, Liquid I.V., Nuun — not Poppi. Sparkling is our wedge.”</t>
        </is>
      </c>
      <c r="C8" s="15" t="inlineStr">
        <is>
          <t>peer ladder + scatter</t>
        </is>
      </c>
    </row>
    <row r="9" ht="32" customHeight="1">
      <c r="A9" s="13" t="inlineStr">
        <is>
          <t>Financial Model</t>
        </is>
      </c>
      <c r="B9" s="13" t="inlineStr">
        <is>
          <t>“Flip the scenario. Even Conservative has a defined break-even; Base is healthy.”</t>
        </is>
      </c>
      <c r="C9" s="13" t="inlineStr">
        <is>
          <t>scenario dropdown</t>
        </is>
      </c>
    </row>
    <row r="10" ht="32" customHeight="1">
      <c r="A10" s="15" t="inlineStr">
        <is>
          <t>Canada Regulatory v2</t>
        </is>
      </c>
      <c r="B10" s="15" t="inlineStr">
        <is>
          <t>“It's a food, not an NHP. Label to Supplemented Foods now; collagen claims stay on the powder.”</t>
        </is>
      </c>
      <c r="C10" s="15" t="inlineStr">
        <is>
          <t>claims fork</t>
        </is>
      </c>
    </row>
    <row r="11" ht="32" customHeight="1">
      <c r="A11" s="13" t="inlineStr">
        <is>
          <t>Go-No-Go</t>
        </is>
      </c>
      <c r="B11" s="13" t="inlineStr">
        <is>
          <t>“The weighted gates say GO — conditional; the conditions are dose/claims + regulatory sign-off.”</t>
        </is>
      </c>
      <c r="C11" s="13" t="inlineStr">
        <is>
          <t>auto-verdict</t>
        </is>
      </c>
    </row>
    <row r="12" ht="32" customHeight="1">
      <c r="A12" s="15" t="inlineStr">
        <is>
          <t>Risk Register</t>
        </is>
      </c>
      <c r="B12" s="15" t="inlineStr">
        <is>
          <t>“Top three risks — claims liability, big-CPG rivals, over-distribution — all mitigable.”</t>
        </is>
      </c>
      <c r="C12" s="15" t="inlineStr">
        <is>
          <t>heatmap</t>
        </is>
      </c>
    </row>
    <row r="13" ht="32" customHeight="1">
      <c r="A13" s="13" t="inlineStr">
        <is>
          <t>The ask</t>
        </is>
      </c>
      <c r="B13" s="13" t="inlineStr">
        <is>
          <t>“Approve Phase 0: confirm MÜV specs, regulatory sign-off, co-packer quote, Costco beachhead.”</t>
        </is>
      </c>
      <c r="C13" s="13" t="inlineStr">
        <is>
          <t>Next Steps &amp; Gates</t>
        </is>
      </c>
    </row>
  </sheetData>
  <mergeCells count="2">
    <mergeCell ref="A1:C1"/>
    <mergeCell ref="A2:C2"/>
  </mergeCells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  <col width="24" customWidth="1" min="3" max="3"/>
  </cols>
  <sheetData>
    <row r="1" ht="28" customHeight="1">
      <c r="A1" s="1" t="inlineStr">
        <is>
          <t>FAQ &amp; Objections — answers for the leadership room</t>
        </is>
      </c>
      <c r="F1" s="10" t="inlineStr">
        <is>
          <t>🏠 Home</t>
        </is>
      </c>
    </row>
    <row r="2" ht="20" customHeight="1">
      <c r="A2" s="19" t="inlineStr">
        <is>
          <t>Anticipated pushback + the one-line answer, with a proof tab</t>
        </is>
      </c>
    </row>
    <row r="3"/>
    <row r="4">
      <c r="A4" s="11" t="inlineStr">
        <is>
          <t>Objection</t>
        </is>
      </c>
      <c r="B4" s="11" t="inlineStr">
        <is>
          <t>Answer</t>
        </is>
      </c>
      <c r="C4" s="11" t="inlineStr">
        <is>
          <t>Proof tab</t>
        </is>
      </c>
    </row>
    <row r="5" ht="42" customHeight="1">
      <c r="A5" s="13" t="inlineStr">
        <is>
          <t>“Isn't this just another me-too electrolyte?”</t>
        </is>
      </c>
      <c r="B5" s="13" t="inlineStr">
        <is>
          <t>A flavoured SPARKLING electrolyte is genuine white space; we own the daily-wellness sparkling occasion, made in Canada.</t>
        </is>
      </c>
      <c r="C5" s="13" t="inlineStr">
        <is>
          <t>MÜV Peer Set / Deep-Dive</t>
        </is>
      </c>
    </row>
    <row r="6" ht="42" customHeight="1">
      <c r="A6" s="15" t="inlineStr">
        <is>
          <t>“Nestlé owns Vital Proteins, PepsiCo owns Poppi — can we compete?”</t>
        </is>
      </c>
      <c r="B6" s="15" t="inlineStr">
        <is>
          <t>We don't fight them on their shelf. We win the sparkling daily-wellness occasion in Canada where we already hold distribution + a collagen halo.</t>
        </is>
      </c>
      <c r="C6" s="15" t="inlineStr">
        <is>
          <t>15 Outcomes &amp; M&amp;A / GTM</t>
        </is>
      </c>
    </row>
    <row r="7" ht="42" customHeight="1">
      <c r="A7" s="13" t="inlineStr">
        <is>
          <t>“Collagen efficacy is contested — legal exposure?”</t>
        </is>
      </c>
      <c r="B7" s="13" t="inlineStr">
        <is>
          <t>Exactly why the CAN sells hydration/electrolyte (food claims). Collagen beauty claims stay on the NHP powder, not the can.</t>
        </is>
      </c>
      <c r="C7" s="13" t="inlineStr">
        <is>
          <t>Canada Regulatory v2</t>
        </is>
      </c>
    </row>
    <row r="8" ht="42" customHeight="1">
      <c r="A8" s="15" t="inlineStr">
        <is>
          <t>“Why a can, not a powder — powders ship cheaper?”</t>
        </is>
      </c>
      <c r="B8" s="15" t="inlineStr">
        <is>
          <t>Sparkling is the wedge and the sensory differentiator; BC manufacturing protects margin. Regulatorily both are food now — a commercial choice.</t>
        </is>
      </c>
      <c r="C8" s="15" t="inlineStr">
        <is>
          <t>Electrolyte BFY Deep-Dive</t>
        </is>
      </c>
    </row>
    <row r="9" ht="42" customHeight="1">
      <c r="A9" s="13" t="inlineStr">
        <is>
          <t>“What's the regulatory risk in Canada?”</t>
        </is>
      </c>
      <c r="B9" s="13" t="inlineStr">
        <is>
          <t>It's a Supplemented Food — design to that framework from day one. Confirm the claim set with counsel.</t>
        </is>
      </c>
      <c r="C9" s="13" t="inlineStr">
        <is>
          <t>Canada Regulatory v2</t>
        </is>
      </c>
    </row>
    <row r="10" ht="42" customHeight="1">
      <c r="A10" s="15" t="inlineStr">
        <is>
          <t>“Is the financial model real?”</t>
        </is>
      </c>
      <c r="B10" s="15" t="inlineStr">
        <is>
          <t>Illustrative scaffolding — every input flagged. Replace with co-packer/distributor quotes. Even Conservative has a defined break-even.</t>
        </is>
      </c>
      <c r="C10" s="15" t="inlineStr">
        <is>
          <t>Financial Model / Assumptions Audit</t>
        </is>
      </c>
    </row>
    <row r="11" ht="42" customHeight="1">
      <c r="A11" s="13" t="inlineStr">
        <is>
          <t>“Why not just extend the existing powder line?”</t>
        </is>
      </c>
      <c r="B11" s="13" t="inlineStr">
        <is>
          <t>The powder line stays (and keeps collagen claims). MÜV captures the sparkling RTD occasion the powder can't.</t>
        </is>
      </c>
      <c r="C11" s="13" t="inlineStr">
        <is>
          <t>MÜV Peer Set</t>
        </is>
      </c>
    </row>
    <row r="12" ht="42" customHeight="1">
      <c r="A12" s="15" t="inlineStr">
        <is>
          <t>“What exactly do you need from us?”</t>
        </is>
      </c>
      <c r="B12" s="15" t="inlineStr">
        <is>
          <t>Approve Phase 0: confirm specs, regulatory sign-off, co-packer quote, Costco Canada beachhead.</t>
        </is>
      </c>
      <c r="C12" s="15" t="inlineStr">
        <is>
          <t>Next Steps &amp; Gates</t>
        </is>
      </c>
    </row>
  </sheetData>
  <mergeCells count="2">
    <mergeCell ref="A1:C1"/>
    <mergeCell ref="A2:C2"/>
  </mergeCells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I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6" customWidth="1" min="3" max="3"/>
    <col width="12" customWidth="1" min="4" max="4"/>
    <col width="34" customWidth="1" min="5" max="5"/>
    <col width="10" customWidth="1" min="6" max="6"/>
  </cols>
  <sheetData>
    <row r="1" ht="28" customHeight="1">
      <c r="A1" s="1" t="inlineStr">
        <is>
          <t>Next Steps &amp; Decision Gates</t>
        </is>
      </c>
      <c r="I1" s="10" t="inlineStr">
        <is>
          <t>🏠 Home</t>
        </is>
      </c>
    </row>
    <row r="2" ht="20" customHeight="1">
      <c r="A2" s="19" t="inlineStr">
        <is>
          <t>Immediate actions to move MÜV forward. Status illustrative — set owners/dates with the team.</t>
        </is>
      </c>
    </row>
    <row r="3"/>
    <row r="4">
      <c r="A4" s="11" t="inlineStr">
        <is>
          <t>#</t>
        </is>
      </c>
      <c r="B4" s="11" t="inlineStr">
        <is>
          <t>Action</t>
        </is>
      </c>
      <c r="C4" s="11" t="inlineStr">
        <is>
          <t>Owner</t>
        </is>
      </c>
      <c r="D4" s="11" t="inlineStr">
        <is>
          <t>Timing</t>
        </is>
      </c>
      <c r="E4" s="11" t="inlineStr">
        <is>
          <t>Why it's a gate</t>
        </is>
      </c>
      <c r="F4" s="11" t="inlineStr">
        <is>
          <t>Status</t>
        </is>
      </c>
    </row>
    <row r="5" ht="32" customHeight="1">
      <c r="A5" s="13" t="inlineStr">
        <is>
          <t>1</t>
        </is>
      </c>
      <c r="B5" s="13" t="inlineStr">
        <is>
          <t>Confirm MÜV on-can specs (sodium mg, pack size, any collagen variant)</t>
        </is>
      </c>
      <c r="C5" s="13" t="inlineStr">
        <is>
          <t>Brand / R&amp;D</t>
        </is>
      </c>
      <c r="D5" s="13" t="inlineStr">
        <is>
          <t>Now</t>
        </is>
      </c>
      <c r="E5" s="13" t="inlineStr">
        <is>
          <t>Unblocks claims + last model input</t>
        </is>
      </c>
      <c r="F5" s="102" t="inlineStr">
        <is>
          <t>Open</t>
        </is>
      </c>
    </row>
    <row r="6" ht="32" customHeight="1">
      <c r="A6" s="15" t="inlineStr">
        <is>
          <t>2</t>
        </is>
      </c>
      <c r="B6" s="15" t="inlineStr">
        <is>
          <t>Regulatory counsel sign-off on the claim set (Supplemented Food)</t>
        </is>
      </c>
      <c r="C6" s="15" t="inlineStr">
        <is>
          <t>Regulatory</t>
        </is>
      </c>
      <c r="D6" s="15" t="inlineStr">
        <is>
          <t>Wk 1–3</t>
        </is>
      </c>
      <c r="E6" s="15" t="inlineStr">
        <is>
          <t>De-risks the label; precedes artwork</t>
        </is>
      </c>
      <c r="F6" s="102" t="inlineStr">
        <is>
          <t>Open</t>
        </is>
      </c>
    </row>
    <row r="7" ht="32" customHeight="1">
      <c r="A7" s="13" t="inlineStr">
        <is>
          <t>3</t>
        </is>
      </c>
      <c r="B7" s="13" t="inlineStr">
        <is>
          <t>Canadian co-packer quote + capacity</t>
        </is>
      </c>
      <c r="C7" s="13" t="inlineStr">
        <is>
          <t>Ops</t>
        </is>
      </c>
      <c r="D7" s="13" t="inlineStr">
        <is>
          <t>Wk 1–4</t>
        </is>
      </c>
      <c r="E7" s="13" t="inlineStr">
        <is>
          <t>Real COGS replaces illustrative input</t>
        </is>
      </c>
      <c r="F7" s="102" t="inlineStr">
        <is>
          <t>Open</t>
        </is>
      </c>
    </row>
    <row r="8" ht="32" customHeight="1">
      <c r="A8" s="15" t="inlineStr">
        <is>
          <t>4</t>
        </is>
      </c>
      <c r="B8" s="15" t="inlineStr">
        <is>
          <t>Bilingual + Quebec Bill 96 artwork</t>
        </is>
      </c>
      <c r="C8" s="15" t="inlineStr">
        <is>
          <t>Brand</t>
        </is>
      </c>
      <c r="D8" s="15" t="inlineStr">
        <is>
          <t>Wk 3–6</t>
        </is>
      </c>
      <c r="E8" s="15" t="inlineStr">
        <is>
          <t>Compliance; long-lead for print</t>
        </is>
      </c>
      <c r="F8" s="102" t="inlineStr">
        <is>
          <t>Open</t>
        </is>
      </c>
    </row>
    <row r="9" ht="32" customHeight="1">
      <c r="A9" s="13" t="inlineStr">
        <is>
          <t>5</t>
        </is>
      </c>
      <c r="B9" s="13" t="inlineStr">
        <is>
          <t>Costco Canada roadshow slot + Amazon.ca / Well.ca listings</t>
        </is>
      </c>
      <c r="C9" s="13" t="inlineStr">
        <is>
          <t>Sales</t>
        </is>
      </c>
      <c r="D9" s="13" t="inlineStr">
        <is>
          <t>Wk 4–9</t>
        </is>
      </c>
      <c r="E9" s="13" t="inlineStr">
        <is>
          <t>The beachhead trial engine</t>
        </is>
      </c>
      <c r="F9" s="102" t="inlineStr">
        <is>
          <t>Open</t>
        </is>
      </c>
    </row>
    <row r="10" ht="32" customHeight="1">
      <c r="A10" s="15" t="inlineStr">
        <is>
          <t>6</t>
        </is>
      </c>
      <c r="B10" s="15" t="inlineStr">
        <is>
          <t>Define velocity + repeat-rate targets (KPIs)</t>
        </is>
      </c>
      <c r="C10" s="15" t="inlineStr">
        <is>
          <t>Sales / Finance</t>
        </is>
      </c>
      <c r="D10" s="15" t="inlineStr">
        <is>
          <t>Wk 2</t>
        </is>
      </c>
      <c r="E10" s="15" t="inlineStr">
        <is>
          <t>Gates Phase 2 national sell-in</t>
        </is>
      </c>
      <c r="F10" s="102" t="inlineStr">
        <is>
          <t>Open</t>
        </is>
      </c>
    </row>
    <row r="11" ht="32" customHeight="1">
      <c r="A11" s="13" t="inlineStr">
        <is>
          <t>7</t>
        </is>
      </c>
      <c r="B11" s="13" t="inlineStr">
        <is>
          <t>Board approval of Phase 0 budget</t>
        </is>
      </c>
      <c r="C11" s="13" t="inlineStr">
        <is>
          <t>Leadership</t>
        </is>
      </c>
      <c r="D11" s="13" t="inlineStr">
        <is>
          <t>Wk 1</t>
        </is>
      </c>
      <c r="E11" s="13" t="inlineStr">
        <is>
          <t>Greenlights the above</t>
        </is>
      </c>
      <c r="F11" s="102" t="inlineStr">
        <is>
          <t>Open</t>
        </is>
      </c>
    </row>
  </sheetData>
  <mergeCells count="2">
    <mergeCell ref="A2:F2"/>
    <mergeCell ref="A1:F1"/>
  </mergeCells>
  <hyperlinks>
    <hyperlink xmlns:r="http://schemas.openxmlformats.org/officeDocument/2006/relationships" ref="I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46" customWidth="1" min="4" max="4"/>
    <col width="30" customWidth="1" min="5" max="5"/>
  </cols>
  <sheetData>
    <row r="1" ht="28" customHeight="1">
      <c r="A1" s="1" t="inlineStr">
        <is>
          <t>Phased Launch Plan (0–18 months)</t>
        </is>
      </c>
      <c r="H1" s="10" t="inlineStr">
        <is>
          <t>🏠 Home</t>
        </is>
      </c>
    </row>
    <row r="2"/>
    <row r="3">
      <c r="A3" s="11" t="inlineStr">
        <is>
          <t>Phase</t>
        </is>
      </c>
      <c r="B3" s="11" t="inlineStr">
        <is>
          <t>Timing</t>
        </is>
      </c>
      <c r="C3" s="11" t="inlineStr">
        <is>
          <t>Objectives</t>
        </is>
      </c>
      <c r="D3" s="11" t="inlineStr">
        <is>
          <t>Key workstreams</t>
        </is>
      </c>
      <c r="E3" s="11" t="inlineStr">
        <is>
          <t>Success gate</t>
        </is>
      </c>
    </row>
    <row r="4" ht="78" customHeight="1">
      <c r="A4" s="13" t="inlineStr">
        <is>
          <t>Phase 0 — Foundation</t>
        </is>
      </c>
      <c r="B4" s="13" t="inlineStr">
        <is>
          <t>Months 0–3</t>
        </is>
      </c>
      <c r="C4" s="13" t="inlineStr">
        <is>
          <t>Lock product, claims, regulatory, co-pack</t>
        </is>
      </c>
      <c r="D4" s="13" t="inlineStr">
        <is>
          <t>Finalize formula &amp; collagen dose; regulatory-counsel opinion; co-packer quote &amp; MOQ; bilingual + Bill 96 artwork; brand/positioning</t>
        </is>
      </c>
      <c r="E4" s="13" t="inlineStr">
        <is>
          <t>Regulatory sign-off on claim set + artwork approved</t>
        </is>
      </c>
    </row>
    <row r="5" ht="78" customHeight="1">
      <c r="A5" s="15" t="inlineStr">
        <is>
          <t>Phase 1 — Beachhead</t>
        </is>
      </c>
      <c r="B5" s="15" t="inlineStr">
        <is>
          <t>Months 3–9</t>
        </is>
      </c>
      <c r="C5" s="15" t="inlineStr">
        <is>
          <t>Prove velocity &amp; repeat in a contained beachhead</t>
        </is>
      </c>
      <c r="D5" s="15" t="inlineStr">
        <is>
          <t>Costco CA roadshows + Amazon.ca + Well.ca/Natura + pharmacy/health-food base; podcast + reactive social; sampling</t>
        </is>
      </c>
      <c r="E5" s="15" t="inlineStr">
        <is>
          <t>Repeat rate + velocity above category benchmark</t>
        </is>
      </c>
    </row>
    <row r="6" ht="78" customHeight="1">
      <c r="A6" s="13" t="inlineStr">
        <is>
          <t>Phase 2 — Scale</t>
        </is>
      </c>
      <c r="B6" s="13" t="inlineStr">
        <is>
          <t>Months 9–18</t>
        </is>
      </c>
      <c r="C6" s="13" t="inlineStr">
        <is>
          <t>Earn conventional grocery on proven data</t>
        </is>
      </c>
      <c r="D6" s="13" t="inlineStr">
        <is>
          <t>Sell-in to Loblaw/Sobeys/Metro on velocity data; distributor (UNFI CA / Tree of Life); managed trade spend; add SKUs</t>
        </is>
      </c>
      <c r="E6" s="13" t="inlineStr">
        <is>
          <t>National listings won on data, not discounts</t>
        </is>
      </c>
    </row>
    <row r="7" ht="78" customHeight="1">
      <c r="A7" s="15" t="inlineStr">
        <is>
          <t>Phase 3 — Defend &amp; extend</t>
        </is>
      </c>
      <c r="B7" s="15" t="inlineStr">
        <is>
          <t>18 mo+</t>
        </is>
      </c>
      <c r="C7" s="15" t="inlineStr">
        <is>
          <t>Category leadership &amp; optionality</t>
        </is>
      </c>
      <c r="D7" s="15" t="inlineStr">
        <is>
          <t>Format/flavour extensions; deepen moat; evaluate strategic-partner vs independent scale</t>
        </is>
      </c>
      <c r="E7" s="15" t="inlineStr">
        <is>
          <t>Profitable contribution + exit optionality</t>
        </is>
      </c>
    </row>
  </sheetData>
  <mergeCells count="1">
    <mergeCell ref="A1:E1"/>
  </mergeCells>
  <hyperlinks>
    <hyperlink xmlns:r="http://schemas.openxmlformats.org/officeDocument/2006/relationships" ref="H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I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2" customWidth="1" min="4" max="4"/>
    <col width="10" customWidth="1" min="5" max="5"/>
    <col width="44" customWidth="1" min="6" max="6"/>
  </cols>
  <sheetData>
    <row r="1" ht="28" customHeight="1">
      <c r="A1" s="1" t="inlineStr">
        <is>
          <t>Risk Register</t>
        </is>
      </c>
      <c r="I1" s="10" t="inlineStr">
        <is>
          <t>🏠 Home</t>
        </is>
      </c>
    </row>
    <row r="2" ht="20" customHeight="1">
      <c r="A2" s="19" t="inlineStr">
        <is>
          <t>Likelihood × Impact (H/M/L), ranked by exposure</t>
        </is>
      </c>
    </row>
    <row r="3"/>
    <row r="4">
      <c r="A4" s="11" t="inlineStr">
        <is>
          <t>#</t>
        </is>
      </c>
      <c r="B4" s="11" t="inlineStr">
        <is>
          <t>Risk</t>
        </is>
      </c>
      <c r="C4" s="11" t="inlineStr">
        <is>
          <t>Category</t>
        </is>
      </c>
      <c r="D4" s="11" t="inlineStr">
        <is>
          <t>Likelihood</t>
        </is>
      </c>
      <c r="E4" s="11" t="inlineStr">
        <is>
          <t>Impact</t>
        </is>
      </c>
      <c r="F4" s="11" t="inlineStr">
        <is>
          <t>Mitigation</t>
        </is>
      </c>
    </row>
    <row r="5" ht="42" customHeight="1">
      <c r="A5" s="13" t="n">
        <v>1</v>
      </c>
      <c r="B5" s="13" t="inlineStr">
        <is>
          <t>Collagen efficacy / claims liability (2025 meta-analysis; dose-insufficiency suit)</t>
        </is>
      </c>
      <c r="C5" s="13" t="inlineStr">
        <is>
          <t>Regulatory/Legal</t>
        </is>
      </c>
      <c r="D5" s="103" t="inlineStr">
        <is>
          <t>High</t>
        </is>
      </c>
      <c r="E5" s="103" t="inlineStr">
        <is>
          <t>High</t>
        </is>
      </c>
      <c r="F5" s="13" t="inlineStr">
        <is>
          <t>Dose to efficacy (2.5g+); structure/function-safe language; substantiation files; lead with gut/hydration</t>
        </is>
      </c>
    </row>
    <row r="6" ht="42" customHeight="1">
      <c r="A6" s="15" t="n">
        <v>2</v>
      </c>
      <c r="B6" s="15" t="inlineStr">
        <is>
          <t>Strategic-owned competition (Nestlé/Unilever/PepsiCo firepower)</t>
        </is>
      </c>
      <c r="C6" s="15" t="inlineStr">
        <is>
          <t>Competitive</t>
        </is>
      </c>
      <c r="D6" s="103" t="inlineStr">
        <is>
          <t>High</t>
        </is>
      </c>
      <c r="E6" s="103" t="inlineStr">
        <is>
          <t>High</t>
        </is>
      </c>
      <c r="F6" s="15" t="inlineStr">
        <is>
          <t>Compete on Canadian-made + domestic cost edge; niche beachhead before they react</t>
        </is>
      </c>
    </row>
    <row r="7" ht="42" customHeight="1">
      <c r="A7" s="13" t="n">
        <v>3</v>
      </c>
      <c r="B7" s="13" t="inlineStr">
        <is>
          <t>Canada claim/label pathway misread (food vs NHP; SFCI; collagen caution)</t>
        </is>
      </c>
      <c r="C7" s="13" t="inlineStr">
        <is>
          <t>Regulatory</t>
        </is>
      </c>
      <c r="D7" s="104" t="inlineStr">
        <is>
          <t>Med</t>
        </is>
      </c>
      <c r="E7" s="103" t="inlineStr">
        <is>
          <t>High</t>
        </is>
      </c>
      <c r="F7" s="13" t="inlineStr">
        <is>
          <t>Regulatory-counsel opinion before artwork; design to Supplemented Foods; caffeine-free</t>
        </is>
      </c>
    </row>
    <row r="8" ht="42" customHeight="1">
      <c r="A8" s="15" t="n">
        <v>4</v>
      </c>
      <c r="B8" s="15" t="inlineStr">
        <is>
          <t>Over-distribution before product-market fit</t>
        </is>
      </c>
      <c r="C8" s="15" t="inlineStr">
        <is>
          <t>Execution</t>
        </is>
      </c>
      <c r="D8" s="104" t="inlineStr">
        <is>
          <t>Med</t>
        </is>
      </c>
      <c r="E8" s="103" t="inlineStr">
        <is>
          <t>High</t>
        </is>
      </c>
      <c r="F8" s="15" t="inlineStr">
        <is>
          <t>Prove velocity/repeat in beachhead; gate Phase 2 on data</t>
        </is>
      </c>
    </row>
    <row r="9" ht="42" customHeight="1">
      <c r="A9" s="13" t="n">
        <v>5</v>
      </c>
      <c r="B9" s="13" t="inlineStr">
        <is>
          <t>Slotting / trade-spend cash burn</t>
        </is>
      </c>
      <c r="C9" s="13" t="inlineStr">
        <is>
          <t>Financial</t>
        </is>
      </c>
      <c r="D9" s="104" t="inlineStr">
        <is>
          <t>Med</t>
        </is>
      </c>
      <c r="E9" s="103" t="inlineStr">
        <is>
          <t>High</t>
        </is>
      </c>
      <c r="F9" s="13" t="inlineStr">
        <is>
          <t>Free-fill over cash slotting; 35–45% budget; Code of Conduct leverage</t>
        </is>
      </c>
    </row>
    <row r="10" ht="42" customHeight="1">
      <c r="A10" s="15" t="n">
        <v>6</v>
      </c>
      <c r="B10" s="15" t="inlineStr">
        <is>
          <t>Thin differentiation / shelf saturation</t>
        </is>
      </c>
      <c r="C10" s="15" t="inlineStr">
        <is>
          <t>Category</t>
        </is>
      </c>
      <c r="D10" s="104" t="inlineStr">
        <is>
          <t>Med</t>
        </is>
      </c>
      <c r="E10" s="104" t="inlineStr">
        <is>
          <t>Med</t>
        </is>
      </c>
      <c r="F10" s="15" t="inlineStr">
        <is>
          <t>Defensible spec (fibre + collagen dose) + function stacking; Canadian-made</t>
        </is>
      </c>
    </row>
    <row r="11" ht="42" customHeight="1">
      <c r="A11" s="13" t="n">
        <v>7</v>
      </c>
      <c r="B11" s="13" t="inlineStr">
        <is>
          <t>Private-label encroachment (~$277B, ~21% share)</t>
        </is>
      </c>
      <c r="C11" s="13" t="inlineStr">
        <is>
          <t>Category</t>
        </is>
      </c>
      <c r="D11" s="104" t="inlineStr">
        <is>
          <t>Med</t>
        </is>
      </c>
      <c r="E11" s="104" t="inlineStr">
        <is>
          <t>Med</t>
        </is>
      </c>
      <c r="F11" s="13" t="inlineStr">
        <is>
          <t>Brand equity + clinical-grade ingredients retailers can't easily copy</t>
        </is>
      </c>
    </row>
    <row r="12" ht="42" customHeight="1">
      <c r="A12" s="15" t="n">
        <v>8</v>
      </c>
      <c r="B12" s="15" t="inlineStr">
        <is>
          <t>DTC CAC / heavy-ship economics if DTC-led</t>
        </is>
      </c>
      <c r="C12" s="15" t="inlineStr">
        <is>
          <t>Financial</t>
        </is>
      </c>
      <c r="D12" s="104" t="inlineStr">
        <is>
          <t>Med</t>
        </is>
      </c>
      <c r="E12" s="104" t="inlineStr">
        <is>
          <t>Med</t>
        </is>
      </c>
      <c r="F12" s="15" t="inlineStr">
        <is>
          <t>Lead retail/beachhead not paid DTC; subscription + sampling only</t>
        </is>
      </c>
    </row>
    <row r="13" ht="42" customHeight="1">
      <c r="A13" s="13" t="n">
        <v>9</v>
      </c>
      <c r="B13" s="13" t="inlineStr">
        <is>
          <t>Co-packer capacity / collagen sourcing / cost inflation</t>
        </is>
      </c>
      <c r="C13" s="13" t="inlineStr">
        <is>
          <t>Operations</t>
        </is>
      </c>
      <c r="D13" s="104" t="inlineStr">
        <is>
          <t>Med</t>
        </is>
      </c>
      <c r="E13" s="104" t="inlineStr">
        <is>
          <t>Med</t>
        </is>
      </c>
      <c r="F13" s="13" t="inlineStr">
        <is>
          <t>Lock co-pack early; qualify 2nd collagen supplier; hedge raws</t>
        </is>
      </c>
    </row>
    <row r="14" ht="42" customHeight="1">
      <c r="A14" s="15" t="n">
        <v>10</v>
      </c>
      <c r="B14" s="15" t="inlineStr">
        <is>
          <t>FX / tariff / freight premium on inputs</t>
        </is>
      </c>
      <c r="C14" s="15" t="inlineStr">
        <is>
          <t>Financial</t>
        </is>
      </c>
      <c r="D14" s="104" t="inlineStr">
        <is>
          <t>Med</t>
        </is>
      </c>
      <c r="E14" s="104" t="inlineStr">
        <is>
          <t>Med</t>
        </is>
      </c>
      <c r="F14" s="15" t="inlineStr">
        <is>
          <t>Domestic CA co-pack; monitor tariff status</t>
        </is>
      </c>
    </row>
    <row r="15" ht="42" customHeight="1">
      <c r="A15" s="13" t="n">
        <v>11</v>
      </c>
      <c r="B15" s="13" t="inlineStr">
        <is>
          <t>GLP-1 demand shift away from sweet/snack</t>
        </is>
      </c>
      <c r="C15" s="13" t="inlineStr">
        <is>
          <t>Macro</t>
        </is>
      </c>
      <c r="D15" s="104" t="inlineStr">
        <is>
          <t>Med</t>
        </is>
      </c>
      <c r="E15" s="105" t="inlineStr">
        <is>
          <t>Low</t>
        </is>
      </c>
      <c r="F15" s="13" t="inlineStr">
        <is>
          <t>Low-cal, fibre, hydration positioning aligns</t>
        </is>
      </c>
    </row>
    <row r="16" ht="42" customHeight="1">
      <c r="A16" s="15" t="n">
        <v>12</v>
      </c>
      <c r="B16" s="15" t="inlineStr">
        <is>
          <t>Brand/tone misstep at scale</t>
        </is>
      </c>
      <c r="C16" s="15" t="inlineStr">
        <is>
          <t>Brand</t>
        </is>
      </c>
      <c r="D16" s="105" t="inlineStr">
        <is>
          <t>Low</t>
        </is>
      </c>
      <c r="E16" s="104" t="inlineStr">
        <is>
          <t>Med</t>
        </is>
      </c>
      <c r="F16" s="15" t="inlineStr">
        <is>
          <t>Evolve tactics with stage; avoid Poppi-style stunts once mainstream</t>
        </is>
      </c>
    </row>
    <row r="17"/>
    <row r="18">
      <c r="A18" s="17" t="inlineStr">
        <is>
          <t>LIKELIHOOD × IMPACT HEATMAP (risk #s by rating)</t>
        </is>
      </c>
    </row>
    <row r="19">
      <c r="A19" s="106" t="inlineStr">
        <is>
          <t>Impact↓ / Likelihood→</t>
        </is>
      </c>
      <c r="B19" s="107" t="inlineStr">
        <is>
          <t>Low</t>
        </is>
      </c>
      <c r="C19" s="107" t="inlineStr">
        <is>
          <t>Med</t>
        </is>
      </c>
      <c r="D19" s="107" t="inlineStr">
        <is>
          <t>High</t>
        </is>
      </c>
    </row>
    <row r="20" ht="22" customHeight="1">
      <c r="A20" s="107" t="inlineStr">
        <is>
          <t>High</t>
        </is>
      </c>
      <c r="B20" s="108" t="inlineStr">
        <is>
          <t>—</t>
        </is>
      </c>
      <c r="C20" s="109" t="inlineStr">
        <is>
          <t>3, 4, 5</t>
        </is>
      </c>
      <c r="D20" s="109" t="inlineStr">
        <is>
          <t>1, 2</t>
        </is>
      </c>
    </row>
    <row r="21" ht="22" customHeight="1">
      <c r="A21" s="107" t="inlineStr">
        <is>
          <t>Med</t>
        </is>
      </c>
      <c r="B21" s="110" t="inlineStr">
        <is>
          <t>12</t>
        </is>
      </c>
      <c r="C21" s="108" t="inlineStr">
        <is>
          <t>6,7,8,9,10</t>
        </is>
      </c>
      <c r="D21" s="109" t="inlineStr">
        <is>
          <t>—</t>
        </is>
      </c>
    </row>
    <row r="22" ht="22" customHeight="1">
      <c r="A22" s="107" t="inlineStr">
        <is>
          <t>Low</t>
        </is>
      </c>
      <c r="B22" s="110" t="inlineStr">
        <is>
          <t>—</t>
        </is>
      </c>
      <c r="C22" s="110" t="inlineStr">
        <is>
          <t>11</t>
        </is>
      </c>
      <c r="D22" s="108" t="inlineStr">
        <is>
          <t>—</t>
        </is>
      </c>
    </row>
  </sheetData>
  <mergeCells count="3">
    <mergeCell ref="A2:F2"/>
    <mergeCell ref="A1:F1"/>
    <mergeCell ref="A18:F18"/>
  </mergeCells>
  <hyperlinks>
    <hyperlink xmlns:r="http://schemas.openxmlformats.org/officeDocument/2006/relationships" ref="I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6" customWidth="1" min="3" max="3"/>
    <col width="16" customWidth="1" min="4" max="4"/>
    <col width="14" customWidth="1" min="5" max="5"/>
  </cols>
  <sheetData>
    <row r="1" ht="28" customHeight="1">
      <c r="A1" s="1" t="inlineStr">
        <is>
          <t>KPI Dashboard &amp; Targets</t>
        </is>
      </c>
      <c r="H1" s="10" t="inlineStr">
        <is>
          <t>🏠 Home</t>
        </is>
      </c>
    </row>
    <row r="2" ht="20" customHeight="1">
      <c r="A2" s="19" t="inlineStr">
        <is>
          <t>Benchmarks from this research; set MÜV targets before launch</t>
        </is>
      </c>
    </row>
    <row r="3"/>
    <row r="4">
      <c r="A4" s="11" t="inlineStr">
        <is>
          <t>KPI</t>
        </is>
      </c>
      <c r="B4" s="11" t="inlineStr">
        <is>
          <t>Why it matters</t>
        </is>
      </c>
      <c r="C4" s="11" t="inlineStr">
        <is>
          <t>Category benchmark</t>
        </is>
      </c>
      <c r="D4" s="11" t="inlineStr">
        <is>
          <t>MÜV target</t>
        </is>
      </c>
      <c r="E4" s="11" t="inlineStr">
        <is>
          <t>Phase</t>
        </is>
      </c>
    </row>
    <row r="5" ht="30" customHeight="1">
      <c r="A5" s="13" t="inlineStr">
        <is>
          <t>Repeat purchase rate</t>
        </is>
      </c>
      <c r="B5" s="13" t="inlineStr">
        <is>
          <t>The metric buyers buy on</t>
        </is>
      </c>
      <c r="C5" s="13" t="inlineStr">
        <is>
          <t>OLIPOP “astronomical”; above category avg</t>
        </is>
      </c>
      <c r="D5" s="13" t="inlineStr">
        <is>
          <t>[set]</t>
        </is>
      </c>
      <c r="E5" s="13" t="inlineStr">
        <is>
          <t>Phase 1+</t>
        </is>
      </c>
    </row>
    <row r="6" ht="30" customHeight="1">
      <c r="A6" s="15" t="inlineStr">
        <is>
          <t>Velocity (u/store/wk)</t>
        </is>
      </c>
      <c r="B6" s="15" t="inlineStr">
        <is>
          <t>Gates shelf retention</t>
        </is>
      </c>
      <c r="C6" s="15" t="inlineStr">
        <is>
          <t>Reward durable, non-discount velocity</t>
        </is>
      </c>
      <c r="D6" s="15" t="inlineStr">
        <is>
          <t>[set]</t>
        </is>
      </c>
      <c r="E6" s="15" t="inlineStr">
        <is>
          <t>Phase 1+</t>
        </is>
      </c>
    </row>
    <row r="7" ht="30" customHeight="1">
      <c r="A7" s="13" t="inlineStr">
        <is>
          <t>Gross margin</t>
        </is>
      </c>
      <c r="B7" s="13" t="inlineStr">
        <is>
          <t>Survival</t>
        </is>
      </c>
      <c r="C7" s="13" t="inlineStr">
        <is>
          <t>50–65% at scale (40–50% early)</t>
        </is>
      </c>
      <c r="D7" s="13" t="inlineStr">
        <is>
          <t>[set]</t>
        </is>
      </c>
      <c r="E7" s="13" t="inlineStr">
        <is>
          <t>All</t>
        </is>
      </c>
    </row>
    <row r="8" ht="30" customHeight="1">
      <c r="A8" s="15" t="inlineStr">
        <is>
          <t>Trade spend % of revenue</t>
        </is>
      </c>
      <c r="B8" s="15" t="inlineStr">
        <is>
          <t>#2 P&amp;L line</t>
        </is>
      </c>
      <c r="C8" s="15" t="inlineStr">
        <is>
          <t>10–20%; high end for emerging</t>
        </is>
      </c>
      <c r="D8" s="15" t="inlineStr">
        <is>
          <t>≤45% early</t>
        </is>
      </c>
      <c r="E8" s="15" t="inlineStr">
        <is>
          <t>Phase 1–2</t>
        </is>
      </c>
    </row>
    <row r="9" ht="30" customHeight="1">
      <c r="A9" s="13" t="inlineStr">
        <is>
          <t>Doors / distribution</t>
        </is>
      </c>
      <c r="B9" s="13" t="inlineStr">
        <is>
          <t>Reach — on proven data</t>
        </is>
      </c>
      <c r="C9" s="13" t="inlineStr">
        <is>
          <t>Poppi ~36k / OLIPOP ~35k US (mature)</t>
        </is>
      </c>
      <c r="D9" s="13" t="inlineStr">
        <is>
          <t>Beachhead first</t>
        </is>
      </c>
      <c r="E9" s="13" t="inlineStr">
        <is>
          <t>Phase 1–3</t>
        </is>
      </c>
    </row>
    <row r="10" ht="30" customHeight="1">
      <c r="A10" s="15" t="inlineStr">
        <is>
          <t>Net revenue</t>
        </is>
      </c>
      <c r="B10" s="15" t="inlineStr">
        <is>
          <t>Scale</t>
        </is>
      </c>
      <c r="C10" s="15" t="inlineStr">
        <is>
          <t>$852k (OLIPOP yr1) → $400M+ (yr6)</t>
        </is>
      </c>
      <c r="D10" s="15" t="inlineStr">
        <is>
          <t>[set]</t>
        </is>
      </c>
      <c r="E10" s="15" t="inlineStr">
        <is>
          <t>All</t>
        </is>
      </c>
    </row>
    <row r="11"/>
    <row r="12"/>
    <row r="13" hidden="1">
      <c r="A13" t="inlineStr">
        <is>
          <t>Brand</t>
        </is>
      </c>
      <c r="B13" t="inlineStr">
        <is>
          <t>Price/serving</t>
        </is>
      </c>
    </row>
    <row r="14" hidden="1">
      <c r="A14" t="inlineStr">
        <is>
          <t>LMNT</t>
        </is>
      </c>
      <c r="B14" t="n">
        <v>1.5</v>
      </c>
    </row>
    <row r="15" hidden="1">
      <c r="A15" t="inlineStr">
        <is>
          <t>Liquid I.V.</t>
        </is>
      </c>
      <c r="B15" t="n">
        <v>1.56</v>
      </c>
    </row>
    <row r="16" hidden="1">
      <c r="A16" t="inlineStr">
        <is>
          <t>Nuun</t>
        </is>
      </c>
      <c r="B16" t="n">
        <v>0.75</v>
      </c>
    </row>
    <row r="17" hidden="1">
      <c r="A17" t="inlineStr">
        <is>
          <t>Organika sachet</t>
        </is>
      </c>
      <c r="B17" t="n">
        <v>1</v>
      </c>
    </row>
  </sheetData>
  <mergeCells count="2">
    <mergeCell ref="A2:E2"/>
    <mergeCell ref="A1:E1"/>
  </mergeCells>
  <hyperlinks>
    <hyperlink xmlns:r="http://schemas.openxmlformats.org/officeDocument/2006/relationships" ref="H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  <drawing xmlns:r="http://schemas.openxmlformats.org/officeDocument/2006/relationships" r:id="rId2"/>
</worksheet>
</file>

<file path=xl/worksheets/sheet39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I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" t="inlineStr">
        <is>
          <t>Go / No-Go Decision Scorecard</t>
        </is>
      </c>
      <c r="I1" s="10" t="inlineStr">
        <is>
          <t>🏠 Home</t>
        </is>
      </c>
    </row>
    <row r="2" ht="20" customHeight="1">
      <c r="A2" s="19" t="inlineStr">
        <is>
          <t>Edit yellow weight &amp; score (1–5) cells; verdict auto-computes</t>
        </is>
      </c>
    </row>
    <row r="3"/>
    <row r="4">
      <c r="A4" s="11" t="inlineStr">
        <is>
          <t>Criterion</t>
        </is>
      </c>
      <c r="B4" s="11" t="inlineStr">
        <is>
          <t>What 'pass' looks like</t>
        </is>
      </c>
      <c r="C4" s="11" t="inlineStr">
        <is>
          <t>Weight</t>
        </is>
      </c>
      <c r="D4" s="11" t="inlineStr">
        <is>
          <t>Score 1–5</t>
        </is>
      </c>
      <c r="E4" s="11" t="inlineStr">
        <is>
          <t>Weighted</t>
        </is>
      </c>
    </row>
    <row r="5" ht="30" customHeight="1">
      <c r="A5" s="18" t="inlineStr">
        <is>
          <t>Market opportunity / tailwinds</t>
        </is>
      </c>
      <c r="B5" s="13" t="inlineStr">
        <is>
          <t>Category growth &amp; white space support entry</t>
        </is>
      </c>
      <c r="C5" s="111" t="n">
        <v>0.15</v>
      </c>
      <c r="D5" s="112" t="n">
        <v>4</v>
      </c>
      <c r="E5" s="113">
        <f>C5*D5</f>
        <v/>
      </c>
    </row>
    <row r="6" ht="30" customHeight="1">
      <c r="A6" s="18" t="inlineStr">
        <is>
          <t>Right to win (Organika assets)</t>
        </is>
      </c>
      <c r="B6" s="13" t="inlineStr">
        <is>
          <t>Domestic mfg, #1 collagen halo, CA shelf</t>
        </is>
      </c>
      <c r="C6" s="111" t="n">
        <v>0.2</v>
      </c>
      <c r="D6" s="112" t="n">
        <v>4</v>
      </c>
      <c r="E6" s="113">
        <f>C6*D6</f>
        <v/>
      </c>
    </row>
    <row r="7" ht="30" customHeight="1">
      <c r="A7" s="18" t="inlineStr">
        <is>
          <t>Claim defensibility / dose</t>
        </is>
      </c>
      <c r="B7" s="13" t="inlineStr">
        <is>
          <t>Substantiable dose; avoids Poppi-style risk</t>
        </is>
      </c>
      <c r="C7" s="111" t="n">
        <v>0.15</v>
      </c>
      <c r="D7" s="112" t="n">
        <v>3</v>
      </c>
      <c r="E7" s="113">
        <f>C7*D7</f>
        <v/>
      </c>
    </row>
    <row r="8" ht="30" customHeight="1">
      <c r="A8" s="18" t="inlineStr">
        <is>
          <t>Regulatory clarity (Canada)</t>
        </is>
      </c>
      <c r="B8" s="13" t="inlineStr">
        <is>
          <t>Supplemented-Foods pathway resolved</t>
        </is>
      </c>
      <c r="C8" s="111" t="n">
        <v>0.15</v>
      </c>
      <c r="D8" s="112" t="n">
        <v>3</v>
      </c>
      <c r="E8" s="113">
        <f>C8*D8</f>
        <v/>
      </c>
    </row>
    <row r="9" ht="30" customHeight="1">
      <c r="A9" s="18" t="inlineStr">
        <is>
          <t>Unit economics / margin</t>
        </is>
      </c>
      <c r="B9" s="13" t="inlineStr">
        <is>
          <t>Contribution positive at ≤$3.49 w/ domestic COGS</t>
        </is>
      </c>
      <c r="C9" s="111" t="n">
        <v>0.15</v>
      </c>
      <c r="D9" s="112" t="n">
        <v>4</v>
      </c>
      <c r="E9" s="113">
        <f>C9*D9</f>
        <v/>
      </c>
    </row>
    <row r="10" ht="30" customHeight="1">
      <c r="A10" s="18" t="inlineStr">
        <is>
          <t>Competitive resilience</t>
        </is>
      </c>
      <c r="B10" s="13" t="inlineStr">
        <is>
          <t>Defensible vs Nestlé/Vital Proteins &amp; private label</t>
        </is>
      </c>
      <c r="C10" s="111" t="n">
        <v>0.1</v>
      </c>
      <c r="D10" s="112" t="n">
        <v>2</v>
      </c>
      <c r="E10" s="113">
        <f>C10*D10</f>
        <v/>
      </c>
    </row>
    <row r="11" ht="30" customHeight="1">
      <c r="A11" s="18" t="inlineStr">
        <is>
          <t>Go-to-market feasibility</t>
        </is>
      </c>
      <c r="B11" s="13" t="inlineStr">
        <is>
          <t>Costco/Amazon/natural beachhead + cheap marketing</t>
        </is>
      </c>
      <c r="C11" s="111" t="n">
        <v>0.1</v>
      </c>
      <c r="D11" s="112" t="n">
        <v>4</v>
      </c>
      <c r="E11" s="113">
        <f>C11*D11</f>
        <v/>
      </c>
    </row>
    <row r="12">
      <c r="A12" s="79" t="inlineStr">
        <is>
          <t>TOTALS</t>
        </is>
      </c>
      <c r="C12" s="114">
        <f>SUM(C5:C11)</f>
        <v/>
      </c>
      <c r="D12" s="115" t="inlineStr">
        <is>
          <t>Weighted /5 →</t>
        </is>
      </c>
      <c r="E12" s="116">
        <f>SUMPRODUCT(C5:C11,D5:D11)</f>
        <v/>
      </c>
    </row>
    <row r="13"/>
    <row r="14">
      <c r="A14" s="79" t="inlineStr">
        <is>
          <t>Auto verdict:</t>
        </is>
      </c>
      <c r="C14" s="117">
        <f>IF(E12&gt;=3.5,"GO",IF(E12&gt;=2.8,"GO — conditional","NO-GO / rework"))</f>
        <v/>
      </c>
    </row>
    <row r="15"/>
    <row r="16" ht="26" customHeight="1">
      <c r="A16" s="118" t="inlineStr">
        <is>
          <t>HOW TO USE: edit the yellow Weight and Score cells; the weighted total and the GO / GO-conditional / NO-GO verdict recompute automatically.</t>
        </is>
      </c>
    </row>
  </sheetData>
  <mergeCells count="5">
    <mergeCell ref="A2:F2"/>
    <mergeCell ref="A16:F16"/>
    <mergeCell ref="C14:E14"/>
    <mergeCell ref="A1:F1"/>
    <mergeCell ref="A14:B14"/>
  </mergeCells>
  <conditionalFormatting sqref="E5:E11">
    <cfRule type="dataBar" priority="1">
      <dataBar>
        <cfvo type="num" val="0"/>
        <cfvo type="num" val="5"/>
        <color rgb="002E7D8A"/>
      </dataBar>
    </cfRule>
  </conditionalFormatting>
  <hyperlinks>
    <hyperlink xmlns:r="http://schemas.openxmlformats.org/officeDocument/2006/relationships" ref="I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40" customWidth="1" min="2" max="2"/>
    <col width="20" customWidth="1" min="3" max="3"/>
  </cols>
  <sheetData>
    <row r="1" ht="28" customHeight="1">
      <c r="A1" s="1" t="inlineStr">
        <is>
          <t>Master Bibliography</t>
        </is>
      </c>
      <c r="F1" s="10" t="inlineStr">
        <is>
          <t>🏠 Home</t>
        </is>
      </c>
    </row>
    <row r="2" ht="20" customHeight="1">
      <c r="A2" s="19" t="inlineStr">
        <is>
          <t>Tagged by type; first source clickable. Re-pull load-bearing figures before external use.</t>
        </is>
      </c>
    </row>
    <row r="3"/>
    <row r="4">
      <c r="A4" s="11" t="inlineStr">
        <is>
          <t>Claim / topic</t>
        </is>
      </c>
      <c r="B4" s="11" t="inlineStr">
        <is>
          <t>Source(s)</t>
        </is>
      </c>
      <c r="C4" s="11" t="inlineStr">
        <is>
          <t>Type</t>
        </is>
      </c>
    </row>
    <row r="5" ht="24" customHeight="1">
      <c r="A5" s="13" t="inlineStr">
        <is>
          <t>PepsiCo — Poppi acquisition ($1.95B, May 2025)</t>
        </is>
      </c>
      <c r="B5" s="119" t="inlineStr">
        <is>
          <t>pepsico.com</t>
        </is>
      </c>
      <c r="C5" s="13" t="inlineStr">
        <is>
          <t>Primary</t>
        </is>
      </c>
    </row>
    <row r="6" ht="24" customHeight="1">
      <c r="A6" s="15" t="inlineStr">
        <is>
          <t>Poppi $8.9M gut-health settlement</t>
        </is>
      </c>
      <c r="B6" s="120" t="inlineStr">
        <is>
          <t>classaction.org; bevnet.com</t>
        </is>
      </c>
      <c r="C6" s="15" t="inlineStr">
        <is>
          <t>Primary/Trade</t>
        </is>
      </c>
    </row>
    <row r="7" ht="24" customHeight="1">
      <c r="A7" s="13" t="inlineStr">
        <is>
          <t>OLIPOP $50M Series C @ $1.85B; revenue</t>
        </is>
      </c>
      <c r="B7" s="119" t="inlineStr">
        <is>
          <t>cnbc.com; bloomberg.com</t>
        </is>
      </c>
      <c r="C7" s="13" t="inlineStr">
        <is>
          <t>Primary/Trade</t>
        </is>
      </c>
    </row>
    <row r="8" ht="24" customHeight="1">
      <c r="A8" s="15" t="inlineStr">
        <is>
          <t>Modern soda $1.8B 2024 (+83%); shares</t>
        </is>
      </c>
      <c r="B8" s="120" t="inlineStr">
        <is>
          <t>circana.com; bevindustry.com</t>
        </is>
      </c>
      <c r="C8" s="15" t="inlineStr">
        <is>
          <t>Scanner</t>
        </is>
      </c>
    </row>
    <row r="9" ht="24" customHeight="1">
      <c r="A9" s="13" t="inlineStr">
        <is>
          <t>LMNT FY2023 ($206M, ~20% net)</t>
        </is>
      </c>
      <c r="B9" s="119" t="inlineStr">
        <is>
          <t>sec.gov</t>
        </is>
      </c>
      <c r="C9" s="13" t="inlineStr">
        <is>
          <t>Primary (strongest)</t>
        </is>
      </c>
    </row>
    <row r="10" ht="24" customHeight="1">
      <c r="A10" s="15" t="inlineStr">
        <is>
          <t>Powdered hydration $1.5B (+20%)</t>
        </is>
      </c>
      <c r="B10" s="120" t="inlineStr">
        <is>
          <t>circana.com; cnn.com</t>
        </is>
      </c>
      <c r="C10" s="15" t="inlineStr">
        <is>
          <t>Scanner</t>
        </is>
      </c>
    </row>
    <row r="11" ht="24" customHeight="1">
      <c r="A11" s="13" t="inlineStr">
        <is>
          <t>Liquid I.V. Costco 2019; Unilever 2020</t>
        </is>
      </c>
      <c r="B11" s="119" t="inlineStr">
        <is>
          <t>liquid-iv.com; unilever.com</t>
        </is>
      </c>
      <c r="C11" s="13" t="inlineStr">
        <is>
          <t>Primary</t>
        </is>
      </c>
    </row>
    <row r="12" ht="24" customHeight="1">
      <c r="A12" s="15" t="inlineStr">
        <is>
          <t>Nuun — Nestlé HS (2021)</t>
        </is>
      </c>
      <c r="B12" s="120" t="inlineStr">
        <is>
          <t>nestle.com</t>
        </is>
      </c>
      <c r="C12" s="15" t="inlineStr">
        <is>
          <t>Primary</t>
        </is>
      </c>
    </row>
    <row r="13" ht="24" customHeight="1">
      <c r="A13" s="13" t="inlineStr">
        <is>
          <t>Celsius — PepsiCo $550M; Alani Nu $1.8B</t>
        </is>
      </c>
      <c r="B13" s="119" t="inlineStr">
        <is>
          <t>sec.gov; bevnet.com</t>
        </is>
      </c>
      <c r="C13" s="13" t="inlineStr">
        <is>
          <t>Primary</t>
        </is>
      </c>
    </row>
    <row r="14" ht="24" customHeight="1">
      <c r="A14" s="15" t="inlineStr">
        <is>
          <t>Collagen efficacy meta-analysis (2025)</t>
        </is>
      </c>
      <c r="B14" s="120" t="inlineStr">
        <is>
          <t>amjmed.com; nutraingredients.com</t>
        </is>
      </c>
      <c r="C14" s="15" t="inlineStr">
        <is>
          <t>Peer-reviewed</t>
        </is>
      </c>
    </row>
    <row r="15" ht="24" customHeight="1">
      <c r="A15" s="13" t="inlineStr">
        <is>
          <t>Canada sport-electrolyte → food (2026)</t>
        </is>
      </c>
      <c r="B15" s="119" t="inlineStr">
        <is>
          <t>canada.ca; gowlingwlg.com</t>
        </is>
      </c>
      <c r="C15" s="13" t="inlineStr">
        <is>
          <t>Regulatory</t>
        </is>
      </c>
    </row>
    <row r="16" ht="24" customHeight="1">
      <c r="A16" s="15" t="inlineStr">
        <is>
          <t>Supplemented Foods Reg; 180mg caffeine</t>
        </is>
      </c>
      <c r="B16" s="120" t="inlineStr">
        <is>
          <t>canada.ca; fasken.com</t>
        </is>
      </c>
      <c r="C16" s="15" t="inlineStr">
        <is>
          <t>Regulatory</t>
        </is>
      </c>
    </row>
    <row r="17" ht="24" customHeight="1">
      <c r="A17" s="13" t="inlineStr">
        <is>
          <t>Collagen caution statement (FDR)</t>
        </is>
      </c>
      <c r="B17" s="119" t="inlineStr">
        <is>
          <t>laws.justice.gc.ca</t>
        </is>
      </c>
      <c r="C17" s="13" t="inlineStr">
        <is>
          <t>Regulatory</t>
        </is>
      </c>
    </row>
    <row r="18" ht="24" customHeight="1">
      <c r="A18" s="15" t="inlineStr">
        <is>
          <t>Bill 96 / OQLF packaging</t>
        </is>
      </c>
      <c r="B18" s="120" t="inlineStr">
        <is>
          <t>stikeman.com; mltaikins.com</t>
        </is>
      </c>
      <c r="C18" s="15" t="inlineStr">
        <is>
          <t>Legal</t>
        </is>
      </c>
    </row>
    <row r="19" ht="24" customHeight="1">
      <c r="A19" s="13" t="inlineStr">
        <is>
          <t>BioSteel bankruptcy &amp; revival</t>
        </is>
      </c>
      <c r="B19" s="119" t="inlineStr">
        <is>
          <t>theglobeandmail.com; cbc.ca; coachwoodgroup.com</t>
        </is>
      </c>
      <c r="C19" s="13" t="inlineStr">
        <is>
          <t>Trade/Primary</t>
        </is>
      </c>
    </row>
    <row r="20" ht="24" customHeight="1">
      <c r="A20" s="15" t="inlineStr">
        <is>
          <t>US-brand Canada entry</t>
        </is>
      </c>
      <c r="B20" s="120" t="inlineStr">
        <is>
          <t>foodincanada.com; newswire.ca</t>
        </is>
      </c>
      <c r="C20" s="15" t="inlineStr">
        <is>
          <t>Trade</t>
        </is>
      </c>
    </row>
    <row r="21" ht="24" customHeight="1">
      <c r="A21" s="13" t="inlineStr">
        <is>
          <t>Channel economics (Amazon/Costco/DTC)</t>
        </is>
      </c>
      <c r="B21" s="119" t="inlineStr">
        <is>
          <t>sellingpartners.aboutamazon.com; eightx.co</t>
        </is>
      </c>
      <c r="C21" s="13" t="inlineStr">
        <is>
          <t>Mixed</t>
        </is>
      </c>
    </row>
    <row r="22" ht="24" customHeight="1">
      <c r="A22" s="15" t="inlineStr">
        <is>
          <t>Private label ~$277B</t>
        </is>
      </c>
      <c r="B22" s="120" t="inlineStr">
        <is>
          <t>grocerydive.com; nielseniq.com</t>
        </is>
      </c>
      <c r="C22" s="15" t="inlineStr">
        <is>
          <t>Trade</t>
        </is>
      </c>
    </row>
    <row r="23" ht="24" customHeight="1">
      <c r="A23" s="13" t="inlineStr">
        <is>
          <t>Extended landscape (various)</t>
        </is>
      </c>
      <c r="B23" s="119" t="inlineStr">
        <is>
          <t>bevnet.com; techcrunch.com; wikipedia</t>
        </is>
      </c>
      <c r="C23" s="13" t="inlineStr">
        <is>
          <t>Trade (verify FLAGs)</t>
        </is>
      </c>
    </row>
    <row r="24" ht="24" customHeight="1">
      <c r="A24" s="15" t="inlineStr">
        <is>
          <t>Organika / MÜV product</t>
        </is>
      </c>
      <c r="B24" s="120" t="inlineStr">
        <is>
          <t>organika.com (SKU 4338); costco.ca; well.ca</t>
        </is>
      </c>
      <c r="C24" s="15" t="inlineStr">
        <is>
          <t>Primary</t>
        </is>
      </c>
    </row>
    <row r="25"/>
    <row r="26" ht="24" customHeight="1">
      <c r="A26" s="121" t="inlineStr">
        <is>
          <t>SOURCE MIX: Primary 9 · Regulatory 3 · Trade 3 · Scanner 2 · Other 2 · Peer-reviewed 1  — load-bearing claims lean primary/regulatory.</t>
        </is>
      </c>
    </row>
  </sheetData>
  <mergeCells count="3">
    <mergeCell ref="A1:C1"/>
    <mergeCell ref="A26:C26"/>
    <mergeCell ref="A2:C2"/>
  </mergeCells>
  <hyperlinks>
    <hyperlink xmlns:r="http://schemas.openxmlformats.org/officeDocument/2006/relationships" ref="F1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56" customWidth="1" min="4" max="4"/>
    <col width="26" customWidth="1" min="5" max="5"/>
  </cols>
  <sheetData>
    <row r="1" ht="28" customHeight="1">
      <c r="A1" s="1" t="inlineStr">
        <is>
          <t>Verification Log</t>
        </is>
      </c>
      <c r="H1" s="10" t="inlineStr">
        <is>
          <t>🏠 Home</t>
        </is>
      </c>
    </row>
    <row r="2" ht="20" customHeight="1">
      <c r="A2" s="19" t="inlineStr">
        <is>
          <t>What was checked against primary sources, and what changed</t>
        </is>
      </c>
    </row>
    <row r="3"/>
    <row r="4">
      <c r="A4" s="11" t="inlineStr">
        <is>
          <t>#</t>
        </is>
      </c>
      <c r="B4" s="11" t="inlineStr">
        <is>
          <t>Claim checked</t>
        </is>
      </c>
      <c r="C4" s="11" t="inlineStr">
        <is>
          <t>Result</t>
        </is>
      </c>
      <c r="D4" s="11" t="inlineStr">
        <is>
          <t>Finding</t>
        </is>
      </c>
      <c r="E4" s="11" t="inlineStr">
        <is>
          <t>Source</t>
        </is>
      </c>
    </row>
    <row r="5" ht="50" customHeight="1">
      <c r="A5" s="13" t="n">
        <v>1</v>
      </c>
      <c r="B5" s="13" t="inlineStr">
        <is>
          <t>What is MÜV — can or powder?</t>
        </is>
      </c>
      <c r="C5" s="20" t="inlineStr">
        <is>
          <t>CONFIRMED</t>
        </is>
      </c>
      <c r="D5" s="13" t="inlineStr">
        <is>
          <t>RTD sparkling CAN (SKU 4338, ~$14.99; ingredient list begins “Carbonated water” + Fibersol, magnesium glycinate, stevia). An interim 'powder' read was wrong and is retracted.</t>
        </is>
      </c>
      <c r="E5" s="13" t="inlineStr">
        <is>
          <t>organika.com; retailers</t>
        </is>
      </c>
    </row>
    <row r="6" ht="50" customHeight="1">
      <c r="A6" s="15" t="n">
        <v>2</v>
      </c>
      <c r="B6" s="15" t="inlineStr">
        <is>
          <t>Canada regulatory pathway for MÜV</t>
        </is>
      </c>
      <c r="C6" s="20" t="inlineStr">
        <is>
          <t>CONFIRMED</t>
        </is>
      </c>
      <c r="D6" s="15" t="inlineStr">
        <is>
          <t>Format is not the decider. ALL sport-electrolyte products reclassify NHP→Supplemented Foods (NPN holders by Dec 31 2027; new products comply now). Collagen beauty = NHP-only.</t>
        </is>
      </c>
      <c r="E6" s="15" t="inlineStr">
        <is>
          <t>canada.ca; Gowling; CHFA</t>
        </is>
      </c>
    </row>
    <row r="7" ht="50" customHeight="1">
      <c r="A7" s="13" t="n">
        <v>3</v>
      </c>
      <c r="B7" s="13" t="inlineStr">
        <is>
          <t>Poppi → PepsiCo $1.95B</t>
        </is>
      </c>
      <c r="C7" s="20" t="inlineStr">
        <is>
          <t>CONFIRMED</t>
        </is>
      </c>
      <c r="D7" s="13" t="inlineStr">
        <is>
          <t>$1.95B incl. $300M tax benefits → net $1.65B + earnout; closed May 19, 2025.</t>
        </is>
      </c>
      <c r="E7" s="13" t="inlineStr">
        <is>
          <t>PepsiCo PR</t>
        </is>
      </c>
    </row>
    <row r="8" ht="50" customHeight="1">
      <c r="A8" s="15" t="n">
        <v>4</v>
      </c>
      <c r="B8" s="15" t="inlineStr">
        <is>
          <t>OLIPOP $50M Series C @ $1.85B</t>
        </is>
      </c>
      <c r="C8" s="20" t="inlineStr">
        <is>
          <t>CONFIRMED</t>
        </is>
      </c>
      <c r="D8" s="15" t="inlineStr">
        <is>
          <t>JPM Private Capital, Feb 12 2025; profitable; &gt;$400M 2024 sales.</t>
        </is>
      </c>
      <c r="E8" s="15" t="inlineStr">
        <is>
          <t>Bloomberg; CNBC</t>
        </is>
      </c>
    </row>
    <row r="9" ht="50" customHeight="1">
      <c r="A9" s="13" t="n">
        <v>5</v>
      </c>
      <c r="B9" s="13" t="inlineStr">
        <is>
          <t>LMNT FY2023 $206M, ~20% net</t>
        </is>
      </c>
      <c r="C9" s="20" t="inlineStr">
        <is>
          <t>CONFIRMED</t>
        </is>
      </c>
      <c r="D9" s="13" t="inlineStr">
        <is>
          <t>SEC Form C-AR, CIK 1871551; $54.6M marketing.</t>
        </is>
      </c>
      <c r="E9" s="13" t="inlineStr">
        <is>
          <t>sec.gov EDGAR</t>
        </is>
      </c>
    </row>
    <row r="10" ht="50" customHeight="1">
      <c r="A10" s="15" t="n">
        <v>6</v>
      </c>
      <c r="B10" s="15" t="inlineStr">
        <is>
          <t>Modern soda $1.8B 2024 +83%</t>
        </is>
      </c>
      <c r="C10" s="20" t="inlineStr">
        <is>
          <t>CONFIRMED</t>
        </is>
      </c>
      <c r="D10" s="15" t="inlineStr">
        <is>
          <t>Poppi 38% / OLIPOP 32.7% share.</t>
        </is>
      </c>
      <c r="E10" s="15" t="inlineStr">
        <is>
          <t>Circana via trade</t>
        </is>
      </c>
    </row>
    <row r="11" ht="50" customHeight="1">
      <c r="A11" s="13" t="n">
        <v>7</v>
      </c>
      <c r="B11" s="13" t="inlineStr">
        <is>
          <t>Poppi $8.9M settlement</t>
        </is>
      </c>
      <c r="C11" s="20" t="inlineStr">
        <is>
          <t>CONFIRMED</t>
        </is>
      </c>
      <c r="D11" s="13" t="inlineStr">
        <is>
          <t>2g fibre too low; final approval April 14, 2026.</t>
        </is>
      </c>
      <c r="E11" s="13" t="inlineStr">
        <is>
          <t>classaction.org; BevNET</t>
        </is>
      </c>
    </row>
    <row r="12" ht="50" customHeight="1">
      <c r="A12" s="15" t="n">
        <v>8</v>
      </c>
      <c r="B12" s="15" t="inlineStr">
        <is>
          <t>Liquid I.V. Costco 2019; Unilever 2020</t>
        </is>
      </c>
      <c r="C12" s="20" t="inlineStr">
        <is>
          <t>CONFIRMED</t>
        </is>
      </c>
      <c r="D12" s="15" t="inlineStr">
        <is>
          <t>National Costco Jan 8 2019 (516 whs); Unilever Sept 1 2020 (~$500M est.).</t>
        </is>
      </c>
      <c r="E12" s="15" t="inlineStr">
        <is>
          <t>liquid-iv.com; Unilever</t>
        </is>
      </c>
    </row>
    <row r="13" ht="50" customHeight="1">
      <c r="A13" s="13" t="n">
        <v>9</v>
      </c>
      <c r="B13" s="13" t="inlineStr">
        <is>
          <t>Canada Supplemented Foods; 180mg caffeine</t>
        </is>
      </c>
      <c r="C13" s="20" t="inlineStr">
        <is>
          <t>CONFIRMED</t>
        </is>
      </c>
      <c r="D13" s="13" t="inlineStr">
        <is>
          <t>In force Jul 21 2022; Prime Energy (200mg) recalled.</t>
        </is>
      </c>
      <c r="E13" s="13" t="inlineStr">
        <is>
          <t>canada.ca; CNN</t>
        </is>
      </c>
    </row>
    <row r="14" ht="50" customHeight="1">
      <c r="A14" s="15" t="n">
        <v>10</v>
      </c>
      <c r="B14" s="15" t="inlineStr">
        <is>
          <t>Celsius–PepsiCo $550M; Alani Nu $1.8B</t>
        </is>
      </c>
      <c r="C14" s="20" t="inlineStr">
        <is>
          <t>CONFIRMED</t>
        </is>
      </c>
      <c r="D14" s="15" t="inlineStr">
        <is>
          <t>PepsiCo $550M @ $75/sh 2022; Alani Nu closed Apr 1 2025, net $1.65B.</t>
        </is>
      </c>
      <c r="E14" s="15" t="inlineStr">
        <is>
          <t>SEC 8-K; BevNET</t>
        </is>
      </c>
    </row>
    <row r="15" ht="38" customHeight="1">
      <c r="A15" s="6" t="inlineStr">
        <is>
          <t>All 10 re-verified against primary sources; no competitor figure required correction. The material corrections were on MÜV (items 1–2): verified as an RTD sparkling CAN, and the Canada sport-electrolyte → Supplemented-Food reclassification.</t>
        </is>
      </c>
    </row>
  </sheetData>
  <mergeCells count="3">
    <mergeCell ref="A2:E2"/>
    <mergeCell ref="A15:E15"/>
    <mergeCell ref="A1:E1"/>
  </mergeCells>
  <hyperlinks>
    <hyperlink xmlns:r="http://schemas.openxmlformats.org/officeDocument/2006/relationships" ref="H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8" customHeight="1">
      <c r="A1" s="1" t="inlineStr">
        <is>
          <t>Glossary &amp; Abbreviations</t>
        </is>
      </c>
      <c r="E1" s="10" t="inlineStr">
        <is>
          <t>🏠 Home</t>
        </is>
      </c>
    </row>
    <row r="2"/>
    <row r="3">
      <c r="A3" s="11" t="inlineStr">
        <is>
          <t>Term</t>
        </is>
      </c>
      <c r="B3" s="11" t="inlineStr">
        <is>
          <t>Definition</t>
        </is>
      </c>
    </row>
    <row r="4" ht="22" customHeight="1">
      <c r="A4" s="13" t="inlineStr">
        <is>
          <t>RTD</t>
        </is>
      </c>
      <c r="B4" s="13" t="inlineStr">
        <is>
          <t>Ready-to-drink — a finished beverage (a can), vs a powder/tablet.</t>
        </is>
      </c>
    </row>
    <row r="5" ht="22" customHeight="1">
      <c r="A5" s="15" t="inlineStr">
        <is>
          <t>NHP / NPN</t>
        </is>
      </c>
      <c r="B5" s="15" t="inlineStr">
        <is>
          <t>Natural Health Product / its 8-digit Natural Product Number (Canada supplement licence).</t>
        </is>
      </c>
    </row>
    <row r="6" ht="22" customHeight="1">
      <c r="A6" s="13" t="inlineStr">
        <is>
          <t>Supplemented Food</t>
        </is>
      </c>
      <c r="B6" s="13" t="inlineStr">
        <is>
          <t>A food with added vitamins/minerals/amino acids under the Supplemented Foods Regulations (in force 2022-07-21).</t>
        </is>
      </c>
    </row>
    <row r="7" ht="22" customHeight="1">
      <c r="A7" s="15" t="inlineStr">
        <is>
          <t>SFFt</t>
        </is>
      </c>
      <c r="B7" s="15" t="inlineStr">
        <is>
          <t>Supplemented Food Facts table — modified Nutrition Facts table with a 'Supplemented with' line.</t>
        </is>
      </c>
    </row>
    <row r="8" ht="22" customHeight="1">
      <c r="A8" s="13" t="inlineStr">
        <is>
          <t>SFCI</t>
        </is>
      </c>
      <c r="B8" s="13" t="inlineStr">
        <is>
          <t>Supplemented Food Caution Identifier — the black-&amp;-white '!' box required when cautionary statements apply.</t>
        </is>
      </c>
    </row>
    <row r="9" ht="22" customHeight="1">
      <c r="A9" s="15" t="inlineStr">
        <is>
          <t>ORS</t>
        </is>
      </c>
      <c r="B9" s="15" t="inlineStr">
        <is>
          <t>Oral Rehydration Solution — clinical rehydration; stays an NHP (carve-out from the electrolyte→food shift).</t>
        </is>
      </c>
    </row>
    <row r="10" ht="22" customHeight="1">
      <c r="A10" s="13" t="inlineStr">
        <is>
          <t>Food–NHP interface</t>
        </is>
      </c>
      <c r="B10" s="13" t="inlineStr">
        <is>
          <t>Health Canada guidance classifying food-format products; format is not decisive — representation + claims are.</t>
        </is>
      </c>
    </row>
    <row r="11" ht="22" customHeight="1">
      <c r="A11" s="15" t="inlineStr">
        <is>
          <t>Fibersol</t>
        </is>
      </c>
      <c r="B11" s="15" t="inlineStr">
        <is>
          <t>A soluble prebiotic dietary fibre used in MÜV.</t>
        </is>
      </c>
    </row>
    <row r="12" ht="22" customHeight="1">
      <c r="A12" s="13" t="inlineStr">
        <is>
          <t>Bill 96 / OQLF</t>
        </is>
      </c>
      <c r="B12" s="13" t="inlineStr">
        <is>
          <t>Quebec French-language packaging rules; generic/descriptive trademark terms need French.</t>
        </is>
      </c>
    </row>
    <row r="13" ht="22" customHeight="1">
      <c r="A13" s="15" t="inlineStr">
        <is>
          <t>ACV</t>
        </is>
      </c>
      <c r="B13" s="15" t="inlineStr">
        <is>
          <t>Apple cider vinegar (Poppi's original hero ingredient).</t>
        </is>
      </c>
    </row>
    <row r="14" ht="22" customHeight="1">
      <c r="A14" s="13" t="inlineStr">
        <is>
          <t>CTT</t>
        </is>
      </c>
      <c r="B14" s="13" t="inlineStr">
        <is>
          <t>Cellular Transport Technology — Liquid I.V.'s hydration claim.</t>
        </is>
      </c>
    </row>
    <row r="15" ht="22" customHeight="1">
      <c r="A15" s="15" t="inlineStr">
        <is>
          <t>DSD</t>
        </is>
      </c>
      <c r="B15" s="15" t="inlineStr">
        <is>
          <t>Direct Store Delivery — brand/bottler delivers &amp; merchandises in-store.</t>
        </is>
      </c>
    </row>
    <row r="16" ht="22" customHeight="1">
      <c r="A16" s="13" t="inlineStr">
        <is>
          <t>GLP-1</t>
        </is>
      </c>
      <c r="B16" s="13" t="inlineStr">
        <is>
          <t>Ozempic/Wegovy-class weight-loss drugs reshaping food/beverage demand.</t>
        </is>
      </c>
    </row>
    <row r="17" ht="22" customHeight="1">
      <c r="A17" s="15" t="inlineStr">
        <is>
          <t>MULO</t>
        </is>
      </c>
      <c r="B17" s="15" t="inlineStr">
        <is>
          <t>Multi-Outlet (SPINS/Circana retail measurement universe).</t>
        </is>
      </c>
    </row>
    <row r="18" ht="22" customHeight="1">
      <c r="A18" s="13" t="inlineStr">
        <is>
          <t>SPINS / Circana</t>
        </is>
      </c>
      <c r="B18" s="13" t="inlineStr">
        <is>
          <t>Syndicated retail scanner-data providers (point-of-sale sales &amp; velocity).</t>
        </is>
      </c>
    </row>
    <row r="19" ht="22" customHeight="1">
      <c r="A19" s="15" t="inlineStr">
        <is>
          <t>Slotting / trade spend</t>
        </is>
      </c>
      <c r="B19" s="15" t="inlineStr">
        <is>
          <t>Payment to list a SKU / promotional spend to retailers — typically the #2 P&amp;L line after COGS.</t>
        </is>
      </c>
    </row>
    <row r="20" ht="22" customHeight="1">
      <c r="A20" s="13" t="inlineStr">
        <is>
          <t>VERISOL</t>
        </is>
      </c>
      <c r="B20" s="13" t="inlineStr">
        <is>
          <t>A clinically-studied collagen peptide (Vital Proteins sparkling).</t>
        </is>
      </c>
    </row>
    <row r="21" ht="22" customHeight="1">
      <c r="A21" s="15" t="inlineStr">
        <is>
          <t>TAM/SAM/SOM</t>
        </is>
      </c>
      <c r="B21" s="15" t="inlineStr">
        <is>
          <t>Total / Serviceable-available / Serviceable-obtainable market.</t>
        </is>
      </c>
    </row>
    <row r="22"/>
    <row r="23">
      <c r="A23" s="122" t="inlineStr">
        <is>
          <t>→ Full detail on the Supplemented-Foods pathway, SFFt and SFCI: see the ‘Canada Regulatory v2’ tab.</t>
        </is>
      </c>
    </row>
  </sheetData>
  <mergeCells count="2">
    <mergeCell ref="A1:B1"/>
    <mergeCell ref="A23:B23"/>
  </mergeCells>
  <hyperlinks>
    <hyperlink xmlns:r="http://schemas.openxmlformats.org/officeDocument/2006/relationships" ref="E1" r:id="rId1"/>
  </hyperlinks>
  <pageMargins left="0.75" right="0.75" top="1" bottom="1" header="0.5" footer="0.5"/>
  <pageSetup orientation="landscape" fitToHeight="0" fitToWidth="1"/>
  <headerFooter>
    <oddHeader/>
    <oddFooter>&amp;LOrganika MÜV — Competitor Intelligence (confidential draft)&amp;R&amp;P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2026-10-23T07:25:39Z</dcterms:created>
  <dcterms:modified xmlns:dcterms="http://purl.org/dc/terms/" xmlns:xsi="http://www.w3.org/2001/XMLSchema-instance" xsi:type="dcterms:W3CDTF">2026-10-23T07:25:39Z</dcterms:modified>
</cp:coreProperties>
</file>