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trols" sheetId="2" state="visible" r:id="rId4"/>
    <sheet name="LandedCost" sheetId="3" state="visible" r:id="rId5"/>
    <sheet name="SKU_Economics" sheetId="4" state="visible" r:id="rId6"/>
    <sheet name="Channels" sheetId="5" state="visible" r:id="rId7"/>
    <sheet name="Scenar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OFX/exchange-rates.org Oct 2026 (MEDIUM). Refresh before quoting.</t>
        </r>
      </text>
    </comment>
    <comment ref="B5" authorId="0">
      <text>
        <r>
          <rPr>
            <sz val="10"/>
            <rFont val="Arial"/>
            <family val="2"/>
          </rPr>
          <t xml:space="preserve">OFX Aug 2026 (MEDIUM).</t>
        </r>
      </text>
    </comment>
    <comment ref="B8" authorId="0">
      <text>
        <r>
          <rPr>
            <sz val="10"/>
            <rFont val="Arial"/>
            <family val="2"/>
          </rPr>
          <t xml:space="preserve">Model: ~CAD0.45/unit sea. Replace with forwarder quote.</t>
        </r>
      </text>
    </comment>
    <comment ref="B9" authorId="0">
      <text>
        <r>
          <rPr>
            <sz val="10"/>
            <rFont val="Arial"/>
            <family val="2"/>
          </rPr>
          <t xml:space="preserve">HS 2106.90.99: CPTPP 0% with Form CPTPP C/O; MFN 15%.</t>
        </r>
      </text>
    </comment>
    <comment ref="B10" authorId="0">
      <text>
        <r>
          <rPr>
            <sz val="10"/>
            <rFont val="Arial"/>
            <family val="2"/>
          </rPr>
          <t xml:space="preserve">8% to 31 Dec 2026, 10% from 2027.</t>
        </r>
      </text>
    </comment>
    <comment ref="B13" authorId="0">
      <text>
        <r>
          <rPr>
            <sz val="10"/>
            <rFont val="Arial"/>
            <family val="2"/>
          </rPr>
          <t xml:space="preserve">Sourced range 35-60% (Asia Pro 2026). Mid used.</t>
        </r>
      </text>
    </comment>
    <comment ref="B14" authorId="0">
      <text>
        <r>
          <rPr>
            <sz val="10"/>
            <rFont val="Arial"/>
            <family val="2"/>
          </rPr>
          <t xml:space="preserve">Sourced 15-30%+; chain ask assumed 30-40%.</t>
        </r>
      </text>
    </comment>
    <comment ref="B17" authorId="0">
      <text>
        <r>
          <rPr>
            <sz val="10"/>
            <rFont val="Arial"/>
            <family val="2"/>
          </rPr>
          <t xml:space="preserve">~VND1.5M gov fee + ~USD1-3k consultant. Per SKU.</t>
        </r>
      </text>
    </comment>
    <comment ref="B18" authorId="0">
      <text>
        <r>
          <rPr>
            <sz val="10"/>
            <rFont val="Arial"/>
            <family val="2"/>
          </rPr>
          <t xml:space="preserve">Model volume to amortize registration.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PLACEHOLDER FOB. Replace with real Organika cost (CAD/unit).</t>
        </r>
      </text>
    </comment>
    <comment ref="C5" authorId="0">
      <text>
        <r>
          <rPr>
            <sz val="10"/>
            <rFont val="Arial"/>
            <family val="2"/>
          </rPr>
          <t xml:space="preserve">PLACEHOLDER FOB. Replace with real Organika cost (CAD/unit).</t>
        </r>
      </text>
    </comment>
    <comment ref="C6" authorId="0">
      <text>
        <r>
          <rPr>
            <sz val="10"/>
            <rFont val="Arial"/>
            <family val="2"/>
          </rPr>
          <t xml:space="preserve">PLACEHOLDER FOB. Replace with real Organika cost (CAD/unit).</t>
        </r>
      </text>
    </comment>
    <comment ref="C7" authorId="0">
      <text>
        <r>
          <rPr>
            <sz val="10"/>
            <rFont val="Arial"/>
            <family val="2"/>
          </rPr>
          <t xml:space="preserve">PLACEHOLDER FOB. Replace with real Organika cost (CAD/unit).</t>
        </r>
      </text>
    </comment>
    <comment ref="C8" authorId="0">
      <text>
        <r>
          <rPr>
            <sz val="10"/>
            <rFont val="Arial"/>
            <family val="2"/>
          </rPr>
          <t xml:space="preserve">PLACEHOLDER FOB. Replace with real Organika cost (CAD/unit).</t>
        </r>
      </text>
    </comment>
    <comment ref="C9" authorId="0">
      <text>
        <r>
          <rPr>
            <sz val="10"/>
            <rFont val="Arial"/>
            <family val="2"/>
          </rPr>
          <t xml:space="preserve">PLACEHOLDER FOB. Replace with real Organika cost (CAD/unit).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5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6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7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8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9" authorId="0">
      <text>
        <r>
          <rPr>
            <sz val="10"/>
            <rFont val="Arial"/>
            <family val="2"/>
          </rPr>
          <t xml:space="preserve">Real VN comparable, primer Ch6.5</t>
        </r>
      </text>
    </comment>
  </commentList>
</comments>
</file>

<file path=xl/sharedStrings.xml><?xml version="1.0" encoding="utf-8"?>
<sst xmlns="http://schemas.openxmlformats.org/spreadsheetml/2006/main" count="135" uniqueCount="110">
  <si>
    <t xml:space="preserve">Organika — Vietnam Landed Cost &amp; Margin Model</t>
  </si>
  <si>
    <t xml:space="preserve">Companion to the Vietnam market entry package. Model only — replace every blue/yellow input with real figures before use.</t>
  </si>
  <si>
    <t xml:space="preserve">HOW TO USE</t>
  </si>
  <si>
    <t xml:space="preserve">1</t>
  </si>
  <si>
    <t xml:space="preserve">Open the Controls tab and set FX, duty scenario, freight, and the margin stack. Everything downstream recalculates.</t>
  </si>
  <si>
    <t xml:space="preserve">2</t>
  </si>
  <si>
    <t xml:space="preserve">On Landed Cost, replace the yellow FOB cells with real Organika FOB per unit (CAD). These are placeholders.</t>
  </si>
  <si>
    <t xml:space="preserve">3</t>
  </si>
  <si>
    <t xml:space="preserve">SKU Economics shows each line's shelf price vs the real Vietnamese comparable band and a Lead/Flag/Support call.</t>
  </si>
  <si>
    <t xml:space="preserve">4</t>
  </si>
  <si>
    <t xml:space="preserve">Channel Economics shows what the brand nets per unit across Shopee, TikTok Shop, Lazada and chain pharmacy.</t>
  </si>
  <si>
    <t xml:space="preserve">5</t>
  </si>
  <si>
    <t xml:space="preserve">Scenarios compares CPTPP 0% vs MFN 15% duty and tests FX sensitivity on the hero SKU.</t>
  </si>
  <si>
    <t xml:space="preserve">CELL LEGEND</t>
  </si>
  <si>
    <t xml:space="preserve">Blue text</t>
  </si>
  <si>
    <t xml:space="preserve">A hardcoded input or scenario lever you can change.</t>
  </si>
  <si>
    <t xml:space="preserve">Yellow fill</t>
  </si>
  <si>
    <t xml:space="preserve">A key assumption or a placeholder you must replace with a real figure.</t>
  </si>
  <si>
    <t xml:space="preserve">Black text</t>
  </si>
  <si>
    <t xml:space="preserve">A formula. Do not overwrite; it recalculates from inputs.</t>
  </si>
  <si>
    <t xml:space="preserve">Green text</t>
  </si>
  <si>
    <t xml:space="preserve">A link to another tab.</t>
  </si>
  <si>
    <t xml:space="preserve">SOURCES &amp; CONFIDENCE</t>
  </si>
  <si>
    <t xml:space="preserve">FX</t>
  </si>
  <si>
    <t xml:space="preserve">USD/VND ~26,200, CAD/VND ~18,450 (OFX, exchange-rates.org, Oct 2026 — MEDIUM). Editable on Controls.</t>
  </si>
  <si>
    <t xml:space="preserve">Duty</t>
  </si>
  <si>
    <t xml:space="preserve">HS 2106.90.99: MFN 15%, CPTPP 0% with Form CPTPP C/O (VN customs brokers; Decrees 115/2022 &amp; 13/2025, 2025-26 — MEDIUM-HIGH).</t>
  </si>
  <si>
    <t xml:space="preserve">VAT</t>
  </si>
  <si>
    <t xml:space="preserve">8% through 31 Dec 2026, reverts to 10% in 2027 (Resolution 204/2025 — HIGH).</t>
  </si>
  <si>
    <t xml:space="preserve">Margins</t>
  </si>
  <si>
    <t xml:space="preserve">Distributor 35-60% on landed, retail 15-30%+ (Asia Pro 2026 — LOW-MEDIUM). Confirm with Kat Vietnam.</t>
  </si>
  <si>
    <t xml:space="preserve">Comparable bands</t>
  </si>
  <si>
    <t xml:space="preserve">Real Vietnamese shelf prices, primer Ch6.2/6.5 (2025-26 listings — MEDIUM).</t>
  </si>
  <si>
    <t xml:space="preserve">Platform take</t>
  </si>
  <si>
    <t xml:space="preserve">Shopee ~21%, TikTok ~18%, Lazada ~15% all-in (primer Ch6.4, 2025-26 — MEDIUM-HIGH).</t>
  </si>
  <si>
    <t xml:space="preserve">FOB costs</t>
  </si>
  <si>
    <t xml:space="preserve">PLACEHOLDERS. No real Organika COGS was available; replace before quoting.</t>
  </si>
  <si>
    <t xml:space="preserve">Controls — set once, drives every tab</t>
  </si>
  <si>
    <t xml:space="preserve">Foreign exchange</t>
  </si>
  <si>
    <t xml:space="preserve">CAD to VND</t>
  </si>
  <si>
    <t xml:space="preserve">input</t>
  </si>
  <si>
    <t xml:space="preserve">USD to VND</t>
  </si>
  <si>
    <t xml:space="preserve">Import &amp; tax</t>
  </si>
  <si>
    <t xml:space="preserve">Freight+insurance per unit (VND)</t>
  </si>
  <si>
    <t xml:space="preserve">Duty rate (0=CPTPP, 0.15=MFN)</t>
  </si>
  <si>
    <t xml:space="preserve">VAT rate</t>
  </si>
  <si>
    <t xml:space="preserve">Margin stack</t>
  </si>
  <si>
    <t xml:space="preserve">Distributor markup on landed</t>
  </si>
  <si>
    <t xml:space="preserve">Retail margin (% of shelf)</t>
  </si>
  <si>
    <t xml:space="preserve">Registration amortization</t>
  </si>
  <si>
    <t xml:space="preserve">Reg + consultant per SKU (VND)</t>
  </si>
  <si>
    <t xml:space="preserve">Units per SKU per year (amort base)</t>
  </si>
  <si>
    <t xml:space="preserve">Landed cost per unit (CIF + duty), by SKU</t>
  </si>
  <si>
    <t xml:space="preserve">SKU</t>
  </si>
  <si>
    <t xml:space="preserve">Role</t>
  </si>
  <si>
    <t xml:space="preserve">FOB (CAD)</t>
  </si>
  <si>
    <t xml:space="preserve">FOB (VND)</t>
  </si>
  <si>
    <t xml:space="preserve">Freight (VND)</t>
  </si>
  <si>
    <t xml:space="preserve">CIF (VND)</t>
  </si>
  <si>
    <t xml:space="preserve">Duty (VND)</t>
  </si>
  <si>
    <t xml:space="preserve">Landed (VND)</t>
  </si>
  <si>
    <t xml:space="preserve">Reg amort (VND)</t>
  </si>
  <si>
    <t xml:space="preserve">Landed+Reg (VND)</t>
  </si>
  <si>
    <t xml:space="preserve">Enhanced Collagen (250g)</t>
  </si>
  <si>
    <t xml:space="preserve">Credential flag</t>
  </si>
  <si>
    <t xml:space="preserve">Magnesium bisglycinate</t>
  </si>
  <si>
    <t xml:space="preserve">Lead SKU</t>
  </si>
  <si>
    <t xml:space="preserve">Greens / superfood</t>
  </si>
  <si>
    <t xml:space="preserve">Fibre (psyllium/inulin)</t>
  </si>
  <si>
    <t xml:space="preserve">Range filler</t>
  </si>
  <si>
    <t xml:space="preserve">Probiotics</t>
  </si>
  <si>
    <t xml:space="preserve">Support</t>
  </si>
  <si>
    <t xml:space="preserve">Vitamin C / dailies</t>
  </si>
  <si>
    <t xml:space="preserve">FOB cells are placeholders (Controls legend). All other columns are formulas driven by Controls.</t>
  </si>
  <si>
    <t xml:space="preserve">SKU economics — shelf price vs the real Vietnamese shelf</t>
  </si>
  <si>
    <t xml:space="preserve">To distributor (VND)</t>
  </si>
  <si>
    <t xml:space="preserve">Pre-VAT shelf (VND)</t>
  </si>
  <si>
    <t xml:space="preserve">Shelf (VND)</t>
  </si>
  <si>
    <t xml:space="preserve">Shelf (USD)</t>
  </si>
  <si>
    <t xml:space="preserve">Shelf (CAD)</t>
  </si>
  <si>
    <t xml:space="preserve">FOB multiple</t>
  </si>
  <si>
    <t xml:space="preserve">Comparable band low (VND)</t>
  </si>
  <si>
    <t xml:space="preserve">Comparable band high (VND)</t>
  </si>
  <si>
    <t xml:space="preserve">Position</t>
  </si>
  <si>
    <t xml:space="preserve">Shelf (daily, for dailies)</t>
  </si>
  <si>
    <t xml:space="preserve">Channel economics — what the brand nets per unit</t>
  </si>
  <si>
    <t xml:space="preserve">For the hero SKU at its modeled shelf price. Edit take rates (blue) to your real terms.</t>
  </si>
  <si>
    <t xml:space="preserve">Shelf price (hero SKU, from SKU_Economics)</t>
  </si>
  <si>
    <t xml:space="preserve">Channel</t>
  </si>
  <si>
    <t xml:space="preserve">Platform take %</t>
  </si>
  <si>
    <t xml:space="preserve">Affiliate/KOC %</t>
  </si>
  <si>
    <t xml:space="preserve">Voucher/co-fund %</t>
  </si>
  <si>
    <t xml:space="preserve">Total deductions %</t>
  </si>
  <si>
    <t xml:space="preserve">Net to seller (VND)</t>
  </si>
  <si>
    <t xml:space="preserve">Net vs landed+reg (VND)</t>
  </si>
  <si>
    <t xml:space="preserve">Net margin %</t>
  </si>
  <si>
    <t xml:space="preserve">Shopee Mall</t>
  </si>
  <si>
    <t xml:space="preserve">TikTok Shop Mall</t>
  </si>
  <si>
    <t xml:space="preserve">Lazada / LazMall</t>
  </si>
  <si>
    <t xml:space="preserve">Chain pharmacy (no platform)</t>
  </si>
  <si>
    <t xml:space="preserve">Chain pharmacy: platform take is zero but the retail margin already sits inside the shelf price (SKU_Economics). Net here is the brand/distributor side.</t>
  </si>
  <si>
    <t xml:space="preserve">Scenarios — duty and FX sensitivity (hero SKU)</t>
  </si>
  <si>
    <t xml:space="preserve">hero FOB CAD</t>
  </si>
  <si>
    <t xml:space="preserve">Duty scenario comparison (hero SKU shelf price)</t>
  </si>
  <si>
    <t xml:space="preserve">Scenario</t>
  </si>
  <si>
    <t xml:space="preserve">Duty rate</t>
  </si>
  <si>
    <t xml:space="preserve">CPTPP 0% (with C/O)</t>
  </si>
  <si>
    <t xml:space="preserve">MFN 15% (no C/O)</t>
  </si>
  <si>
    <t xml:space="preserve">Medical-nutrition 7%</t>
  </si>
  <si>
    <t xml:space="preserve">FX sensitivity — CPTPP shelf price at different CAD/VND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</si>
</sst>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"/>
    <numFmt numFmtId="168" formatCode="\$#,##0.0"/>
    <numFmt numFmtId="169" formatCode="&quot;C$&quot;#,##0.0"/>
    <numFmt numFmtId="170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D3A"/>
      <name val="Arial"/>
      <family val="0"/>
      <charset val="1"/>
    </font>
    <font>
      <i val="true"/>
      <sz val="9"/>
      <color rgb="FF5C635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C56A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D3A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6A45"/>
      <rgbColor rgb="FF5C63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4"/>
    </row>
    <row r="4" customFormat="false" ht="15" hidden="false" customHeight="true" outlineLevel="0" collapsed="false">
      <c r="A4" s="5" t="s">
        <v>2</v>
      </c>
      <c r="B4" s="4"/>
    </row>
    <row r="5" customFormat="false" ht="15" hidden="false" customHeight="true" outlineLevel="0" collapsed="false">
      <c r="A5" s="4" t="s">
        <v>3</v>
      </c>
      <c r="B5" s="4" t="s">
        <v>4</v>
      </c>
    </row>
    <row r="6" customFormat="false" ht="15" hidden="false" customHeight="true" outlineLevel="0" collapsed="false">
      <c r="A6" s="4" t="s">
        <v>5</v>
      </c>
      <c r="B6" s="4" t="s">
        <v>6</v>
      </c>
    </row>
    <row r="7" customFormat="false" ht="15" hidden="false" customHeight="true" outlineLevel="0" collapsed="false">
      <c r="A7" s="4" t="s">
        <v>7</v>
      </c>
      <c r="B7" s="4" t="s">
        <v>8</v>
      </c>
    </row>
    <row r="8" customFormat="false" ht="15" hidden="false" customHeight="true" outlineLevel="0" collapsed="false">
      <c r="A8" s="4" t="s">
        <v>9</v>
      </c>
      <c r="B8" s="4" t="s">
        <v>10</v>
      </c>
    </row>
    <row r="9" customFormat="false" ht="15" hidden="false" customHeight="true" outlineLevel="0" collapsed="false">
      <c r="A9" s="4" t="s">
        <v>11</v>
      </c>
      <c r="B9" s="4" t="s">
        <v>12</v>
      </c>
    </row>
    <row r="10" customFormat="false" ht="15" hidden="false" customHeight="true" outlineLevel="0" collapsed="false">
      <c r="A10" s="4"/>
      <c r="B10" s="4"/>
    </row>
    <row r="11" customFormat="false" ht="15" hidden="false" customHeight="true" outlineLevel="0" collapsed="false">
      <c r="A11" s="5" t="s">
        <v>13</v>
      </c>
      <c r="B11" s="4"/>
    </row>
    <row r="12" customFormat="false" ht="15" hidden="false" customHeight="true" outlineLevel="0" collapsed="false">
      <c r="A12" s="6" t="s">
        <v>14</v>
      </c>
      <c r="B12" s="4" t="s">
        <v>15</v>
      </c>
    </row>
    <row r="13" customFormat="false" ht="15" hidden="false" customHeight="true" outlineLevel="0" collapsed="false">
      <c r="A13" s="7" t="s">
        <v>16</v>
      </c>
      <c r="B13" s="4" t="s">
        <v>17</v>
      </c>
    </row>
    <row r="14" customFormat="false" ht="15" hidden="false" customHeight="true" outlineLevel="0" collapsed="false">
      <c r="A14" s="7" t="s">
        <v>18</v>
      </c>
      <c r="B14" s="4" t="s">
        <v>19</v>
      </c>
    </row>
    <row r="15" customFormat="false" ht="15" hidden="false" customHeight="true" outlineLevel="0" collapsed="false">
      <c r="A15" s="7" t="s">
        <v>20</v>
      </c>
      <c r="B15" s="4" t="s">
        <v>21</v>
      </c>
    </row>
    <row r="16" customFormat="false" ht="15" hidden="false" customHeight="true" outlineLevel="0" collapsed="false">
      <c r="A16" s="4"/>
      <c r="B16" s="4"/>
    </row>
    <row r="17" customFormat="false" ht="15" hidden="false" customHeight="true" outlineLevel="0" collapsed="false">
      <c r="A17" s="5" t="s">
        <v>22</v>
      </c>
      <c r="B17" s="4"/>
    </row>
    <row r="18" customFormat="false" ht="15" hidden="false" customHeight="true" outlineLevel="0" collapsed="false">
      <c r="A18" s="7" t="s">
        <v>23</v>
      </c>
      <c r="B18" s="4" t="s">
        <v>24</v>
      </c>
    </row>
    <row r="19" customFormat="false" ht="15" hidden="false" customHeight="true" outlineLevel="0" collapsed="false">
      <c r="A19" s="7" t="s">
        <v>25</v>
      </c>
      <c r="B19" s="4" t="s">
        <v>26</v>
      </c>
    </row>
    <row r="20" customFormat="false" ht="15" hidden="false" customHeight="true" outlineLevel="0" collapsed="false">
      <c r="A20" s="7" t="s">
        <v>27</v>
      </c>
      <c r="B20" s="4" t="s">
        <v>28</v>
      </c>
    </row>
    <row r="21" customFormat="false" ht="15" hidden="false" customHeight="true" outlineLevel="0" collapsed="false">
      <c r="A21" s="7" t="s">
        <v>29</v>
      </c>
      <c r="B21" s="4" t="s">
        <v>30</v>
      </c>
    </row>
    <row r="22" customFormat="false" ht="15" hidden="false" customHeight="true" outlineLevel="0" collapsed="false">
      <c r="A22" s="7" t="s">
        <v>31</v>
      </c>
      <c r="B22" s="4" t="s">
        <v>32</v>
      </c>
    </row>
    <row r="23" customFormat="false" ht="15" hidden="false" customHeight="true" outlineLevel="0" collapsed="false">
      <c r="A23" s="7" t="s">
        <v>33</v>
      </c>
      <c r="B23" s="4" t="s">
        <v>34</v>
      </c>
    </row>
    <row r="24" customFormat="false" ht="15" hidden="false" customHeight="true" outlineLevel="0" collapsed="false">
      <c r="A24" s="7" t="s">
        <v>35</v>
      </c>
      <c r="B24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7.25" hidden="false" customHeight="true" outlineLevel="0" collapsed="false">
      <c r="A1" s="2" t="s">
        <v>37</v>
      </c>
    </row>
    <row r="3" customFormat="false" ht="15" hidden="false" customHeight="true" outlineLevel="0" collapsed="false">
      <c r="A3" s="5" t="s">
        <v>38</v>
      </c>
    </row>
    <row r="4" customFormat="false" ht="15" hidden="false" customHeight="true" outlineLevel="0" collapsed="false">
      <c r="A4" s="7" t="s">
        <v>39</v>
      </c>
      <c r="B4" s="8" t="n">
        <v>18450</v>
      </c>
      <c r="D4" s="3" t="s">
        <v>40</v>
      </c>
    </row>
    <row r="5" customFormat="false" ht="15" hidden="false" customHeight="true" outlineLevel="0" collapsed="false">
      <c r="A5" s="7" t="s">
        <v>41</v>
      </c>
      <c r="B5" s="8" t="n">
        <v>26200</v>
      </c>
      <c r="D5" s="3" t="s">
        <v>40</v>
      </c>
    </row>
    <row r="7" customFormat="false" ht="15" hidden="false" customHeight="true" outlineLevel="0" collapsed="false">
      <c r="A7" s="5" t="s">
        <v>42</v>
      </c>
    </row>
    <row r="8" customFormat="false" ht="15" hidden="false" customHeight="true" outlineLevel="0" collapsed="false">
      <c r="A8" s="7" t="s">
        <v>43</v>
      </c>
      <c r="B8" s="8" t="n">
        <v>11800</v>
      </c>
      <c r="D8" s="3" t="s">
        <v>40</v>
      </c>
    </row>
    <row r="9" customFormat="false" ht="15" hidden="false" customHeight="true" outlineLevel="0" collapsed="false">
      <c r="A9" s="7" t="s">
        <v>44</v>
      </c>
      <c r="B9" s="9" t="n">
        <v>0</v>
      </c>
      <c r="D9" s="3" t="s">
        <v>40</v>
      </c>
    </row>
    <row r="10" customFormat="false" ht="15" hidden="false" customHeight="true" outlineLevel="0" collapsed="false">
      <c r="A10" s="7" t="s">
        <v>45</v>
      </c>
      <c r="B10" s="9" t="n">
        <v>0.08</v>
      </c>
      <c r="D10" s="3" t="s">
        <v>40</v>
      </c>
    </row>
    <row r="12" customFormat="false" ht="15" hidden="false" customHeight="true" outlineLevel="0" collapsed="false">
      <c r="A12" s="5" t="s">
        <v>46</v>
      </c>
    </row>
    <row r="13" customFormat="false" ht="15" hidden="false" customHeight="true" outlineLevel="0" collapsed="false">
      <c r="A13" s="7" t="s">
        <v>47</v>
      </c>
      <c r="B13" s="9" t="n">
        <v>0.45</v>
      </c>
      <c r="D13" s="3" t="s">
        <v>40</v>
      </c>
    </row>
    <row r="14" customFormat="false" ht="15" hidden="false" customHeight="true" outlineLevel="0" collapsed="false">
      <c r="A14" s="7" t="s">
        <v>48</v>
      </c>
      <c r="B14" s="9" t="n">
        <v>0.3</v>
      </c>
      <c r="D14" s="3" t="s">
        <v>40</v>
      </c>
    </row>
    <row r="16" customFormat="false" ht="15" hidden="false" customHeight="true" outlineLevel="0" collapsed="false">
      <c r="A16" s="5" t="s">
        <v>49</v>
      </c>
    </row>
    <row r="17" customFormat="false" ht="15" hidden="false" customHeight="true" outlineLevel="0" collapsed="false">
      <c r="A17" s="7" t="s">
        <v>50</v>
      </c>
      <c r="B17" s="8" t="n">
        <v>70000000</v>
      </c>
      <c r="D17" s="3" t="s">
        <v>40</v>
      </c>
    </row>
    <row r="18" customFormat="false" ht="15" hidden="false" customHeight="true" outlineLevel="0" collapsed="false">
      <c r="A18" s="7" t="s">
        <v>51</v>
      </c>
      <c r="B18" s="8" t="n">
        <v>20000</v>
      </c>
      <c r="D18" s="3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5"/>
    <col collapsed="false" customWidth="true" hidden="false" outlineLevel="0" max="3" min="3" style="1" width="10"/>
    <col collapsed="false" customWidth="true" hidden="false" outlineLevel="0" max="6" min="4" style="1" width="12"/>
    <col collapsed="false" customWidth="true" hidden="false" outlineLevel="0" max="7" min="7" style="1" width="11"/>
    <col collapsed="false" customWidth="true" hidden="false" outlineLevel="0" max="9" min="8" style="1" width="13"/>
    <col collapsed="false" customWidth="true" hidden="false" outlineLevel="0" max="10" min="10" style="1" width="15"/>
  </cols>
  <sheetData>
    <row r="1" customFormat="false" ht="17.25" hidden="false" customHeight="true" outlineLevel="0" collapsed="false">
      <c r="A1" s="2" t="s">
        <v>52</v>
      </c>
    </row>
    <row r="3" customFormat="false" ht="23.25" hidden="false" customHeight="true" outlineLevel="0" collapsed="false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58</v>
      </c>
      <c r="G3" s="10" t="s">
        <v>59</v>
      </c>
      <c r="H3" s="10" t="s">
        <v>60</v>
      </c>
      <c r="I3" s="10" t="s">
        <v>61</v>
      </c>
      <c r="J3" s="10" t="s">
        <v>62</v>
      </c>
    </row>
    <row r="4" customFormat="false" ht="15" hidden="false" customHeight="true" outlineLevel="0" collapsed="false">
      <c r="A4" s="7" t="s">
        <v>63</v>
      </c>
      <c r="B4" s="4" t="s">
        <v>64</v>
      </c>
      <c r="C4" s="11" t="n">
        <v>12</v>
      </c>
      <c r="D4" s="12" t="n">
        <f aca="false">C4*Controls!$B$4</f>
        <v>221400</v>
      </c>
      <c r="E4" s="13" t="n">
        <f aca="false">Controls!$B$8</f>
        <v>11800</v>
      </c>
      <c r="F4" s="13" t="n">
        <f aca="false">D4+E4</f>
        <v>233200</v>
      </c>
      <c r="G4" s="13" t="n">
        <f aca="false">F4*Controls!$B$9</f>
        <v>0</v>
      </c>
      <c r="H4" s="13" t="n">
        <f aca="false">F4+G4</f>
        <v>233200</v>
      </c>
      <c r="I4" s="13" t="n">
        <f aca="false">Controls!$B$17/Controls!$B$18</f>
        <v>3500</v>
      </c>
      <c r="J4" s="13" t="n">
        <f aca="false">H4+I4</f>
        <v>236700</v>
      </c>
    </row>
    <row r="5" customFormat="false" ht="15" hidden="false" customHeight="true" outlineLevel="0" collapsed="false">
      <c r="A5" s="7" t="s">
        <v>65</v>
      </c>
      <c r="B5" s="4" t="s">
        <v>66</v>
      </c>
      <c r="C5" s="11" t="n">
        <v>6</v>
      </c>
      <c r="D5" s="12" t="n">
        <f aca="false">C5*Controls!$B$4</f>
        <v>110700</v>
      </c>
      <c r="E5" s="13" t="n">
        <f aca="false">Controls!$B$8</f>
        <v>11800</v>
      </c>
      <c r="F5" s="13" t="n">
        <f aca="false">D5+E5</f>
        <v>122500</v>
      </c>
      <c r="G5" s="13" t="n">
        <f aca="false">F5*Controls!$B$9</f>
        <v>0</v>
      </c>
      <c r="H5" s="13" t="n">
        <f aca="false">F5+G5</f>
        <v>122500</v>
      </c>
      <c r="I5" s="13" t="n">
        <f aca="false">Controls!$B$17/Controls!$B$18</f>
        <v>3500</v>
      </c>
      <c r="J5" s="13" t="n">
        <f aca="false">H5+I5</f>
        <v>126000</v>
      </c>
    </row>
    <row r="6" customFormat="false" ht="15" hidden="false" customHeight="true" outlineLevel="0" collapsed="false">
      <c r="A6" s="7" t="s">
        <v>67</v>
      </c>
      <c r="B6" s="4" t="s">
        <v>66</v>
      </c>
      <c r="C6" s="11" t="n">
        <v>8</v>
      </c>
      <c r="D6" s="12" t="n">
        <f aca="false">C6*Controls!$B$4</f>
        <v>147600</v>
      </c>
      <c r="E6" s="13" t="n">
        <f aca="false">Controls!$B$8</f>
        <v>11800</v>
      </c>
      <c r="F6" s="13" t="n">
        <f aca="false">D6+E6</f>
        <v>159400</v>
      </c>
      <c r="G6" s="13" t="n">
        <f aca="false">F6*Controls!$B$9</f>
        <v>0</v>
      </c>
      <c r="H6" s="13" t="n">
        <f aca="false">F6+G6</f>
        <v>159400</v>
      </c>
      <c r="I6" s="13" t="n">
        <f aca="false">Controls!$B$17/Controls!$B$18</f>
        <v>3500</v>
      </c>
      <c r="J6" s="13" t="n">
        <f aca="false">H6+I6</f>
        <v>162900</v>
      </c>
    </row>
    <row r="7" customFormat="false" ht="15" hidden="false" customHeight="true" outlineLevel="0" collapsed="false">
      <c r="A7" s="7" t="s">
        <v>68</v>
      </c>
      <c r="B7" s="4" t="s">
        <v>69</v>
      </c>
      <c r="C7" s="11" t="n">
        <v>5</v>
      </c>
      <c r="D7" s="12" t="n">
        <f aca="false">C7*Controls!$B$4</f>
        <v>92250</v>
      </c>
      <c r="E7" s="13" t="n">
        <f aca="false">Controls!$B$8</f>
        <v>11800</v>
      </c>
      <c r="F7" s="13" t="n">
        <f aca="false">D7+E7</f>
        <v>104050</v>
      </c>
      <c r="G7" s="13" t="n">
        <f aca="false">F7*Controls!$B$9</f>
        <v>0</v>
      </c>
      <c r="H7" s="13" t="n">
        <f aca="false">F7+G7</f>
        <v>104050</v>
      </c>
      <c r="I7" s="13" t="n">
        <f aca="false">Controls!$B$17/Controls!$B$18</f>
        <v>3500</v>
      </c>
      <c r="J7" s="13" t="n">
        <f aca="false">H7+I7</f>
        <v>107550</v>
      </c>
    </row>
    <row r="8" customFormat="false" ht="15" hidden="false" customHeight="true" outlineLevel="0" collapsed="false">
      <c r="A8" s="7" t="s">
        <v>70</v>
      </c>
      <c r="B8" s="4" t="s">
        <v>71</v>
      </c>
      <c r="C8" s="11" t="n">
        <v>7</v>
      </c>
      <c r="D8" s="12" t="n">
        <f aca="false">C8*Controls!$B$4</f>
        <v>129150</v>
      </c>
      <c r="E8" s="13" t="n">
        <f aca="false">Controls!$B$8</f>
        <v>11800</v>
      </c>
      <c r="F8" s="13" t="n">
        <f aca="false">D8+E8</f>
        <v>140950</v>
      </c>
      <c r="G8" s="13" t="n">
        <f aca="false">F8*Controls!$B$9</f>
        <v>0</v>
      </c>
      <c r="H8" s="13" t="n">
        <f aca="false">F8+G8</f>
        <v>140950</v>
      </c>
      <c r="I8" s="13" t="n">
        <f aca="false">Controls!$B$17/Controls!$B$18</f>
        <v>3500</v>
      </c>
      <c r="J8" s="13" t="n">
        <f aca="false">H8+I8</f>
        <v>144450</v>
      </c>
    </row>
    <row r="9" customFormat="false" ht="15" hidden="false" customHeight="true" outlineLevel="0" collapsed="false">
      <c r="A9" s="7" t="s">
        <v>72</v>
      </c>
      <c r="B9" s="4" t="s">
        <v>69</v>
      </c>
      <c r="C9" s="11" t="n">
        <v>3</v>
      </c>
      <c r="D9" s="12" t="n">
        <f aca="false">C9*Controls!$B$4</f>
        <v>55350</v>
      </c>
      <c r="E9" s="13" t="n">
        <f aca="false">Controls!$B$8</f>
        <v>11800</v>
      </c>
      <c r="F9" s="13" t="n">
        <f aca="false">D9+E9</f>
        <v>67150</v>
      </c>
      <c r="G9" s="13" t="n">
        <f aca="false">F9*Controls!$B$9</f>
        <v>0</v>
      </c>
      <c r="H9" s="13" t="n">
        <f aca="false">F9+G9</f>
        <v>67150</v>
      </c>
      <c r="I9" s="13" t="n">
        <f aca="false">Controls!$B$17/Controls!$B$18</f>
        <v>3500</v>
      </c>
      <c r="J9" s="13" t="n">
        <f aca="false">H9+I9</f>
        <v>70650</v>
      </c>
    </row>
    <row r="11" customFormat="false" ht="15" hidden="false" customHeight="true" outlineLevel="0" collapsed="false">
      <c r="A11" s="3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5"/>
    <col collapsed="false" customWidth="true" hidden="false" outlineLevel="0" max="3" min="3" style="1" width="16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8" min="6" style="1" width="11"/>
    <col collapsed="false" customWidth="true" hidden="false" outlineLevel="0" max="10" min="9" style="1" width="16"/>
    <col collapsed="false" customWidth="true" hidden="false" outlineLevel="0" max="11" min="11" style="1" width="30"/>
    <col collapsed="false" customWidth="true" hidden="false" outlineLevel="0" max="12" min="12" style="1" width="14"/>
  </cols>
  <sheetData>
    <row r="1" customFormat="false" ht="17.25" hidden="false" customHeight="true" outlineLevel="0" collapsed="false">
      <c r="A1" s="2" t="s">
        <v>74</v>
      </c>
    </row>
    <row r="3" customFormat="false" ht="23.25" hidden="false" customHeight="true" outlineLevel="0" collapsed="false">
      <c r="A3" s="10" t="s">
        <v>53</v>
      </c>
      <c r="B3" s="10" t="s">
        <v>62</v>
      </c>
      <c r="C3" s="10" t="s">
        <v>75</v>
      </c>
      <c r="D3" s="10" t="s">
        <v>76</v>
      </c>
      <c r="E3" s="10" t="s">
        <v>77</v>
      </c>
      <c r="F3" s="10" t="s">
        <v>78</v>
      </c>
      <c r="G3" s="10" t="s">
        <v>79</v>
      </c>
      <c r="H3" s="10" t="s">
        <v>80</v>
      </c>
      <c r="I3" s="10" t="s">
        <v>81</v>
      </c>
      <c r="J3" s="10" t="s">
        <v>82</v>
      </c>
      <c r="K3" s="10" t="s">
        <v>83</v>
      </c>
      <c r="L3" s="10" t="s">
        <v>84</v>
      </c>
    </row>
    <row r="4" customFormat="false" ht="15" hidden="false" customHeight="true" outlineLevel="0" collapsed="false">
      <c r="A4" s="7" t="s">
        <v>63</v>
      </c>
      <c r="B4" s="12" t="n">
        <f aca="false">LandedCost!J4</f>
        <v>236700</v>
      </c>
      <c r="C4" s="13" t="n">
        <f aca="false">B4*(1+Controls!$B$13)</f>
        <v>343215</v>
      </c>
      <c r="D4" s="13" t="n">
        <f aca="false">C4/(1-Controls!$B$14)</f>
        <v>490307.142857143</v>
      </c>
      <c r="E4" s="13" t="n">
        <f aca="false">D4*(1+Controls!$B$10)</f>
        <v>529531.714285714</v>
      </c>
      <c r="F4" s="14" t="n">
        <f aca="false">E4/Controls!$B$5</f>
        <v>20.2111341330425</v>
      </c>
      <c r="G4" s="15" t="n">
        <f aca="false">E4/Controls!$B$4</f>
        <v>28.700905923345</v>
      </c>
      <c r="H4" s="16" t="n">
        <f aca="false">E4/LandedCost!D4</f>
        <v>2.39174216027875</v>
      </c>
      <c r="I4" s="17" t="n">
        <v>650000</v>
      </c>
      <c r="J4" s="17" t="n">
        <v>850000</v>
      </c>
      <c r="K4" s="18" t="str">
        <f aca="false">IF(E4&lt;I4,"Below band — room to price up",IF(E4&gt;J4,"Above band — promo-room risk","Within band"))</f>
        <v>Below band — room to price up</v>
      </c>
      <c r="L4" s="13" t="n">
        <f aca="false">E4/30</f>
        <v>17651.0571428571</v>
      </c>
    </row>
    <row r="5" customFormat="false" ht="15" hidden="false" customHeight="true" outlineLevel="0" collapsed="false">
      <c r="A5" s="7" t="s">
        <v>65</v>
      </c>
      <c r="B5" s="12" t="n">
        <f aca="false">LandedCost!J5</f>
        <v>126000</v>
      </c>
      <c r="C5" s="13" t="n">
        <f aca="false">B5*(1+Controls!$B$13)</f>
        <v>182700</v>
      </c>
      <c r="D5" s="13" t="n">
        <f aca="false">C5/(1-Controls!$B$14)</f>
        <v>261000</v>
      </c>
      <c r="E5" s="13" t="n">
        <f aca="false">D5*(1+Controls!$B$10)</f>
        <v>281880</v>
      </c>
      <c r="F5" s="14" t="n">
        <f aca="false">E5/Controls!$B$5</f>
        <v>10.7587786259542</v>
      </c>
      <c r="G5" s="15" t="n">
        <f aca="false">E5/Controls!$B$4</f>
        <v>15.2780487804878</v>
      </c>
      <c r="H5" s="16" t="n">
        <f aca="false">E5/LandedCost!D5</f>
        <v>2.54634146341463</v>
      </c>
      <c r="I5" s="17" t="n">
        <v>220000</v>
      </c>
      <c r="J5" s="17" t="n">
        <v>500000</v>
      </c>
      <c r="K5" s="18" t="str">
        <f aca="false">IF(E5&lt;I5,"Below band — room to price up",IF(E5&gt;J5,"Above band — promo-room risk","Within band"))</f>
        <v>Within band</v>
      </c>
      <c r="L5" s="13" t="n">
        <f aca="false">E5/30</f>
        <v>9396</v>
      </c>
    </row>
    <row r="6" customFormat="false" ht="15" hidden="false" customHeight="true" outlineLevel="0" collapsed="false">
      <c r="A6" s="7" t="s">
        <v>67</v>
      </c>
      <c r="B6" s="12" t="n">
        <f aca="false">LandedCost!J6</f>
        <v>162900</v>
      </c>
      <c r="C6" s="13" t="n">
        <f aca="false">B6*(1+Controls!$B$13)</f>
        <v>236205</v>
      </c>
      <c r="D6" s="13" t="n">
        <f aca="false">C6/(1-Controls!$B$14)</f>
        <v>337435.714285714</v>
      </c>
      <c r="E6" s="13" t="n">
        <f aca="false">D6*(1+Controls!$B$10)</f>
        <v>364430.571428572</v>
      </c>
      <c r="F6" s="14" t="n">
        <f aca="false">E6/Controls!$B$5</f>
        <v>13.9095637949836</v>
      </c>
      <c r="G6" s="15" t="n">
        <f aca="false">E6/Controls!$B$4</f>
        <v>19.7523344947735</v>
      </c>
      <c r="H6" s="16" t="n">
        <f aca="false">E6/LandedCost!D6</f>
        <v>2.46904181184669</v>
      </c>
      <c r="I6" s="17" t="n">
        <v>350000</v>
      </c>
      <c r="J6" s="17" t="n">
        <v>600000</v>
      </c>
      <c r="K6" s="18" t="str">
        <f aca="false">IF(E6&lt;I6,"Below band — room to price up",IF(E6&gt;J6,"Above band — promo-room risk","Within band"))</f>
        <v>Within band</v>
      </c>
      <c r="L6" s="13" t="n">
        <f aca="false">E6/30</f>
        <v>12147.6857142857</v>
      </c>
    </row>
    <row r="7" customFormat="false" ht="15" hidden="false" customHeight="true" outlineLevel="0" collapsed="false">
      <c r="A7" s="7" t="s">
        <v>68</v>
      </c>
      <c r="B7" s="12" t="n">
        <f aca="false">LandedCost!J7</f>
        <v>107550</v>
      </c>
      <c r="C7" s="13" t="n">
        <f aca="false">B7*(1+Controls!$B$13)</f>
        <v>155947.5</v>
      </c>
      <c r="D7" s="13" t="n">
        <f aca="false">C7/(1-Controls!$B$14)</f>
        <v>222782.142857143</v>
      </c>
      <c r="E7" s="13" t="n">
        <f aca="false">D7*(1+Controls!$B$10)</f>
        <v>240604.714285714</v>
      </c>
      <c r="F7" s="14" t="n">
        <f aca="false">E7/Controls!$B$5</f>
        <v>9.18338604143948</v>
      </c>
      <c r="G7" s="15" t="n">
        <f aca="false">E7/Controls!$B$4</f>
        <v>13.040905923345</v>
      </c>
      <c r="H7" s="16" t="n">
        <f aca="false">E7/LandedCost!D7</f>
        <v>2.60818118466899</v>
      </c>
      <c r="I7" s="17" t="n">
        <v>250000</v>
      </c>
      <c r="J7" s="17" t="n">
        <v>400000</v>
      </c>
      <c r="K7" s="18" t="str">
        <f aca="false">IF(E7&lt;I7,"Below band — room to price up",IF(E7&gt;J7,"Above band — promo-room risk","Within band"))</f>
        <v>Below band — room to price up</v>
      </c>
      <c r="L7" s="13" t="n">
        <f aca="false">E7/30</f>
        <v>8020.15714285714</v>
      </c>
    </row>
    <row r="8" customFormat="false" ht="15" hidden="false" customHeight="true" outlineLevel="0" collapsed="false">
      <c r="A8" s="7" t="s">
        <v>70</v>
      </c>
      <c r="B8" s="12" t="n">
        <f aca="false">LandedCost!J8</f>
        <v>144450</v>
      </c>
      <c r="C8" s="13" t="n">
        <f aca="false">B8*(1+Controls!$B$13)</f>
        <v>209452.5</v>
      </c>
      <c r="D8" s="13" t="n">
        <f aca="false">C8/(1-Controls!$B$14)</f>
        <v>299217.857142857</v>
      </c>
      <c r="E8" s="13" t="n">
        <f aca="false">D8*(1+Controls!$B$10)</f>
        <v>323155.285714286</v>
      </c>
      <c r="F8" s="14" t="n">
        <f aca="false">E8/Controls!$B$5</f>
        <v>12.3341712104689</v>
      </c>
      <c r="G8" s="15" t="n">
        <f aca="false">E8/Controls!$B$4</f>
        <v>17.5151916376307</v>
      </c>
      <c r="H8" s="16" t="n">
        <f aca="false">E8/LandedCost!D8</f>
        <v>2.50217023394724</v>
      </c>
      <c r="I8" s="17" t="n">
        <v>350000</v>
      </c>
      <c r="J8" s="17" t="n">
        <v>550000</v>
      </c>
      <c r="K8" s="18" t="str">
        <f aca="false">IF(E8&lt;I8,"Below band — room to price up",IF(E8&gt;J8,"Above band — promo-room risk","Within band"))</f>
        <v>Below band — room to price up</v>
      </c>
      <c r="L8" s="13" t="n">
        <f aca="false">E8/30</f>
        <v>10771.8428571429</v>
      </c>
    </row>
    <row r="9" customFormat="false" ht="15" hidden="false" customHeight="true" outlineLevel="0" collapsed="false">
      <c r="A9" s="7" t="s">
        <v>72</v>
      </c>
      <c r="B9" s="12" t="n">
        <f aca="false">LandedCost!J9</f>
        <v>70650</v>
      </c>
      <c r="C9" s="13" t="n">
        <f aca="false">B9*(1+Controls!$B$13)</f>
        <v>102442.5</v>
      </c>
      <c r="D9" s="13" t="n">
        <f aca="false">C9/(1-Controls!$B$14)</f>
        <v>146346.428571429</v>
      </c>
      <c r="E9" s="13" t="n">
        <f aca="false">D9*(1+Controls!$B$10)</f>
        <v>158054.142857143</v>
      </c>
      <c r="F9" s="14" t="n">
        <f aca="false">E9/Controls!$B$5</f>
        <v>6.03260087241003</v>
      </c>
      <c r="G9" s="15" t="n">
        <f aca="false">E9/Controls!$B$4</f>
        <v>8.56662020905923</v>
      </c>
      <c r="H9" s="16" t="n">
        <f aca="false">E9/LandedCost!D9</f>
        <v>2.85554006968641</v>
      </c>
      <c r="I9" s="17" t="n">
        <v>60000</v>
      </c>
      <c r="J9" s="17" t="n">
        <v>150000</v>
      </c>
      <c r="K9" s="18" t="str">
        <f aca="false">IF(E9&lt;I9,"Below band — room to price up",IF(E9&gt;J9,"Above band — promo-room risk","Within band"))</f>
        <v>Above band — promo-room risk</v>
      </c>
      <c r="L9" s="13" t="n">
        <f aca="false">E9/30</f>
        <v>5268.47142857143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14"/>
    <col collapsed="false" customWidth="true" hidden="false" outlineLevel="0" max="6" min="4" style="1" width="15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85</v>
      </c>
    </row>
    <row r="2" customFormat="false" ht="15" hidden="false" customHeight="true" outlineLevel="0" collapsed="false">
      <c r="A2" s="3" t="s">
        <v>86</v>
      </c>
    </row>
    <row r="4" customFormat="false" ht="15" hidden="false" customHeight="true" outlineLevel="0" collapsed="false">
      <c r="A4" s="7" t="s">
        <v>87</v>
      </c>
      <c r="B4" s="19" t="n">
        <f aca="false">SKU_Economics!E4</f>
        <v>529531.714285714</v>
      </c>
    </row>
    <row r="6" customFormat="false" ht="23.25" hidden="false" customHeight="true" outlineLevel="0" collapsed="false">
      <c r="A6" s="10" t="s">
        <v>88</v>
      </c>
      <c r="B6" s="10" t="s">
        <v>89</v>
      </c>
      <c r="C6" s="10" t="s">
        <v>90</v>
      </c>
      <c r="D6" s="10" t="s">
        <v>91</v>
      </c>
      <c r="E6" s="10" t="s">
        <v>92</v>
      </c>
      <c r="F6" s="10" t="s">
        <v>93</v>
      </c>
      <c r="G6" s="10" t="s">
        <v>94</v>
      </c>
      <c r="H6" s="10" t="s">
        <v>95</v>
      </c>
    </row>
    <row r="7" customFormat="false" ht="15" hidden="false" customHeight="true" outlineLevel="0" collapsed="false">
      <c r="A7" s="7" t="s">
        <v>96</v>
      </c>
      <c r="B7" s="9" t="n">
        <v>0.21</v>
      </c>
      <c r="C7" s="9" t="n">
        <v>0.15</v>
      </c>
      <c r="D7" s="9" t="n">
        <v>0.07</v>
      </c>
      <c r="E7" s="20" t="n">
        <f aca="false">B7+C7+D7</f>
        <v>0.43</v>
      </c>
      <c r="F7" s="13" t="n">
        <f aca="false">$B$4*(1-E7)</f>
        <v>301833.077142857</v>
      </c>
      <c r="G7" s="13" t="n">
        <f aca="false">F7-LandedCost!J4</f>
        <v>65133.0771428572</v>
      </c>
      <c r="H7" s="20" t="n">
        <f aca="false">IF(F7=0,0,G7/F7)</f>
        <v>0.215791714279313</v>
      </c>
    </row>
    <row r="8" customFormat="false" ht="15" hidden="false" customHeight="true" outlineLevel="0" collapsed="false">
      <c r="A8" s="7" t="s">
        <v>97</v>
      </c>
      <c r="B8" s="9" t="n">
        <v>0.18</v>
      </c>
      <c r="C8" s="9" t="n">
        <v>0.18</v>
      </c>
      <c r="D8" s="9" t="n">
        <v>0.05</v>
      </c>
      <c r="E8" s="20" t="n">
        <f aca="false">B8+C8+D8</f>
        <v>0.41</v>
      </c>
      <c r="F8" s="13" t="n">
        <f aca="false">$B$4*(1-E8)</f>
        <v>312423.711428572</v>
      </c>
      <c r="G8" s="13" t="n">
        <f aca="false">F8-LandedCost!J4</f>
        <v>75723.7114285715</v>
      </c>
      <c r="H8" s="20" t="n">
        <f aca="false">IF(F8=0,0,G8/F8)</f>
        <v>0.242375045998658</v>
      </c>
    </row>
    <row r="9" customFormat="false" ht="15" hidden="false" customHeight="true" outlineLevel="0" collapsed="false">
      <c r="A9" s="7" t="s">
        <v>98</v>
      </c>
      <c r="B9" s="9" t="n">
        <v>0.15</v>
      </c>
      <c r="C9" s="9" t="n">
        <v>0.05</v>
      </c>
      <c r="D9" s="9" t="n">
        <v>0.03</v>
      </c>
      <c r="E9" s="20" t="n">
        <f aca="false">B9+C9+D9</f>
        <v>0.23</v>
      </c>
      <c r="F9" s="13" t="n">
        <f aca="false">$B$4*(1-E9)</f>
        <v>407739.42</v>
      </c>
      <c r="G9" s="13" t="n">
        <f aca="false">F9-LandedCost!J4</f>
        <v>171039.42</v>
      </c>
      <c r="H9" s="20" t="n">
        <f aca="false">IF(F9=0,0,G9/F9)</f>
        <v>0.419482178102868</v>
      </c>
    </row>
    <row r="10" customFormat="false" ht="15" hidden="false" customHeight="true" outlineLevel="0" collapsed="false">
      <c r="A10" s="7" t="s">
        <v>99</v>
      </c>
      <c r="B10" s="9" t="n">
        <v>0</v>
      </c>
      <c r="C10" s="9" t="n">
        <v>0</v>
      </c>
      <c r="D10" s="9" t="n">
        <v>0</v>
      </c>
      <c r="E10" s="20" t="n">
        <f aca="false">B10+C10+D10</f>
        <v>0</v>
      </c>
      <c r="F10" s="13" t="n">
        <f aca="false">$B$4*(1-E10)</f>
        <v>529531.714285714</v>
      </c>
      <c r="G10" s="13" t="n">
        <f aca="false">F10-LandedCost!J4</f>
        <v>292831.714285714</v>
      </c>
      <c r="H10" s="20" t="n">
        <f aca="false">IF(F10=0,0,G10/F10)</f>
        <v>0.553001277139208</v>
      </c>
    </row>
    <row r="12" customFormat="false" ht="15" hidden="false" customHeight="true" outlineLevel="0" collapsed="false">
      <c r="A12" s="3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13"/>
  </cols>
  <sheetData>
    <row r="1" customFormat="false" ht="17.25" hidden="false" customHeight="true" outlineLevel="0" collapsed="false">
      <c r="A1" s="2" t="s">
        <v>101</v>
      </c>
      <c r="H1" s="3" t="s">
        <v>102</v>
      </c>
      <c r="I1" s="21" t="n">
        <f aca="false">LandedCost!C4</f>
        <v>12</v>
      </c>
    </row>
    <row r="3" customFormat="false" ht="15" hidden="false" customHeight="true" outlineLevel="0" collapsed="false">
      <c r="A3" s="5" t="s">
        <v>103</v>
      </c>
    </row>
    <row r="4" customFormat="false" ht="15" hidden="false" customHeight="true" outlineLevel="0" collapsed="false">
      <c r="A4" s="22" t="s">
        <v>104</v>
      </c>
      <c r="B4" s="22" t="s">
        <v>105</v>
      </c>
      <c r="C4" s="22" t="s">
        <v>60</v>
      </c>
      <c r="D4" s="22" t="s">
        <v>77</v>
      </c>
      <c r="E4" s="22" t="s">
        <v>79</v>
      </c>
      <c r="F4" s="22" t="s">
        <v>80</v>
      </c>
    </row>
    <row r="5" customFormat="false" ht="15" hidden="false" customHeight="true" outlineLevel="0" collapsed="false">
      <c r="A5" s="7" t="s">
        <v>106</v>
      </c>
      <c r="B5" s="23" t="n">
        <v>0</v>
      </c>
      <c r="C5" s="13" t="n">
        <f aca="false">(LandedCost!D4+Controls!$B$8)*(1+B5)+Controls!$B$17/Controls!$B$18</f>
        <v>236700</v>
      </c>
      <c r="D5" s="13" t="n">
        <f aca="false">(C5*(1+Controls!$B$13)/(1-Controls!$B$14))*(1+Controls!$B$10)</f>
        <v>529531.714285714</v>
      </c>
      <c r="E5" s="15" t="n">
        <f aca="false">D5/Controls!$B$4</f>
        <v>28.700905923345</v>
      </c>
      <c r="F5" s="16" t="n">
        <f aca="false">D5/LandedCost!D4</f>
        <v>2.39174216027875</v>
      </c>
    </row>
    <row r="6" customFormat="false" ht="15" hidden="false" customHeight="true" outlineLevel="0" collapsed="false">
      <c r="A6" s="7" t="s">
        <v>107</v>
      </c>
      <c r="B6" s="23" t="n">
        <v>0.15</v>
      </c>
      <c r="C6" s="13" t="n">
        <f aca="false">(LandedCost!D4+Controls!$B$8)*(1+B6)+Controls!$B$17/Controls!$B$18</f>
        <v>271680</v>
      </c>
      <c r="D6" s="13" t="n">
        <f aca="false">(C6*(1+Controls!$B$13)/(1-Controls!$B$14))*(1+Controls!$B$10)</f>
        <v>607786.971428572</v>
      </c>
      <c r="E6" s="15" t="n">
        <f aca="false">D6/Controls!$B$4</f>
        <v>32.9423832752613</v>
      </c>
      <c r="F6" s="16" t="n">
        <f aca="false">D6/LandedCost!D4</f>
        <v>2.74519860627178</v>
      </c>
    </row>
    <row r="7" customFormat="false" ht="15" hidden="false" customHeight="true" outlineLevel="0" collapsed="false">
      <c r="A7" s="7" t="s">
        <v>108</v>
      </c>
      <c r="B7" s="23" t="n">
        <v>0.07</v>
      </c>
      <c r="C7" s="13" t="n">
        <f aca="false">(LandedCost!D4+Controls!$B$8)*(1+B7)+Controls!$B$17/Controls!$B$18</f>
        <v>253024</v>
      </c>
      <c r="D7" s="13" t="n">
        <f aca="false">(C7*(1+Controls!$B$13)/(1-Controls!$B$14))*(1+Controls!$B$10)</f>
        <v>566050.834285714</v>
      </c>
      <c r="E7" s="15" t="n">
        <f aca="false">D7/Controls!$B$4</f>
        <v>30.6802620209059</v>
      </c>
      <c r="F7" s="16" t="n">
        <f aca="false">D7/LandedCost!D4</f>
        <v>2.55668850174216</v>
      </c>
    </row>
    <row r="10" customFormat="false" ht="15" hidden="false" customHeight="true" outlineLevel="0" collapsed="false">
      <c r="A10" s="5" t="s">
        <v>109</v>
      </c>
    </row>
    <row r="11" customFormat="false" ht="15" hidden="false" customHeight="true" outlineLevel="0" collapsed="false">
      <c r="A11" s="24" t="s">
        <v>39</v>
      </c>
      <c r="B11" s="24" t="s">
        <v>77</v>
      </c>
      <c r="C11" s="24" t="s">
        <v>79</v>
      </c>
    </row>
    <row r="12" customFormat="false" ht="15" hidden="false" customHeight="true" outlineLevel="0" collapsed="false">
      <c r="A12" s="17" t="n">
        <v>17500</v>
      </c>
      <c r="B12" s="13" t="n">
        <f aca="false">((LandedCost!C4*A12+Controls!$B$8)+Controls!$B$17/Controls!$B$18)*(1+Controls!$B$13)/(1-Controls!$B$14)*(1+Controls!$B$10)</f>
        <v>504028.285714286</v>
      </c>
      <c r="C12" s="15" t="n">
        <f aca="false">B12/A12</f>
        <v>28.8016163265306</v>
      </c>
    </row>
    <row r="13" customFormat="false" ht="15" hidden="false" customHeight="true" outlineLevel="0" collapsed="false">
      <c r="A13" s="17" t="n">
        <v>18000</v>
      </c>
      <c r="B13" s="13" t="n">
        <f aca="false">((LandedCost!C4*A13+Controls!$B$8)+Controls!$B$17/Controls!$B$18)*(1+Controls!$B$13)/(1-Controls!$B$14)*(1+Controls!$B$10)</f>
        <v>517451.142857143</v>
      </c>
      <c r="C13" s="15" t="n">
        <f aca="false">B13/A13</f>
        <v>28.7472857142857</v>
      </c>
    </row>
    <row r="14" customFormat="false" ht="15" hidden="false" customHeight="true" outlineLevel="0" collapsed="false">
      <c r="A14" s="17" t="n">
        <v>18450</v>
      </c>
      <c r="B14" s="13" t="n">
        <f aca="false">((LandedCost!C4*A14+Controls!$B$8)+Controls!$B$17/Controls!$B$18)*(1+Controls!$B$13)/(1-Controls!$B$14)*(1+Controls!$B$10)</f>
        <v>529531.714285714</v>
      </c>
      <c r="C14" s="15" t="n">
        <f aca="false">B14/A14</f>
        <v>28.700905923345</v>
      </c>
    </row>
    <row r="15" customFormat="false" ht="15" hidden="false" customHeight="true" outlineLevel="0" collapsed="false">
      <c r="A15" s="17" t="n">
        <v>19000</v>
      </c>
      <c r="B15" s="13" t="n">
        <f aca="false">((LandedCost!C4*A15+Controls!$B$8)+Controls!$B$17/Controls!$B$18)*(1+Controls!$B$13)/(1-Controls!$B$14)*(1+Controls!$B$10)</f>
        <v>544296.857142857</v>
      </c>
      <c r="C15" s="15" t="n">
        <f aca="false">B15/A15</f>
        <v>28.6472030075188</v>
      </c>
    </row>
    <row r="16" customFormat="false" ht="15" hidden="false" customHeight="true" outlineLevel="0" collapsed="false">
      <c r="A16" s="17" t="n">
        <v>19500</v>
      </c>
      <c r="B16" s="13" t="n">
        <f aca="false">((LandedCost!C4*A16+Controls!$B$8)+Controls!$B$17/Controls!$B$18)*(1+Controls!$B$13)/(1-Controls!$B$14)*(1+Controls!$B$10)</f>
        <v>557719.714285714</v>
      </c>
      <c r="C16" s="15" t="n">
        <f aca="false">B16/A16</f>
        <v>28.601010989011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2026-10-24T00:03:25Z</dcterms:created>
  <dc:creator>openpyxl</dc:creator>
  <dc:description/>
  <dc:language>en-US</dc:language>
  <cp:lastModifiedBy/>
  <dcterms:modified xsi:type="dcterms:W3CDTF">2026-10-24T00:04:13Z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