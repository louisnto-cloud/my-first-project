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trols" sheetId="2" state="visible" r:id="rId4"/>
    <sheet name="LandedCost" sheetId="3" state="visible" r:id="rId5"/>
    <sheet name="SKU_Economics" sheetId="4" state="visible" r:id="rId6"/>
    <sheet name="Channels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OFX/exchange-rates.org Oct 2026 (MEDIUM). Refresh before quoting.</t>
        </r>
      </text>
    </comment>
    <comment ref="B5" authorId="0">
      <text>
        <r>
          <rPr>
            <sz val="10"/>
            <rFont val="Arial"/>
            <family val="2"/>
          </rPr>
          <t xml:space="preserve">OFX Aug 2026 (MEDIUM).</t>
        </r>
      </text>
    </comment>
    <comment ref="B8" authorId="0">
      <text>
        <r>
          <rPr>
            <sz val="10"/>
            <rFont val="Arial"/>
            <family val="2"/>
          </rPr>
          <t xml:space="preserve">Model: ~CAD0.45/unit sea. Replace with forwarder quote.</t>
        </r>
      </text>
    </comment>
    <comment ref="B9" authorId="0">
      <text>
        <r>
          <rPr>
            <sz val="10"/>
            <rFont val="Arial"/>
            <family val="2"/>
          </rPr>
          <t xml:space="preserve">HS 2106.90.99: CPTPP 0% with Form CPTPP C/O; MFN 15%.</t>
        </r>
      </text>
    </comment>
    <comment ref="B10" authorId="0">
      <text>
        <r>
          <rPr>
            <sz val="10"/>
            <rFont val="Arial"/>
            <family val="2"/>
          </rPr>
          <t xml:space="preserve">8% to 31 Dec 2026, 10% from 2027.</t>
        </r>
      </text>
    </comment>
    <comment ref="B13" authorId="0">
      <text>
        <r>
          <rPr>
            <sz val="10"/>
            <rFont val="Arial"/>
            <family val="2"/>
          </rPr>
          <t xml:space="preserve">Sourced range 35-60% (Asia Pro 2026). Mid used.</t>
        </r>
      </text>
    </comment>
    <comment ref="B14" authorId="0">
      <text>
        <r>
          <rPr>
            <sz val="10"/>
            <rFont val="Arial"/>
            <family val="2"/>
          </rPr>
          <t xml:space="preserve">Sourced 15-30%+; chain ask assumed 30-40%.</t>
        </r>
      </text>
    </comment>
    <comment ref="B17" authorId="0">
      <text>
        <r>
          <rPr>
            <sz val="10"/>
            <rFont val="Arial"/>
            <family val="2"/>
          </rPr>
          <t xml:space="preserve">~VND1.5M gov fee + ~USD1-3k consultant. Per SKU.</t>
        </r>
      </text>
    </comment>
    <comment ref="B18" authorId="0">
      <text>
        <r>
          <rPr>
            <sz val="10"/>
            <rFont val="Arial"/>
            <family val="2"/>
          </rPr>
          <t xml:space="preserve">Model volume to amortize registration.</t>
        </r>
      </text>
    </comment>
    <comment ref="B21" authorId="0">
      <text>
        <r>
          <rPr>
            <sz val="10"/>
            <rFont val="Arial"/>
            <family val="2"/>
          </rPr>
          <t xml:space="preserve">Fallback only, used when a SKU has no COGS entered. Rule of thumb (LOW).</t>
        </r>
      </text>
    </comment>
    <comment ref="B22" authorId="0">
      <text>
        <r>
          <rPr>
            <sz val="10"/>
            <rFont val="Arial"/>
            <family val="2"/>
          </rPr>
          <t xml:space="preserve">Enter your own target. Blank = FOB uses the retail fallback.</t>
        </r>
      </text>
    </comment>
    <comment ref="B23" authorId="0">
      <text>
        <r>
          <rPr>
            <sz val="10"/>
            <rFont val="Arial"/>
            <family val="2"/>
          </rPr>
          <t xml:space="preserve">Enter your own trade spend. Price = COGS / (1 - margin - trade).</t>
        </r>
      </text>
    </comment>
    <comment ref="B26" authorId="0">
      <text>
        <r>
          <rPr>
            <sz val="10"/>
            <rFont val="Arial"/>
            <family val="2"/>
          </rPr>
          <t xml:space="preserve">Optional. Enter your account's actual multiple; blank hides this lens.</t>
        </r>
      </text>
    </comment>
    <comment ref="B27" authorId="0">
      <text>
        <r>
          <rPr>
            <sz val="10"/>
            <rFont val="Arial"/>
            <family val="2"/>
          </rPr>
          <t xml:space="preserve">Optional. See above.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Goodness Me / Voila CAD29.99; Well.ca CAD24.99 (2026, MEDIUM)</t>
        </r>
      </text>
    </comment>
    <comment ref="C5" authorId="0">
      <text>
        <r>
          <rPr>
            <sz val="10"/>
            <rFont val="Arial"/>
            <family val="2"/>
          </rPr>
          <t xml:space="preserve">organika.com CAD27.99; Goodness Me CAD26.99 (2026, MEDIUM)</t>
        </r>
      </text>
    </comment>
    <comment ref="C6" authorId="0">
      <text>
        <r>
          <rPr>
            <sz val="10"/>
            <rFont val="Arial"/>
            <family val="2"/>
          </rPr>
          <t xml:space="preserve">Well.ca CAD43.49 (2026, MEDIUM)</t>
        </r>
      </text>
    </comment>
    <comment ref="C7" authorId="0">
      <text>
        <r>
          <rPr>
            <sz val="10"/>
            <rFont val="Arial"/>
            <family val="2"/>
          </rPr>
          <t xml:space="preserve">Well.ca CAD25.99 (2026, MEDIUM)</t>
        </r>
      </text>
    </comment>
    <comment ref="C8" authorId="0">
      <text>
        <r>
          <rPr>
            <sz val="10"/>
            <rFont val="Arial"/>
            <family val="2"/>
          </rPr>
          <t xml:space="preserve">PLACEHOLDER: no adult Organika probiotic retail price found (Veggie Gummies w/ probiotic CAD45.97; baby drops CAD37.49)</t>
        </r>
      </text>
    </comment>
    <comment ref="C9" authorId="0">
      <text>
        <r>
          <rPr>
            <sz val="10"/>
            <rFont val="Arial"/>
            <family val="2"/>
          </rPr>
          <t xml:space="preserve">PLACEHOLDER: no standalone Organika vitamin C SKU found; confirm the SKU exists</t>
        </r>
      </text>
    </comment>
    <comment ref="L4" authorId="0">
      <text>
        <r>
          <rPr>
            <sz val="10"/>
            <rFont val="Arial"/>
            <family val="2"/>
          </rPr>
          <t xml:space="preserve">Enter real COGS (CAD/unit). When filled with margin and trade targets on Controls, FOB = COGS/(1-margin-trade); otherwise, falls back to retail x ratio.</t>
        </r>
      </text>
    </comment>
    <comment ref="L5" authorId="0">
      <text>
        <r>
          <rPr>
            <sz val="10"/>
            <rFont val="Arial"/>
            <family val="2"/>
          </rPr>
          <t xml:space="preserve">Enter real COGS (CAD/unit). When filled with margin and trade targets on Controls, FOB = COGS/(1-margin-trade); otherwise, falls back to retail x ratio.</t>
        </r>
      </text>
    </comment>
    <comment ref="L6" authorId="0">
      <text>
        <r>
          <rPr>
            <sz val="10"/>
            <rFont val="Arial"/>
            <family val="2"/>
          </rPr>
          <t xml:space="preserve">Enter real COGS (CAD/unit). When filled with margin and trade targets on Controls, FOB = COGS/(1-margin-trade); otherwise, falls back to retail x ratio.</t>
        </r>
      </text>
    </comment>
    <comment ref="L7" authorId="0">
      <text>
        <r>
          <rPr>
            <sz val="10"/>
            <rFont val="Arial"/>
            <family val="2"/>
          </rPr>
          <t xml:space="preserve">Enter real COGS (CAD/unit). When filled with margin and trade targets on Controls, FOB = COGS/(1-margin-trade); otherwise, falls back to retail x ratio.</t>
        </r>
      </text>
    </comment>
    <comment ref="L8" authorId="0">
      <text>
        <r>
          <rPr>
            <sz val="10"/>
            <rFont val="Arial"/>
            <family val="2"/>
          </rPr>
          <t xml:space="preserve">Enter real COGS (CAD/unit). When filled with margin and trade targets on Controls, FOB = COGS/(1-margin-trade); otherwise, falls back to retail x ratio.</t>
        </r>
      </text>
    </comment>
    <comment ref="L9" authorId="0">
      <text>
        <r>
          <rPr>
            <sz val="10"/>
            <rFont val="Arial"/>
            <family val="2"/>
          </rPr>
          <t xml:space="preserve">Enter real COGS (CAD/unit). When filled with margin and trade targets on Controls, FOB = COGS/(1-margin-trade); otherwise, falls back to retail x ratio.</t>
        </r>
      </text>
    </comment>
    <comment ref="M4" authorId="0">
      <text>
        <r>
          <rPr>
            <sz val="10"/>
            <rFont val="Arial"/>
            <family val="2"/>
          </rPr>
          <t xml:space="preserve">Scale for a Vietnam specific pack, e.g. 0.5 for a half size pack. New pack = new registration, label and MOQ.</t>
        </r>
      </text>
    </comment>
    <comment ref="M5" authorId="0">
      <text>
        <r>
          <rPr>
            <sz val="10"/>
            <rFont val="Arial"/>
            <family val="2"/>
          </rPr>
          <t xml:space="preserve">Scale for a Vietnam specific pack, e.g. 0.5 for a half size pack. New pack = new registration, label and MOQ.</t>
        </r>
      </text>
    </comment>
    <comment ref="M6" authorId="0">
      <text>
        <r>
          <rPr>
            <sz val="10"/>
            <rFont val="Arial"/>
            <family val="2"/>
          </rPr>
          <t xml:space="preserve">Scale for a Vietnam specific pack, e.g. 0.5 for a half size pack. New pack = new registration, label and MOQ.</t>
        </r>
      </text>
    </comment>
    <comment ref="M7" authorId="0">
      <text>
        <r>
          <rPr>
            <sz val="10"/>
            <rFont val="Arial"/>
            <family val="2"/>
          </rPr>
          <t xml:space="preserve">Scale for a Vietnam specific pack, e.g. 0.5 for a half size pack. New pack = new registration, label and MOQ.</t>
        </r>
      </text>
    </comment>
    <comment ref="M8" authorId="0">
      <text>
        <r>
          <rPr>
            <sz val="10"/>
            <rFont val="Arial"/>
            <family val="2"/>
          </rPr>
          <t xml:space="preserve">Scale for a Vietnam specific pack, e.g. 0.5 for a half size pack. New pack = new registration, label and MOQ.</t>
        </r>
      </text>
    </comment>
    <comment ref="M9" authorId="0">
      <text>
        <r>
          <rPr>
            <sz val="10"/>
            <rFont val="Arial"/>
            <family val="2"/>
          </rPr>
          <t xml:space="preserve">Scale for a Vietnam specific pack, e.g. 0.5 for a half size pack. New pack = new registration, label and MOQ.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Real VN comparable, primer Ch6.5</t>
        </r>
      </text>
    </comment>
    <comment ref="I5" authorId="0">
      <text>
        <r>
          <rPr>
            <sz val="10"/>
            <rFont val="Arial"/>
            <family val="2"/>
          </rPr>
          <t xml:space="preserve">Real VN comparable, primer Ch6.5</t>
        </r>
      </text>
    </comment>
    <comment ref="I6" authorId="0">
      <text>
        <r>
          <rPr>
            <sz val="10"/>
            <rFont val="Arial"/>
            <family val="2"/>
          </rPr>
          <t xml:space="preserve">Real VN comparable, primer Ch6.5</t>
        </r>
      </text>
    </comment>
    <comment ref="I7" authorId="0">
      <text>
        <r>
          <rPr>
            <sz val="10"/>
            <rFont val="Arial"/>
            <family val="2"/>
          </rPr>
          <t xml:space="preserve">Real VN comparable, primer Ch6.5</t>
        </r>
      </text>
    </comment>
    <comment ref="I8" authorId="0">
      <text>
        <r>
          <rPr>
            <sz val="10"/>
            <rFont val="Arial"/>
            <family val="2"/>
          </rPr>
          <t xml:space="preserve">Real VN comparable, primer Ch6.5</t>
        </r>
      </text>
    </comment>
    <comment ref="I9" authorId="0">
      <text>
        <r>
          <rPr>
            <sz val="10"/>
            <rFont val="Arial"/>
            <family val="2"/>
          </rPr>
          <t xml:space="preserve">Real VN comparable, primer Ch6.5</t>
        </r>
      </text>
    </comment>
  </commentList>
</comments>
</file>

<file path=xl/sharedStrings.xml><?xml version="1.0" encoding="utf-8"?>
<sst xmlns="http://schemas.openxmlformats.org/spreadsheetml/2006/main" count="159" uniqueCount="129">
  <si>
    <t xml:space="preserve">Organika — Vietnam Landed Cost &amp; Margin Model</t>
  </si>
  <si>
    <t xml:space="preserve">Companion to the Vietnam market entry package. Model only — replace every blue/yellow input with real figures before use.</t>
  </si>
  <si>
    <t xml:space="preserve">HOW TO USE</t>
  </si>
  <si>
    <t xml:space="preserve">1</t>
  </si>
  <si>
    <t xml:space="preserve">Open the Controls tab and set FX, duty scenario, freight, and the margin stack. Everything downstream recalculates.</t>
  </si>
  <si>
    <t xml:space="preserve">2</t>
  </si>
  <si>
    <t xml:space="preserve">On Controls, set the export FOB ratio, or replace it with real export prices. LandedCost derives FOB from real Canadian retail.</t>
  </si>
  <si>
    <t xml:space="preserve">3</t>
  </si>
  <si>
    <t xml:space="preserve">SKU Economics shows each line's shelf price vs the real Vietnamese comparable band and a Lead/Flag/Support call.</t>
  </si>
  <si>
    <t xml:space="preserve">4</t>
  </si>
  <si>
    <t xml:space="preserve">Channel Economics shows what the brand nets per unit across Shopee, TikTok Shop, Lazada and chain pharmacy.</t>
  </si>
  <si>
    <t xml:space="preserve">5</t>
  </si>
  <si>
    <t xml:space="preserve">Scenarios compares CPTPP 0% vs MFN 15% duty and tests FX sensitivity on the hero SKU.</t>
  </si>
  <si>
    <t xml:space="preserve">CELL LEGEND</t>
  </si>
  <si>
    <t xml:space="preserve">Blue text</t>
  </si>
  <si>
    <t xml:space="preserve">A hardcoded input or scenario lever you can change.</t>
  </si>
  <si>
    <t xml:space="preserve">Yellow fill</t>
  </si>
  <si>
    <t xml:space="preserve">A key assumption or a placeholder you must replace with a real figure.</t>
  </si>
  <si>
    <t xml:space="preserve">Black text</t>
  </si>
  <si>
    <t xml:space="preserve">A formula. Do not overwrite; it recalculates from inputs.</t>
  </si>
  <si>
    <t xml:space="preserve">Green text</t>
  </si>
  <si>
    <t xml:space="preserve">A link to another tab.</t>
  </si>
  <si>
    <t xml:space="preserve">SOURCES &amp; CONFIDENCE</t>
  </si>
  <si>
    <t xml:space="preserve">FX</t>
  </si>
  <si>
    <t xml:space="preserve">USD/VND ~26,200, CAD/VND ~18,450 (OFX, exchange-rates.org, Oct 2026 — MEDIUM). Editable on Controls.</t>
  </si>
  <si>
    <t xml:space="preserve">Duty</t>
  </si>
  <si>
    <t xml:space="preserve">HS 2106.90.99: MFN 15%, CPTPP 0% with Form CPTPP C/O (VN customs brokers; Decrees 115/2022 &amp; 13/2025, 2025-26 — MEDIUM-HIGH).</t>
  </si>
  <si>
    <t xml:space="preserve">VAT</t>
  </si>
  <si>
    <t xml:space="preserve">8% through 31 Dec 2026, reverts to 10% in 2027 (Resolution 204/2025 — HIGH).</t>
  </si>
  <si>
    <t xml:space="preserve">Margins</t>
  </si>
  <si>
    <t xml:space="preserve">Distributor 35-60% on landed, retail 15-30%+ (Asia Pro 2026 — LOW-MEDIUM). Confirm with Kat Vietnam.</t>
  </si>
  <si>
    <t xml:space="preserve">Comparable bands</t>
  </si>
  <si>
    <t xml:space="preserve">Real Vietnamese shelf prices, primer Ch6.2/6.5 (2025-26 listings — MEDIUM).</t>
  </si>
  <si>
    <t xml:space="preserve">Platform take</t>
  </si>
  <si>
    <t xml:space="preserve">Shopee ~21%, TikTok ~18%, Lazada ~15% all-in (primer Ch6.4, 2025-26 — MEDIUM-HIGH).</t>
  </si>
  <si>
    <t xml:space="preserve">FOB costs</t>
  </si>
  <si>
    <t xml:space="preserve">Enter real COGS per SKU on LandedCost (column L) and your margin and trade targets on Controls (B22, B23): FOB then = COGS/(1-margin-trade). Until all are entered, FOB falls back to Canadian retail x 40% (LOW).</t>
  </si>
  <si>
    <t xml:space="preserve">Channel check</t>
  </si>
  <si>
    <t xml:space="preserve">Optional: enter your account's actual channel multiple (shelf / brand price) on Controls B26 and B27 to add a second lens on SKU_Economics. Blank by default.</t>
  </si>
  <si>
    <t xml:space="preserve">Confidentiality</t>
  </si>
  <si>
    <t xml:space="preserve">Template with public inputs only. Once you enter real COGS, margin targets or channel multiples, treat your copy as internal and never share it with a distributor.</t>
  </si>
  <si>
    <t xml:space="preserve">Controls — set once, drives every tab</t>
  </si>
  <si>
    <t xml:space="preserve">Foreign exchange</t>
  </si>
  <si>
    <t xml:space="preserve">CAD to VND</t>
  </si>
  <si>
    <t xml:space="preserve">input</t>
  </si>
  <si>
    <t xml:space="preserve">USD to VND</t>
  </si>
  <si>
    <t xml:space="preserve">Import &amp; tax</t>
  </si>
  <si>
    <t xml:space="preserve">Freight+insurance per unit (VND)</t>
  </si>
  <si>
    <t xml:space="preserve">Duty rate (0=CPTPP, 0.15=MFN)</t>
  </si>
  <si>
    <t xml:space="preserve">VAT rate</t>
  </si>
  <si>
    <t xml:space="preserve">Margin stack</t>
  </si>
  <si>
    <t xml:space="preserve">Distributor markup on landed</t>
  </si>
  <si>
    <t xml:space="preserve">Retail margin (% of shelf)</t>
  </si>
  <si>
    <t xml:space="preserve">Registration amortization</t>
  </si>
  <si>
    <t xml:space="preserve">Reg + consultant per SKU (VND)</t>
  </si>
  <si>
    <t xml:space="preserve">Units per SKU per year (amort base)</t>
  </si>
  <si>
    <t xml:space="preserve">Export pricing</t>
  </si>
  <si>
    <t xml:space="preserve">Export FOB as % of Canadian retail (fallback)</t>
  </si>
  <si>
    <t xml:space="preserve">Target contribution margin</t>
  </si>
  <si>
    <t xml:space="preserve">Trade spend</t>
  </si>
  <si>
    <t xml:space="preserve">Channel calibration</t>
  </si>
  <si>
    <t xml:space="preserve">Channel multiple, low (shelf / brand price)</t>
  </si>
  <si>
    <t xml:space="preserve">Channel multiple, high</t>
  </si>
  <si>
    <t xml:space="preserve">Once real COGS, margins or multiples are entered, treat your copy as internal. Never share it with a distributor.</t>
  </si>
  <si>
    <t xml:space="preserve">Landed cost per unit (CIF + duty), by SKU</t>
  </si>
  <si>
    <t xml:space="preserve">SKU</t>
  </si>
  <si>
    <t xml:space="preserve">Role</t>
  </si>
  <si>
    <t xml:space="preserve">Canadian retail (CAD)</t>
  </si>
  <si>
    <t xml:space="preserve">FOB (CAD)</t>
  </si>
  <si>
    <t xml:space="preserve">FOB (VND)</t>
  </si>
  <si>
    <t xml:space="preserve">Freight (VND)</t>
  </si>
  <si>
    <t xml:space="preserve">CIF (VND)</t>
  </si>
  <si>
    <t xml:space="preserve">Duty (VND)</t>
  </si>
  <si>
    <t xml:space="preserve">Landed (VND)</t>
  </si>
  <si>
    <t xml:space="preserve">Reg amort (VND)</t>
  </si>
  <si>
    <t xml:space="preserve">Landed+Reg (VND)</t>
  </si>
  <si>
    <t xml:space="preserve">COGS (CAD) — enter real</t>
  </si>
  <si>
    <t xml:space="preserve">Pack factor (1 = Canadian pack)</t>
  </si>
  <si>
    <t xml:space="preserve">Enhanced Collagen (250g)</t>
  </si>
  <si>
    <t xml:space="preserve">Credential flag</t>
  </si>
  <si>
    <t xml:space="preserve">Magnesium bisglycinate (120 caps)</t>
  </si>
  <si>
    <t xml:space="preserve">Lead SKU</t>
  </si>
  <si>
    <t xml:space="preserve">Greens: Digest &amp; Renew (340g)</t>
  </si>
  <si>
    <t xml:space="preserve">Fibre: Whole Psyllium (454g)</t>
  </si>
  <si>
    <t xml:space="preserve">Range filler</t>
  </si>
  <si>
    <t xml:space="preserve">Probiotics</t>
  </si>
  <si>
    <t xml:space="preserve">Support</t>
  </si>
  <si>
    <t xml:space="preserve">Vitamin C / dailies</t>
  </si>
  <si>
    <t xml:space="preserve">FOB: COGS/(1-margin-trade) when real COGS (column L) and margin targets (Controls) are entered, else Canadian retail x fallback ratio. Canadian retail = real 2026 shelf prices (hover). Yellow = placeholder or required input.</t>
  </si>
  <si>
    <t xml:space="preserve">SKU economics — shelf price vs the real Vietnamese shelf</t>
  </si>
  <si>
    <t xml:space="preserve">Two lenses: the modeled margin stack (columns B to K) and an optional channel multiple you enter on Controls B26 and B27 (columns M to O). Trust the stricter one once real COGS and markups are in.</t>
  </si>
  <si>
    <t xml:space="preserve">To distributor (VND)</t>
  </si>
  <si>
    <t xml:space="preserve">Pre-VAT shelf (VND)</t>
  </si>
  <si>
    <t xml:space="preserve">Shelf (VND)</t>
  </si>
  <si>
    <t xml:space="preserve">Shelf (USD)</t>
  </si>
  <si>
    <t xml:space="preserve">Shelf (CAD)</t>
  </si>
  <si>
    <t xml:space="preserve">FOB multiple</t>
  </si>
  <si>
    <t xml:space="preserve">Comparable band low (VND)</t>
  </si>
  <si>
    <t xml:space="preserve">Comparable band high (VND)</t>
  </si>
  <si>
    <t xml:space="preserve">Position (model stack)</t>
  </si>
  <si>
    <t xml:space="preserve">Max FOB to hit band midpoint (CAD)</t>
  </si>
  <si>
    <t xml:space="preserve">Shelf at channel multiple low (VND)</t>
  </si>
  <si>
    <t xml:space="preserve">Shelf at channel multiple high (VND)</t>
  </si>
  <si>
    <t xml:space="preserve">Position at channel multiples</t>
  </si>
  <si>
    <t xml:space="preserve">Channel economics — what the brand nets per unit</t>
  </si>
  <si>
    <t xml:space="preserve">For the hero SKU at its modeled shelf price. Edit take rates (blue) to your real terms.</t>
  </si>
  <si>
    <t xml:space="preserve">Shelf price (hero SKU, from SKU_Economics)</t>
  </si>
  <si>
    <t xml:space="preserve">Channel</t>
  </si>
  <si>
    <t xml:space="preserve">Platform take %</t>
  </si>
  <si>
    <t xml:space="preserve">Affiliate/KOC %</t>
  </si>
  <si>
    <t xml:space="preserve">Voucher/co-fund %</t>
  </si>
  <si>
    <t xml:space="preserve">Total deductions %</t>
  </si>
  <si>
    <t xml:space="preserve">Net to seller (VND)</t>
  </si>
  <si>
    <t xml:space="preserve">Net vs landed+reg (VND)</t>
  </si>
  <si>
    <t xml:space="preserve">Net margin %</t>
  </si>
  <si>
    <t xml:space="preserve">Shopee Mall</t>
  </si>
  <si>
    <t xml:space="preserve">TikTok Shop Mall</t>
  </si>
  <si>
    <t xml:space="preserve">Lazada / LazMall</t>
  </si>
  <si>
    <t xml:space="preserve">Chain pharmacy (no platform)</t>
  </si>
  <si>
    <t xml:space="preserve">Chain pharmacy: platform take is zero but the retail margin already sits inside the shelf price (SKU_Economics). Net here is the brand/distributor side.</t>
  </si>
  <si>
    <t xml:space="preserve">Scenarios — duty and FX sensitivity (hero SKU)</t>
  </si>
  <si>
    <t xml:space="preserve">hero FOB CAD</t>
  </si>
  <si>
    <t xml:space="preserve">Duty scenario comparison (hero SKU shelf price)</t>
  </si>
  <si>
    <t xml:space="preserve">Scenario</t>
  </si>
  <si>
    <t xml:space="preserve">Duty rate</t>
  </si>
  <si>
    <t xml:space="preserve">CPTPP 0% (with C/O)</t>
  </si>
  <si>
    <t xml:space="preserve">MFN 15% (no C/O)</t>
  </si>
  <si>
    <t xml:space="preserve">Medical-nutrition 7%</t>
  </si>
  <si>
    <t xml:space="preserve">FX sensitivity — CPTPP shelf price at different CAD/VND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</si>
</sst>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\x"/>
    <numFmt numFmtId="168" formatCode="0.00"/>
    <numFmt numFmtId="169" formatCode="\$#,##0.0"/>
    <numFmt numFmtId="170" formatCode="&quot;C$&quot;#,##0.0"/>
    <numFmt numFmtId="171" formatCode="0.0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D3A"/>
      <name val="Arial"/>
      <family val="0"/>
      <charset val="1"/>
    </font>
    <font>
      <i val="true"/>
      <sz val="9"/>
      <color rgb="FF5C635C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56A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B3402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D3A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6A45"/>
      <rgbColor rgb="FF5C635C"/>
      <rgbColor rgb="FF969696"/>
      <rgbColor rgb="FF003366"/>
      <rgbColor rgb="FF339966"/>
      <rgbColor rgb="FF003300"/>
      <rgbColor rgb="FF333300"/>
      <rgbColor rgb="FFB3402F"/>
      <rgbColor rgb="FF993366"/>
      <rgbColor rgb="FF333399"/>
      <rgbColor rgb="FF1F4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4" t="s">
        <v>2</v>
      </c>
      <c r="B4" s="3"/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3" t="s">
        <v>5</v>
      </c>
      <c r="B6" s="3" t="s">
        <v>6</v>
      </c>
    </row>
    <row r="7" customFormat="false" ht="15" hidden="false" customHeight="false" outlineLevel="0" collapsed="false">
      <c r="A7" s="3" t="s">
        <v>7</v>
      </c>
      <c r="B7" s="3" t="s">
        <v>8</v>
      </c>
    </row>
    <row r="8" customFormat="false" ht="15" hidden="false" customHeight="false" outlineLevel="0" collapsed="false">
      <c r="A8" s="3" t="s">
        <v>9</v>
      </c>
      <c r="B8" s="3" t="s">
        <v>10</v>
      </c>
    </row>
    <row r="9" customFormat="false" ht="15" hidden="false" customHeight="false" outlineLevel="0" collapsed="false">
      <c r="A9" s="3" t="s">
        <v>11</v>
      </c>
      <c r="B9" s="3" t="s">
        <v>12</v>
      </c>
    </row>
    <row r="10" customFormat="false" ht="15" hidden="false" customHeight="false" outlineLevel="0" collapsed="false">
      <c r="A10" s="3"/>
      <c r="B10" s="3"/>
    </row>
    <row r="11" customFormat="false" ht="15" hidden="false" customHeight="false" outlineLevel="0" collapsed="false">
      <c r="A11" s="4" t="s">
        <v>13</v>
      </c>
      <c r="B11" s="3"/>
    </row>
    <row r="12" customFormat="false" ht="15" hidden="false" customHeight="false" outlineLevel="0" collapsed="false">
      <c r="A12" s="5" t="s">
        <v>14</v>
      </c>
      <c r="B12" s="3" t="s">
        <v>15</v>
      </c>
    </row>
    <row r="13" customFormat="false" ht="15" hidden="false" customHeight="false" outlineLevel="0" collapsed="false">
      <c r="A13" s="6" t="s">
        <v>16</v>
      </c>
      <c r="B13" s="3" t="s">
        <v>17</v>
      </c>
    </row>
    <row r="14" customFormat="false" ht="15" hidden="false" customHeight="false" outlineLevel="0" collapsed="false">
      <c r="A14" s="6" t="s">
        <v>18</v>
      </c>
      <c r="B14" s="3" t="s">
        <v>19</v>
      </c>
    </row>
    <row r="15" customFormat="false" ht="15" hidden="false" customHeight="false" outlineLevel="0" collapsed="false">
      <c r="A15" s="6" t="s">
        <v>20</v>
      </c>
      <c r="B15" s="3" t="s">
        <v>21</v>
      </c>
    </row>
    <row r="16" customFormat="false" ht="15" hidden="false" customHeight="false" outlineLevel="0" collapsed="false">
      <c r="A16" s="3"/>
      <c r="B16" s="3"/>
    </row>
    <row r="17" customFormat="false" ht="15" hidden="false" customHeight="false" outlineLevel="0" collapsed="false">
      <c r="A17" s="4" t="s">
        <v>22</v>
      </c>
      <c r="B17" s="3"/>
    </row>
    <row r="18" customFormat="false" ht="15" hidden="false" customHeight="false" outlineLevel="0" collapsed="false">
      <c r="A18" s="6" t="s">
        <v>23</v>
      </c>
      <c r="B18" s="3" t="s">
        <v>24</v>
      </c>
    </row>
    <row r="19" customFormat="false" ht="15" hidden="false" customHeight="false" outlineLevel="0" collapsed="false">
      <c r="A19" s="6" t="s">
        <v>25</v>
      </c>
      <c r="B19" s="3" t="s">
        <v>26</v>
      </c>
    </row>
    <row r="20" customFormat="false" ht="15" hidden="false" customHeight="false" outlineLevel="0" collapsed="false">
      <c r="A20" s="6" t="s">
        <v>27</v>
      </c>
      <c r="B20" s="3" t="s">
        <v>28</v>
      </c>
    </row>
    <row r="21" customFormat="false" ht="15" hidden="false" customHeight="false" outlineLevel="0" collapsed="false">
      <c r="A21" s="6" t="s">
        <v>29</v>
      </c>
      <c r="B21" s="3" t="s">
        <v>30</v>
      </c>
    </row>
    <row r="22" customFormat="false" ht="15" hidden="false" customHeight="false" outlineLevel="0" collapsed="false">
      <c r="A22" s="6" t="s">
        <v>31</v>
      </c>
      <c r="B22" s="3" t="s">
        <v>32</v>
      </c>
    </row>
    <row r="23" customFormat="false" ht="15" hidden="false" customHeight="false" outlineLevel="0" collapsed="false">
      <c r="A23" s="6" t="s">
        <v>33</v>
      </c>
      <c r="B23" s="3" t="s">
        <v>34</v>
      </c>
    </row>
    <row r="24" customFormat="false" ht="15" hidden="false" customHeight="false" outlineLevel="0" collapsed="false">
      <c r="A24" s="6" t="s">
        <v>35</v>
      </c>
      <c r="B24" s="3" t="s">
        <v>36</v>
      </c>
    </row>
    <row r="25" customFormat="false" ht="15" hidden="false" customHeight="false" outlineLevel="0" collapsed="false">
      <c r="A25" s="6" t="s">
        <v>37</v>
      </c>
      <c r="B25" s="3" t="s">
        <v>38</v>
      </c>
    </row>
    <row r="26" customFormat="false" ht="15" hidden="false" customHeight="false" outlineLevel="0" collapsed="false">
      <c r="A26" s="6" t="s">
        <v>39</v>
      </c>
      <c r="B26" s="3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4" t="s">
        <v>42</v>
      </c>
    </row>
    <row r="4" customFormat="false" ht="15" hidden="false" customHeight="false" outlineLevel="0" collapsed="false">
      <c r="A4" s="6" t="s">
        <v>43</v>
      </c>
      <c r="B4" s="7" t="n">
        <v>18450</v>
      </c>
      <c r="D4" s="2" t="s">
        <v>44</v>
      </c>
    </row>
    <row r="5" customFormat="false" ht="15" hidden="false" customHeight="false" outlineLevel="0" collapsed="false">
      <c r="A5" s="6" t="s">
        <v>45</v>
      </c>
      <c r="B5" s="7" t="n">
        <v>26200</v>
      </c>
      <c r="D5" s="2" t="s">
        <v>44</v>
      </c>
    </row>
    <row r="7" customFormat="false" ht="15" hidden="false" customHeight="false" outlineLevel="0" collapsed="false">
      <c r="A7" s="4" t="s">
        <v>46</v>
      </c>
    </row>
    <row r="8" customFormat="false" ht="15" hidden="false" customHeight="false" outlineLevel="0" collapsed="false">
      <c r="A8" s="6" t="s">
        <v>47</v>
      </c>
      <c r="B8" s="7" t="n">
        <v>11800</v>
      </c>
      <c r="D8" s="2" t="s">
        <v>44</v>
      </c>
    </row>
    <row r="9" customFormat="false" ht="15" hidden="false" customHeight="false" outlineLevel="0" collapsed="false">
      <c r="A9" s="6" t="s">
        <v>48</v>
      </c>
      <c r="B9" s="8" t="n">
        <v>0</v>
      </c>
      <c r="D9" s="2" t="s">
        <v>44</v>
      </c>
    </row>
    <row r="10" customFormat="false" ht="15" hidden="false" customHeight="false" outlineLevel="0" collapsed="false">
      <c r="A10" s="6" t="s">
        <v>49</v>
      </c>
      <c r="B10" s="8" t="n">
        <v>0.08</v>
      </c>
      <c r="D10" s="2" t="s">
        <v>44</v>
      </c>
    </row>
    <row r="12" customFormat="false" ht="15" hidden="false" customHeight="false" outlineLevel="0" collapsed="false">
      <c r="A12" s="4" t="s">
        <v>50</v>
      </c>
    </row>
    <row r="13" customFormat="false" ht="15" hidden="false" customHeight="false" outlineLevel="0" collapsed="false">
      <c r="A13" s="6" t="s">
        <v>51</v>
      </c>
      <c r="B13" s="8" t="n">
        <v>0.45</v>
      </c>
      <c r="D13" s="2" t="s">
        <v>44</v>
      </c>
    </row>
    <row r="14" customFormat="false" ht="15" hidden="false" customHeight="false" outlineLevel="0" collapsed="false">
      <c r="A14" s="6" t="s">
        <v>52</v>
      </c>
      <c r="B14" s="8" t="n">
        <v>0.3</v>
      </c>
      <c r="D14" s="2" t="s">
        <v>44</v>
      </c>
    </row>
    <row r="16" customFormat="false" ht="15" hidden="false" customHeight="false" outlineLevel="0" collapsed="false">
      <c r="A16" s="4" t="s">
        <v>53</v>
      </c>
    </row>
    <row r="17" customFormat="false" ht="15" hidden="false" customHeight="false" outlineLevel="0" collapsed="false">
      <c r="A17" s="6" t="s">
        <v>54</v>
      </c>
      <c r="B17" s="7" t="n">
        <v>70000000</v>
      </c>
      <c r="D17" s="2" t="s">
        <v>44</v>
      </c>
    </row>
    <row r="18" customFormat="false" ht="15" hidden="false" customHeight="false" outlineLevel="0" collapsed="false">
      <c r="A18" s="6" t="s">
        <v>55</v>
      </c>
      <c r="B18" s="7" t="n">
        <v>20000</v>
      </c>
      <c r="D18" s="2" t="s">
        <v>44</v>
      </c>
    </row>
    <row r="20" customFormat="false" ht="15" hidden="false" customHeight="false" outlineLevel="0" collapsed="false">
      <c r="A20" s="4" t="s">
        <v>56</v>
      </c>
    </row>
    <row r="21" customFormat="false" ht="15" hidden="false" customHeight="false" outlineLevel="0" collapsed="false">
      <c r="A21" s="6" t="s">
        <v>57</v>
      </c>
      <c r="B21" s="8" t="n">
        <v>0.4</v>
      </c>
      <c r="D21" s="2" t="s">
        <v>44</v>
      </c>
    </row>
    <row r="22" customFormat="false" ht="15" hidden="false" customHeight="false" outlineLevel="0" collapsed="false">
      <c r="A22" s="6" t="s">
        <v>58</v>
      </c>
      <c r="B22" s="8"/>
      <c r="D22" s="2" t="s">
        <v>44</v>
      </c>
    </row>
    <row r="23" customFormat="false" ht="15" hidden="false" customHeight="false" outlineLevel="0" collapsed="false">
      <c r="A23" s="6" t="s">
        <v>59</v>
      </c>
      <c r="B23" s="8"/>
      <c r="D23" s="2" t="s">
        <v>44</v>
      </c>
    </row>
    <row r="25" customFormat="false" ht="15" hidden="false" customHeight="false" outlineLevel="0" collapsed="false">
      <c r="A25" s="4" t="s">
        <v>60</v>
      </c>
    </row>
    <row r="26" customFormat="false" ht="15" hidden="false" customHeight="false" outlineLevel="0" collapsed="false">
      <c r="A26" s="6" t="s">
        <v>61</v>
      </c>
      <c r="B26" s="9"/>
      <c r="D26" s="2" t="s">
        <v>44</v>
      </c>
    </row>
    <row r="27" customFormat="false" ht="15" hidden="false" customHeight="false" outlineLevel="0" collapsed="false">
      <c r="A27" s="6" t="s">
        <v>62</v>
      </c>
      <c r="B27" s="9"/>
      <c r="D27" s="2" t="s">
        <v>44</v>
      </c>
    </row>
    <row r="29" customFormat="false" ht="15" hidden="false" customHeight="false" outlineLevel="0" collapsed="false">
      <c r="A29" s="1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10" min="9" style="0" width="13"/>
    <col collapsed="false" customWidth="true" hidden="false" outlineLevel="0" max="11" min="11" style="0" width="15"/>
    <col collapsed="false" customWidth="true" hidden="false" outlineLevel="0" max="13" min="12" style="0" width="14"/>
  </cols>
  <sheetData>
    <row r="1" customFormat="false" ht="17.35" hidden="false" customHeight="false" outlineLevel="0" collapsed="false">
      <c r="A1" s="1" t="s">
        <v>64</v>
      </c>
    </row>
    <row r="3" customFormat="false" ht="23.85" hidden="false" customHeight="false" outlineLevel="0" collapsed="false">
      <c r="A3" s="11" t="s">
        <v>65</v>
      </c>
      <c r="B3" s="11" t="s">
        <v>66</v>
      </c>
      <c r="C3" s="11" t="s">
        <v>67</v>
      </c>
      <c r="D3" s="11" t="s">
        <v>68</v>
      </c>
      <c r="E3" s="11" t="s">
        <v>69</v>
      </c>
      <c r="F3" s="11" t="s">
        <v>70</v>
      </c>
      <c r="G3" s="11" t="s">
        <v>71</v>
      </c>
      <c r="H3" s="11" t="s">
        <v>72</v>
      </c>
      <c r="I3" s="11" t="s">
        <v>73</v>
      </c>
      <c r="J3" s="11" t="s">
        <v>74</v>
      </c>
      <c r="K3" s="11" t="s">
        <v>75</v>
      </c>
      <c r="L3" s="11" t="s">
        <v>76</v>
      </c>
      <c r="M3" s="11" t="s">
        <v>77</v>
      </c>
    </row>
    <row r="4" customFormat="false" ht="15" hidden="false" customHeight="false" outlineLevel="0" collapsed="false">
      <c r="A4" s="6" t="s">
        <v>78</v>
      </c>
      <c r="B4" s="3" t="s">
        <v>79</v>
      </c>
      <c r="C4" s="12" t="n">
        <v>29.99</v>
      </c>
      <c r="D4" s="13" t="n">
        <f aca="false">IF(AND(N(L4)&gt;0,N(Controls!$B$22)+N(Controls!$B$23)&gt;0,N(Controls!$B$22)+N(Controls!$B$23)&lt;1),L4/(1-Controls!$B$22-Controls!$B$23),C4*Controls!$B$21)*M4</f>
        <v>11.996</v>
      </c>
      <c r="E4" s="14" t="n">
        <f aca="false">D4*Controls!$B$4</f>
        <v>221326.2</v>
      </c>
      <c r="F4" s="15" t="n">
        <f aca="false">Controls!$B$8</f>
        <v>11800</v>
      </c>
      <c r="G4" s="14" t="n">
        <f aca="false">E4+F4</f>
        <v>233126.2</v>
      </c>
      <c r="H4" s="14" t="n">
        <f aca="false">G4*Controls!$B$9</f>
        <v>0</v>
      </c>
      <c r="I4" s="14" t="n">
        <f aca="false">G4+H4</f>
        <v>233126.2</v>
      </c>
      <c r="J4" s="15" t="n">
        <f aca="false">Controls!$B$17/Controls!$B$18</f>
        <v>3500</v>
      </c>
      <c r="K4" s="14" t="n">
        <f aca="false">I4+J4</f>
        <v>236626.2</v>
      </c>
      <c r="L4" s="16"/>
      <c r="M4" s="12" t="n">
        <v>1</v>
      </c>
    </row>
    <row r="5" customFormat="false" ht="15" hidden="false" customHeight="false" outlineLevel="0" collapsed="false">
      <c r="A5" s="6" t="s">
        <v>80</v>
      </c>
      <c r="B5" s="3" t="s">
        <v>81</v>
      </c>
      <c r="C5" s="12" t="n">
        <v>27.99</v>
      </c>
      <c r="D5" s="13" t="n">
        <f aca="false">IF(AND(N(L5)&gt;0,N(Controls!$B$22)+N(Controls!$B$23)&gt;0,N(Controls!$B$22)+N(Controls!$B$23)&lt;1),L5/(1-Controls!$B$22-Controls!$B$23),C5*Controls!$B$21)*M5</f>
        <v>11.196</v>
      </c>
      <c r="E5" s="14" t="n">
        <f aca="false">D5*Controls!$B$4</f>
        <v>206566.2</v>
      </c>
      <c r="F5" s="15" t="n">
        <f aca="false">Controls!$B$8</f>
        <v>11800</v>
      </c>
      <c r="G5" s="14" t="n">
        <f aca="false">E5+F5</f>
        <v>218366.2</v>
      </c>
      <c r="H5" s="14" t="n">
        <f aca="false">G5*Controls!$B$9</f>
        <v>0</v>
      </c>
      <c r="I5" s="14" t="n">
        <f aca="false">G5+H5</f>
        <v>218366.2</v>
      </c>
      <c r="J5" s="15" t="n">
        <f aca="false">Controls!$B$17/Controls!$B$18</f>
        <v>3500</v>
      </c>
      <c r="K5" s="14" t="n">
        <f aca="false">I5+J5</f>
        <v>221866.2</v>
      </c>
      <c r="L5" s="16"/>
      <c r="M5" s="12" t="n">
        <v>1</v>
      </c>
    </row>
    <row r="6" customFormat="false" ht="15" hidden="false" customHeight="false" outlineLevel="0" collapsed="false">
      <c r="A6" s="6" t="s">
        <v>82</v>
      </c>
      <c r="B6" s="3" t="s">
        <v>81</v>
      </c>
      <c r="C6" s="12" t="n">
        <v>43.49</v>
      </c>
      <c r="D6" s="13" t="n">
        <f aca="false">IF(AND(N(L6)&gt;0,N(Controls!$B$22)+N(Controls!$B$23)&gt;0,N(Controls!$B$22)+N(Controls!$B$23)&lt;1),L6/(1-Controls!$B$22-Controls!$B$23),C6*Controls!$B$21)*M6</f>
        <v>17.396</v>
      </c>
      <c r="E6" s="14" t="n">
        <f aca="false">D6*Controls!$B$4</f>
        <v>320956.2</v>
      </c>
      <c r="F6" s="15" t="n">
        <f aca="false">Controls!$B$8</f>
        <v>11800</v>
      </c>
      <c r="G6" s="14" t="n">
        <f aca="false">E6+F6</f>
        <v>332756.2</v>
      </c>
      <c r="H6" s="14" t="n">
        <f aca="false">G6*Controls!$B$9</f>
        <v>0</v>
      </c>
      <c r="I6" s="14" t="n">
        <f aca="false">G6+H6</f>
        <v>332756.2</v>
      </c>
      <c r="J6" s="15" t="n">
        <f aca="false">Controls!$B$17/Controls!$B$18</f>
        <v>3500</v>
      </c>
      <c r="K6" s="14" t="n">
        <f aca="false">I6+J6</f>
        <v>336256.2</v>
      </c>
      <c r="L6" s="16"/>
      <c r="M6" s="12" t="n">
        <v>1</v>
      </c>
    </row>
    <row r="7" customFormat="false" ht="15" hidden="false" customHeight="false" outlineLevel="0" collapsed="false">
      <c r="A7" s="6" t="s">
        <v>83</v>
      </c>
      <c r="B7" s="3" t="s">
        <v>84</v>
      </c>
      <c r="C7" s="12" t="n">
        <v>25.99</v>
      </c>
      <c r="D7" s="13" t="n">
        <f aca="false">IF(AND(N(L7)&gt;0,N(Controls!$B$22)+N(Controls!$B$23)&gt;0,N(Controls!$B$22)+N(Controls!$B$23)&lt;1),L7/(1-Controls!$B$22-Controls!$B$23),C7*Controls!$B$21)*M7</f>
        <v>10.396</v>
      </c>
      <c r="E7" s="14" t="n">
        <f aca="false">D7*Controls!$B$4</f>
        <v>191806.2</v>
      </c>
      <c r="F7" s="15" t="n">
        <f aca="false">Controls!$B$8</f>
        <v>11800</v>
      </c>
      <c r="G7" s="14" t="n">
        <f aca="false">E7+F7</f>
        <v>203606.2</v>
      </c>
      <c r="H7" s="14" t="n">
        <f aca="false">G7*Controls!$B$9</f>
        <v>0</v>
      </c>
      <c r="I7" s="14" t="n">
        <f aca="false">G7+H7</f>
        <v>203606.2</v>
      </c>
      <c r="J7" s="15" t="n">
        <f aca="false">Controls!$B$17/Controls!$B$18</f>
        <v>3500</v>
      </c>
      <c r="K7" s="14" t="n">
        <f aca="false">I7+J7</f>
        <v>207106.2</v>
      </c>
      <c r="L7" s="16"/>
      <c r="M7" s="12" t="n">
        <v>1</v>
      </c>
    </row>
    <row r="8" customFormat="false" ht="15" hidden="false" customHeight="false" outlineLevel="0" collapsed="false">
      <c r="A8" s="6" t="s">
        <v>85</v>
      </c>
      <c r="B8" s="3" t="s">
        <v>86</v>
      </c>
      <c r="C8" s="16" t="n">
        <v>35</v>
      </c>
      <c r="D8" s="13" t="n">
        <f aca="false">IF(AND(N(L8)&gt;0,N(Controls!$B$22)+N(Controls!$B$23)&gt;0,N(Controls!$B$22)+N(Controls!$B$23)&lt;1),L8/(1-Controls!$B$22-Controls!$B$23),C8*Controls!$B$21)*M8</f>
        <v>14</v>
      </c>
      <c r="E8" s="14" t="n">
        <f aca="false">D8*Controls!$B$4</f>
        <v>258300</v>
      </c>
      <c r="F8" s="15" t="n">
        <f aca="false">Controls!$B$8</f>
        <v>11800</v>
      </c>
      <c r="G8" s="14" t="n">
        <f aca="false">E8+F8</f>
        <v>270100</v>
      </c>
      <c r="H8" s="14" t="n">
        <f aca="false">G8*Controls!$B$9</f>
        <v>0</v>
      </c>
      <c r="I8" s="14" t="n">
        <f aca="false">G8+H8</f>
        <v>270100</v>
      </c>
      <c r="J8" s="15" t="n">
        <f aca="false">Controls!$B$17/Controls!$B$18</f>
        <v>3500</v>
      </c>
      <c r="K8" s="14" t="n">
        <f aca="false">I8+J8</f>
        <v>273600</v>
      </c>
      <c r="L8" s="16"/>
      <c r="M8" s="12" t="n">
        <v>1</v>
      </c>
    </row>
    <row r="9" customFormat="false" ht="15" hidden="false" customHeight="false" outlineLevel="0" collapsed="false">
      <c r="A9" s="6" t="s">
        <v>87</v>
      </c>
      <c r="B9" s="3" t="s">
        <v>84</v>
      </c>
      <c r="C9" s="16" t="n">
        <v>15</v>
      </c>
      <c r="D9" s="13" t="n">
        <f aca="false">IF(AND(N(L9)&gt;0,N(Controls!$B$22)+N(Controls!$B$23)&gt;0,N(Controls!$B$22)+N(Controls!$B$23)&lt;1),L9/(1-Controls!$B$22-Controls!$B$23),C9*Controls!$B$21)*M9</f>
        <v>6</v>
      </c>
      <c r="E9" s="14" t="n">
        <f aca="false">D9*Controls!$B$4</f>
        <v>110700</v>
      </c>
      <c r="F9" s="15" t="n">
        <f aca="false">Controls!$B$8</f>
        <v>11800</v>
      </c>
      <c r="G9" s="14" t="n">
        <f aca="false">E9+F9</f>
        <v>122500</v>
      </c>
      <c r="H9" s="14" t="n">
        <f aca="false">G9*Controls!$B$9</f>
        <v>0</v>
      </c>
      <c r="I9" s="14" t="n">
        <f aca="false">G9+H9</f>
        <v>122500</v>
      </c>
      <c r="J9" s="15" t="n">
        <f aca="false">Controls!$B$17/Controls!$B$18</f>
        <v>3500</v>
      </c>
      <c r="K9" s="14" t="n">
        <f aca="false">I9+J9</f>
        <v>126000</v>
      </c>
      <c r="L9" s="16"/>
      <c r="M9" s="12" t="n">
        <v>1</v>
      </c>
    </row>
    <row r="11" customFormat="false" ht="15" hidden="false" customHeight="false" outlineLevel="0" collapsed="false">
      <c r="A11" s="2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10" min="9" style="0" width="16"/>
    <col collapsed="false" customWidth="true" hidden="false" outlineLevel="0" max="11" min="11" style="0" width="28"/>
    <col collapsed="false" customWidth="true" hidden="false" outlineLevel="0" max="12" min="12" style="0" width="16"/>
    <col collapsed="false" customWidth="true" hidden="false" outlineLevel="0" max="14" min="13" style="0" width="15"/>
    <col collapsed="false" customWidth="true" hidden="false" outlineLevel="0" max="15" min="15" style="0" width="26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35.05" hidden="false" customHeight="false" outlineLevel="0" collapsed="false">
      <c r="A3" s="11" t="s">
        <v>65</v>
      </c>
      <c r="B3" s="11" t="s">
        <v>75</v>
      </c>
      <c r="C3" s="11" t="s">
        <v>91</v>
      </c>
      <c r="D3" s="11" t="s">
        <v>92</v>
      </c>
      <c r="E3" s="11" t="s">
        <v>93</v>
      </c>
      <c r="F3" s="11" t="s">
        <v>94</v>
      </c>
      <c r="G3" s="11" t="s">
        <v>95</v>
      </c>
      <c r="H3" s="11" t="s">
        <v>96</v>
      </c>
      <c r="I3" s="11" t="s">
        <v>97</v>
      </c>
      <c r="J3" s="11" t="s">
        <v>98</v>
      </c>
      <c r="K3" s="11" t="s">
        <v>99</v>
      </c>
      <c r="L3" s="11" t="s">
        <v>100</v>
      </c>
      <c r="M3" s="11" t="s">
        <v>101</v>
      </c>
      <c r="N3" s="11" t="s">
        <v>102</v>
      </c>
      <c r="O3" s="11" t="s">
        <v>103</v>
      </c>
    </row>
    <row r="4" customFormat="false" ht="15" hidden="false" customHeight="false" outlineLevel="0" collapsed="false">
      <c r="A4" s="6" t="s">
        <v>78</v>
      </c>
      <c r="B4" s="15" t="n">
        <f aca="false">LandedCost!K4</f>
        <v>236626.2</v>
      </c>
      <c r="C4" s="14" t="n">
        <f aca="false">B4*(1+Controls!$B$13)</f>
        <v>343107.99</v>
      </c>
      <c r="D4" s="14" t="n">
        <f aca="false">C4/(1-Controls!$B$14)</f>
        <v>490154.271428571</v>
      </c>
      <c r="E4" s="14" t="n">
        <f aca="false">D4*(1+Controls!$B$10)</f>
        <v>529366.613142857</v>
      </c>
      <c r="F4" s="17" t="n">
        <f aca="false">E4/Controls!$B$5</f>
        <v>20.2048325627045</v>
      </c>
      <c r="G4" s="18" t="n">
        <f aca="false">E4/Controls!$B$4</f>
        <v>28.6919573519164</v>
      </c>
      <c r="H4" s="19" t="n">
        <f aca="false">E4/LandedCost!E4</f>
        <v>2.39179371056322</v>
      </c>
      <c r="I4" s="20" t="n">
        <v>650000</v>
      </c>
      <c r="J4" s="20" t="n">
        <v>850000</v>
      </c>
      <c r="K4" s="21" t="str">
        <f aca="false">IF(E4&lt;I4,"Below band — room to price up",IF(E4&gt;J4,"Above band — promo-room risk","Within band"))</f>
        <v>Below band — room to price up</v>
      </c>
      <c r="L4" s="22" t="n">
        <f aca="false">(((I4+J4)/2/((1+Controls!$B$13)/(1-Controls!$B$14)*(1+Controls!$B$10))-Controls!$B$17/Controls!$B$18)/(1+Controls!$B$9)-Controls!$B$8)/Controls!$B$4</f>
        <v>17.3414114984062</v>
      </c>
      <c r="M4" s="14" t="str">
        <f aca="false">IF(N(Controls!$B$26)&gt;0,LandedCost!E4*Controls!$B$26,"")</f>
        <v/>
      </c>
      <c r="N4" s="14" t="str">
        <f aca="false">IF(N(Controls!$B$27)&gt;0,LandedCost!E4*Controls!$B$27,"")</f>
        <v/>
      </c>
      <c r="O4" s="21" t="str">
        <f aca="false">IF(OR(M4="",N4=""),"Enter channel multiples",IF(N4&lt;I4,"Below band",IF(M4&gt;J4,"Above band at both multiples",IF(AND(M4&gt;=I4,N4&lt;=J4),"In band at both","Straddles band"))))</f>
        <v>Enter channel multiples</v>
      </c>
    </row>
    <row r="5" customFormat="false" ht="15" hidden="false" customHeight="false" outlineLevel="0" collapsed="false">
      <c r="A5" s="6" t="s">
        <v>80</v>
      </c>
      <c r="B5" s="15" t="n">
        <f aca="false">LandedCost!K5</f>
        <v>221866.2</v>
      </c>
      <c r="C5" s="14" t="n">
        <f aca="false">B5*(1+Controls!$B$13)</f>
        <v>321705.99</v>
      </c>
      <c r="D5" s="14" t="n">
        <f aca="false">C5/(1-Controls!$B$14)</f>
        <v>459579.985714286</v>
      </c>
      <c r="E5" s="14" t="n">
        <f aca="false">D5*(1+Controls!$B$10)</f>
        <v>496346.384571429</v>
      </c>
      <c r="F5" s="17" t="n">
        <f aca="false">E5/Controls!$B$5</f>
        <v>18.9445184950927</v>
      </c>
      <c r="G5" s="18" t="n">
        <f aca="false">E5/Controls!$B$4</f>
        <v>26.9022430662021</v>
      </c>
      <c r="H5" s="19" t="n">
        <f aca="false">E5/LandedCost!E5</f>
        <v>2.40284414667757</v>
      </c>
      <c r="I5" s="20" t="n">
        <v>220000</v>
      </c>
      <c r="J5" s="20" t="n">
        <v>500000</v>
      </c>
      <c r="K5" s="21" t="str">
        <f aca="false">IF(E5&lt;I5,"Below band — room to price up",IF(E5&gt;J5,"Above band — promo-room risk","Within band"))</f>
        <v>Within band</v>
      </c>
      <c r="L5" s="22" t="n">
        <f aca="false">(((I5+J5)/2/((1+Controls!$B$13)/(1-Controls!$B$14)*(1+Controls!$B$10))-Controls!$B$17/Controls!$B$18)/(1+Controls!$B$9)-Controls!$B$8)/Controls!$B$4</f>
        <v>7.89265800703984</v>
      </c>
      <c r="M5" s="14" t="str">
        <f aca="false">IF(N(Controls!$B$26)&gt;0,LandedCost!E5*Controls!$B$26,"")</f>
        <v/>
      </c>
      <c r="N5" s="14" t="str">
        <f aca="false">IF(N(Controls!$B$27)&gt;0,LandedCost!E5*Controls!$B$27,"")</f>
        <v/>
      </c>
      <c r="O5" s="21" t="str">
        <f aca="false">IF(OR(M5="",N5=""),"Enter channel multiples",IF(N5&lt;I5,"Below band",IF(M5&gt;J5,"Above band at both multiples",IF(AND(M5&gt;=I5,N5&lt;=J5),"In band at both","Straddles band"))))</f>
        <v>Enter channel multiples</v>
      </c>
    </row>
    <row r="6" customFormat="false" ht="15" hidden="false" customHeight="false" outlineLevel="0" collapsed="false">
      <c r="A6" s="6" t="s">
        <v>82</v>
      </c>
      <c r="B6" s="15" t="n">
        <f aca="false">LandedCost!K6</f>
        <v>336256.2</v>
      </c>
      <c r="C6" s="14" t="n">
        <f aca="false">B6*(1+Controls!$B$13)</f>
        <v>487571.49</v>
      </c>
      <c r="D6" s="14" t="n">
        <f aca="false">C6/(1-Controls!$B$14)</f>
        <v>696530.7</v>
      </c>
      <c r="E6" s="14" t="n">
        <f aca="false">D6*(1+Controls!$B$10)</f>
        <v>752253.156</v>
      </c>
      <c r="F6" s="17" t="n">
        <f aca="false">E6/Controls!$B$5</f>
        <v>28.711952519084</v>
      </c>
      <c r="G6" s="18" t="n">
        <f aca="false">E6/Controls!$B$4</f>
        <v>40.7725287804878</v>
      </c>
      <c r="H6" s="19" t="n">
        <f aca="false">E6/LandedCost!E6</f>
        <v>2.34378758223085</v>
      </c>
      <c r="I6" s="20" t="n">
        <v>350000</v>
      </c>
      <c r="J6" s="20" t="n">
        <v>600000</v>
      </c>
      <c r="K6" s="21" t="str">
        <f aca="false">IF(E6&lt;I6,"Below band — room to price up",IF(E6&gt;J6,"Above band — promo-room risk","Within band"))</f>
        <v>Above band — promo-room risk</v>
      </c>
      <c r="L6" s="22" t="n">
        <f aca="false">(((I6+J6)/2/((1+Controls!$B$13)/(1-Controls!$B$14)*(1+Controls!$B$10))-Controls!$B$17/Controls!$B$18)/(1+Controls!$B$9)-Controls!$B$8)/Controls!$B$4</f>
        <v>10.6788289083402</v>
      </c>
      <c r="M6" s="14" t="str">
        <f aca="false">IF(N(Controls!$B$26)&gt;0,LandedCost!E6*Controls!$B$26,"")</f>
        <v/>
      </c>
      <c r="N6" s="14" t="str">
        <f aca="false">IF(N(Controls!$B$27)&gt;0,LandedCost!E6*Controls!$B$27,"")</f>
        <v/>
      </c>
      <c r="O6" s="21" t="str">
        <f aca="false">IF(OR(M6="",N6=""),"Enter channel multiples",IF(N6&lt;I6,"Below band",IF(M6&gt;J6,"Above band at both multiples",IF(AND(M6&gt;=I6,N6&lt;=J6),"In band at both","Straddles band"))))</f>
        <v>Enter channel multiples</v>
      </c>
    </row>
    <row r="7" customFormat="false" ht="15" hidden="false" customHeight="false" outlineLevel="0" collapsed="false">
      <c r="A7" s="6" t="s">
        <v>83</v>
      </c>
      <c r="B7" s="15" t="n">
        <f aca="false">LandedCost!K7</f>
        <v>207106.2</v>
      </c>
      <c r="C7" s="14" t="n">
        <f aca="false">B7*(1+Controls!$B$13)</f>
        <v>300303.99</v>
      </c>
      <c r="D7" s="14" t="n">
        <f aca="false">C7/(1-Controls!$B$14)</f>
        <v>429005.7</v>
      </c>
      <c r="E7" s="14" t="n">
        <f aca="false">D7*(1+Controls!$B$10)</f>
        <v>463326.156</v>
      </c>
      <c r="F7" s="17" t="n">
        <f aca="false">E7/Controls!$B$5</f>
        <v>17.6842044274809</v>
      </c>
      <c r="G7" s="18" t="n">
        <f aca="false">E7/Controls!$B$4</f>
        <v>25.1125287804878</v>
      </c>
      <c r="H7" s="19" t="n">
        <f aca="false">E7/LandedCost!E7</f>
        <v>2.41559530400999</v>
      </c>
      <c r="I7" s="20" t="n">
        <v>250000</v>
      </c>
      <c r="J7" s="20" t="n">
        <v>400000</v>
      </c>
      <c r="K7" s="21" t="str">
        <f aca="false">IF(E7&lt;I7,"Below band — room to price up",IF(E7&gt;J7,"Above band — promo-room risk","Within band"))</f>
        <v>Above band — promo-room risk</v>
      </c>
      <c r="L7" s="22" t="n">
        <f aca="false">(((I7+J7)/2/((1+Controls!$B$13)/(1-Controls!$B$14)*(1+Controls!$B$10))-Controls!$B$17/Controls!$B$18)/(1+Controls!$B$9)-Controls!$B$8)/Controls!$B$4</f>
        <v>7.04469295012235</v>
      </c>
      <c r="M7" s="14" t="str">
        <f aca="false">IF(N(Controls!$B$26)&gt;0,LandedCost!E7*Controls!$B$26,"")</f>
        <v/>
      </c>
      <c r="N7" s="14" t="str">
        <f aca="false">IF(N(Controls!$B$27)&gt;0,LandedCost!E7*Controls!$B$27,"")</f>
        <v/>
      </c>
      <c r="O7" s="21" t="str">
        <f aca="false">IF(OR(M7="",N7=""),"Enter channel multiples",IF(N7&lt;I7,"Below band",IF(M7&gt;J7,"Above band at both multiples",IF(AND(M7&gt;=I7,N7&lt;=J7),"In band at both","Straddles band"))))</f>
        <v>Enter channel multiples</v>
      </c>
    </row>
    <row r="8" customFormat="false" ht="15" hidden="false" customHeight="false" outlineLevel="0" collapsed="false">
      <c r="A8" s="6" t="s">
        <v>85</v>
      </c>
      <c r="B8" s="15" t="n">
        <f aca="false">LandedCost!K8</f>
        <v>273600</v>
      </c>
      <c r="C8" s="14" t="n">
        <f aca="false">B8*(1+Controls!$B$13)</f>
        <v>396720</v>
      </c>
      <c r="D8" s="14" t="n">
        <f aca="false">C8/(1-Controls!$B$14)</f>
        <v>566742.857142857</v>
      </c>
      <c r="E8" s="14" t="n">
        <f aca="false">D8*(1+Controls!$B$10)</f>
        <v>612082.285714286</v>
      </c>
      <c r="F8" s="17" t="n">
        <f aca="false">E8/Controls!$B$5</f>
        <v>23.361919302072</v>
      </c>
      <c r="G8" s="18" t="n">
        <f aca="false">E8/Controls!$B$4</f>
        <v>33.1751916376307</v>
      </c>
      <c r="H8" s="19" t="n">
        <f aca="false">E8/LandedCost!E8</f>
        <v>2.36965654554505</v>
      </c>
      <c r="I8" s="20" t="n">
        <v>350000</v>
      </c>
      <c r="J8" s="20" t="n">
        <v>550000</v>
      </c>
      <c r="K8" s="21" t="str">
        <f aca="false">IF(E8&lt;I8,"Below band — room to price up",IF(E8&gt;J8,"Above band — promo-room risk","Within band"))</f>
        <v>Above band — promo-room risk</v>
      </c>
      <c r="L8" s="22" t="n">
        <f aca="false">(((I8+J8)/2/((1+Controls!$B$13)/(1-Controls!$B$14)*(1+Controls!$B$10))-Controls!$B$17/Controls!$B$18)/(1+Controls!$B$9)-Controls!$B$8)/Controls!$B$4</f>
        <v>10.0731395819705</v>
      </c>
      <c r="M8" s="14" t="str">
        <f aca="false">IF(N(Controls!$B$26)&gt;0,LandedCost!E8*Controls!$B$26,"")</f>
        <v/>
      </c>
      <c r="N8" s="14" t="str">
        <f aca="false">IF(N(Controls!$B$27)&gt;0,LandedCost!E8*Controls!$B$27,"")</f>
        <v/>
      </c>
      <c r="O8" s="21" t="str">
        <f aca="false">IF(OR(M8="",N8=""),"Enter channel multiples",IF(N8&lt;I8,"Below band",IF(M8&gt;J8,"Above band at both multiples",IF(AND(M8&gt;=I8,N8&lt;=J8),"In band at both","Straddles band"))))</f>
        <v>Enter channel multiples</v>
      </c>
    </row>
    <row r="9" customFormat="false" ht="15" hidden="false" customHeight="false" outlineLevel="0" collapsed="false">
      <c r="A9" s="6" t="s">
        <v>87</v>
      </c>
      <c r="B9" s="15" t="n">
        <f aca="false">LandedCost!K9</f>
        <v>126000</v>
      </c>
      <c r="C9" s="14" t="n">
        <f aca="false">B9*(1+Controls!$B$13)</f>
        <v>182700</v>
      </c>
      <c r="D9" s="14" t="n">
        <f aca="false">C9/(1-Controls!$B$14)</f>
        <v>261000</v>
      </c>
      <c r="E9" s="14" t="n">
        <f aca="false">D9*(1+Controls!$B$10)</f>
        <v>281880</v>
      </c>
      <c r="F9" s="17" t="n">
        <f aca="false">E9/Controls!$B$5</f>
        <v>10.7587786259542</v>
      </c>
      <c r="G9" s="18" t="n">
        <f aca="false">E9/Controls!$B$4</f>
        <v>15.2780487804878</v>
      </c>
      <c r="H9" s="19" t="n">
        <f aca="false">E9/LandedCost!E9</f>
        <v>2.54634146341463</v>
      </c>
      <c r="I9" s="20" t="n">
        <v>60000</v>
      </c>
      <c r="J9" s="20" t="n">
        <v>150000</v>
      </c>
      <c r="K9" s="21" t="str">
        <f aca="false">IF(E9&lt;I9,"Below band — room to price up",IF(E9&gt;J9,"Above band — promo-room risk","Within band"))</f>
        <v>Above band — promo-room risk</v>
      </c>
      <c r="L9" s="22" t="n">
        <f aca="false">(((I9+J9)/2/((1+Controls!$B$13)/(1-Controls!$B$14)*(1+Controls!$B$10))-Controls!$B$17/Controls!$B$18)/(1+Controls!$B$9)-Controls!$B$8)/Controls!$B$4</f>
        <v>1.71462687806955</v>
      </c>
      <c r="M9" s="14" t="str">
        <f aca="false">IF(N(Controls!$B$26)&gt;0,LandedCost!E9*Controls!$B$26,"")</f>
        <v/>
      </c>
      <c r="N9" s="14" t="str">
        <f aca="false">IF(N(Controls!$B$27)&gt;0,LandedCost!E9*Controls!$B$27,"")</f>
        <v/>
      </c>
      <c r="O9" s="21" t="str">
        <f aca="false">IF(OR(M9="",N9=""),"Enter channel multiples",IF(N9&lt;I9,"Below band",IF(M9&gt;J9,"Above band at both multiples",IF(AND(M9&gt;=I9,N9&lt;=J9),"In band at both","Straddles band"))))</f>
        <v>Enter channel multiples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6" min="4" style="0" width="15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15" hidden="false" customHeight="false" outlineLevel="0" collapsed="false">
      <c r="A4" s="6" t="s">
        <v>106</v>
      </c>
      <c r="B4" s="23" t="n">
        <f aca="false">SKU_Economics!E4</f>
        <v>529366.613142857</v>
      </c>
    </row>
    <row r="6" customFormat="false" ht="23.85" hidden="false" customHeight="false" outlineLevel="0" collapsed="false">
      <c r="A6" s="11" t="s">
        <v>107</v>
      </c>
      <c r="B6" s="11" t="s">
        <v>108</v>
      </c>
      <c r="C6" s="11" t="s">
        <v>109</v>
      </c>
      <c r="D6" s="11" t="s">
        <v>110</v>
      </c>
      <c r="E6" s="11" t="s">
        <v>111</v>
      </c>
      <c r="F6" s="11" t="s">
        <v>112</v>
      </c>
      <c r="G6" s="11" t="s">
        <v>113</v>
      </c>
      <c r="H6" s="11" t="s">
        <v>114</v>
      </c>
    </row>
    <row r="7" customFormat="false" ht="15" hidden="false" customHeight="false" outlineLevel="0" collapsed="false">
      <c r="A7" s="6" t="s">
        <v>115</v>
      </c>
      <c r="B7" s="8" t="n">
        <v>0.21</v>
      </c>
      <c r="C7" s="8" t="n">
        <v>0.15</v>
      </c>
      <c r="D7" s="8" t="n">
        <v>0.07</v>
      </c>
      <c r="E7" s="24" t="n">
        <f aca="false">B7+C7+D7</f>
        <v>0.43</v>
      </c>
      <c r="F7" s="14" t="n">
        <f aca="false">$B$4*(1-E7)</f>
        <v>301738.969491429</v>
      </c>
      <c r="G7" s="14" t="n">
        <f aca="false">F7-LandedCost!K4</f>
        <v>65112.7694914286</v>
      </c>
      <c r="H7" s="24" t="n">
        <f aca="false">IF(F7=0,0,G7/F7)</f>
        <v>0.215791714279313</v>
      </c>
    </row>
    <row r="8" customFormat="false" ht="15" hidden="false" customHeight="false" outlineLevel="0" collapsed="false">
      <c r="A8" s="6" t="s">
        <v>116</v>
      </c>
      <c r="B8" s="8" t="n">
        <v>0.18</v>
      </c>
      <c r="C8" s="8" t="n">
        <v>0.18</v>
      </c>
      <c r="D8" s="8" t="n">
        <v>0.05</v>
      </c>
      <c r="E8" s="24" t="n">
        <f aca="false">B8+C8+D8</f>
        <v>0.41</v>
      </c>
      <c r="F8" s="14" t="n">
        <f aca="false">$B$4*(1-E8)</f>
        <v>312326.301754286</v>
      </c>
      <c r="G8" s="14" t="n">
        <f aca="false">F8-LandedCost!K4</f>
        <v>75700.1017542858</v>
      </c>
      <c r="H8" s="24" t="n">
        <f aca="false">IF(F8=0,0,G8/F8)</f>
        <v>0.242375045998658</v>
      </c>
    </row>
    <row r="9" customFormat="false" ht="15" hidden="false" customHeight="false" outlineLevel="0" collapsed="false">
      <c r="A9" s="6" t="s">
        <v>117</v>
      </c>
      <c r="B9" s="8" t="n">
        <v>0.15</v>
      </c>
      <c r="C9" s="8" t="n">
        <v>0.05</v>
      </c>
      <c r="D9" s="8" t="n">
        <v>0.03</v>
      </c>
      <c r="E9" s="24" t="n">
        <f aca="false">B9+C9+D9</f>
        <v>0.23</v>
      </c>
      <c r="F9" s="14" t="n">
        <f aca="false">$B$4*(1-E9)</f>
        <v>407612.29212</v>
      </c>
      <c r="G9" s="14" t="n">
        <f aca="false">F9-LandedCost!K4</f>
        <v>170986.09212</v>
      </c>
      <c r="H9" s="24" t="n">
        <f aca="false">IF(F9=0,0,G9/F9)</f>
        <v>0.419482178102868</v>
      </c>
    </row>
    <row r="10" customFormat="false" ht="15" hidden="false" customHeight="false" outlineLevel="0" collapsed="false">
      <c r="A10" s="6" t="s">
        <v>118</v>
      </c>
      <c r="B10" s="8" t="n">
        <v>0</v>
      </c>
      <c r="C10" s="8" t="n">
        <v>0</v>
      </c>
      <c r="D10" s="8" t="n">
        <v>0</v>
      </c>
      <c r="E10" s="24" t="n">
        <f aca="false">B10+C10+D10</f>
        <v>0</v>
      </c>
      <c r="F10" s="14" t="n">
        <f aca="false">$B$4*(1-E10)</f>
        <v>529366.613142857</v>
      </c>
      <c r="G10" s="14" t="n">
        <f aca="false">F10-LandedCost!K4</f>
        <v>292740.413142857</v>
      </c>
      <c r="H10" s="24" t="n">
        <f aca="false">IF(F10=0,0,G10/F10)</f>
        <v>0.553001277139208</v>
      </c>
    </row>
    <row r="12" customFormat="false" ht="15" hidden="false" customHeight="false" outlineLevel="0" collapsed="false">
      <c r="A12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7.35" hidden="false" customHeight="false" outlineLevel="0" collapsed="false">
      <c r="A1" s="1" t="s">
        <v>120</v>
      </c>
      <c r="H1" s="2" t="s">
        <v>121</v>
      </c>
      <c r="I1" s="25" t="n">
        <f aca="false">LandedCost!D4</f>
        <v>11.996</v>
      </c>
    </row>
    <row r="3" customFormat="false" ht="15" hidden="false" customHeight="false" outlineLevel="0" collapsed="false">
      <c r="A3" s="4" t="s">
        <v>122</v>
      </c>
    </row>
    <row r="4" customFormat="false" ht="15" hidden="false" customHeight="false" outlineLevel="0" collapsed="false">
      <c r="A4" s="26" t="s">
        <v>123</v>
      </c>
      <c r="B4" s="26" t="s">
        <v>124</v>
      </c>
      <c r="C4" s="26" t="s">
        <v>73</v>
      </c>
      <c r="D4" s="26" t="s">
        <v>93</v>
      </c>
      <c r="E4" s="26" t="s">
        <v>95</v>
      </c>
      <c r="F4" s="26" t="s">
        <v>96</v>
      </c>
    </row>
    <row r="5" customFormat="false" ht="15" hidden="false" customHeight="false" outlineLevel="0" collapsed="false">
      <c r="A5" s="6" t="s">
        <v>125</v>
      </c>
      <c r="B5" s="27" t="n">
        <v>0</v>
      </c>
      <c r="C5" s="14" t="n">
        <f aca="false">(LandedCost!E4+Controls!$B$8)*(1+B5)+Controls!$B$17/Controls!$B$18</f>
        <v>236626.2</v>
      </c>
      <c r="D5" s="14" t="n">
        <f aca="false">(C5*(1+Controls!$B$13)/(1-Controls!$B$14))*(1+Controls!$B$10)</f>
        <v>529366.613142857</v>
      </c>
      <c r="E5" s="18" t="n">
        <f aca="false">D5/Controls!$B$4</f>
        <v>28.6919573519164</v>
      </c>
      <c r="F5" s="19" t="n">
        <f aca="false">D5/LandedCost!E4</f>
        <v>2.39179371056322</v>
      </c>
    </row>
    <row r="6" customFormat="false" ht="15" hidden="false" customHeight="false" outlineLevel="0" collapsed="false">
      <c r="A6" s="6" t="s">
        <v>126</v>
      </c>
      <c r="B6" s="27" t="n">
        <v>0.15</v>
      </c>
      <c r="C6" s="14" t="n">
        <f aca="false">(LandedCost!E4+Controls!$B$8)*(1+B6)+Controls!$B$17/Controls!$B$18</f>
        <v>271595.13</v>
      </c>
      <c r="D6" s="14" t="n">
        <f aca="false">(C6*(1+Controls!$B$13)/(1-Controls!$B$14))*(1+Controls!$B$10)</f>
        <v>607597.105114286</v>
      </c>
      <c r="E6" s="18" t="n">
        <f aca="false">D6/Controls!$B$4</f>
        <v>32.9320924181185</v>
      </c>
      <c r="F6" s="19" t="n">
        <f aca="false">D6/LandedCost!E4</f>
        <v>2.74525612021661</v>
      </c>
    </row>
    <row r="7" customFormat="false" ht="15" hidden="false" customHeight="false" outlineLevel="0" collapsed="false">
      <c r="A7" s="6" t="s">
        <v>127</v>
      </c>
      <c r="B7" s="27" t="n">
        <v>0.07</v>
      </c>
      <c r="C7" s="14" t="n">
        <f aca="false">(LandedCost!E4+Controls!$B$8)*(1+B7)+Controls!$B$17/Controls!$B$18</f>
        <v>252945.034</v>
      </c>
      <c r="D7" s="14" t="n">
        <f aca="false">(C7*(1+Controls!$B$13)/(1-Controls!$B$14))*(1+Controls!$B$10)</f>
        <v>565874.176062857</v>
      </c>
      <c r="E7" s="18" t="n">
        <f aca="false">D7/Controls!$B$4</f>
        <v>30.6706870494774</v>
      </c>
      <c r="F7" s="19" t="n">
        <f aca="false">D7/LandedCost!E4</f>
        <v>2.55674283506814</v>
      </c>
    </row>
    <row r="10" customFormat="false" ht="15" hidden="false" customHeight="false" outlineLevel="0" collapsed="false">
      <c r="A10" s="4" t="s">
        <v>128</v>
      </c>
    </row>
    <row r="11" customFormat="false" ht="15" hidden="false" customHeight="false" outlineLevel="0" collapsed="false">
      <c r="A11" s="28" t="s">
        <v>43</v>
      </c>
      <c r="B11" s="28" t="s">
        <v>93</v>
      </c>
      <c r="C11" s="28" t="s">
        <v>95</v>
      </c>
    </row>
    <row r="12" customFormat="false" ht="15" hidden="false" customHeight="false" outlineLevel="0" collapsed="false">
      <c r="A12" s="20" t="n">
        <v>17500</v>
      </c>
      <c r="B12" s="14" t="n">
        <f aca="false">((LandedCost!D4*A12+Controls!$B$8)+Controls!$B$17/Controls!$B$18)*(1+Controls!$B$13)/(1-Controls!$B$14)*(1+Controls!$B$10)</f>
        <v>503871.685714286</v>
      </c>
      <c r="C12" s="18" t="n">
        <f aca="false">B12/A12</f>
        <v>28.792667755102</v>
      </c>
    </row>
    <row r="13" customFormat="false" ht="15" hidden="false" customHeight="false" outlineLevel="0" collapsed="false">
      <c r="A13" s="20" t="n">
        <v>18000</v>
      </c>
      <c r="B13" s="14" t="n">
        <f aca="false">((LandedCost!D4*A13+Controls!$B$8)+Controls!$B$17/Controls!$B$18)*(1+Controls!$B$13)/(1-Controls!$B$14)*(1+Controls!$B$10)</f>
        <v>517290.068571429</v>
      </c>
      <c r="C13" s="18" t="n">
        <f aca="false">B13/A13</f>
        <v>28.7383371428571</v>
      </c>
    </row>
    <row r="14" customFormat="false" ht="15" hidden="false" customHeight="false" outlineLevel="0" collapsed="false">
      <c r="A14" s="20" t="n">
        <v>18450</v>
      </c>
      <c r="B14" s="14" t="n">
        <f aca="false">((LandedCost!D4*A14+Controls!$B$8)+Controls!$B$17/Controls!$B$18)*(1+Controls!$B$13)/(1-Controls!$B$14)*(1+Controls!$B$10)</f>
        <v>529366.613142857</v>
      </c>
      <c r="C14" s="18" t="n">
        <f aca="false">B14/A14</f>
        <v>28.6919573519164</v>
      </c>
    </row>
    <row r="15" customFormat="false" ht="15" hidden="false" customHeight="false" outlineLevel="0" collapsed="false">
      <c r="A15" s="20" t="n">
        <v>19000</v>
      </c>
      <c r="B15" s="14" t="n">
        <f aca="false">((LandedCost!D4*A15+Controls!$B$8)+Controls!$B$17/Controls!$B$18)*(1+Controls!$B$13)/(1-Controls!$B$14)*(1+Controls!$B$10)</f>
        <v>544126.834285714</v>
      </c>
      <c r="C15" s="18" t="n">
        <f aca="false">B15/A15</f>
        <v>28.6382544360902</v>
      </c>
    </row>
    <row r="16" customFormat="false" ht="15" hidden="false" customHeight="false" outlineLevel="0" collapsed="false">
      <c r="A16" s="20" t="n">
        <v>19500</v>
      </c>
      <c r="B16" s="14" t="n">
        <f aca="false">((LandedCost!D4*A16+Controls!$B$8)+Controls!$B$17/Controls!$B$18)*(1+Controls!$B$13)/(1-Controls!$B$14)*(1+Controls!$B$10)</f>
        <v>557545.217142857</v>
      </c>
      <c r="C16" s="18" t="n">
        <f aca="false">B16/A16</f>
        <v>28.5920624175824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2026-10-24T05:01:31Z</dcterms:created>
  <dc:creator>openpyxl</dc:creator>
  <dc:description/>
  <dc:language>en-US</dc:language>
  <cp:lastModifiedBy/>
  <dcterms:modified xsi:type="dcterms:W3CDTF">2026-10-24T05:01:31Z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