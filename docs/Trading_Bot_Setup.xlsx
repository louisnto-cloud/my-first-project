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tart Here" sheetId="2" state="visible" r:id="rId2"/>
    <sheet name="Setup - Browser" sheetId="3" state="visible" r:id="rId3"/>
    <sheet name="Setup - Local" sheetId="4" state="visible" r:id="rId4"/>
    <sheet name="Alpaca Keys" sheetId="5" state="visible" r:id="rId5"/>
    <sheet name="Copy-Paste Commands" sheetId="6" state="visible" r:id="rId6"/>
    <sheet name="Tuning Calculator" sheetId="7" state="visible" r:id="rId7"/>
    <sheet name="Config Reference" sheetId="8" state="visible" r:id="rId8"/>
    <sheet name="_chartdata" sheetId="9" state="hidden" r:id="rId9"/>
    <sheet name="Charts" sheetId="10" state="visible" r:id="rId10"/>
    <sheet name="Parameter Sweep" sheetId="11" state="visible" r:id="rId11"/>
    <sheet name="Test Results" sheetId="12" state="visible" r:id="rId12"/>
    <sheet name="Backtest Results" sheetId="13" state="visible" r:id="rId13"/>
    <sheet name="Review &amp; Fixes" sheetId="14" state="visible" r:id="rId14"/>
    <sheet name="Architecture" sheetId="15" state="visible" r:id="rId15"/>
    <sheet name="Go-Live Checklist" sheetId="16" state="visible" r:id="rId16"/>
    <sheet name="Glossary" sheetId="17" state="visible" r:id="rId17"/>
    <sheet name="FAQ &amp; Troubleshooting" sheetId="18" state="visible" r:id="rId18"/>
    <sheet name="Daily Monitor" sheetId="19" state="visible" r:id="rId19"/>
    <sheet name="Risks &amp; Real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</font>
    <font>
      <name val="Calibri"/>
      <b val="1"/>
    </font>
    <font>
      <name val="Calibri"/>
      <b val="1"/>
      <color rgb="000563C1"/>
    </font>
    <font>
      <name val="Calibri"/>
    </font>
    <font>
      <name val="Consolas"/>
    </font>
    <font>
      <name val="Consolas"/>
      <b val="1"/>
    </font>
    <font>
      <name val="Calibri"/>
      <b val="1"/>
      <color rgb="00006100"/>
    </font>
    <font>
      <name val="Calibri"/>
      <b val="1"/>
      <color rgb="007F600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  <xf numFmtId="0" fontId="6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/>
    </xf>
    <xf numFmtId="0" fontId="6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2" fontId="8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/>
    </xf>
    <xf numFmtId="0" fontId="10" fillId="7" borderId="1" applyAlignment="1" pivotButton="0" quotePrefix="0" xfId="0">
      <alignment vertical="top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7F60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over the backtest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'_chartdata'!$B$2:$B$168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equity vs buy &amp; hold (after fees)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'_chartdata'!$C$2:$C$168</f>
            </numRef>
          </val>
        </ser>
        <ser>
          <idx val="1"/>
          <order val="1"/>
          <tx>
            <strRef>
              <f>'_chartdata'!D1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'_chartdata'!$D$2:$D$168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3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93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#'Setup - Browser'!A1" TargetMode="External" Id="rId2" /><Relationship Type="http://schemas.openxmlformats.org/officeDocument/2006/relationships/hyperlink" Target="#'Setup - Local'!A1" TargetMode="External" Id="rId3" /><Relationship Type="http://schemas.openxmlformats.org/officeDocument/2006/relationships/hyperlink" Target="#'Alpaca Keys'!A1" TargetMode="External" Id="rId4" /><Relationship Type="http://schemas.openxmlformats.org/officeDocument/2006/relationships/hyperlink" Target="#'Copy-Paste Commands'!A1" TargetMode="External" Id="rId5" /><Relationship Type="http://schemas.openxmlformats.org/officeDocument/2006/relationships/hyperlink" Target="#'Tuning Calculator'!A1" TargetMode="External" Id="rId6" /><Relationship Type="http://schemas.openxmlformats.org/officeDocument/2006/relationships/hyperlink" Target="#'Config Reference'!A1" TargetMode="External" Id="rId7" /><Relationship Type="http://schemas.openxmlformats.org/officeDocument/2006/relationships/hyperlink" Target="#'Charts'!A1" TargetMode="External" Id="rId8" /><Relationship Type="http://schemas.openxmlformats.org/officeDocument/2006/relationships/hyperlink" Target="#'Parameter Sweep'!A1" TargetMode="External" Id="rId9" /><Relationship Type="http://schemas.openxmlformats.org/officeDocument/2006/relationships/hyperlink" Target="#'Test Results'!A1" TargetMode="External" Id="rId10" /><Relationship Type="http://schemas.openxmlformats.org/officeDocument/2006/relationships/hyperlink" Target="#'Backtest Results'!A1" TargetMode="External" Id="rId11" /><Relationship Type="http://schemas.openxmlformats.org/officeDocument/2006/relationships/hyperlink" Target="#'Review &amp; Fixes'!A1" TargetMode="External" Id="rId12" /><Relationship Type="http://schemas.openxmlformats.org/officeDocument/2006/relationships/hyperlink" Target="#'Architecture'!A1" TargetMode="External" Id="rId13" /><Relationship Type="http://schemas.openxmlformats.org/officeDocument/2006/relationships/hyperlink" Target="#'Go-Live Checklist'!A1" TargetMode="External" Id="rId14" /><Relationship Type="http://schemas.openxmlformats.org/officeDocument/2006/relationships/hyperlink" Target="#'Glossary'!A1" TargetMode="External" Id="rId15" /><Relationship Type="http://schemas.openxmlformats.org/officeDocument/2006/relationships/hyperlink" Target="#'FAQ &amp; Troubleshooting'!A1" TargetMode="External" Id="rId16" /><Relationship Type="http://schemas.openxmlformats.org/officeDocument/2006/relationships/hyperlink" Target="#'Daily Monitor'!A1" TargetMode="External" Id="rId17" /><Relationship Type="http://schemas.openxmlformats.org/officeDocument/2006/relationships/hyperlink" Target="#'Risks &amp; Reality'!A1" TargetMode="External" Id="rId18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6" customWidth="1" min="3" max="3"/>
  </cols>
  <sheetData>
    <row r="1" ht="30" customHeight="1">
      <c r="A1" s="1" t="inlineStr">
        <is>
          <t>Automated Grid Trading Bot — Master Setup Workbook</t>
        </is>
      </c>
    </row>
    <row r="2" ht="22" customHeight="1">
      <c r="A2" s="2" t="inlineStr">
        <is>
          <t>Click any tab name to jump there. Work top to bottom. Green = safe. Red = stop.</t>
        </is>
      </c>
    </row>
    <row r="3">
      <c r="A3" s="3" t="inlineStr">
        <is>
          <t>#</t>
        </is>
      </c>
      <c r="B3" s="3" t="inlineStr">
        <is>
          <t>Tab</t>
        </is>
      </c>
      <c r="C3" s="3" t="inlineStr">
        <is>
          <t>What's on it</t>
        </is>
      </c>
    </row>
    <row r="4" ht="26" customHeight="1">
      <c r="A4" s="4" t="inlineStr">
        <is>
          <t>1</t>
        </is>
      </c>
      <c r="B4" s="5" t="inlineStr">
        <is>
          <t>Start Here</t>
        </is>
      </c>
      <c r="C4" s="6" t="inlineStr">
        <is>
          <t>What this is, the honest warning, and how to use this file.</t>
        </is>
      </c>
    </row>
    <row r="5" ht="26" customHeight="1">
      <c r="A5" s="4" t="inlineStr">
        <is>
          <t>2</t>
        </is>
      </c>
      <c r="B5" s="5" t="inlineStr">
        <is>
          <t>Setup - Browser</t>
        </is>
      </c>
      <c r="C5" s="6" t="inlineStr">
        <is>
          <t>Run it entirely in Chrome via GitHub Codespaces. Nothing to install.</t>
        </is>
      </c>
    </row>
    <row r="6" ht="26" customHeight="1">
      <c r="A6" s="4" t="inlineStr">
        <is>
          <t>3</t>
        </is>
      </c>
      <c r="B6" s="5" t="inlineStr">
        <is>
          <t>Setup - Local</t>
        </is>
      </c>
      <c r="C6" s="6" t="inlineStr">
        <is>
          <t>Run it on your own computer (best for long paper-trading runs).</t>
        </is>
      </c>
    </row>
    <row r="7" ht="26" customHeight="1">
      <c r="A7" s="4" t="inlineStr">
        <is>
          <t>4</t>
        </is>
      </c>
      <c r="B7" s="5" t="inlineStr">
        <is>
          <t>Alpaca Keys</t>
        </is>
      </c>
      <c r="C7" s="6" t="inlineStr">
        <is>
          <t>Get your free paper-trading API keys, step by step.</t>
        </is>
      </c>
    </row>
    <row r="8" ht="26" customHeight="1">
      <c r="A8" s="4" t="inlineStr">
        <is>
          <t>5</t>
        </is>
      </c>
      <c r="B8" s="5" t="inlineStr">
        <is>
          <t>Copy-Paste Commands</t>
        </is>
      </c>
      <c r="C8" s="6" t="inlineStr">
        <is>
          <t>Every command, in order, colour-coded by risk.</t>
        </is>
      </c>
    </row>
    <row r="9" ht="26" customHeight="1">
      <c r="A9" s="4" t="inlineStr">
        <is>
          <t>6</t>
        </is>
      </c>
      <c r="B9" s="5" t="inlineStr">
        <is>
          <t>Tuning Calculator</t>
        </is>
      </c>
      <c r="C9" s="6" t="inlineStr">
        <is>
          <t>INTERACTIVE: type your numbers, cells tell you if the grid clears fees.</t>
        </is>
      </c>
    </row>
    <row r="10" ht="26" customHeight="1">
      <c r="A10" s="4" t="inlineStr">
        <is>
          <t>7</t>
        </is>
      </c>
      <c r="B10" s="5" t="inlineStr">
        <is>
          <t>Config Reference</t>
        </is>
      </c>
      <c r="C10" s="6" t="inlineStr">
        <is>
          <t>Every config.yaml setting explained with safe guidance.</t>
        </is>
      </c>
    </row>
    <row r="11" ht="26" customHeight="1">
      <c r="A11" s="4" t="inlineStr">
        <is>
          <t>8</t>
        </is>
      </c>
      <c r="B11" s="5" t="inlineStr">
        <is>
          <t>Charts</t>
        </is>
      </c>
      <c r="C11" s="6" t="inlineStr">
        <is>
          <t>Real backtest charts: price, strategy equity, and buy &amp; hold.</t>
        </is>
      </c>
    </row>
    <row r="12" ht="26" customHeight="1">
      <c r="A12" s="4" t="inlineStr">
        <is>
          <t>9</t>
        </is>
      </c>
      <c r="B12" s="5" t="inlineStr">
        <is>
          <t>Parameter Sweep</t>
        </is>
      </c>
      <c r="C12" s="6" t="inlineStr">
        <is>
          <t>Many backtests compared so you can see the trade-offs.</t>
        </is>
      </c>
    </row>
    <row r="13" ht="26" customHeight="1">
      <c r="A13" s="4" t="inlineStr">
        <is>
          <t>10</t>
        </is>
      </c>
      <c r="B13" s="5" t="inlineStr">
        <is>
          <t>Test Results</t>
        </is>
      </c>
      <c r="C13" s="6" t="inlineStr">
        <is>
          <t>The automated tests and what each one proves.</t>
        </is>
      </c>
    </row>
    <row r="14" ht="26" customHeight="1">
      <c r="A14" s="4" t="inlineStr">
        <is>
          <t>11</t>
        </is>
      </c>
      <c r="B14" s="5" t="inlineStr">
        <is>
          <t>Backtest Results</t>
        </is>
      </c>
      <c r="C14" s="6" t="inlineStr">
        <is>
          <t>The headline backtest numbers and how to read them.</t>
        </is>
      </c>
    </row>
    <row r="15" ht="26" customHeight="1">
      <c r="A15" s="4" t="inlineStr">
        <is>
          <t>12</t>
        </is>
      </c>
      <c r="B15" s="5" t="inlineStr">
        <is>
          <t>Review &amp; Fixes</t>
        </is>
      </c>
      <c r="C15" s="6" t="inlineStr">
        <is>
          <t>Devil's-advocate review: problems found and fixed.</t>
        </is>
      </c>
    </row>
    <row r="16" ht="26" customHeight="1">
      <c r="A16" s="4" t="inlineStr">
        <is>
          <t>13</t>
        </is>
      </c>
      <c r="B16" s="5" t="inlineStr">
        <is>
          <t>Architecture</t>
        </is>
      </c>
      <c r="C16" s="6" t="inlineStr">
        <is>
          <t>What each file does, in plain language.</t>
        </is>
      </c>
    </row>
    <row r="17" ht="26" customHeight="1">
      <c r="A17" s="4" t="inlineStr">
        <is>
          <t>14</t>
        </is>
      </c>
      <c r="B17" s="5" t="inlineStr">
        <is>
          <t>Go-Live Checklist</t>
        </is>
      </c>
      <c r="C17" s="6" t="inlineStr">
        <is>
          <t>The boxes that must ALL be true before real money.</t>
        </is>
      </c>
    </row>
    <row r="18" ht="26" customHeight="1">
      <c r="A18" s="4" t="inlineStr">
        <is>
          <t>15</t>
        </is>
      </c>
      <c r="B18" s="5" t="inlineStr">
        <is>
          <t>Glossary</t>
        </is>
      </c>
      <c r="C18" s="6" t="inlineStr">
        <is>
          <t>Every jargon word, in plain English.</t>
        </is>
      </c>
    </row>
    <row r="19" ht="26" customHeight="1">
      <c r="A19" s="4" t="inlineStr">
        <is>
          <t>16</t>
        </is>
      </c>
      <c r="B19" s="5" t="inlineStr">
        <is>
          <t>FAQ &amp; Troubleshooting</t>
        </is>
      </c>
      <c r="C19" s="6" t="inlineStr">
        <is>
          <t>Common errors and what to do about them.</t>
        </is>
      </c>
    </row>
    <row r="20" ht="26" customHeight="1">
      <c r="A20" s="4" t="inlineStr">
        <is>
          <t>17</t>
        </is>
      </c>
      <c r="B20" s="5" t="inlineStr">
        <is>
          <t>Daily Monitor</t>
        </is>
      </c>
      <c r="C20" s="6" t="inlineStr">
        <is>
          <t>A template to log what the bot does each day.</t>
        </is>
      </c>
    </row>
    <row r="21" ht="26" customHeight="1">
      <c r="A21" s="4" t="inlineStr">
        <is>
          <t>18</t>
        </is>
      </c>
      <c r="B21" s="5" t="inlineStr">
        <is>
          <t>Risks &amp; Reality</t>
        </is>
      </c>
      <c r="C21" s="6" t="inlineStr">
        <is>
          <t>The honest risks most guides skip.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1" t="inlineStr">
        <is>
          <t>Start Here</t>
        </is>
      </c>
    </row>
    <row r="3" ht="60" customHeight="1">
      <c r="A3" s="7" t="inlineStr">
        <is>
          <t>What this is</t>
        </is>
      </c>
      <c r="B3" s="6" t="inlineStr">
        <is>
          <t>A safe-by-default grid trading bot for Alpaca. It buys small amounts as the price dips through a band you choose and sells a little higher, over and over. It trades FAKE (paper) money by default. Going live takes two deliberate, on-purpose steps.</t>
        </is>
      </c>
    </row>
    <row r="4" ht="60" customHeight="1">
      <c r="A4" s="7" t="inlineStr">
        <is>
          <t>Read this first</t>
        </is>
      </c>
      <c r="B4" s="6" t="inlineStr">
        <is>
          <t>This is NOT passive income and it CAN lose money, especially when the market trends hard one way. A grid bot quietly assumes price comes back; when it does not, that is where losses live. Only ever fund money you would be completely fine losing in full.</t>
        </is>
      </c>
    </row>
    <row r="5" ht="60" customHeight="1">
      <c r="A5" s="7" t="inlineStr">
        <is>
          <t>The one number to burn in</t>
        </is>
      </c>
      <c r="B5" s="6" t="inlineStr">
        <is>
          <t>Alpaca charges ~0.25% per trade, so ~0.5% round trip. Every buy+sell cycle must clear more than ~0.5% just to break even. The bot refuses to start if your grid is too tight.</t>
        </is>
      </c>
    </row>
    <row r="6" ht="60" customHeight="1">
      <c r="A6" s="7" t="inlineStr">
        <is>
          <t>How to use this file</t>
        </is>
      </c>
      <c r="B6" s="6" t="inlineStr">
        <is>
          <t>Open the Contents tab and go top to bottom. Pick ONE setup path. Use the Tuning Calculator before you trade. Green cells = do this safely. Amber = caution. Red = stop.</t>
        </is>
      </c>
    </row>
    <row r="7" ht="60" customHeight="1">
      <c r="A7" s="7" t="inlineStr">
        <is>
          <t>Honest note on screenshots</t>
        </is>
      </c>
      <c r="B7" s="6" t="inlineStr">
        <is>
          <t>This file deliberately contains NO fake screenshots of Alpaca. A wrong screenshot sends you clicking the wrong thing. You get exact click directions and official links instead.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62" customWidth="1" min="3" max="3"/>
  </cols>
  <sheetData>
    <row r="1" ht="30" customHeight="1">
      <c r="A1" s="1" t="inlineStr">
        <is>
          <t>Setup Path A — Run in Chrome (GitHub Codespaces, nothing to install)</t>
        </is>
      </c>
    </row>
    <row r="2" ht="22" customHeight="1">
      <c r="A2" s="2" t="inlineStr">
        <is>
          <t>Best if you do not want to install anything. The free tier is plenty for testing.</t>
        </is>
      </c>
    </row>
    <row r="3">
      <c r="A3" s="3" t="inlineStr">
        <is>
          <t>#</t>
        </is>
      </c>
      <c r="B3" s="3" t="inlineStr">
        <is>
          <t>What to do (click)</t>
        </is>
      </c>
      <c r="C3" s="3" t="inlineStr">
        <is>
          <t>Copy &amp; paste / notes</t>
        </is>
      </c>
    </row>
    <row r="4" ht="56" customHeight="1">
      <c r="A4" s="4" t="inlineStr">
        <is>
          <t>1</t>
        </is>
      </c>
      <c r="B4" s="6" t="inlineStr">
        <is>
          <t>Open github.com in Chrome and sign in (free account). You already own the repo.</t>
        </is>
      </c>
      <c r="C4" s="6" t="inlineStr"/>
    </row>
    <row r="5" ht="56" customHeight="1">
      <c r="A5" s="4" t="inlineStr">
        <is>
          <t>2</t>
        </is>
      </c>
      <c r="B5" s="6" t="inlineStr">
        <is>
          <t>Go to the repository page.</t>
        </is>
      </c>
      <c r="C5" s="8" t="inlineStr">
        <is>
          <t>https://github.com/louisnto-cloud/my-first-project</t>
        </is>
      </c>
    </row>
    <row r="6" ht="56" customHeight="1">
      <c r="A6" s="4" t="inlineStr">
        <is>
          <t>3</t>
        </is>
      </c>
      <c r="B6" s="6" t="inlineStr">
        <is>
          <t>Click the green '&lt; &gt; Code' button -&gt; 'Codespaces' tab -&gt; 'Create codespace on claude/cool-sagan-TEXoS'. A full editor opens in your browser.</t>
        </is>
      </c>
      <c r="C6" s="6" t="inlineStr">
        <is>
          <t>Use the branch claude/cool-sagan-TEXoS.</t>
        </is>
      </c>
    </row>
    <row r="7" ht="56" customHeight="1">
      <c r="A7" s="4" t="inlineStr">
        <is>
          <t>4</t>
        </is>
      </c>
      <c r="B7" s="6" t="inlineStr">
        <is>
          <t>Wait ~1 minute. A terminal appears at the bottom; click into it.</t>
        </is>
      </c>
      <c r="C7" s="6" t="inlineStr">
        <is>
          <t>No terminal? Top menu -&gt; Terminal -&gt; New Terminal.</t>
        </is>
      </c>
    </row>
    <row r="8" ht="56" customHeight="1">
      <c r="A8" s="4" t="inlineStr">
        <is>
          <t>5</t>
        </is>
      </c>
      <c r="B8" s="6" t="inlineStr">
        <is>
          <t>Install the packages.</t>
        </is>
      </c>
      <c r="C8" s="8" t="inlineStr">
        <is>
          <t>pip install -r requirements.txt</t>
        </is>
      </c>
    </row>
    <row r="9" ht="56" customHeight="1">
      <c r="A9" s="4" t="inlineStr">
        <is>
          <t>6</t>
        </is>
      </c>
      <c r="B9" s="6" t="inlineStr">
        <is>
          <t>Run the safety tests.</t>
        </is>
      </c>
      <c r="C9" s="8" t="inlineStr">
        <is>
          <t>python -m pytest -q</t>
        </is>
      </c>
    </row>
    <row r="10" ht="56" customHeight="1">
      <c r="A10" s="4" t="inlineStr">
        <is>
          <t>7</t>
        </is>
      </c>
      <c r="B10" s="6" t="inlineStr">
        <is>
          <t>Run the offline backtest (no keys needed).</t>
        </is>
      </c>
      <c r="C10" s="8" t="inlineStr">
        <is>
          <t>python backtest.py --simulate</t>
        </is>
      </c>
    </row>
    <row r="11" ht="56" customHeight="1">
      <c r="A11" s="4" t="inlineStr">
        <is>
          <t>8</t>
        </is>
      </c>
      <c r="B11" s="6" t="inlineStr">
        <is>
          <t>Watch a 30-loop dry run (no keys, nothing sent).</t>
        </is>
      </c>
      <c r="C11" s="8" t="inlineStr">
        <is>
          <t>python run_bot.py --ticks 30</t>
        </is>
      </c>
    </row>
    <row r="12" ht="56" customHeight="1">
      <c r="A12" s="4" t="inlineStr">
        <is>
          <t>9</t>
        </is>
      </c>
      <c r="B12" s="6" t="inlineStr">
        <is>
          <t>Ready for paper? Do the 'Alpaca Keys' tab, then create your .env.</t>
        </is>
      </c>
      <c r="C12" s="8" t="inlineStr">
        <is>
          <t>cp .env.example .env   then edit .env</t>
        </is>
      </c>
    </row>
    <row r="13" ht="56" customHeight="1">
      <c r="A13" s="4" t="inlineStr">
        <is>
          <t>10</t>
        </is>
      </c>
      <c r="B13" s="6" t="inlineStr">
        <is>
          <t>LIMIT: a Codespace pauses when idle — great for testing, NOT for multi-week paper trading. For that, use 'Setup - Local' or a small always-on cloud server.</t>
        </is>
      </c>
      <c r="C13" s="6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62" customWidth="1" min="3" max="3"/>
  </cols>
  <sheetData>
    <row r="1" ht="30" customHeight="1">
      <c r="A1" s="1" t="inlineStr">
        <is>
          <t>Setup Path B — Run on your own computer</t>
        </is>
      </c>
    </row>
    <row r="2" ht="22" customHeight="1">
      <c r="A2" s="2" t="inlineStr">
        <is>
          <t>Best for long-running paper trading. Needs Python 3.10+ installed.</t>
        </is>
      </c>
    </row>
    <row r="3">
      <c r="A3" s="3" t="inlineStr">
        <is>
          <t>#</t>
        </is>
      </c>
      <c r="B3" s="3" t="inlineStr">
        <is>
          <t>What to do</t>
        </is>
      </c>
      <c r="C3" s="3" t="inlineStr">
        <is>
          <t>Copy &amp; paste</t>
        </is>
      </c>
    </row>
    <row r="4" ht="56" customHeight="1">
      <c r="A4" s="4" t="inlineStr">
        <is>
          <t>1</t>
        </is>
      </c>
      <c r="B4" s="6" t="inlineStr">
        <is>
          <t>Install Python 3.10+ if needed. Windows: tick 'Add Python to PATH' during install.</t>
        </is>
      </c>
      <c r="C4" s="8" t="inlineStr">
        <is>
          <t>https://www.python.org/downloads/</t>
        </is>
      </c>
    </row>
    <row r="5" ht="56" customHeight="1">
      <c r="A5" s="4" t="inlineStr">
        <is>
          <t>2</t>
        </is>
      </c>
      <c r="B5" s="6" t="inlineStr">
        <is>
          <t>Open a terminal. Mac: Cmd+Space -&gt; Terminal. Windows: Start -&gt; PowerShell.</t>
        </is>
      </c>
      <c r="C5" s="6" t="inlineStr"/>
    </row>
    <row r="6" ht="56" customHeight="1">
      <c r="A6" s="4" t="inlineStr">
        <is>
          <t>3</t>
        </is>
      </c>
      <c r="B6" s="6" t="inlineStr">
        <is>
          <t>Download the project.</t>
        </is>
      </c>
      <c r="C6" s="8" t="inlineStr">
        <is>
          <t>git clone https://github.com/louisnto-cloud/my-first-project.git</t>
        </is>
      </c>
    </row>
    <row r="7" ht="56" customHeight="1">
      <c r="A7" s="4" t="inlineStr">
        <is>
          <t>4</t>
        </is>
      </c>
      <c r="B7" s="6" t="inlineStr">
        <is>
          <t>Go into the folder.</t>
        </is>
      </c>
      <c r="C7" s="8" t="inlineStr">
        <is>
          <t>cd my-first-project</t>
        </is>
      </c>
    </row>
    <row r="8" ht="56" customHeight="1">
      <c r="A8" s="4" t="inlineStr">
        <is>
          <t>5</t>
        </is>
      </c>
      <c r="B8" s="6" t="inlineStr">
        <is>
          <t>Switch to the bot's branch.</t>
        </is>
      </c>
      <c r="C8" s="8" t="inlineStr">
        <is>
          <t>git checkout claude/cool-sagan-TEXoS</t>
        </is>
      </c>
    </row>
    <row r="9" ht="56" customHeight="1">
      <c r="A9" s="4" t="inlineStr">
        <is>
          <t>6</t>
        </is>
      </c>
      <c r="B9" s="6" t="inlineStr">
        <is>
          <t>Install the packages.</t>
        </is>
      </c>
      <c r="C9" s="8" t="inlineStr">
        <is>
          <t>pip install -r requirements.txt</t>
        </is>
      </c>
    </row>
    <row r="10" ht="56" customHeight="1">
      <c r="A10" s="4" t="inlineStr">
        <is>
          <t>7</t>
        </is>
      </c>
      <c r="B10" s="6" t="inlineStr">
        <is>
          <t>Run the safety tests.</t>
        </is>
      </c>
      <c r="C10" s="8" t="inlineStr">
        <is>
          <t>python -m pytest -q</t>
        </is>
      </c>
    </row>
    <row r="11" ht="56" customHeight="1">
      <c r="A11" s="4" t="inlineStr">
        <is>
          <t>8</t>
        </is>
      </c>
      <c r="B11" s="6" t="inlineStr">
        <is>
          <t>Run the offline backtest.</t>
        </is>
      </c>
      <c r="C11" s="8" t="inlineStr">
        <is>
          <t>python backtest.py --simulate</t>
        </is>
      </c>
    </row>
    <row r="12" ht="56" customHeight="1">
      <c r="A12" s="4" t="inlineStr">
        <is>
          <t>9</t>
        </is>
      </c>
      <c r="B12" s="6" t="inlineStr">
        <is>
          <t>Watch a 30-loop dry run.</t>
        </is>
      </c>
      <c r="C12" s="8" t="inlineStr">
        <is>
          <t>python run_bot.py --ticks 30</t>
        </is>
      </c>
    </row>
    <row r="13" ht="56" customHeight="1">
      <c r="A13" s="4" t="inlineStr">
        <is>
          <t>10</t>
        </is>
      </c>
      <c r="B13" s="6" t="inlineStr">
        <is>
          <t>Set up keys (see 'Alpaca Keys').</t>
        </is>
      </c>
      <c r="C13" s="8" t="inlineStr">
        <is>
          <t>cp .env.example .env   (Win: copy .env.example .env)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2" customWidth="1" min="2" max="2"/>
  </cols>
  <sheetData>
    <row r="1" ht="30" customHeight="1">
      <c r="A1" s="1" t="inlineStr">
        <is>
          <t>Get your free Alpaca PAPER keys (fake money)</t>
        </is>
      </c>
    </row>
    <row r="2" ht="22" customHeight="1">
      <c r="A2" s="2" t="inlineStr">
        <is>
          <t>Paper keys control only fake money. Even if leaked, no real funds are at risk.</t>
        </is>
      </c>
    </row>
    <row r="3">
      <c r="A3" s="3" t="inlineStr">
        <is>
          <t>#</t>
        </is>
      </c>
      <c r="B3" s="3" t="inlineStr">
        <is>
          <t>Step</t>
        </is>
      </c>
    </row>
    <row r="4" ht="40" customHeight="1">
      <c r="A4" s="4" t="inlineStr">
        <is>
          <t>1</t>
        </is>
      </c>
      <c r="B4" s="6" t="inlineStr">
        <is>
          <t>Go to https://alpaca.markets and click 'Sign up'. Use your email. It is free.</t>
        </is>
      </c>
    </row>
    <row r="5" ht="40" customHeight="1">
      <c r="A5" s="4" t="inlineStr">
        <is>
          <t>2</t>
        </is>
      </c>
      <c r="B5" s="6" t="inlineStr">
        <is>
          <t>On the dashboard, find the Live / Paper switch (top-left area) and set it to PAPER.</t>
        </is>
      </c>
    </row>
    <row r="6" ht="40" customHeight="1">
      <c r="A6" s="4" t="inlineStr">
        <is>
          <t>3</t>
        </is>
      </c>
      <c r="B6" s="6" t="inlineStr">
        <is>
          <t>Find 'API Keys' (under Home or a key icon). Click 'Generate New Key'.</t>
        </is>
      </c>
    </row>
    <row r="7" ht="40" customHeight="1">
      <c r="A7" s="4" t="inlineStr">
        <is>
          <t>4</t>
        </is>
      </c>
      <c r="B7" s="6" t="inlineStr">
        <is>
          <t>Copy BOTH the Key ID and the Secret Key into a safe note NOW — the Secret is shown once.</t>
        </is>
      </c>
    </row>
    <row r="8" ht="40" customHeight="1">
      <c r="A8" s="4" t="inlineStr">
        <is>
          <t>5</t>
        </is>
      </c>
      <c r="B8" s="6" t="inlineStr">
        <is>
          <t>Key ID -&gt; ALPACA_API_KEY_ID and Secret -&gt; ALPACA_API_SECRET_KEY in your .env file.</t>
        </is>
      </c>
    </row>
    <row r="9" ht="40" customHeight="1">
      <c r="A9" s="4" t="inlineStr">
        <is>
          <t>6</t>
        </is>
      </c>
      <c r="B9" s="6" t="inlineStr">
        <is>
          <t>Official walkthrough (current screenshots): https://alpaca.markets/learn/connect-to-alpaca-api</t>
        </is>
      </c>
    </row>
    <row r="10" ht="40" customHeight="1">
      <c r="A10" s="4" t="inlineStr">
        <is>
          <t>7</t>
        </is>
      </c>
      <c r="B10" s="6" t="inlineStr">
        <is>
          <t>Paper trading overview: https://alpaca.markets/learn/start-paper-trading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58" customWidth="1" min="3" max="3"/>
  </cols>
  <sheetData>
    <row r="1" ht="30" customHeight="1">
      <c r="A1" s="1" t="inlineStr">
        <is>
          <t>Every command, in order</t>
        </is>
      </c>
    </row>
    <row r="2" ht="22" customHeight="1">
      <c r="A2" s="2" t="inlineStr">
        <is>
          <t>Run from inside the project folder. Green rows are zero-risk (no keys, nothing sent).</t>
        </is>
      </c>
    </row>
    <row r="3">
      <c r="A3" s="3" t="inlineStr">
        <is>
          <t>#</t>
        </is>
      </c>
      <c r="B3" s="3" t="inlineStr">
        <is>
          <t>Purpose</t>
        </is>
      </c>
      <c r="C3" s="3" t="inlineStr">
        <is>
          <t>Command</t>
        </is>
      </c>
    </row>
    <row r="4" ht="30" customHeight="1">
      <c r="A4" s="9" t="inlineStr">
        <is>
          <t>1</t>
        </is>
      </c>
      <c r="B4" s="10" t="inlineStr">
        <is>
          <t>Install packages</t>
        </is>
      </c>
      <c r="C4" s="8" t="inlineStr">
        <is>
          <t>pip install -r requirements.txt</t>
        </is>
      </c>
    </row>
    <row r="5" ht="30" customHeight="1">
      <c r="A5" s="9" t="inlineStr">
        <is>
          <t>2</t>
        </is>
      </c>
      <c r="B5" s="10" t="inlineStr">
        <is>
          <t>Run safety tests (expect: 45 passed)</t>
        </is>
      </c>
      <c r="C5" s="8" t="inlineStr">
        <is>
          <t>python -m pytest -q</t>
        </is>
      </c>
    </row>
    <row r="6" ht="30" customHeight="1">
      <c r="A6" s="9" t="inlineStr">
        <is>
          <t>3</t>
        </is>
      </c>
      <c r="B6" s="10" t="inlineStr">
        <is>
          <t>Offline backtest (synthetic data)</t>
        </is>
      </c>
      <c r="C6" s="8" t="inlineStr">
        <is>
          <t>python backtest.py --simulate</t>
        </is>
      </c>
    </row>
    <row r="7" ht="30" customHeight="1">
      <c r="A7" s="9" t="inlineStr">
        <is>
          <t>4</t>
        </is>
      </c>
      <c r="B7" s="10" t="inlineStr">
        <is>
          <t>Dry run, 30 loops (no keys, nothing sent)</t>
        </is>
      </c>
      <c r="C7" s="8" t="inlineStr">
        <is>
          <t>python run_bot.py --ticks 30</t>
        </is>
      </c>
    </row>
    <row r="8" ht="30" customHeight="1">
      <c r="A8" s="11" t="inlineStr">
        <is>
          <t>5</t>
        </is>
      </c>
      <c r="B8" s="12" t="inlineStr">
        <is>
          <t>Create your secrets file</t>
        </is>
      </c>
      <c r="C8" s="8" t="inlineStr">
        <is>
          <t>cp .env.example .env</t>
        </is>
      </c>
    </row>
    <row r="9" ht="30" customHeight="1">
      <c r="A9" s="11" t="inlineStr">
        <is>
          <t>6</t>
        </is>
      </c>
      <c r="B9" s="12" t="inlineStr">
        <is>
          <t>Backtest on REAL last 30 days (needs paper keys)</t>
        </is>
      </c>
      <c r="C9" s="8" t="inlineStr">
        <is>
          <t>python backtest.py --days 30</t>
        </is>
      </c>
    </row>
    <row r="10" ht="30" customHeight="1">
      <c r="A10" s="11" t="inlineStr">
        <is>
          <t>7</t>
        </is>
      </c>
      <c r="B10" s="12" t="inlineStr">
        <is>
          <t>Start PAPER trading (set mode: paper first)</t>
        </is>
      </c>
      <c r="C10" s="8" t="inlineStr">
        <is>
          <t>python run_bot.py</t>
        </is>
      </c>
    </row>
    <row r="11" ht="30" customHeight="1">
      <c r="A11" s="13" t="inlineStr">
        <is>
          <t>8</t>
        </is>
      </c>
      <c r="B11" s="14" t="inlineStr">
        <is>
          <t>STOP immediately (kill switch)</t>
        </is>
      </c>
      <c r="C11" s="8" t="inlineStr">
        <is>
          <t>touch KILL   (Win: type nul &gt; KILL)</t>
        </is>
      </c>
    </row>
    <row r="12" ht="30" customHeight="1">
      <c r="A12" s="11" t="inlineStr">
        <is>
          <t>9</t>
        </is>
      </c>
      <c r="B12" s="12" t="inlineStr">
        <is>
          <t>Re-arm after a kill</t>
        </is>
      </c>
      <c r="C12" s="8" t="inlineStr">
        <is>
          <t>rm KILL   (Win: del KILL)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 ht="30" customHeight="1">
      <c r="A1" s="1" t="inlineStr">
        <is>
          <t>Interactive tuning calculator (edit the yellow cells)</t>
        </is>
      </c>
    </row>
    <row r="2" ht="22" customHeight="1">
      <c r="A2" s="2" t="inlineStr">
        <is>
          <t>Type your numbers in the yellow cells. The verdicts update live in Excel.</t>
        </is>
      </c>
    </row>
    <row r="3">
      <c r="A3" s="3" t="inlineStr">
        <is>
          <t>Input / Output</t>
        </is>
      </c>
      <c r="B3" s="3" t="inlineStr">
        <is>
          <t>Value</t>
        </is>
      </c>
      <c r="C3" s="3" t="inlineStr">
        <is>
          <t>Notes</t>
        </is>
      </c>
    </row>
    <row r="4" ht="26" customHeight="1">
      <c r="A4" s="15" t="inlineStr">
        <is>
          <t>Profit target per cycle (%)</t>
        </is>
      </c>
      <c r="B4" s="16" t="n">
        <v>1</v>
      </c>
      <c r="C4" s="6" t="inlineStr">
        <is>
          <t>EDIT ME. What you aim to capture each buy-&gt;sell.</t>
        </is>
      </c>
    </row>
    <row r="5" ht="26" customHeight="1">
      <c r="A5" s="15" t="inlineStr">
        <is>
          <t>Alpaca fee per side (%)</t>
        </is>
      </c>
      <c r="B5" s="16" t="n">
        <v>0.25</v>
      </c>
      <c r="C5" s="6" t="inlineStr">
        <is>
          <t>EDIT ME. Alpaca crypto = 0.25.</t>
        </is>
      </c>
    </row>
    <row r="6" ht="26" customHeight="1">
      <c r="A6" s="17" t="inlineStr">
        <is>
          <t>Round-trip fee (%)</t>
        </is>
      </c>
      <c r="B6" s="18">
        <f>B5*2</f>
        <v/>
      </c>
      <c r="C6" s="6" t="inlineStr">
        <is>
          <t>Fee paid on buy AND sell.</t>
        </is>
      </c>
    </row>
    <row r="7" ht="26" customHeight="1">
      <c r="A7" s="17" t="inlineStr">
        <is>
          <t>Net margin after fees (%)</t>
        </is>
      </c>
      <c r="B7" s="18">
        <f>B4-B6</f>
        <v/>
      </c>
      <c r="C7" s="6" t="inlineStr">
        <is>
          <t>Profit left after fees. Want &gt;= 0.20.</t>
        </is>
      </c>
    </row>
    <row r="8" ht="26" customHeight="1">
      <c r="A8" s="19" t="inlineStr">
        <is>
          <t>Verdict</t>
        </is>
      </c>
      <c r="B8" s="20">
        <f>IF(B7&gt;=0.2,"OK - clears fees with cushion",IF(B7&gt;=0,"THIN - risky","LOSES on every trade"))</f>
        <v/>
      </c>
      <c r="C8" s="6" t="inlineStr">
        <is>
          <t>Live verdict on your spacing.</t>
        </is>
      </c>
    </row>
    <row r="10" ht="26" customHeight="1">
      <c r="A10" s="15" t="inlineStr">
        <is>
          <t>Band low (price)</t>
        </is>
      </c>
      <c r="B10" s="16" t="n">
        <v>90000</v>
      </c>
      <c r="C10" s="6" t="inlineStr">
        <is>
          <t>EDIT ME. Bottom of your band.</t>
        </is>
      </c>
    </row>
    <row r="11" ht="26" customHeight="1">
      <c r="A11" s="15" t="inlineStr">
        <is>
          <t>Band high (price)</t>
        </is>
      </c>
      <c r="B11" s="16" t="n">
        <v>110000</v>
      </c>
      <c r="C11" s="6" t="inlineStr">
        <is>
          <t>EDIT ME. Top of your band.</t>
        </is>
      </c>
    </row>
    <row r="12" ht="26" customHeight="1">
      <c r="A12" s="15" t="inlineStr">
        <is>
          <t>Grid levels (rungs)</t>
        </is>
      </c>
      <c r="B12" s="16" t="n">
        <v>6</v>
      </c>
      <c r="C12" s="6" t="inlineStr">
        <is>
          <t>EDIT ME. How many rungs.</t>
        </is>
      </c>
    </row>
    <row r="13" ht="26" customHeight="1">
      <c r="A13" s="17" t="inlineStr">
        <is>
          <t>Spacing per rung (%)</t>
        </is>
      </c>
      <c r="B13" s="18">
        <f>((B11-B10)/(B12-1))/B10*100</f>
        <v/>
      </c>
      <c r="C13" s="6" t="inlineStr">
        <is>
          <t>Gap between rungs. Should beat the round-trip fee.</t>
        </is>
      </c>
    </row>
    <row r="14" ht="26" customHeight="1">
      <c r="A14" s="19" t="inlineStr">
        <is>
          <t>Spacing verdict</t>
        </is>
      </c>
      <c r="B14" s="20">
        <f>IF(B13&gt;B6,"OK - wider than fees","TOO TIGHT - widen band or fewer rungs")</f>
        <v/>
      </c>
      <c r="C14" s="6" t="inlineStr">
        <is>
          <t>Live verdict on rung spacing.</t>
        </is>
      </c>
    </row>
    <row r="16" ht="26" customHeight="1">
      <c r="A16" s="15" t="inlineStr">
        <is>
          <t>Order size per buy ($)</t>
        </is>
      </c>
      <c r="B16" s="16" t="n">
        <v>30</v>
      </c>
      <c r="C16" s="6" t="inlineStr">
        <is>
          <t>EDIT ME. Dollars per buy.</t>
        </is>
      </c>
    </row>
    <row r="17" ht="26" customHeight="1">
      <c r="A17" s="17" t="inlineStr">
        <is>
          <t>Max capital if all rungs fill ($)</t>
        </is>
      </c>
      <c r="B17" s="18">
        <f>B16*B12</f>
        <v/>
      </c>
      <c r="C17" s="6" t="inlineStr">
        <is>
          <t>Worst-case deployed capital.</t>
        </is>
      </c>
    </row>
    <row r="18" ht="26" customHeight="1">
      <c r="A18" s="17" t="inlineStr">
        <is>
          <t>Breakeven sell for a $100 buy</t>
        </is>
      </c>
      <c r="B18" s="18">
        <f>100*(1+B5/100)/(1-B5/100)</f>
        <v/>
      </c>
      <c r="C18" s="6" t="inlineStr">
        <is>
          <t>You must sell above this just to break even.</t>
        </is>
      </c>
    </row>
  </sheetData>
  <mergeCells count="2">
    <mergeCell ref="A1:C1"/>
    <mergeCell ref="A2:C2"/>
  </mergeCells>
  <conditionalFormatting sqref="B7">
    <cfRule type="cellIs" priority="1" operator="lessThan" dxfId="0">
      <formula>0</formula>
    </cfRule>
    <cfRule type="cellIs" priority="2" operator="between" dxfId="1">
      <formula>0</formula>
      <formula>0.2</formula>
    </cfRule>
    <cfRule type="cellIs" priority="3" operator="greaterThanOrEqual" dxfId="2">
      <formula>0.2</formula>
    </cfRule>
  </conditionalFormatting>
  <conditionalFormatting sqref="B13">
    <cfRule type="expression" priority="4" dxfId="0">
      <formula>$B$13&lt;=$B$6</formula>
    </cfRule>
    <cfRule type="expression" priority="5" dxfId="2">
      <formula>$B$13&gt;$B$6</formula>
    </cfRule>
  </conditionalFormatting>
  <dataValidations count="2">
    <dataValidation sqref="B4 B5 B10 B11 B16" showDropDown="0" showInputMessage="0" showErrorMessage="0" allowBlank="0" type="decimal" operator="greaterThan">
      <formula1>0</formula1>
    </dataValidation>
    <dataValidation sqref="B12" showDropDown="0" showInputMessage="0" showErrorMessage="0" allowBlank="0" type="whole" operator="greaterThanOrEqual">
      <formula1>2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6" customWidth="1" min="3" max="3"/>
  </cols>
  <sheetData>
    <row r="1" ht="30" customHeight="1">
      <c r="A1" s="1" t="inlineStr">
        <is>
          <t>config.yaml — every setting explained</t>
        </is>
      </c>
    </row>
    <row r="2" ht="22" customHeight="1">
      <c r="A2" s="2" t="inlineStr">
        <is>
          <t>The only file you normally edit. Defaults are deliberately small and safe.</t>
        </is>
      </c>
    </row>
    <row r="3">
      <c r="A3" s="3" t="inlineStr">
        <is>
          <t>Setting</t>
        </is>
      </c>
      <c r="B3" s="3" t="inlineStr">
        <is>
          <t>Default</t>
        </is>
      </c>
      <c r="C3" s="3" t="inlineStr">
        <is>
          <t>What it means / safe guidance</t>
        </is>
      </c>
    </row>
    <row r="4" ht="30" customHeight="1">
      <c r="A4" s="21" t="inlineStr">
        <is>
          <t>mode</t>
        </is>
      </c>
      <c r="B4" s="8" t="inlineStr">
        <is>
          <t>dry_run</t>
        </is>
      </c>
      <c r="C4" s="6" t="inlineStr">
        <is>
          <t>dry_run = simulate (no risk). paper = fake money, real prices. live = real money.</t>
        </is>
      </c>
    </row>
    <row r="5" ht="30" customHeight="1">
      <c r="A5" s="21" t="inlineStr">
        <is>
          <t>i_really_want_live_trading</t>
        </is>
      </c>
      <c r="B5" s="8" t="inlineStr">
        <is>
          <t>false</t>
        </is>
      </c>
      <c r="C5" s="6" t="inlineStr">
        <is>
          <t>First of two switches for live. Leave false until you truly mean it.</t>
        </is>
      </c>
    </row>
    <row r="6" ht="30" customHeight="1">
      <c r="A6" s="21" t="inlineStr">
        <is>
          <t>asset_class</t>
        </is>
      </c>
      <c r="B6" s="8" t="inlineStr">
        <is>
          <t>crypto</t>
        </is>
      </c>
      <c r="C6" s="6" t="inlineStr">
        <is>
          <t>crypto (24/7, no day-trade rule) or stock (phase two).</t>
        </is>
      </c>
    </row>
    <row r="7" ht="30" customHeight="1">
      <c r="A7" s="21" t="inlineStr">
        <is>
          <t>symbol</t>
        </is>
      </c>
      <c r="B7" s="8" t="inlineStr">
        <is>
          <t>BTC/USD</t>
        </is>
      </c>
      <c r="C7" s="6" t="inlineStr">
        <is>
          <t>What you trade. Crypto e.g. BTC/USD; stocks e.g. SPY.</t>
        </is>
      </c>
    </row>
    <row r="8" ht="30" customHeight="1">
      <c r="A8" s="21" t="inlineStr">
        <is>
          <t>fee_percent_per_side</t>
        </is>
      </c>
      <c r="B8" s="8" t="inlineStr">
        <is>
          <t>0.25</t>
        </is>
      </c>
      <c r="C8" s="6" t="inlineStr">
        <is>
          <t>Alpaca's crypto fee per side. Round trip is double.</t>
        </is>
      </c>
    </row>
    <row r="9" ht="30" customHeight="1">
      <c r="A9" s="21" t="inlineStr">
        <is>
          <t>slippage_percent_per_side</t>
        </is>
      </c>
      <c r="B9" s="8" t="inlineStr">
        <is>
          <t>0.05</t>
        </is>
      </c>
      <c r="C9" s="6" t="inlineStr">
        <is>
          <t>Price you wanted vs got. The main cost for commission-free stocks. Don't set to 0.</t>
        </is>
      </c>
    </row>
    <row r="10" ht="30" customHeight="1">
      <c r="A10" s="21" t="inlineStr">
        <is>
          <t>band_low</t>
        </is>
      </c>
      <c r="B10" s="8" t="inlineStr">
        <is>
          <t>90000</t>
        </is>
      </c>
      <c r="C10" s="6" t="inlineStr">
        <is>
          <t>Bottom of your band (buy zone). Set from the backtest.</t>
        </is>
      </c>
    </row>
    <row r="11" ht="30" customHeight="1">
      <c r="A11" s="21" t="inlineStr">
        <is>
          <t>band_high</t>
        </is>
      </c>
      <c r="B11" s="8" t="inlineStr">
        <is>
          <t>110000</t>
        </is>
      </c>
      <c r="C11" s="6" t="inlineStr">
        <is>
          <t>Top of your band (sell zone). Must exceed band_low.</t>
        </is>
      </c>
    </row>
    <row r="12" ht="30" customHeight="1">
      <c r="A12" s="21" t="inlineStr">
        <is>
          <t>grid_levels</t>
        </is>
      </c>
      <c r="B12" s="8" t="inlineStr">
        <is>
          <t>6</t>
        </is>
      </c>
      <c r="C12" s="6" t="inlineStr">
        <is>
          <t>Rungs to split the band into. More = more, smaller trades.</t>
        </is>
      </c>
    </row>
    <row r="13" ht="30" customHeight="1">
      <c r="A13" s="21" t="inlineStr">
        <is>
          <t>profit_target_percent</t>
        </is>
      </c>
      <c r="B13" s="8" t="inlineStr">
        <is>
          <t>1.0</t>
        </is>
      </c>
      <c r="C13" s="6" t="inlineStr">
        <is>
          <t>Aim per cycle. Must clear ~0.5% fee. Below ~0.7% is refused.</t>
        </is>
      </c>
    </row>
    <row r="14" ht="30" customHeight="1">
      <c r="A14" s="21" t="inlineStr">
        <is>
          <t>order_size_usd</t>
        </is>
      </c>
      <c r="B14" s="8" t="inlineStr">
        <is>
          <t>30</t>
        </is>
      </c>
      <c r="C14" s="6" t="inlineStr">
        <is>
          <t>Dollars per individual buy order.</t>
        </is>
      </c>
    </row>
    <row r="15" ht="30" customHeight="1">
      <c r="A15" s="21" t="inlineStr">
        <is>
          <t>max_position_usd</t>
        </is>
      </c>
      <c r="B15" s="8" t="inlineStr">
        <is>
          <t>200</t>
        </is>
      </c>
      <c r="C15" s="6" t="inlineStr">
        <is>
          <t>Largest holdings value allowed. Hard cap.</t>
        </is>
      </c>
    </row>
    <row r="16" ht="30" customHeight="1">
      <c r="A16" s="21" t="inlineStr">
        <is>
          <t>max_deployed_usd</t>
        </is>
      </c>
      <c r="B16" s="8" t="inlineStr">
        <is>
          <t>200</t>
        </is>
      </c>
      <c r="C16" s="6" t="inlineStr">
        <is>
          <t>Largest total in open buys + holdings. Hard cap.</t>
        </is>
      </c>
    </row>
    <row r="17" ht="30" customHeight="1">
      <c r="A17" s="21" t="inlineStr">
        <is>
          <t>max_open_orders</t>
        </is>
      </c>
      <c r="B17" s="8" t="inlineStr">
        <is>
          <t>12</t>
        </is>
      </c>
      <c r="C17" s="6" t="inlineStr">
        <is>
          <t>Most resting orders at once.</t>
        </is>
      </c>
    </row>
    <row r="18" ht="30" customHeight="1">
      <c r="A18" s="21" t="inlineStr">
        <is>
          <t>daily_loss_limit_usd</t>
        </is>
      </c>
      <c r="B18" s="8" t="inlineStr">
        <is>
          <t>20</t>
        </is>
      </c>
      <c r="C18" s="6" t="inlineStr">
        <is>
          <t>If today's loss (realized + unrealized) hits this, halt + cancel.</t>
        </is>
      </c>
    </row>
    <row r="19" ht="30" customHeight="1">
      <c r="A19" s="21" t="inlineStr">
        <is>
          <t>breakout_guard_enabled</t>
        </is>
      </c>
      <c r="B19" s="8" t="inlineStr">
        <is>
          <t>true</t>
        </is>
      </c>
      <c r="C19" s="6" t="inlineStr">
        <is>
          <t>Stop new buys if price leaves the band. Leave ON.</t>
        </is>
      </c>
    </row>
    <row r="20" ht="30" customHeight="1">
      <c r="A20" s="21" t="inlineStr">
        <is>
          <t>breakout_flatten</t>
        </is>
      </c>
      <c r="B20" s="8" t="inlineStr">
        <is>
          <t>false</t>
        </is>
      </c>
      <c r="C20" s="6" t="inlineStr">
        <is>
          <t>On breakout, also SELL everything to cash. Start false.</t>
        </is>
      </c>
    </row>
    <row r="21" ht="30" customHeight="1">
      <c r="A21" s="21" t="inlineStr">
        <is>
          <t>loop_interval_seconds</t>
        </is>
      </c>
      <c r="B21" s="8" t="inlineStr">
        <is>
          <t>30</t>
        </is>
      </c>
      <c r="C21" s="6" t="inlineStr">
        <is>
          <t>Seconds between decisions. 30-60 is plenty.</t>
        </is>
      </c>
    </row>
    <row r="22" ht="30" customHeight="1">
      <c r="A22" s="21" t="inlineStr">
        <is>
          <t>alerts_enabled</t>
        </is>
      </c>
      <c r="B22" s="8" t="inlineStr">
        <is>
          <t>false</t>
        </is>
      </c>
      <c r="C22" s="6" t="inlineStr">
        <is>
          <t>Webhook alert on guard/kill/loss. Needs ALERT_WEBHOOK_URL.</t>
        </is>
      </c>
    </row>
    <row r="23" ht="30" customHeight="1">
      <c r="A23" s="21" t="inlineStr">
        <is>
          <t>log_dir</t>
        </is>
      </c>
      <c r="B23" s="8" t="inlineStr">
        <is>
          <t>logs</t>
        </is>
      </c>
      <c r="C23" s="6" t="inlineStr">
        <is>
          <t>Where timestamped logs go.</t>
        </is>
      </c>
    </row>
    <row r="24" ht="30" customHeight="1">
      <c r="A24" s="21" t="inlineStr">
        <is>
          <t>state_file</t>
        </is>
      </c>
      <c r="B24" s="8" t="inlineStr">
        <is>
          <t>state/bot_state.json</t>
        </is>
      </c>
      <c r="C24" s="6" t="inlineStr">
        <is>
          <t>Where the bot saves memory between restarts.</t>
        </is>
      </c>
    </row>
    <row r="25" ht="30" customHeight="1">
      <c r="A25" s="21" t="inlineStr">
        <is>
          <t>kill_switch_file</t>
        </is>
      </c>
      <c r="B25" s="8" t="inlineStr">
        <is>
          <t>KILL</t>
        </is>
      </c>
      <c r="C25" s="6" t="inlineStr">
        <is>
          <t>If this file exists, the bot stops and cancels everything.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</t>
        </is>
      </c>
      <c r="B1" t="inlineStr">
        <is>
          <t>price</t>
        </is>
      </c>
      <c r="C1" t="inlineStr">
        <is>
          <t>strategy_equity</t>
        </is>
      </c>
      <c r="D1" t="inlineStr">
        <is>
          <t>buyhold_equity</t>
        </is>
      </c>
    </row>
    <row r="2">
      <c r="A2" t="n">
        <v>0</v>
      </c>
      <c r="B2" t="n">
        <v>100000</v>
      </c>
      <c r="C2" t="n">
        <v>-5.0561</v>
      </c>
      <c r="D2" t="n">
        <v>0</v>
      </c>
    </row>
    <row r="3">
      <c r="A3" t="n">
        <v>1</v>
      </c>
      <c r="B3" t="n">
        <v>106291.43</v>
      </c>
      <c r="C3" t="n">
        <v>-0.8394</v>
      </c>
      <c r="D3" t="n">
        <v>11.3246</v>
      </c>
    </row>
    <row r="4">
      <c r="A4" t="n">
        <v>2</v>
      </c>
      <c r="B4" t="n">
        <v>108089.46</v>
      </c>
      <c r="C4" t="n">
        <v>-0.2977</v>
      </c>
      <c r="D4" t="n">
        <v>14.561</v>
      </c>
    </row>
    <row r="5">
      <c r="A5" t="n">
        <v>3</v>
      </c>
      <c r="B5" t="n">
        <v>104729.88</v>
      </c>
      <c r="C5" t="n">
        <v>-1.5878</v>
      </c>
      <c r="D5" t="n">
        <v>8.5138</v>
      </c>
    </row>
    <row r="6">
      <c r="A6" t="n">
        <v>4</v>
      </c>
      <c r="B6" t="n">
        <v>99675.75999999999</v>
      </c>
      <c r="C6" t="n">
        <v>-5.0934</v>
      </c>
      <c r="D6" t="n">
        <v>-0.5836</v>
      </c>
    </row>
    <row r="7">
      <c r="A7" t="n">
        <v>5</v>
      </c>
      <c r="B7" t="n">
        <v>97106.72</v>
      </c>
      <c r="C7" t="n">
        <v>-7.564</v>
      </c>
      <c r="D7" t="n">
        <v>-5.2079</v>
      </c>
    </row>
    <row r="8">
      <c r="A8" t="n">
        <v>6</v>
      </c>
      <c r="B8" t="n">
        <v>98110.84</v>
      </c>
      <c r="C8" t="n">
        <v>-6.4038</v>
      </c>
      <c r="D8" t="n">
        <v>-3.4005</v>
      </c>
    </row>
    <row r="9">
      <c r="A9" t="n">
        <v>7</v>
      </c>
      <c r="B9" t="n">
        <v>100080.16</v>
      </c>
      <c r="C9" t="n">
        <v>-4.6309</v>
      </c>
      <c r="D9" t="n">
        <v>0.1443</v>
      </c>
    </row>
    <row r="10">
      <c r="A10" t="n">
        <v>8</v>
      </c>
      <c r="B10" t="n">
        <v>99750.13</v>
      </c>
      <c r="C10" t="n">
        <v>-4.9112</v>
      </c>
      <c r="D10" t="n">
        <v>-0.4498</v>
      </c>
    </row>
    <row r="11">
      <c r="A11" t="n">
        <v>9</v>
      </c>
      <c r="B11" t="n">
        <v>96784.53</v>
      </c>
      <c r="C11" t="n">
        <v>-7.8172</v>
      </c>
      <c r="D11" t="n">
        <v>-5.7878</v>
      </c>
    </row>
    <row r="12">
      <c r="A12" t="n">
        <v>10</v>
      </c>
      <c r="B12" t="n">
        <v>94309.12</v>
      </c>
      <c r="C12" t="n">
        <v>-10.6773</v>
      </c>
      <c r="D12" t="n">
        <v>-10.2436</v>
      </c>
    </row>
    <row r="13">
      <c r="A13" t="n">
        <v>11</v>
      </c>
      <c r="B13" t="n">
        <v>95812.48</v>
      </c>
      <c r="C13" t="n">
        <v>-8.940300000000001</v>
      </c>
      <c r="D13" t="n">
        <v>-7.5375</v>
      </c>
    </row>
    <row r="14">
      <c r="A14" t="n">
        <v>12</v>
      </c>
      <c r="B14" t="n">
        <v>101429.62</v>
      </c>
      <c r="C14" t="n">
        <v>-3.3656</v>
      </c>
      <c r="D14" t="n">
        <v>2.5733</v>
      </c>
    </row>
    <row r="15">
      <c r="A15" t="n">
        <v>13</v>
      </c>
      <c r="B15" t="n">
        <v>107304.58</v>
      </c>
      <c r="C15" t="n">
        <v>-0.0355</v>
      </c>
      <c r="D15" t="n">
        <v>13.1482</v>
      </c>
    </row>
    <row r="16">
      <c r="A16" t="n">
        <v>14</v>
      </c>
      <c r="B16" t="n">
        <v>108809.09</v>
      </c>
      <c r="C16" t="n">
        <v>0.3746</v>
      </c>
      <c r="D16" t="n">
        <v>15.8564</v>
      </c>
    </row>
    <row r="17">
      <c r="A17" t="n">
        <v>15</v>
      </c>
      <c r="B17" t="n">
        <v>104673.44</v>
      </c>
      <c r="C17" t="n">
        <v>-1.143</v>
      </c>
      <c r="D17" t="n">
        <v>8.4122</v>
      </c>
    </row>
    <row r="18">
      <c r="A18" t="n">
        <v>16</v>
      </c>
      <c r="B18" t="n">
        <v>98152.88</v>
      </c>
      <c r="C18" t="n">
        <v>-5.9109</v>
      </c>
      <c r="D18" t="n">
        <v>-3.3248</v>
      </c>
    </row>
    <row r="19">
      <c r="A19" t="n">
        <v>17</v>
      </c>
      <c r="B19" t="n">
        <v>94123.24000000001</v>
      </c>
      <c r="C19" t="n">
        <v>-10.535</v>
      </c>
      <c r="D19" t="n">
        <v>-10.5782</v>
      </c>
    </row>
    <row r="20">
      <c r="A20" t="n">
        <v>18</v>
      </c>
      <c r="B20" t="n">
        <v>94831.34</v>
      </c>
      <c r="C20" t="n">
        <v>-9.4666</v>
      </c>
      <c r="D20" t="n">
        <v>-9.303599999999999</v>
      </c>
    </row>
    <row r="21">
      <c r="A21" t="n">
        <v>19</v>
      </c>
      <c r="B21" t="n">
        <v>98253.03999999999</v>
      </c>
      <c r="C21" t="n">
        <v>-5.6443</v>
      </c>
      <c r="D21" t="n">
        <v>-3.1445</v>
      </c>
    </row>
    <row r="22">
      <c r="A22" t="n">
        <v>20</v>
      </c>
      <c r="B22" t="n">
        <v>100474.3</v>
      </c>
      <c r="C22" t="n">
        <v>-3.7009</v>
      </c>
      <c r="D22" t="n">
        <v>0.8537</v>
      </c>
    </row>
    <row r="23">
      <c r="A23" t="n">
        <v>21</v>
      </c>
      <c r="B23" t="n">
        <v>99661.98</v>
      </c>
      <c r="C23" t="n">
        <v>-4.3909</v>
      </c>
      <c r="D23" t="n">
        <v>-0.6084000000000001</v>
      </c>
    </row>
    <row r="24">
      <c r="A24" t="n">
        <v>22</v>
      </c>
      <c r="B24" t="n">
        <v>97732.57000000001</v>
      </c>
      <c r="C24" t="n">
        <v>-6.1266</v>
      </c>
      <c r="D24" t="n">
        <v>-4.0814</v>
      </c>
    </row>
    <row r="25">
      <c r="A25" t="n">
        <v>23</v>
      </c>
      <c r="B25" t="n">
        <v>98141.56</v>
      </c>
      <c r="C25" t="n">
        <v>-5.6541</v>
      </c>
      <c r="D25" t="n">
        <v>-3.3452</v>
      </c>
    </row>
    <row r="26">
      <c r="A26" t="n">
        <v>24</v>
      </c>
      <c r="B26" t="n">
        <v>102041.04</v>
      </c>
      <c r="C26" t="n">
        <v>-2.251</v>
      </c>
      <c r="D26" t="n">
        <v>3.6739</v>
      </c>
    </row>
    <row r="27">
      <c r="A27" t="n">
        <v>25</v>
      </c>
      <c r="B27" t="n">
        <v>106673.81</v>
      </c>
      <c r="C27" t="n">
        <v>0.4443</v>
      </c>
      <c r="D27" t="n">
        <v>12.0129</v>
      </c>
    </row>
    <row r="28">
      <c r="A28" t="n">
        <v>26</v>
      </c>
      <c r="B28" t="n">
        <v>107710.99</v>
      </c>
      <c r="C28" t="n">
        <v>0.6705</v>
      </c>
      <c r="D28" t="n">
        <v>13.8798</v>
      </c>
    </row>
    <row r="29">
      <c r="A29" t="n">
        <v>27</v>
      </c>
      <c r="B29" t="n">
        <v>103381.81</v>
      </c>
      <c r="C29" t="n">
        <v>-1.2652</v>
      </c>
      <c r="D29" t="n">
        <v>6.0872</v>
      </c>
    </row>
    <row r="30">
      <c r="A30" t="n">
        <v>28</v>
      </c>
      <c r="B30" t="n">
        <v>96427.7</v>
      </c>
      <c r="C30" t="n">
        <v>-7.2772</v>
      </c>
      <c r="D30" t="n">
        <v>-6.4301</v>
      </c>
    </row>
    <row r="31">
      <c r="A31" t="n">
        <v>29</v>
      </c>
      <c r="B31" t="n">
        <v>91917.57000000001</v>
      </c>
      <c r="C31" t="n">
        <v>-13.1675</v>
      </c>
      <c r="D31" t="n">
        <v>-14.5484</v>
      </c>
    </row>
    <row r="32">
      <c r="A32" t="n">
        <v>30</v>
      </c>
      <c r="B32" t="n">
        <v>92884.03999999999</v>
      </c>
      <c r="C32" t="n">
        <v>-11.7425</v>
      </c>
      <c r="D32" t="n">
        <v>-12.8087</v>
      </c>
    </row>
    <row r="33">
      <c r="A33" t="n">
        <v>31</v>
      </c>
      <c r="B33" t="n">
        <v>97820.57000000001</v>
      </c>
      <c r="C33" t="n">
        <v>-5.5488</v>
      </c>
      <c r="D33" t="n">
        <v>-3.923</v>
      </c>
    </row>
    <row r="34">
      <c r="A34" t="n">
        <v>32</v>
      </c>
      <c r="B34" t="n">
        <v>102318.06</v>
      </c>
      <c r="C34" t="n">
        <v>-1.5395</v>
      </c>
      <c r="D34" t="n">
        <v>4.1725</v>
      </c>
    </row>
    <row r="35">
      <c r="A35" t="n">
        <v>33</v>
      </c>
      <c r="B35" t="n">
        <v>103203.88</v>
      </c>
      <c r="C35" t="n">
        <v>-1.0069</v>
      </c>
      <c r="D35" t="n">
        <v>5.767</v>
      </c>
    </row>
    <row r="36">
      <c r="A36" t="n">
        <v>34</v>
      </c>
      <c r="B36" t="n">
        <v>101228.47</v>
      </c>
      <c r="C36" t="n">
        <v>-2.346</v>
      </c>
      <c r="D36" t="n">
        <v>2.2112</v>
      </c>
    </row>
    <row r="37">
      <c r="A37" t="n">
        <v>35</v>
      </c>
      <c r="B37" t="n">
        <v>99828.14</v>
      </c>
      <c r="C37" t="n">
        <v>-3.5355</v>
      </c>
      <c r="D37" t="n">
        <v>-0.3093</v>
      </c>
    </row>
    <row r="38">
      <c r="A38" t="n">
        <v>36</v>
      </c>
      <c r="B38" t="n">
        <v>101321.49</v>
      </c>
      <c r="C38" t="n">
        <v>-2.267</v>
      </c>
      <c r="D38" t="n">
        <v>2.3787</v>
      </c>
    </row>
    <row r="39">
      <c r="A39" t="n">
        <v>37</v>
      </c>
      <c r="B39" t="n">
        <v>104363.8</v>
      </c>
      <c r="C39" t="n">
        <v>-0.2436</v>
      </c>
      <c r="D39" t="n">
        <v>7.8548</v>
      </c>
    </row>
    <row r="40">
      <c r="A40" t="n">
        <v>38</v>
      </c>
      <c r="B40" t="n">
        <v>105213.18</v>
      </c>
      <c r="C40" t="n">
        <v>0.2282</v>
      </c>
      <c r="D40" t="n">
        <v>9.383699999999999</v>
      </c>
    </row>
    <row r="41">
      <c r="A41" t="n">
        <v>39</v>
      </c>
      <c r="B41" t="n">
        <v>101597.34</v>
      </c>
      <c r="C41" t="n">
        <v>-1.9136</v>
      </c>
      <c r="D41" t="n">
        <v>2.8752</v>
      </c>
    </row>
    <row r="42">
      <c r="A42" t="n">
        <v>40</v>
      </c>
      <c r="B42" t="n">
        <v>95369.74000000001</v>
      </c>
      <c r="C42" t="n">
        <v>-8.023400000000001</v>
      </c>
      <c r="D42" t="n">
        <v>-8.3345</v>
      </c>
    </row>
    <row r="43">
      <c r="A43" t="n">
        <v>41</v>
      </c>
      <c r="B43" t="n">
        <v>91245.14999999999</v>
      </c>
      <c r="C43" t="n">
        <v>-13.6827</v>
      </c>
      <c r="D43" t="n">
        <v>-15.7587</v>
      </c>
    </row>
    <row r="44">
      <c r="A44" t="n">
        <v>42</v>
      </c>
      <c r="B44" t="n">
        <v>92666.46000000001</v>
      </c>
      <c r="C44" t="n">
        <v>-11.5871</v>
      </c>
      <c r="D44" t="n">
        <v>-13.2004</v>
      </c>
    </row>
    <row r="45">
      <c r="A45" t="n">
        <v>43</v>
      </c>
      <c r="B45" t="n">
        <v>98655.94</v>
      </c>
      <c r="C45" t="n">
        <v>-4.1074</v>
      </c>
      <c r="D45" t="n">
        <v>-2.4193</v>
      </c>
    </row>
    <row r="46">
      <c r="A46" t="n">
        <v>44</v>
      </c>
      <c r="B46" t="n">
        <v>104632.28</v>
      </c>
      <c r="C46" t="n">
        <v>0.2627</v>
      </c>
      <c r="D46" t="n">
        <v>8.338100000000001</v>
      </c>
    </row>
    <row r="47">
      <c r="A47" t="n">
        <v>45</v>
      </c>
      <c r="B47" t="n">
        <v>106445.85</v>
      </c>
      <c r="C47" t="n">
        <v>1.27</v>
      </c>
      <c r="D47" t="n">
        <v>11.6025</v>
      </c>
    </row>
    <row r="48">
      <c r="A48" t="n">
        <v>46</v>
      </c>
      <c r="B48" t="n">
        <v>103863.64</v>
      </c>
      <c r="C48" t="n">
        <v>-0.1643</v>
      </c>
      <c r="D48" t="n">
        <v>6.9546</v>
      </c>
    </row>
    <row r="49">
      <c r="A49" t="n">
        <v>47</v>
      </c>
      <c r="B49" t="n">
        <v>100308.76</v>
      </c>
      <c r="C49" t="n">
        <v>-2.6511</v>
      </c>
      <c r="D49" t="n">
        <v>0.5558</v>
      </c>
    </row>
    <row r="50">
      <c r="A50" t="n">
        <v>48</v>
      </c>
      <c r="B50" t="n">
        <v>99261.12</v>
      </c>
      <c r="C50" t="n">
        <v>-3.541</v>
      </c>
      <c r="D50" t="n">
        <v>-1.33</v>
      </c>
    </row>
    <row r="51">
      <c r="A51" t="n">
        <v>49</v>
      </c>
      <c r="B51" t="n">
        <v>100885.28</v>
      </c>
      <c r="C51" t="n">
        <v>-2.1614</v>
      </c>
      <c r="D51" t="n">
        <v>1.5935</v>
      </c>
    </row>
    <row r="52">
      <c r="A52" t="n">
        <v>50</v>
      </c>
      <c r="B52" t="n">
        <v>102142.44</v>
      </c>
      <c r="C52" t="n">
        <v>-1.0935</v>
      </c>
      <c r="D52" t="n">
        <v>3.8564</v>
      </c>
    </row>
    <row r="53">
      <c r="A53" t="n">
        <v>51</v>
      </c>
      <c r="B53" t="n">
        <v>100191.93</v>
      </c>
      <c r="C53" t="n">
        <v>-2.7503</v>
      </c>
      <c r="D53" t="n">
        <v>0.3455</v>
      </c>
    </row>
    <row r="54">
      <c r="A54" t="n">
        <v>52</v>
      </c>
      <c r="B54" t="n">
        <v>95651.47</v>
      </c>
      <c r="C54" t="n">
        <v>-7.3407</v>
      </c>
      <c r="D54" t="n">
        <v>-7.8274</v>
      </c>
    </row>
    <row r="55">
      <c r="A55" t="n">
        <v>53</v>
      </c>
      <c r="B55" t="n">
        <v>92405.82000000001</v>
      </c>
      <c r="C55" t="n">
        <v>-11.6143</v>
      </c>
      <c r="D55" t="n">
        <v>-13.6695</v>
      </c>
    </row>
    <row r="56">
      <c r="A56" t="n">
        <v>54</v>
      </c>
      <c r="B56" t="n">
        <v>94018.89</v>
      </c>
      <c r="C56" t="n">
        <v>-9.236000000000001</v>
      </c>
      <c r="D56" t="n">
        <v>-10.766</v>
      </c>
    </row>
    <row r="57">
      <c r="A57" t="n">
        <v>55</v>
      </c>
      <c r="B57" t="n">
        <v>100158.29</v>
      </c>
      <c r="C57" t="n">
        <v>-2.5408</v>
      </c>
      <c r="D57" t="n">
        <v>0.2849</v>
      </c>
    </row>
    <row r="58">
      <c r="A58" t="n">
        <v>56</v>
      </c>
      <c r="B58" t="n">
        <v>106524.41</v>
      </c>
      <c r="C58" t="n">
        <v>1.6708</v>
      </c>
      <c r="D58" t="n">
        <v>11.7439</v>
      </c>
    </row>
    <row r="59">
      <c r="A59" t="n">
        <v>57</v>
      </c>
      <c r="B59" t="n">
        <v>108477.59</v>
      </c>
      <c r="C59" t="n">
        <v>2.1889</v>
      </c>
      <c r="D59" t="n">
        <v>15.2597</v>
      </c>
    </row>
    <row r="60">
      <c r="A60" t="n">
        <v>58</v>
      </c>
      <c r="B60" t="n">
        <v>105032.12</v>
      </c>
      <c r="C60" t="n">
        <v>0.9609</v>
      </c>
      <c r="D60" t="n">
        <v>9.0578</v>
      </c>
    </row>
    <row r="61">
      <c r="A61" t="n">
        <v>59</v>
      </c>
      <c r="B61" t="n">
        <v>99519.37</v>
      </c>
      <c r="C61" t="n">
        <v>-2.8455</v>
      </c>
      <c r="D61" t="n">
        <v>-0.8651</v>
      </c>
    </row>
    <row r="62">
      <c r="A62" t="n">
        <v>60</v>
      </c>
      <c r="B62" t="n">
        <v>96372.67</v>
      </c>
      <c r="C62" t="n">
        <v>-6.0313</v>
      </c>
      <c r="D62" t="n">
        <v>-6.5292</v>
      </c>
    </row>
    <row r="63">
      <c r="A63" t="n">
        <v>61</v>
      </c>
      <c r="B63" t="n">
        <v>97134.97</v>
      </c>
      <c r="C63" t="n">
        <v>-5.1505</v>
      </c>
      <c r="D63" t="n">
        <v>-5.1571</v>
      </c>
    </row>
    <row r="64">
      <c r="A64" t="n">
        <v>62</v>
      </c>
      <c r="B64" t="n">
        <v>99448.38</v>
      </c>
      <c r="C64" t="n">
        <v>-2.7867</v>
      </c>
      <c r="D64" t="n">
        <v>-0.9929</v>
      </c>
    </row>
    <row r="65">
      <c r="A65" t="n">
        <v>63</v>
      </c>
      <c r="B65" t="n">
        <v>99847.14</v>
      </c>
      <c r="C65" t="n">
        <v>-2.448</v>
      </c>
      <c r="D65" t="n">
        <v>-0.2751</v>
      </c>
    </row>
    <row r="66">
      <c r="A66" t="n">
        <v>64</v>
      </c>
      <c r="B66" t="n">
        <v>97494.73</v>
      </c>
      <c r="C66" t="n">
        <v>-4.6158</v>
      </c>
      <c r="D66" t="n">
        <v>-4.5095</v>
      </c>
    </row>
    <row r="67">
      <c r="A67" t="n">
        <v>65</v>
      </c>
      <c r="B67" t="n">
        <v>95135.12</v>
      </c>
      <c r="C67" t="n">
        <v>-7.3421</v>
      </c>
      <c r="D67" t="n">
        <v>-8.7568</v>
      </c>
    </row>
    <row r="68">
      <c r="A68" t="n">
        <v>66</v>
      </c>
      <c r="B68" t="n">
        <v>96294.73</v>
      </c>
      <c r="C68" t="n">
        <v>-6.0023</v>
      </c>
      <c r="D68" t="n">
        <v>-6.6695</v>
      </c>
    </row>
    <row r="69">
      <c r="A69" t="n">
        <v>67</v>
      </c>
      <c r="B69" t="n">
        <v>101481.68</v>
      </c>
      <c r="C69" t="n">
        <v>-0.9405</v>
      </c>
      <c r="D69" t="n">
        <v>2.667</v>
      </c>
    </row>
    <row r="70">
      <c r="A70" t="n">
        <v>68</v>
      </c>
      <c r="B70" t="n">
        <v>107175.3</v>
      </c>
      <c r="C70" t="n">
        <v>2.3101</v>
      </c>
      <c r="D70" t="n">
        <v>12.9155</v>
      </c>
    </row>
    <row r="71">
      <c r="A71" t="n">
        <v>69</v>
      </c>
      <c r="B71" t="n">
        <v>108746.94</v>
      </c>
      <c r="C71" t="n">
        <v>2.7385</v>
      </c>
      <c r="D71" t="n">
        <v>15.7445</v>
      </c>
    </row>
    <row r="72">
      <c r="A72" t="n">
        <v>70</v>
      </c>
      <c r="B72" t="n">
        <v>104647.31</v>
      </c>
      <c r="C72" t="n">
        <v>1.2233</v>
      </c>
      <c r="D72" t="n">
        <v>8.3652</v>
      </c>
    </row>
    <row r="73">
      <c r="A73" t="n">
        <v>71</v>
      </c>
      <c r="B73" t="n">
        <v>97911.21000000001</v>
      </c>
      <c r="C73" t="n">
        <v>-3.7775</v>
      </c>
      <c r="D73" t="n">
        <v>-3.7598</v>
      </c>
    </row>
    <row r="74">
      <c r="A74" t="n">
        <v>72</v>
      </c>
      <c r="B74" t="n">
        <v>93525.16</v>
      </c>
      <c r="C74" t="n">
        <v>-9.0116</v>
      </c>
      <c r="D74" t="n">
        <v>-11.6547</v>
      </c>
    </row>
    <row r="75">
      <c r="A75" t="n">
        <v>73</v>
      </c>
      <c r="B75" t="n">
        <v>94102.17999999999</v>
      </c>
      <c r="C75" t="n">
        <v>-8.1609</v>
      </c>
      <c r="D75" t="n">
        <v>-10.6161</v>
      </c>
    </row>
    <row r="76">
      <c r="A76" t="n">
        <v>74</v>
      </c>
      <c r="B76" t="n">
        <v>97879.52</v>
      </c>
      <c r="C76" t="n">
        <v>-3.6951</v>
      </c>
      <c r="D76" t="n">
        <v>-3.8169</v>
      </c>
    </row>
    <row r="77">
      <c r="A77" t="n">
        <v>75</v>
      </c>
      <c r="B77" t="n">
        <v>100804.48</v>
      </c>
      <c r="C77" t="n">
        <v>-1.0396</v>
      </c>
      <c r="D77" t="n">
        <v>1.4481</v>
      </c>
    </row>
    <row r="78">
      <c r="A78" t="n">
        <v>76</v>
      </c>
      <c r="B78" t="n">
        <v>100573.5</v>
      </c>
      <c r="C78" t="n">
        <v>-1.2358</v>
      </c>
      <c r="D78" t="n">
        <v>1.0323</v>
      </c>
    </row>
    <row r="79">
      <c r="A79" t="n">
        <v>77</v>
      </c>
      <c r="B79" t="n">
        <v>98687.92999999999</v>
      </c>
      <c r="C79" t="n">
        <v>-2.8375</v>
      </c>
      <c r="D79" t="n">
        <v>-2.3617</v>
      </c>
    </row>
    <row r="80">
      <c r="A80" t="n">
        <v>78</v>
      </c>
      <c r="B80" t="n">
        <v>98597.09</v>
      </c>
      <c r="C80" t="n">
        <v>-2.9146</v>
      </c>
      <c r="D80" t="n">
        <v>-2.5252</v>
      </c>
    </row>
    <row r="81">
      <c r="A81" t="n">
        <v>79</v>
      </c>
      <c r="B81" t="n">
        <v>101850.28</v>
      </c>
      <c r="C81" t="n">
        <v>-0.1512</v>
      </c>
      <c r="D81" t="n">
        <v>3.3305</v>
      </c>
    </row>
    <row r="82">
      <c r="A82" t="n">
        <v>80</v>
      </c>
      <c r="B82" t="n">
        <v>106135.04</v>
      </c>
      <c r="C82" t="n">
        <v>2.4068</v>
      </c>
      <c r="D82" t="n">
        <v>11.0431</v>
      </c>
    </row>
    <row r="83">
      <c r="A83" t="n">
        <v>81</v>
      </c>
      <c r="B83" t="n">
        <v>107243.01</v>
      </c>
      <c r="C83" t="n">
        <v>2.8047</v>
      </c>
      <c r="D83" t="n">
        <v>13.0374</v>
      </c>
    </row>
    <row r="84">
      <c r="A84" t="n">
        <v>82</v>
      </c>
      <c r="B84" t="n">
        <v>103152.35</v>
      </c>
      <c r="C84" t="n">
        <v>0.8691</v>
      </c>
      <c r="D84" t="n">
        <v>5.6742</v>
      </c>
    </row>
    <row r="85">
      <c r="A85" t="n">
        <v>83</v>
      </c>
      <c r="B85" t="n">
        <v>96282.44</v>
      </c>
      <c r="C85" t="n">
        <v>-5.1832</v>
      </c>
      <c r="D85" t="n">
        <v>-6.6916</v>
      </c>
    </row>
    <row r="86">
      <c r="A86" t="n">
        <v>84</v>
      </c>
      <c r="B86" t="n">
        <v>91649.16</v>
      </c>
      <c r="C86" t="n">
        <v>-11.3014</v>
      </c>
      <c r="D86" t="n">
        <v>-15.0315</v>
      </c>
    </row>
    <row r="87">
      <c r="A87" t="n">
        <v>85</v>
      </c>
      <c r="B87" t="n">
        <v>92543.21000000001</v>
      </c>
      <c r="C87" t="n">
        <v>-9.9833</v>
      </c>
      <c r="D87" t="n">
        <v>-13.4222</v>
      </c>
    </row>
    <row r="88">
      <c r="A88" t="n">
        <v>86</v>
      </c>
      <c r="B88" t="n">
        <v>97733.83</v>
      </c>
      <c r="C88" t="n">
        <v>-3.3872</v>
      </c>
      <c r="D88" t="n">
        <v>-4.0791</v>
      </c>
    </row>
    <row r="89">
      <c r="A89" t="n">
        <v>87</v>
      </c>
      <c r="B89" t="n">
        <v>102773.55</v>
      </c>
      <c r="C89" t="n">
        <v>1.1092</v>
      </c>
      <c r="D89" t="n">
        <v>4.9924</v>
      </c>
    </row>
    <row r="90">
      <c r="A90" t="n">
        <v>88</v>
      </c>
      <c r="B90" t="n">
        <v>104108.08</v>
      </c>
      <c r="C90" t="n">
        <v>1.7571</v>
      </c>
      <c r="D90" t="n">
        <v>7.3945</v>
      </c>
    </row>
    <row r="91">
      <c r="A91" t="n">
        <v>89</v>
      </c>
      <c r="B91" t="n">
        <v>102085.73</v>
      </c>
      <c r="C91" t="n">
        <v>0.6337</v>
      </c>
      <c r="D91" t="n">
        <v>3.7543</v>
      </c>
    </row>
    <row r="92">
      <c r="A92" t="n">
        <v>90</v>
      </c>
      <c r="B92" t="n">
        <v>100098.19</v>
      </c>
      <c r="C92" t="n">
        <v>-1.0443</v>
      </c>
      <c r="D92" t="n">
        <v>0.1767</v>
      </c>
    </row>
    <row r="93">
      <c r="A93" t="n">
        <v>91</v>
      </c>
      <c r="B93" t="n">
        <v>100848.72</v>
      </c>
      <c r="C93" t="n">
        <v>-0.4068</v>
      </c>
      <c r="D93" t="n">
        <v>1.5277</v>
      </c>
    </row>
    <row r="94">
      <c r="A94" t="n">
        <v>92</v>
      </c>
      <c r="B94" t="n">
        <v>103493.79</v>
      </c>
      <c r="C94" t="n">
        <v>1.5349</v>
      </c>
      <c r="D94" t="n">
        <v>6.2888</v>
      </c>
    </row>
    <row r="95">
      <c r="A95" t="n">
        <v>93</v>
      </c>
      <c r="B95" t="n">
        <v>104494.76</v>
      </c>
      <c r="C95" t="n">
        <v>2.0909</v>
      </c>
      <c r="D95" t="n">
        <v>8.0906</v>
      </c>
    </row>
    <row r="96">
      <c r="A96" t="n">
        <v>94</v>
      </c>
      <c r="B96" t="n">
        <v>101346.24</v>
      </c>
      <c r="C96" t="n">
        <v>0.1348</v>
      </c>
      <c r="D96" t="n">
        <v>2.4232</v>
      </c>
    </row>
    <row r="97">
      <c r="A97" t="n">
        <v>95</v>
      </c>
      <c r="B97" t="n">
        <v>95484.83</v>
      </c>
      <c r="C97" t="n">
        <v>-5.6286</v>
      </c>
      <c r="D97" t="n">
        <v>-8.1273</v>
      </c>
    </row>
    <row r="98">
      <c r="A98" t="n">
        <v>96</v>
      </c>
      <c r="B98" t="n">
        <v>91415.8</v>
      </c>
      <c r="C98" t="n">
        <v>-11.1693</v>
      </c>
      <c r="D98" t="n">
        <v>-15.4516</v>
      </c>
    </row>
    <row r="99">
      <c r="A99" t="n">
        <v>97</v>
      </c>
      <c r="B99" t="n">
        <v>92735.98</v>
      </c>
      <c r="C99" t="n">
        <v>-9.222899999999999</v>
      </c>
      <c r="D99" t="n">
        <v>-13.0752</v>
      </c>
    </row>
    <row r="100">
      <c r="A100" t="n">
        <v>98</v>
      </c>
      <c r="B100" t="n">
        <v>98770.14</v>
      </c>
      <c r="C100" t="n">
        <v>-1.7137</v>
      </c>
      <c r="D100" t="n">
        <v>-2.2138</v>
      </c>
    </row>
    <row r="101">
      <c r="A101" t="n">
        <v>99</v>
      </c>
      <c r="B101" t="n">
        <v>105030.74</v>
      </c>
      <c r="C101" t="n">
        <v>2.7458</v>
      </c>
      <c r="D101" t="n">
        <v>9.055300000000001</v>
      </c>
    </row>
    <row r="102">
      <c r="A102" t="n">
        <v>100</v>
      </c>
      <c r="B102" t="n">
        <v>107119.01</v>
      </c>
      <c r="C102" t="n">
        <v>3.7232</v>
      </c>
      <c r="D102" t="n">
        <v>12.8142</v>
      </c>
    </row>
    <row r="103">
      <c r="A103" t="n">
        <v>101</v>
      </c>
      <c r="B103" t="n">
        <v>104442.07</v>
      </c>
      <c r="C103" t="n">
        <v>2.5378</v>
      </c>
      <c r="D103" t="n">
        <v>7.9957</v>
      </c>
    </row>
    <row r="104">
      <c r="A104" t="n">
        <v>102</v>
      </c>
      <c r="B104" t="n">
        <v>100329.89</v>
      </c>
      <c r="C104" t="n">
        <v>-0.2523</v>
      </c>
      <c r="D104" t="n">
        <v>0.5938</v>
      </c>
    </row>
    <row r="105">
      <c r="A105" t="n">
        <v>103</v>
      </c>
      <c r="B105" t="n">
        <v>98584.78</v>
      </c>
      <c r="C105" t="n">
        <v>-1.7347</v>
      </c>
      <c r="D105" t="n">
        <v>-2.5474</v>
      </c>
    </row>
    <row r="106">
      <c r="A106" t="n">
        <v>104</v>
      </c>
      <c r="B106" t="n">
        <v>99867.21000000001</v>
      </c>
      <c r="C106" t="n">
        <v>-0.6453</v>
      </c>
      <c r="D106" t="n">
        <v>-0.239</v>
      </c>
    </row>
    <row r="107">
      <c r="A107" t="n">
        <v>105</v>
      </c>
      <c r="B107" t="n">
        <v>101386.15</v>
      </c>
      <c r="C107" t="n">
        <v>0.6449</v>
      </c>
      <c r="D107" t="n">
        <v>2.4951</v>
      </c>
    </row>
    <row r="108">
      <c r="A108" t="n">
        <v>106</v>
      </c>
      <c r="B108" t="n">
        <v>100087.8</v>
      </c>
      <c r="C108" t="n">
        <v>-0.458</v>
      </c>
      <c r="D108" t="n">
        <v>0.158</v>
      </c>
    </row>
    <row r="109">
      <c r="A109" t="n">
        <v>107</v>
      </c>
      <c r="B109" t="n">
        <v>96108.81</v>
      </c>
      <c r="C109" t="n">
        <v>-4.4315</v>
      </c>
      <c r="D109" t="n">
        <v>-7.0041</v>
      </c>
    </row>
    <row r="110">
      <c r="A110" t="n">
        <v>108</v>
      </c>
      <c r="B110" t="n">
        <v>93001.48</v>
      </c>
      <c r="C110" t="n">
        <v>-8.3553</v>
      </c>
      <c r="D110" t="n">
        <v>-12.5973</v>
      </c>
    </row>
    <row r="111">
      <c r="A111" t="n">
        <v>109</v>
      </c>
      <c r="B111" t="n">
        <v>94399.53999999999</v>
      </c>
      <c r="C111" t="n">
        <v>-6.294</v>
      </c>
      <c r="D111" t="n">
        <v>-10.0808</v>
      </c>
    </row>
    <row r="112">
      <c r="A112" t="n">
        <v>110</v>
      </c>
      <c r="B112" t="n">
        <v>100310.41</v>
      </c>
      <c r="C112" t="n">
        <v>-0.0308</v>
      </c>
      <c r="D112" t="n">
        <v>0.5587</v>
      </c>
    </row>
    <row r="113">
      <c r="A113" t="n">
        <v>111</v>
      </c>
      <c r="B113" t="n">
        <v>106674.12</v>
      </c>
      <c r="C113" t="n">
        <v>4.1348</v>
      </c>
      <c r="D113" t="n">
        <v>12.0134</v>
      </c>
    </row>
    <row r="114">
      <c r="A114" t="n">
        <v>112</v>
      </c>
      <c r="B114" t="n">
        <v>108753.34</v>
      </c>
      <c r="C114" t="n">
        <v>4.6449</v>
      </c>
      <c r="D114" t="n">
        <v>15.756</v>
      </c>
    </row>
    <row r="115">
      <c r="A115" t="n">
        <v>113</v>
      </c>
      <c r="B115" t="n">
        <v>105253.49</v>
      </c>
      <c r="C115" t="n">
        <v>3.4647</v>
      </c>
      <c r="D115" t="n">
        <v>9.456300000000001</v>
      </c>
    </row>
    <row r="116">
      <c r="A116" t="n">
        <v>114</v>
      </c>
      <c r="B116" t="n">
        <v>99343.69</v>
      </c>
      <c r="C116" t="n">
        <v>-0.6139</v>
      </c>
      <c r="D116" t="n">
        <v>-1.1814</v>
      </c>
    </row>
    <row r="117">
      <c r="A117" t="n">
        <v>115</v>
      </c>
      <c r="B117" t="n">
        <v>95666.78999999999</v>
      </c>
      <c r="C117" t="n">
        <v>-4.4661</v>
      </c>
      <c r="D117" t="n">
        <v>-7.7998</v>
      </c>
    </row>
    <row r="118">
      <c r="A118" t="n">
        <v>116</v>
      </c>
      <c r="B118" t="n">
        <v>96200.47</v>
      </c>
      <c r="C118" t="n">
        <v>-3.8494</v>
      </c>
      <c r="D118" t="n">
        <v>-6.8392</v>
      </c>
    </row>
    <row r="119">
      <c r="A119" t="n">
        <v>117</v>
      </c>
      <c r="B119" t="n">
        <v>98852.13</v>
      </c>
      <c r="C119" t="n">
        <v>-0.7857</v>
      </c>
      <c r="D119" t="n">
        <v>-2.0662</v>
      </c>
    </row>
    <row r="120">
      <c r="A120" t="n">
        <v>118</v>
      </c>
      <c r="B120" t="n">
        <v>99981.64999999999</v>
      </c>
      <c r="C120" t="n">
        <v>0.0471</v>
      </c>
      <c r="D120" t="n">
        <v>-0.033</v>
      </c>
    </row>
    <row r="121">
      <c r="A121" t="n">
        <v>119</v>
      </c>
      <c r="B121" t="n">
        <v>98258.09</v>
      </c>
      <c r="C121" t="n">
        <v>-1.417</v>
      </c>
      <c r="D121" t="n">
        <v>-3.1354</v>
      </c>
    </row>
    <row r="122">
      <c r="A122" t="n">
        <v>120</v>
      </c>
      <c r="B122" t="n">
        <v>96020.36</v>
      </c>
      <c r="C122" t="n">
        <v>-3.9385</v>
      </c>
      <c r="D122" t="n">
        <v>-7.1634</v>
      </c>
    </row>
    <row r="123">
      <c r="A123" t="n">
        <v>121</v>
      </c>
      <c r="B123" t="n">
        <v>96805.33</v>
      </c>
      <c r="C123" t="n">
        <v>-3.0315</v>
      </c>
      <c r="D123" t="n">
        <v>-5.7504</v>
      </c>
    </row>
    <row r="124">
      <c r="A124" t="n">
        <v>122</v>
      </c>
      <c r="B124" t="n">
        <v>101496.03</v>
      </c>
      <c r="C124" t="n">
        <v>1.4525</v>
      </c>
      <c r="D124" t="n">
        <v>2.6929</v>
      </c>
    </row>
    <row r="125">
      <c r="A125" t="n">
        <v>123</v>
      </c>
      <c r="B125" t="n">
        <v>106945.33</v>
      </c>
      <c r="C125" t="n">
        <v>4.7616</v>
      </c>
      <c r="D125" t="n">
        <v>12.5016</v>
      </c>
    </row>
    <row r="126">
      <c r="A126" t="n">
        <v>124</v>
      </c>
      <c r="B126" t="n">
        <v>108570.11</v>
      </c>
      <c r="C126" t="n">
        <v>5.0711</v>
      </c>
      <c r="D126" t="n">
        <v>15.4262</v>
      </c>
    </row>
    <row r="127">
      <c r="A127" t="n">
        <v>125</v>
      </c>
      <c r="B127" t="n">
        <v>104555.56</v>
      </c>
      <c r="C127" t="n">
        <v>3.5532</v>
      </c>
      <c r="D127" t="n">
        <v>8.199999999999999</v>
      </c>
    </row>
    <row r="128">
      <c r="A128" t="n">
        <v>126</v>
      </c>
      <c r="B128" t="n">
        <v>97684.52</v>
      </c>
      <c r="C128" t="n">
        <v>-1.6586</v>
      </c>
      <c r="D128" t="n">
        <v>-4.1679</v>
      </c>
    </row>
    <row r="129">
      <c r="A129" t="n">
        <v>127</v>
      </c>
      <c r="B129" t="n">
        <v>93002.45</v>
      </c>
      <c r="C129" t="n">
        <v>-7.4015</v>
      </c>
      <c r="D129" t="n">
        <v>-12.5956</v>
      </c>
    </row>
    <row r="130">
      <c r="A130" t="n">
        <v>128</v>
      </c>
      <c r="B130" t="n">
        <v>93458.12</v>
      </c>
      <c r="C130" t="n">
        <v>-6.7297</v>
      </c>
      <c r="D130" t="n">
        <v>-11.7754</v>
      </c>
    </row>
    <row r="131">
      <c r="A131" t="n">
        <v>129</v>
      </c>
      <c r="B131" t="n">
        <v>97561.55</v>
      </c>
      <c r="C131" t="n">
        <v>-1.6816</v>
      </c>
      <c r="D131" t="n">
        <v>-4.3892</v>
      </c>
    </row>
    <row r="132">
      <c r="A132" t="n">
        <v>130</v>
      </c>
      <c r="B132" t="n">
        <v>101156.91</v>
      </c>
      <c r="C132" t="n">
        <v>1.6406</v>
      </c>
      <c r="D132" t="n">
        <v>2.0824</v>
      </c>
    </row>
    <row r="133">
      <c r="A133" t="n">
        <v>131</v>
      </c>
      <c r="B133" t="n">
        <v>101493.48</v>
      </c>
      <c r="C133" t="n">
        <v>1.9265</v>
      </c>
      <c r="D133" t="n">
        <v>2.6883</v>
      </c>
    </row>
    <row r="134">
      <c r="A134" t="n">
        <v>132</v>
      </c>
      <c r="B134" t="n">
        <v>99648.74000000001</v>
      </c>
      <c r="C134" t="n">
        <v>0.3595</v>
      </c>
      <c r="D134" t="n">
        <v>-0.6323</v>
      </c>
    </row>
    <row r="135">
      <c r="A135" t="n">
        <v>133</v>
      </c>
      <c r="B135" t="n">
        <v>99040.69</v>
      </c>
      <c r="C135" t="n">
        <v>-0.157</v>
      </c>
      <c r="D135" t="n">
        <v>-1.7268</v>
      </c>
    </row>
    <row r="136">
      <c r="A136" t="n">
        <v>134</v>
      </c>
      <c r="B136" t="n">
        <v>101607.48</v>
      </c>
      <c r="C136" t="n">
        <v>2.0233</v>
      </c>
      <c r="D136" t="n">
        <v>2.8935</v>
      </c>
    </row>
    <row r="137">
      <c r="A137" t="n">
        <v>135</v>
      </c>
      <c r="B137" t="n">
        <v>105505.86</v>
      </c>
      <c r="C137" t="n">
        <v>4.4382</v>
      </c>
      <c r="D137" t="n">
        <v>9.910500000000001</v>
      </c>
    </row>
    <row r="138">
      <c r="A138" t="n">
        <v>136</v>
      </c>
      <c r="B138" t="n">
        <v>106686.32</v>
      </c>
      <c r="C138" t="n">
        <v>5.0939</v>
      </c>
      <c r="D138" t="n">
        <v>12.0354</v>
      </c>
    </row>
    <row r="139">
      <c r="A139" t="n">
        <v>137</v>
      </c>
      <c r="B139" t="n">
        <v>102890.72</v>
      </c>
      <c r="C139" t="n">
        <v>2.9855</v>
      </c>
      <c r="D139" t="n">
        <v>5.2033</v>
      </c>
    </row>
    <row r="140">
      <c r="A140" t="n">
        <v>138</v>
      </c>
      <c r="B140" t="n">
        <v>96188.10000000001</v>
      </c>
      <c r="C140" t="n">
        <v>-3.0305</v>
      </c>
      <c r="D140" t="n">
        <v>-6.8614</v>
      </c>
    </row>
    <row r="141">
      <c r="A141" t="n">
        <v>139</v>
      </c>
      <c r="B141" t="n">
        <v>91488.83</v>
      </c>
      <c r="C141" t="n">
        <v>-9.2761</v>
      </c>
      <c r="D141" t="n">
        <v>-15.3201</v>
      </c>
    </row>
    <row r="142">
      <c r="A142" t="n">
        <v>140</v>
      </c>
      <c r="B142" t="n">
        <v>92306.84</v>
      </c>
      <c r="C142" t="n">
        <v>-8.07</v>
      </c>
      <c r="D142" t="n">
        <v>-13.8477</v>
      </c>
    </row>
    <row r="143">
      <c r="A143" t="n">
        <v>141</v>
      </c>
      <c r="B143" t="n">
        <v>97696.98</v>
      </c>
      <c r="C143" t="n">
        <v>-1.168</v>
      </c>
      <c r="D143" t="n">
        <v>-4.1454</v>
      </c>
    </row>
    <row r="144">
      <c r="A144" t="n">
        <v>142</v>
      </c>
      <c r="B144" t="n">
        <v>103216.42</v>
      </c>
      <c r="C144" t="n">
        <v>3.5236</v>
      </c>
      <c r="D144" t="n">
        <v>5.7896</v>
      </c>
    </row>
    <row r="145">
      <c r="A145" t="n">
        <v>143</v>
      </c>
      <c r="B145" t="n">
        <v>104967.05</v>
      </c>
      <c r="C145" t="n">
        <v>4.496</v>
      </c>
      <c r="D145" t="n">
        <v>8.9407</v>
      </c>
    </row>
    <row r="146">
      <c r="A146" t="n">
        <v>144</v>
      </c>
      <c r="B146" t="n">
        <v>102898.37</v>
      </c>
      <c r="C146" t="n">
        <v>3.3469</v>
      </c>
      <c r="D146" t="n">
        <v>5.2171</v>
      </c>
    </row>
    <row r="147">
      <c r="A147" t="n">
        <v>145</v>
      </c>
      <c r="B147" t="n">
        <v>100332.05</v>
      </c>
      <c r="C147" t="n">
        <v>1.4161</v>
      </c>
      <c r="D147" t="n">
        <v>0.5977</v>
      </c>
    </row>
    <row r="148">
      <c r="A148" t="n">
        <v>146</v>
      </c>
      <c r="B148" t="n">
        <v>100334.38</v>
      </c>
      <c r="C148" t="n">
        <v>1.4181</v>
      </c>
      <c r="D148" t="n">
        <v>0.6019</v>
      </c>
    </row>
    <row r="149">
      <c r="A149" t="n">
        <v>147</v>
      </c>
      <c r="B149" t="n">
        <v>102570.24</v>
      </c>
      <c r="C149" t="n">
        <v>3.3173</v>
      </c>
      <c r="D149" t="n">
        <v>4.6264</v>
      </c>
    </row>
    <row r="150">
      <c r="A150" t="n">
        <v>148</v>
      </c>
      <c r="B150" t="n">
        <v>103732.79</v>
      </c>
      <c r="C150" t="n">
        <v>3.9295</v>
      </c>
      <c r="D150" t="n">
        <v>6.719</v>
      </c>
    </row>
    <row r="151">
      <c r="A151" t="n">
        <v>149</v>
      </c>
      <c r="B151" t="n">
        <v>101100.41</v>
      </c>
      <c r="C151" t="n">
        <v>2.1878</v>
      </c>
      <c r="D151" t="n">
        <v>1.9807</v>
      </c>
    </row>
    <row r="152">
      <c r="A152" t="n">
        <v>150</v>
      </c>
      <c r="B152" t="n">
        <v>95673.25999999999</v>
      </c>
      <c r="C152" t="n">
        <v>-3.1491</v>
      </c>
      <c r="D152" t="n">
        <v>-7.7881</v>
      </c>
    </row>
    <row r="153">
      <c r="A153" t="n">
        <v>151</v>
      </c>
      <c r="B153" t="n">
        <v>91701.21000000001</v>
      </c>
      <c r="C153" t="n">
        <v>-8.486800000000001</v>
      </c>
      <c r="D153" t="n">
        <v>-14.9378</v>
      </c>
    </row>
    <row r="154">
      <c r="A154" t="n">
        <v>152</v>
      </c>
      <c r="B154" t="n">
        <v>92900.7</v>
      </c>
      <c r="C154" t="n">
        <v>-6.7182</v>
      </c>
      <c r="D154" t="n">
        <v>-12.7787</v>
      </c>
    </row>
    <row r="155">
      <c r="A155" t="n">
        <v>153</v>
      </c>
      <c r="B155" t="n">
        <v>98907.57000000001</v>
      </c>
      <c r="C155" t="n">
        <v>0.7069</v>
      </c>
      <c r="D155" t="n">
        <v>-1.9664</v>
      </c>
    </row>
    <row r="156">
      <c r="A156" t="n">
        <v>154</v>
      </c>
      <c r="B156" t="n">
        <v>105374.59</v>
      </c>
      <c r="C156" t="n">
        <v>5.1985</v>
      </c>
      <c r="D156" t="n">
        <v>9.674300000000001</v>
      </c>
    </row>
    <row r="157">
      <c r="A157" t="n">
        <v>155</v>
      </c>
      <c r="B157" t="n">
        <v>107700.69</v>
      </c>
      <c r="C157" t="n">
        <v>6.1436</v>
      </c>
      <c r="D157" t="n">
        <v>13.8613</v>
      </c>
    </row>
    <row r="158">
      <c r="A158" t="n">
        <v>156</v>
      </c>
      <c r="B158" t="n">
        <v>104944.27</v>
      </c>
      <c r="C158" t="n">
        <v>5.0786</v>
      </c>
      <c r="D158" t="n">
        <v>8.899699999999999</v>
      </c>
    </row>
    <row r="159">
      <c r="A159" t="n">
        <v>157</v>
      </c>
      <c r="B159" t="n">
        <v>100314.55</v>
      </c>
      <c r="C159" t="n">
        <v>1.9964</v>
      </c>
      <c r="D159" t="n">
        <v>0.5662</v>
      </c>
    </row>
    <row r="160">
      <c r="A160" t="n">
        <v>158</v>
      </c>
      <c r="B160" t="n">
        <v>97900.72</v>
      </c>
      <c r="C160" t="n">
        <v>-0.0993</v>
      </c>
      <c r="D160" t="n">
        <v>-3.7787</v>
      </c>
    </row>
    <row r="161">
      <c r="A161" t="n">
        <v>159</v>
      </c>
      <c r="B161" t="n">
        <v>98849.00999999999</v>
      </c>
      <c r="C161" t="n">
        <v>0.9963</v>
      </c>
      <c r="D161" t="n">
        <v>-2.0718</v>
      </c>
    </row>
    <row r="162">
      <c r="A162" t="n">
        <v>160</v>
      </c>
      <c r="B162" t="n">
        <v>100635.58</v>
      </c>
      <c r="C162" t="n">
        <v>2.3882</v>
      </c>
      <c r="D162" t="n">
        <v>1.144</v>
      </c>
    </row>
    <row r="163">
      <c r="A163" t="n">
        <v>161</v>
      </c>
      <c r="B163" t="n">
        <v>100015.21</v>
      </c>
      <c r="C163" t="n">
        <v>1.8612</v>
      </c>
      <c r="D163" t="n">
        <v>0.0274</v>
      </c>
    </row>
    <row r="164">
      <c r="A164" t="n">
        <v>162</v>
      </c>
      <c r="B164" t="n">
        <v>96637.75</v>
      </c>
      <c r="C164" t="n">
        <v>-1.4396</v>
      </c>
      <c r="D164" t="n">
        <v>-6.0521</v>
      </c>
    </row>
    <row r="165">
      <c r="A165" t="n">
        <v>163</v>
      </c>
      <c r="B165" t="n">
        <v>93689.3</v>
      </c>
      <c r="C165" t="n">
        <v>-4.9603</v>
      </c>
      <c r="D165" t="n">
        <v>-11.3593</v>
      </c>
    </row>
    <row r="166">
      <c r="A166" t="n">
        <v>164</v>
      </c>
      <c r="B166" t="n">
        <v>94842.64999999999</v>
      </c>
      <c r="C166" t="n">
        <v>-3.2598</v>
      </c>
      <c r="D166" t="n">
        <v>-9.283200000000001</v>
      </c>
    </row>
    <row r="167">
      <c r="A167" t="n">
        <v>165</v>
      </c>
      <c r="B167" t="n">
        <v>100450.3</v>
      </c>
      <c r="C167" t="n">
        <v>2.4689</v>
      </c>
      <c r="D167" t="n">
        <v>0.8105</v>
      </c>
    </row>
    <row r="168">
      <c r="A168" t="n">
        <v>166</v>
      </c>
      <c r="B168" t="n">
        <v>106735.79</v>
      </c>
      <c r="C168" t="n">
        <v>6.5499</v>
      </c>
      <c r="D168" t="n">
        <v>12.1244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 ht="30" customHeight="1">
      <c r="A1" s="1" t="inlineStr">
        <is>
          <t>Backtest charts (synthetic demo data)</t>
        </is>
      </c>
    </row>
    <row r="2" ht="22" customHeight="1">
      <c r="A2" s="2" t="inlineStr">
        <is>
          <t>Top: price vs your band. Bottom: strategy profit vs simply holding. Run your own with --days 30.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Parameter sweep — many backtests, one price series</t>
        </is>
      </c>
    </row>
    <row r="2" ht="22" customHeight="1">
      <c r="A2" s="2" t="inlineStr">
        <is>
          <t>Same synthetic data, different settings. See how tuning changes the result. Higher net P&amp;L is better.</t>
        </is>
      </c>
    </row>
    <row r="3">
      <c r="A3" s="3" t="inlineStr">
        <is>
          <t>Profit target %</t>
        </is>
      </c>
      <c r="B3" s="3" t="inlineStr">
        <is>
          <t>Grid levels</t>
        </is>
      </c>
      <c r="C3" s="3" t="inlineStr">
        <is>
          <t>Trades</t>
        </is>
      </c>
      <c r="D3" s="3" t="inlineStr">
        <is>
          <t>Win rate %</t>
        </is>
      </c>
      <c r="E3" s="3" t="inlineStr">
        <is>
          <t>Net P&amp;L $</t>
        </is>
      </c>
      <c r="F3" s="3" t="inlineStr">
        <is>
          <t>Strategy %</t>
        </is>
      </c>
      <c r="G3" s="3" t="inlineStr">
        <is>
          <t>Buy&amp;Hold %</t>
        </is>
      </c>
    </row>
    <row r="4" ht="24" customHeight="1">
      <c r="A4" s="22" t="inlineStr">
        <is>
          <t>0.3</t>
        </is>
      </c>
      <c r="B4" s="8" t="inlineStr">
        <is>
          <t>6</t>
        </is>
      </c>
      <c r="C4" s="8" t="inlineStr">
        <is>
          <t>64</t>
        </is>
      </c>
      <c r="D4" s="8" t="inlineStr">
        <is>
          <t>0</t>
        </is>
      </c>
      <c r="E4" s="23" t="n">
        <v>-5.77</v>
      </c>
      <c r="F4" s="8" t="inlineStr">
        <is>
          <t>-3.21</t>
        </is>
      </c>
      <c r="G4" s="8" t="inlineStr">
        <is>
          <t>8.72</t>
        </is>
      </c>
    </row>
    <row r="5" ht="24" customHeight="1">
      <c r="A5" s="22" t="inlineStr">
        <is>
          <t>0.6</t>
        </is>
      </c>
      <c r="B5" s="8" t="inlineStr">
        <is>
          <t>6</t>
        </is>
      </c>
      <c r="C5" s="8" t="inlineStr">
        <is>
          <t>63</t>
        </is>
      </c>
      <c r="D5" s="8" t="inlineStr">
        <is>
          <t>0</t>
        </is>
      </c>
      <c r="E5" s="23" t="n">
        <v>-0.03</v>
      </c>
      <c r="F5" s="8" t="inlineStr">
        <is>
          <t>-0.02</t>
        </is>
      </c>
      <c r="G5" s="8" t="inlineStr">
        <is>
          <t>8.72</t>
        </is>
      </c>
    </row>
    <row r="6" ht="24" customHeight="1">
      <c r="A6" s="22" t="inlineStr">
        <is>
          <t>1.0</t>
        </is>
      </c>
      <c r="B6" s="8" t="inlineStr">
        <is>
          <t>6</t>
        </is>
      </c>
      <c r="C6" s="8" t="inlineStr">
        <is>
          <t>62</t>
        </is>
      </c>
      <c r="D6" s="8" t="inlineStr">
        <is>
          <t>100</t>
        </is>
      </c>
      <c r="E6" s="8" t="n">
        <v>7.38</v>
      </c>
      <c r="F6" s="8" t="inlineStr">
        <is>
          <t>4.10</t>
        </is>
      </c>
      <c r="G6" s="8" t="inlineStr">
        <is>
          <t>8.72</t>
        </is>
      </c>
    </row>
    <row r="7" ht="24" customHeight="1">
      <c r="A7" s="22" t="inlineStr">
        <is>
          <t>1.5</t>
        </is>
      </c>
      <c r="B7" s="8" t="inlineStr">
        <is>
          <t>6</t>
        </is>
      </c>
      <c r="C7" s="8" t="inlineStr">
        <is>
          <t>59</t>
        </is>
      </c>
      <c r="D7" s="8" t="inlineStr">
        <is>
          <t>100</t>
        </is>
      </c>
      <c r="E7" s="8" t="n">
        <v>15.84</v>
      </c>
      <c r="F7" s="8" t="inlineStr">
        <is>
          <t>8.80</t>
        </is>
      </c>
      <c r="G7" s="8" t="inlineStr">
        <is>
          <t>8.72</t>
        </is>
      </c>
    </row>
    <row r="8" ht="24" customHeight="1">
      <c r="A8" s="22" t="inlineStr">
        <is>
          <t>2.0</t>
        </is>
      </c>
      <c r="B8" s="8" t="inlineStr">
        <is>
          <t>6</t>
        </is>
      </c>
      <c r="C8" s="8" t="inlineStr">
        <is>
          <t>56</t>
        </is>
      </c>
      <c r="D8" s="8" t="inlineStr">
        <is>
          <t>100</t>
        </is>
      </c>
      <c r="E8" s="24" t="n">
        <v>23.41</v>
      </c>
      <c r="F8" s="8" t="inlineStr">
        <is>
          <t>13.00</t>
        </is>
      </c>
      <c r="G8" s="8" t="inlineStr">
        <is>
          <t>8.72</t>
        </is>
      </c>
    </row>
    <row r="9" ht="24" customHeight="1">
      <c r="A9" s="22" t="inlineStr">
        <is>
          <t>1.0</t>
        </is>
      </c>
      <c r="B9" s="8" t="inlineStr">
        <is>
          <t>4</t>
        </is>
      </c>
      <c r="C9" s="8" t="inlineStr">
        <is>
          <t>33</t>
        </is>
      </c>
      <c r="D9" s="8" t="inlineStr">
        <is>
          <t>100</t>
        </is>
      </c>
      <c r="E9" s="8" t="n">
        <v>3.93</v>
      </c>
      <c r="F9" s="8" t="inlineStr">
        <is>
          <t>3.27</t>
        </is>
      </c>
      <c r="G9" s="8" t="inlineStr">
        <is>
          <t>8.72</t>
        </is>
      </c>
    </row>
    <row r="10" ht="24" customHeight="1">
      <c r="A10" s="22" t="inlineStr">
        <is>
          <t>1.0</t>
        </is>
      </c>
      <c r="B10" s="8" t="inlineStr">
        <is>
          <t>8</t>
        </is>
      </c>
      <c r="C10" s="8" t="inlineStr">
        <is>
          <t>84</t>
        </is>
      </c>
      <c r="D10" s="8" t="inlineStr">
        <is>
          <t>100</t>
        </is>
      </c>
      <c r="E10" s="8" t="n">
        <v>10</v>
      </c>
      <c r="F10" s="8" t="inlineStr">
        <is>
          <t>4.17</t>
        </is>
      </c>
      <c r="G10" s="8" t="inlineStr">
        <is>
          <t>8.72</t>
        </is>
      </c>
    </row>
    <row r="11" ht="24" customHeight="1">
      <c r="A11" s="22" t="inlineStr">
        <is>
          <t>1.0</t>
        </is>
      </c>
      <c r="B11" s="8" t="inlineStr">
        <is>
          <t>10</t>
        </is>
      </c>
      <c r="C11" s="8" t="inlineStr">
        <is>
          <t>108</t>
        </is>
      </c>
      <c r="D11" s="8" t="inlineStr">
        <is>
          <t>100</t>
        </is>
      </c>
      <c r="E11" s="8" t="n">
        <v>12.86</v>
      </c>
      <c r="F11" s="8" t="inlineStr">
        <is>
          <t>4.29</t>
        </is>
      </c>
      <c r="G11" s="8" t="inlineStr">
        <is>
          <t>8.72</t>
        </is>
      </c>
    </row>
    <row r="12" ht="24" customHeight="1">
      <c r="A12" s="22" t="inlineStr">
        <is>
          <t>1.0</t>
        </is>
      </c>
      <c r="B12" s="8" t="inlineStr">
        <is>
          <t>12</t>
        </is>
      </c>
      <c r="C12" s="8" t="inlineStr">
        <is>
          <t>132</t>
        </is>
      </c>
      <c r="D12" s="8" t="inlineStr">
        <is>
          <t>100</t>
        </is>
      </c>
      <c r="E12" s="8" t="n">
        <v>15.71</v>
      </c>
      <c r="F12" s="8" t="inlineStr">
        <is>
          <t>4.36</t>
        </is>
      </c>
      <c r="G12" s="8" t="inlineStr">
        <is>
          <t>8.72</t>
        </is>
      </c>
    </row>
    <row r="14" ht="56" customHeight="1">
      <c r="A14" s="7" t="inlineStr">
        <is>
          <t>How to read</t>
        </is>
      </c>
      <c r="B14" s="6" t="inlineStr">
        <is>
          <t>Tighter targets (0.3%) make more trades but can fail to clear fees. Wider targets trade less but each cycle is safer. The green row is the best net P&amp;L here. Note buy &amp; hold for context — in a strong trend it often wins; grids shine in chop.</t>
        </is>
      </c>
    </row>
  </sheetData>
  <mergeCells count="3">
    <mergeCell ref="B14:G14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</cols>
  <sheetData>
    <row r="1" ht="30" customHeight="1">
      <c r="A1" s="1" t="inlineStr">
        <is>
          <t>Automated test results</t>
        </is>
      </c>
    </row>
    <row r="2" ht="22" customHeight="1">
      <c r="A2" s="2" t="inlineStr">
        <is>
          <t>Last run: 45 passed. CI re-runs these on every push to GitHub.</t>
        </is>
      </c>
    </row>
    <row r="3">
      <c r="A3" s="3" t="inlineStr">
        <is>
          <t>Test file</t>
        </is>
      </c>
      <c r="B3" s="3" t="inlineStr">
        <is>
          <t>Status</t>
        </is>
      </c>
      <c r="C3" s="3" t="inlineStr">
        <is>
          <t>What it proves</t>
        </is>
      </c>
    </row>
    <row r="4" ht="30" customHeight="1">
      <c r="A4" s="22" t="inlineStr">
        <is>
          <t>test_fees.py</t>
        </is>
      </c>
      <c r="B4" s="25" t="inlineStr">
        <is>
          <t>PASS</t>
        </is>
      </c>
      <c r="C4" s="6" t="inlineStr">
        <is>
          <t>Round-trip fee, breakeven price, net profit/margin, fee-clearing check.</t>
        </is>
      </c>
    </row>
    <row r="5" ht="30" customHeight="1">
      <c r="A5" s="22" t="inlineStr">
        <is>
          <t>test_grid.py</t>
        </is>
      </c>
      <c r="B5" s="25" t="inlineStr">
        <is>
          <t>PASS</t>
        </is>
      </c>
      <c r="C5" s="6" t="inlineStr">
        <is>
          <t>Even spacing, sell above buy by target, tight grids rejected.</t>
        </is>
      </c>
    </row>
    <row r="6" ht="30" customHeight="1">
      <c r="A6" s="22" t="inlineStr">
        <is>
          <t>test_guards.py</t>
        </is>
      </c>
      <c r="B6" s="25" t="inlineStr">
        <is>
          <t>PASS</t>
        </is>
      </c>
      <c r="C6" s="6" t="inlineStr">
        <is>
          <t>Breakout, daily-loss halt, risk limits, kill switch behave correctly.</t>
        </is>
      </c>
    </row>
    <row r="7" ht="30" customHeight="1">
      <c r="A7" s="22" t="inlineStr">
        <is>
          <t>test_config.py</t>
        </is>
      </c>
      <c r="B7" s="25" t="inlineStr">
        <is>
          <t>PASS</t>
        </is>
      </c>
      <c r="C7" s="6" t="inlineStr">
        <is>
          <t>Unsafe configs refused; live needs BOTH the flag AND the env latch.</t>
        </is>
      </c>
    </row>
    <row r="8" ht="30" customHeight="1">
      <c r="A8" s="22" t="inlineStr">
        <is>
          <t>test_backtest.py</t>
        </is>
      </c>
      <c r="B8" s="25" t="inlineStr">
        <is>
          <t>PASS</t>
        </is>
      </c>
      <c r="C8" s="6" t="inlineStr">
        <is>
          <t>Profit in chop, no trades when flat or out-of-band.</t>
        </is>
      </c>
    </row>
    <row r="9" ht="30" customHeight="1">
      <c r="A9" s="22" t="inlineStr">
        <is>
          <t>test_engine.py</t>
        </is>
      </c>
      <c r="B9" s="25" t="inlineStr">
        <is>
          <t>PASS</t>
        </is>
      </c>
      <c r="C9" s="6" t="inlineStr">
        <is>
          <t>Unrealized loss trips the halt; breakout-flatten sells to cash.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</cols>
  <sheetData>
    <row r="1" ht="30" customHeight="1">
      <c r="A1" s="1" t="inlineStr">
        <is>
          <t>Backtest results (synthetic offline demo run)</t>
        </is>
      </c>
    </row>
    <row r="2" ht="22" customHeight="1">
      <c r="A2" s="2" t="inlineStr">
        <is>
          <t>Run your OWN with: python backtest.py --days 30  (real Alpaca data).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How to read it</t>
        </is>
      </c>
    </row>
    <row r="4" ht="36" customHeight="1">
      <c r="A4" s="19" t="inlineStr">
        <is>
          <t>Bars processed</t>
        </is>
      </c>
      <c r="B4" s="8" t="inlineStr">
        <is>
          <t>2000</t>
        </is>
      </c>
      <c r="C4" s="6" t="inlineStr">
        <is>
          <t>How many price points were replayed.</t>
        </is>
      </c>
    </row>
    <row r="5" ht="36" customHeight="1">
      <c r="A5" s="19" t="inlineStr">
        <is>
          <t>Completed trades</t>
        </is>
      </c>
      <c r="B5" s="8" t="inlineStr">
        <is>
          <t>62</t>
        </is>
      </c>
      <c r="C5" s="6" t="inlineStr">
        <is>
          <t>Full buy-&gt;sell cycles.</t>
        </is>
      </c>
    </row>
    <row r="6" ht="36" customHeight="1">
      <c r="A6" s="19" t="inlineStr">
        <is>
          <t>Win rate</t>
        </is>
      </c>
      <c r="B6" s="8" t="inlineStr">
        <is>
          <t>100.0%</t>
        </is>
      </c>
      <c r="C6" s="6" t="inlineStr">
        <is>
          <t>Share of cycles that cleared fees.</t>
        </is>
      </c>
    </row>
    <row r="7" ht="36" customHeight="1">
      <c r="A7" s="19" t="inlineStr">
        <is>
          <t>Net P&amp;L after fees</t>
        </is>
      </c>
      <c r="B7" s="8" t="inlineStr">
        <is>
          <t>$7.38</t>
        </is>
      </c>
      <c r="C7" s="6" t="inlineStr">
        <is>
          <t>The bottom line, fees included.</t>
        </is>
      </c>
    </row>
    <row r="8" ht="36" customHeight="1">
      <c r="A8" s="19" t="inlineStr">
        <is>
          <t>Largest drawdown</t>
        </is>
      </c>
      <c r="B8" s="8" t="inlineStr">
        <is>
          <t>$15.04</t>
        </is>
      </c>
      <c r="C8" s="6" t="inlineStr">
        <is>
          <t>Worst peak-to-trough dip along the way.</t>
        </is>
      </c>
    </row>
    <row r="9" ht="36" customHeight="1">
      <c r="A9" s="19" t="inlineStr">
        <is>
          <t>Strategy return</t>
        </is>
      </c>
      <c r="B9" s="8" t="inlineStr">
        <is>
          <t>4.1%</t>
        </is>
      </c>
      <c r="C9" s="6" t="inlineStr">
        <is>
          <t>Profit vs capital put to work.</t>
        </is>
      </c>
    </row>
    <row r="10" ht="36" customHeight="1">
      <c r="A10" s="19" t="inlineStr">
        <is>
          <t>Buy &amp; hold return</t>
        </is>
      </c>
      <c r="B10" s="8" t="inlineStr">
        <is>
          <t>8.72%</t>
        </is>
      </c>
      <c r="C10" s="6" t="inlineStr">
        <is>
          <t>What simply holding would have done.</t>
        </is>
      </c>
    </row>
    <row r="11" ht="36" customHeight="1">
      <c r="A11" s="19" t="inlineStr">
        <is>
          <t>Honest takeaway</t>
        </is>
      </c>
      <c r="B11" s="8" t="inlineStr">
        <is>
          <t>Compare the last two</t>
        </is>
      </c>
      <c r="C11" s="6" t="inlineStr">
        <is>
          <t>In a trending sample, holding often beats the grid. Grids earn in chop and give up upside in trends. Always compare strategy vs buy &amp; hold.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12" customWidth="1" min="4" max="4"/>
  </cols>
  <sheetData>
    <row r="1" ht="30" customHeight="1">
      <c r="A1" s="1" t="inlineStr">
        <is>
          <t>Devil's-advocate review — problems found and fixed</t>
        </is>
      </c>
    </row>
    <row r="2" ht="22" customHeight="1">
      <c r="A2" s="2" t="inlineStr">
        <is>
          <t>A real critique of the first build, with the fixes that followed.</t>
        </is>
      </c>
    </row>
    <row r="3">
      <c r="A3" s="3" t="inlineStr">
        <is>
          <t>Problem found</t>
        </is>
      </c>
      <c r="B3" s="3" t="inlineStr">
        <is>
          <t>Why it mattered</t>
        </is>
      </c>
      <c r="C3" s="3" t="inlineStr">
        <is>
          <t>Fix applied</t>
        </is>
      </c>
      <c r="D3" s="3" t="inlineStr">
        <is>
          <t>Status</t>
        </is>
      </c>
    </row>
    <row r="4" ht="62" customHeight="1">
      <c r="A4" s="15" t="inlineStr">
        <is>
          <t>'Flatten' did not flatten</t>
        </is>
      </c>
      <c r="B4" s="6" t="inlineStr">
        <is>
          <t>On a breakout with flatten on, the bot only cancelled orders and kept inventory — leaving you holding the bag in the exact crash the guard exists to prevent.</t>
        </is>
      </c>
      <c r="C4" s="6" t="inlineStr">
        <is>
          <t>Added a real _flatten(): cancels, books each holding's P&amp;L, liquidates. Tested.</t>
        </is>
      </c>
      <c r="D4" s="25" t="inlineStr">
        <is>
          <t>FIXED</t>
        </is>
      </c>
    </row>
    <row r="5" ht="62" customHeight="1">
      <c r="A5" s="15" t="inlineStr">
        <is>
          <t>Daily-loss halt ignored unrealized loss</t>
        </is>
      </c>
      <c r="B5" s="6" t="inlineStr">
        <is>
          <t>The grid only books profit on sells, so a position bleeding in a downtrend never tripped the halt until losses were locked in.</t>
        </is>
      </c>
      <c r="C5" s="6" t="inlineStr">
        <is>
          <t>Halt now uses realized + unrealized P&amp;L. Drawdowns trip it. Tested.</t>
        </is>
      </c>
      <c r="D5" s="25" t="inlineStr">
        <is>
          <t>FIXED</t>
        </is>
      </c>
    </row>
    <row r="6" ht="62" customHeight="1">
      <c r="A6" s="15" t="inlineStr">
        <is>
          <t>Status line hid open drawdown</t>
        </is>
      </c>
      <c r="B6" s="6" t="inlineStr">
        <is>
          <t>It showed realized P&amp;L only; you could not see a loss building.</t>
        </is>
      </c>
      <c r="C6" s="6" t="inlineStr">
        <is>
          <t>Status line now prints unrealized and combined day P&amp;L and headroom.</t>
        </is>
      </c>
      <c r="D6" s="25" t="inlineStr">
        <is>
          <t>FIXED</t>
        </is>
      </c>
    </row>
    <row r="7" ht="62" customHeight="1">
      <c r="A7" s="15" t="inlineStr">
        <is>
          <t>Dry-run resumed stale simulator state</t>
        </is>
      </c>
      <c r="B7" s="6" t="inlineStr">
        <is>
          <t>A restarted dry run loaded old orders against a fresh simulator, so nothing filled.</t>
        </is>
      </c>
      <c r="C7" s="6" t="inlineStr">
        <is>
          <t>Dry-run always starts fresh; persistence is paper/live only.</t>
        </is>
      </c>
      <c r="D7" s="25" t="inlineStr">
        <is>
          <t>FIXED</t>
        </is>
      </c>
    </row>
    <row r="8" ht="62" customHeight="1">
      <c r="A8" s="15" t="inlineStr">
        <is>
          <t>Known: reconnect re-sync</t>
        </is>
      </c>
      <c r="B8" s="6" t="inlineStr">
        <is>
          <t>Reconciliation runs on startup, not automatically after a mid-run disconnect.</t>
        </is>
      </c>
      <c r="C8" s="6" t="inlineStr">
        <is>
          <t>Calls already retry with backoff; full mid-run re-sync is a sensible next step.</t>
        </is>
      </c>
      <c r="D8" s="26" t="inlineStr">
        <is>
          <t>KNOWN</t>
        </is>
      </c>
    </row>
    <row r="9" ht="62" customHeight="1">
      <c r="A9" s="15" t="inlineStr">
        <is>
          <t>Known: backtest realism</t>
        </is>
      </c>
      <c r="B9" s="6" t="inlineStr">
        <is>
          <t>Fills at the rung price; ignores slippage and intra-bar timing.</t>
        </is>
      </c>
      <c r="C9" s="6" t="inlineStr">
        <is>
          <t>Conservative and labelled; treat backtest as directional, paper as truth.</t>
        </is>
      </c>
      <c r="D9" s="26" t="inlineStr">
        <is>
          <t>KNOWN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4" customWidth="1" min="2" max="2"/>
  </cols>
  <sheetData>
    <row r="1" ht="30" customHeight="1">
      <c r="A1" s="1" t="inlineStr">
        <is>
          <t>Architecture — what each file does</t>
        </is>
      </c>
    </row>
    <row r="2" ht="22" customHeight="1">
      <c r="A2" s="2" t="inlineStr">
        <is>
          <t>Small, single-purpose pieces. The engine ties them together.</t>
        </is>
      </c>
    </row>
    <row r="3">
      <c r="A3" s="3" t="inlineStr">
        <is>
          <t>File</t>
        </is>
      </c>
      <c r="B3" s="3" t="inlineStr">
        <is>
          <t>Job, in plain language</t>
        </is>
      </c>
    </row>
    <row r="4" ht="28" customHeight="1">
      <c r="A4" s="21" t="inlineStr">
        <is>
          <t>config.yaml</t>
        </is>
      </c>
      <c r="B4" s="6" t="inlineStr">
        <is>
          <t>Your settings. The only file you normally edit.</t>
        </is>
      </c>
    </row>
    <row r="5" ht="28" customHeight="1">
      <c r="A5" s="21" t="inlineStr">
        <is>
          <t>bot/config.py</t>
        </is>
      </c>
      <c r="B5" s="6" t="inlineStr">
        <is>
          <t>Loads + validates settings. Refuses to run if anything is unsafe.</t>
        </is>
      </c>
    </row>
    <row r="6" ht="28" customHeight="1">
      <c r="A6" s="21" t="inlineStr">
        <is>
          <t>bot/fees.py</t>
        </is>
      </c>
      <c r="B6" s="6" t="inlineStr">
        <is>
          <t>The money math: fees, breakeven, net profit after fees.</t>
        </is>
      </c>
    </row>
    <row r="7" ht="28" customHeight="1">
      <c r="A7" s="21" t="inlineStr">
        <is>
          <t>bot/grid.py</t>
        </is>
      </c>
      <c r="B7" s="6" t="inlineStr">
        <is>
          <t>Turns your band into a ladder of buy/sell price rungs.</t>
        </is>
      </c>
    </row>
    <row r="8" ht="28" customHeight="1">
      <c r="A8" s="21" t="inlineStr">
        <is>
          <t>bot/guards.py</t>
        </is>
      </c>
      <c r="B8" s="6" t="inlineStr">
        <is>
          <t>The brakes: breakout, daily-loss halt, risk limits, kill switch.</t>
        </is>
      </c>
    </row>
    <row r="9" ht="28" customHeight="1">
      <c r="A9" s="21" t="inlineStr">
        <is>
          <t>bot/broker.py</t>
        </is>
      </c>
      <c r="B9" s="6" t="inlineStr">
        <is>
          <t>Talks to Alpaca (retries, idempotent IDs) + a local simulator for dry-run.</t>
        </is>
      </c>
    </row>
    <row r="10" ht="28" customHeight="1">
      <c r="A10" s="21" t="inlineStr">
        <is>
          <t>bot/state.py</t>
        </is>
      </c>
      <c r="B10" s="6" t="inlineStr">
        <is>
          <t>Saves/reloads the bot's memory; reconciles with Alpaca on restart.</t>
        </is>
      </c>
    </row>
    <row r="11" ht="28" customHeight="1">
      <c r="A11" s="21" t="inlineStr">
        <is>
          <t>bot/engine.py</t>
        </is>
      </c>
      <c r="B11" s="6" t="inlineStr">
        <is>
          <t>The main loop: read price, detect fills, run guards, place orders, log.</t>
        </is>
      </c>
    </row>
    <row r="12" ht="28" customHeight="1">
      <c r="A12" s="21" t="inlineStr">
        <is>
          <t>bot/alerts.py</t>
        </is>
      </c>
      <c r="B12" s="6" t="inlineStr">
        <is>
          <t>Optional webhook notifications (Discord/Slack/phone).</t>
        </is>
      </c>
    </row>
    <row r="13" ht="28" customHeight="1">
      <c r="A13" s="21" t="inlineStr">
        <is>
          <t>bot/logging_setup.py</t>
        </is>
      </c>
      <c r="B13" s="6" t="inlineStr">
        <is>
          <t>Timestamped, human-readable logs.</t>
        </is>
      </c>
    </row>
    <row r="14" ht="28" customHeight="1">
      <c r="A14" s="21" t="inlineStr">
        <is>
          <t>run_bot.py</t>
        </is>
      </c>
      <c r="B14" s="6" t="inlineStr">
        <is>
          <t>What you launch. Picks simulator vs Alpaca based on mode.</t>
        </is>
      </c>
    </row>
    <row r="15" ht="28" customHeight="1">
      <c r="A15" s="21" t="inlineStr">
        <is>
          <t>backtest.py</t>
        </is>
      </c>
      <c r="B15" s="6" t="inlineStr">
        <is>
          <t>Replays the strategy; also --suggest-band and --walkforward (out-of-sample).</t>
        </is>
      </c>
    </row>
    <row r="16" ht="28" customHeight="1">
      <c r="A16" s="21" t="inlineStr">
        <is>
          <t>compare_windows.py</t>
        </is>
      </c>
      <c r="B16" s="6" t="inlineStr">
        <is>
          <t>Compares strategy vs buy &amp; hold across 30/60/90-day windows.</t>
        </is>
      </c>
    </row>
    <row r="17" ht="28" customHeight="1">
      <c r="A17" s="21" t="inlineStr">
        <is>
          <t>screen_symbols.py</t>
        </is>
      </c>
      <c r="B17" s="6" t="inlineStr">
        <is>
          <t>Ranks many tickers by honest out-of-sample result; shows what's worth trading.</t>
        </is>
      </c>
    </row>
    <row r="18" ht="28" customHeight="1">
      <c r="A18" s="21" t="inlineStr">
        <is>
          <t>tests/</t>
        </is>
      </c>
      <c r="B18" s="6" t="inlineStr">
        <is>
          <t>Automated proof the dangerous parts are correct (45 tests).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6" customWidth="1" min="2" max="2"/>
  </cols>
  <sheetData>
    <row r="1" ht="30" customHeight="1">
      <c r="A1" s="1" t="inlineStr">
        <is>
          <t>Go-live checklist — do NOT skip a box</t>
        </is>
      </c>
    </row>
    <row r="2" ht="22" customHeight="1">
      <c r="A2" s="2" t="inlineStr">
        <is>
          <t>Only switch to real money when EVERY box is true. Tick them yourself.</t>
        </is>
      </c>
    </row>
    <row r="3">
      <c r="A3" s="3" t="inlineStr">
        <is>
          <t>Done?</t>
        </is>
      </c>
      <c r="B3" s="3" t="inlineStr">
        <is>
          <t>Requirement</t>
        </is>
      </c>
    </row>
    <row r="4" ht="28" customHeight="1">
      <c r="A4" s="4" t="inlineStr">
        <is>
          <t>[  ]</t>
        </is>
      </c>
      <c r="B4" s="6" t="inlineStr">
        <is>
          <t>The backtest is profitable after fees across more than one market period.</t>
        </is>
      </c>
    </row>
    <row r="5" ht="28" customHeight="1">
      <c r="A5" s="4" t="inlineStr">
        <is>
          <t>[  ]</t>
        </is>
      </c>
      <c r="B5" s="6" t="inlineStr">
        <is>
          <t>Paper trading has been profitable after fees for at least 2-4 weeks.</t>
        </is>
      </c>
    </row>
    <row r="6" ht="28" customHeight="1">
      <c r="A6" s="4" t="inlineStr">
        <is>
          <t>[  ]</t>
        </is>
      </c>
      <c r="B6" s="6" t="inlineStr">
        <is>
          <t>You understand every trade in the logs and why the bot made it.</t>
        </is>
      </c>
    </row>
    <row r="7" ht="28" customHeight="1">
      <c r="A7" s="4" t="inlineStr">
        <is>
          <t>[  ]</t>
        </is>
      </c>
      <c r="B7" s="6" t="inlineStr">
        <is>
          <t>Your risk limits and daily loss limit are set to small amounts.</t>
        </is>
      </c>
    </row>
    <row r="8" ht="28" customHeight="1">
      <c r="A8" s="4" t="inlineStr">
        <is>
          <t>[  ]</t>
        </is>
      </c>
      <c r="B8" s="6" t="inlineStr">
        <is>
          <t>You are funding only money you would be completely fine losing in full.</t>
        </is>
      </c>
    </row>
    <row r="9" ht="28" customHeight="1">
      <c r="A9" s="4" t="inlineStr">
        <is>
          <t>[  ]</t>
        </is>
      </c>
      <c r="B9" s="6" t="inlineStr">
        <is>
          <t>You have tested the kill switch (touch KILL) and seen it stop the bot.</t>
        </is>
      </c>
    </row>
    <row r="10" ht="28" customHeight="1">
      <c r="A10" s="4" t="inlineStr">
        <is>
          <t>[  ]</t>
        </is>
      </c>
      <c r="B10" s="6" t="inlineStr">
        <is>
          <t>config.yaml has mode: live AND i_really_want_live_trading: true.</t>
        </is>
      </c>
    </row>
    <row r="11" ht="28" customHeight="1">
      <c r="A11" s="4" t="inlineStr">
        <is>
          <t>[  ]</t>
        </is>
      </c>
      <c r="B11" s="6" t="inlineStr">
        <is>
          <t>The env var I_UNDERSTAND_THIS_IS_REAL_MONEY=true is set.</t>
        </is>
      </c>
    </row>
    <row r="12" ht="28" customHeight="1">
      <c r="A12" s="4" t="inlineStr">
        <is>
          <t>[  ]</t>
        </is>
      </c>
      <c r="B12" s="6" t="inlineStr">
        <is>
          <t>Your .env now holds LIVE (funded-account) keys, not paper keys.</t>
        </is>
      </c>
    </row>
    <row r="13" ht="28" customHeight="1">
      <c r="A13" s="4" t="inlineStr">
        <is>
          <t>[  ]</t>
        </is>
      </c>
      <c r="B13" s="6" t="inlineStr">
        <is>
          <t>You will start tiny and watch closely for the first week.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4" customWidth="1" min="2" max="2"/>
  </cols>
  <sheetData>
    <row r="1" ht="30" customHeight="1">
      <c r="A1" s="1" t="inlineStr">
        <is>
          <t>Glossary — jargon in plain English</t>
        </is>
      </c>
    </row>
    <row r="3">
      <c r="A3" s="3" t="inlineStr">
        <is>
          <t>Term</t>
        </is>
      </c>
      <c r="B3" s="3" t="inlineStr">
        <is>
          <t>Plain meaning</t>
        </is>
      </c>
    </row>
    <row r="4" ht="30" customHeight="1">
      <c r="A4" s="19" t="inlineStr">
        <is>
          <t>Grid / range bot</t>
        </is>
      </c>
      <c r="B4" s="6" t="inlineStr">
        <is>
          <t>Buys at set price rungs as price dips, sells higher. Earns in choppy, sideways markets.</t>
        </is>
      </c>
    </row>
    <row r="5" ht="30" customHeight="1">
      <c r="A5" s="19" t="inlineStr">
        <is>
          <t>Band</t>
        </is>
      </c>
      <c r="B5" s="6" t="inlineStr">
        <is>
          <t>The low-to-high price range you expect price to bounce within.</t>
        </is>
      </c>
    </row>
    <row r="6" ht="30" customHeight="1">
      <c r="A6" s="19" t="inlineStr">
        <is>
          <t>Rung / level</t>
        </is>
      </c>
      <c r="B6" s="6" t="inlineStr">
        <is>
          <t>One price line in the grid where the bot wants to buy (and later sell).</t>
        </is>
      </c>
    </row>
    <row r="7" ht="30" customHeight="1">
      <c r="A7" s="19" t="inlineStr">
        <is>
          <t>Limit order</t>
        </is>
      </c>
      <c r="B7" s="6" t="inlineStr">
        <is>
          <t>An order to buy/sell only at a specific price or better.</t>
        </is>
      </c>
    </row>
    <row r="8" ht="30" customHeight="1">
      <c r="A8" s="19" t="inlineStr">
        <is>
          <t>Fill</t>
        </is>
      </c>
      <c r="B8" s="6" t="inlineStr">
        <is>
          <t>When your order actually trades. Partial fill = only some of it traded.</t>
        </is>
      </c>
    </row>
    <row r="9" ht="30" customHeight="1">
      <c r="A9" s="19" t="inlineStr">
        <is>
          <t>Round-trip fee</t>
        </is>
      </c>
      <c r="B9" s="6" t="inlineStr">
        <is>
          <t>The fee paid on both the buy and the sell of one cycle (~0.5% on Alpaca crypto).</t>
        </is>
      </c>
    </row>
    <row r="10" ht="30" customHeight="1">
      <c r="A10" s="19" t="inlineStr">
        <is>
          <t>Slippage</t>
        </is>
      </c>
      <c r="B10" s="6" t="inlineStr">
        <is>
          <t>The gap between the price you wanted and the price you got, common in fast markets.</t>
        </is>
      </c>
    </row>
    <row r="11" ht="30" customHeight="1">
      <c r="A11" s="19" t="inlineStr">
        <is>
          <t>Drawdown</t>
        </is>
      </c>
      <c r="B11" s="6" t="inlineStr">
        <is>
          <t>The worst dip from a peak in your equity. Measures pain along the way.</t>
        </is>
      </c>
    </row>
    <row r="12" ht="30" customHeight="1">
      <c r="A12" s="19" t="inlineStr">
        <is>
          <t>Realized P&amp;L</t>
        </is>
      </c>
      <c r="B12" s="6" t="inlineStr">
        <is>
          <t>Profit/loss you have locked in by actually selling.</t>
        </is>
      </c>
    </row>
    <row r="13" ht="30" customHeight="1">
      <c r="A13" s="19" t="inlineStr">
        <is>
          <t>Unrealized P&amp;L</t>
        </is>
      </c>
      <c r="B13" s="6" t="inlineStr">
        <is>
          <t>Profit/loss on what you still hold, if you sold right now.</t>
        </is>
      </c>
    </row>
    <row r="14" ht="30" customHeight="1">
      <c r="A14" s="19" t="inlineStr">
        <is>
          <t>Breakout</t>
        </is>
      </c>
      <c r="B14" s="6" t="inlineStr">
        <is>
          <t>Price leaving your band — a sign the market may be trending, not chopping.</t>
        </is>
      </c>
    </row>
    <row r="15" ht="30" customHeight="1">
      <c r="A15" s="19" t="inlineStr">
        <is>
          <t>Paper trading</t>
        </is>
      </c>
      <c r="B15" s="6" t="inlineStr">
        <is>
          <t>Trading with fake money against real live prices. Risk-free practice.</t>
        </is>
      </c>
    </row>
    <row r="16" ht="30" customHeight="1">
      <c r="A16" s="19" t="inlineStr">
        <is>
          <t>Kill switch</t>
        </is>
      </c>
      <c r="B16" s="6" t="inlineStr">
        <is>
          <t>A file/command that instantly cancels orders and stops the bot.</t>
        </is>
      </c>
    </row>
    <row r="17" ht="30" customHeight="1">
      <c r="A17" s="19" t="inlineStr">
        <is>
          <t>Idempotent order ID</t>
        </is>
      </c>
      <c r="B17" s="6" t="inlineStr">
        <is>
          <t>A unique label so a retried request can't accidentally place two real orders.</t>
        </is>
      </c>
    </row>
    <row r="18" ht="30" customHeight="1">
      <c r="A18" s="19" t="inlineStr">
        <is>
          <t>Reconcile</t>
        </is>
      </c>
      <c r="B18" s="6" t="inlineStr">
        <is>
          <t>On restart, syncing the bot's saved memory with the broker's real orders.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66" customWidth="1" min="2" max="2"/>
  </cols>
  <sheetData>
    <row r="1" ht="30" customHeight="1">
      <c r="A1" s="1" t="inlineStr">
        <is>
          <t>FAQ &amp; troubleshooting</t>
        </is>
      </c>
    </row>
    <row r="3">
      <c r="A3" s="3" t="inlineStr">
        <is>
          <t>Problem / question</t>
        </is>
      </c>
      <c r="B3" s="3" t="inlineStr">
        <is>
          <t>What to do</t>
        </is>
      </c>
    </row>
    <row r="4" ht="44" customHeight="1">
      <c r="A4" s="19" t="inlineStr">
        <is>
          <t>'Configuration refused' on startup</t>
        </is>
      </c>
      <c r="B4" s="6" t="inlineStr">
        <is>
          <t>That's the safety net working. Read the message: usually your grid is too tight (widen profit_target_percent), band_low &gt;= band_high, or a missing setting.</t>
        </is>
      </c>
    </row>
    <row r="5" ht="44" customHeight="1">
      <c r="A5" s="19" t="inlineStr">
        <is>
          <t>'Missing Alpaca API keys'</t>
        </is>
      </c>
      <c r="B5" s="6" t="inlineStr">
        <is>
          <t>You're in paper/live mode without keys. Run cp .env.example .env and paste your keys, or use mode: dry_run which needs none.</t>
        </is>
      </c>
    </row>
    <row r="6" ht="44" customHeight="1">
      <c r="A6" s="19" t="inlineStr">
        <is>
          <t>Refuses to trade live</t>
        </is>
      </c>
      <c r="B6" s="6" t="inlineStr">
        <is>
          <t>By design. You need mode: live AND i_really_want_live_trading: true AND the env var I_UNDERSTAND_THIS_IS_REAL_MONEY=true. Missing any one = refusal.</t>
        </is>
      </c>
    </row>
    <row r="7" ht="44" customHeight="1">
      <c r="A7" s="19" t="inlineStr">
        <is>
          <t>ModuleNotFoundError</t>
        </is>
      </c>
      <c r="B7" s="6" t="inlineStr">
        <is>
          <t>You didn't install packages, or you're outside the project folder. Run pip install -r requirements.txt from inside my-first-project.</t>
        </is>
      </c>
    </row>
    <row r="8" ht="44" customHeight="1">
      <c r="A8" s="19" t="inlineStr">
        <is>
          <t>Lots of buys, few sells in the logs</t>
        </is>
      </c>
      <c r="B8" s="6" t="inlineStr">
        <is>
          <t>Price is trending down and you're accumulating a bag. Stop and reassess the band — do not add money.</t>
        </is>
      </c>
    </row>
    <row r="9" ht="44" customHeight="1">
      <c r="A9" s="19" t="inlineStr">
        <is>
          <t>Profit looks positive before fees but negative after</t>
        </is>
      </c>
      <c r="B9" s="6" t="inlineStr">
        <is>
          <t>Your grid spacing is too tight. Use the Tuning Calculator; widen profit_target_percent.</t>
        </is>
      </c>
    </row>
    <row r="10" ht="44" customHeight="1">
      <c r="A10" s="19" t="inlineStr">
        <is>
          <t>Breakout guard keeps firing</t>
        </is>
      </c>
      <c r="B10" s="6" t="inlineStr">
        <is>
          <t>Your band is wrong for the current market, or the regime changed. Re-pick the band from a fresh backtest.</t>
        </is>
      </c>
    </row>
    <row r="11" ht="44" customHeight="1">
      <c r="A11" s="19" t="inlineStr">
        <is>
          <t>How do I stop it right now?</t>
        </is>
      </c>
      <c r="B11" s="6" t="inlineStr">
        <is>
          <t>Create the kill file: touch KILL (Windows: type nul &gt; KILL). It cancels all orders and stops.</t>
        </is>
      </c>
    </row>
    <row r="12" ht="44" customHeight="1">
      <c r="A12" s="19" t="inlineStr">
        <is>
          <t>Codespace went to sleep</t>
        </is>
      </c>
      <c r="B12" s="6" t="inlineStr">
        <is>
          <t>Codespaces pause when idle. Fine for testing; use a local machine or always-on server for multi-week paper runs.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40" customWidth="1" min="7" max="7"/>
  </cols>
  <sheetData>
    <row r="1" ht="30" customHeight="1">
      <c r="A1" s="1" t="inlineStr">
        <is>
          <t>Daily monitoring log (fill this in while paper trading)</t>
        </is>
      </c>
    </row>
    <row r="2" ht="22" customHeight="1">
      <c r="A2" s="2" t="inlineStr">
        <is>
          <t>One row per day. Watching this is how you learn whether the bot actually works.</t>
        </is>
      </c>
    </row>
    <row r="3">
      <c r="A3" s="3" t="inlineStr">
        <is>
          <t>Date</t>
        </is>
      </c>
      <c r="B3" s="3" t="inlineStr">
        <is>
          <t>Realized P&amp;L</t>
        </is>
      </c>
      <c r="C3" s="3" t="inlineStr">
        <is>
          <t>Open orders</t>
        </is>
      </c>
      <c r="D3" s="3" t="inlineStr">
        <is>
          <t>Position $</t>
        </is>
      </c>
      <c r="E3" s="3" t="inlineStr">
        <is>
          <t>Guards fired?</t>
        </is>
      </c>
      <c r="F3" s="3" t="inlineStr">
        <is>
          <t>Net up?</t>
        </is>
      </c>
      <c r="G3" s="3" t="inlineStr">
        <is>
          <t>Notes / what you observed</t>
        </is>
      </c>
    </row>
    <row r="4" ht="20" customHeight="1">
      <c r="A4" s="17" t="inlineStr"/>
      <c r="B4" s="17" t="inlineStr"/>
      <c r="C4" s="17" t="inlineStr"/>
      <c r="D4" s="17" t="inlineStr"/>
      <c r="E4" s="17" t="inlineStr"/>
      <c r="F4" s="17" t="inlineStr"/>
      <c r="G4" s="17" t="inlineStr"/>
    </row>
    <row r="5" ht="20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 ht="20" customHeight="1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 ht="20" customHeig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 ht="20" customHeig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20" customHeight="1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 ht="20" customHeight="1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  <row r="16" ht="20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</row>
    <row r="18" ht="20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</row>
    <row r="20" ht="20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</row>
    <row r="21" ht="20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</row>
    <row r="22" ht="20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</row>
    <row r="23" ht="20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</row>
    <row r="24" ht="20" customHeight="1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1" t="inlineStr">
        <is>
          <t>Risks &amp; reality — the part most guides skip</t>
        </is>
      </c>
    </row>
    <row r="3">
      <c r="A3" s="3" t="inlineStr">
        <is>
          <t>Topic</t>
        </is>
      </c>
      <c r="B3" s="3" t="inlineStr">
        <is>
          <t>The honest version</t>
        </is>
      </c>
    </row>
    <row r="4" ht="42" customHeight="1">
      <c r="A4" s="7" t="inlineStr">
        <is>
          <t>Not passive income</t>
        </is>
      </c>
      <c r="B4" s="6" t="inlineStr">
        <is>
          <t>This needs attention, tuning, and a stomach for losses. A learning project, not an ATM.</t>
        </is>
      </c>
    </row>
    <row r="5" ht="42" customHeight="1">
      <c r="A5" s="7" t="inlineStr">
        <is>
          <t>Trends hurt grids</t>
        </is>
      </c>
      <c r="B5" s="6" t="inlineStr">
        <is>
          <t>A strong one-way move makes the bot buy all the way down or sell too early. The guard limits, not eliminates, this.</t>
        </is>
      </c>
    </row>
    <row r="6" ht="42" customHeight="1">
      <c r="A6" s="7" t="inlineStr">
        <is>
          <t>Fees are the silent killer</t>
        </is>
      </c>
      <c r="B6" s="6" t="inlineStr">
        <is>
          <t>At ~0.5% round trip, a too-tight grid loses on every trade while looking busy.</t>
        </is>
      </c>
    </row>
    <row r="7" ht="42" customHeight="1">
      <c r="A7" s="7" t="inlineStr">
        <is>
          <t>Slippage</t>
        </is>
      </c>
      <c r="B7" s="6" t="inlineStr">
        <is>
          <t>You may not get the exact price you wanted. Real results trail the backtest.</t>
        </is>
      </c>
    </row>
    <row r="8" ht="42" customHeight="1">
      <c r="A8" s="7" t="inlineStr">
        <is>
          <t>Paper != live</t>
        </is>
      </c>
      <c r="B8" s="6" t="inlineStr">
        <is>
          <t>Real fills, latency, and liquidity differ. Paper success is necessary, not a guarantee.</t>
        </is>
      </c>
    </row>
    <row r="9" ht="42" customHeight="1">
      <c r="A9" s="7" t="inlineStr">
        <is>
          <t>Software can fail</t>
        </is>
      </c>
      <c r="B9" s="6" t="inlineStr">
        <is>
          <t>Bugs, outages, dropped connections happen. The kill switch and daily-loss limit are your floor.</t>
        </is>
      </c>
    </row>
    <row r="10" ht="42" customHeight="1">
      <c r="A10" s="7" t="inlineStr">
        <is>
          <t>Taxes &amp; law</t>
        </is>
      </c>
      <c r="B10" s="6" t="inlineStr">
        <is>
          <t>Profits are taxable; bot rules vary by location. This is information, not financial or legal advice.</t>
        </is>
      </c>
    </row>
    <row r="11" ht="42" customHeight="1">
      <c r="A11" s="7" t="inlineStr">
        <is>
          <t>The real edge</t>
        </is>
      </c>
      <c r="B11" s="6" t="inlineStr">
        <is>
          <t>Process: backtest -&gt; dry run -&gt; paper for weeks -&gt; tiny live with hard guards. In that order.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2026-06-13T07:31:52Z</dcterms:created>
  <dcterms:modified xsi:type="dcterms:W3CDTF">2026-06-13T07:31:52Z</dcterms:modified>
</cp:coreProperties>
</file>