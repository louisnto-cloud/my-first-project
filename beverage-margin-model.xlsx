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Cost Builder" sheetId="2" state="visible" r:id="rId2"/>
    <sheet name="Portfolio" sheetId="3" state="visible" r:id="rId3"/>
    <sheet name="Sensitivity" sheetId="4" state="visible" r:id="rId4"/>
    <sheet name="Reference" sheetId="5" state="visible" r:id="rId5"/>
    <sheet name="Gui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&quot;$&quot;#,##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color rgb="00FFFFFF"/>
      <sz val="10"/>
    </font>
    <font>
      <name val="Calibri"/>
      <b val="1"/>
      <color rgb="002BB3A3"/>
      <sz val="10"/>
    </font>
    <font>
      <name val="Calibri"/>
      <color rgb="00333333"/>
      <sz val="11"/>
    </font>
    <font>
      <name val="Calibri"/>
      <b val="1"/>
      <color rgb="001A1A1A"/>
      <sz val="11"/>
    </font>
    <font>
      <name val="Calibri"/>
      <b val="1"/>
      <color rgb="00333333"/>
      <sz val="11"/>
    </font>
    <font>
      <name val="Calibri"/>
      <b val="1"/>
      <color rgb="0011302C"/>
      <sz val="11"/>
    </font>
    <font>
      <name val="Calibri"/>
      <color rgb="001A1A1A"/>
      <sz val="11"/>
    </font>
    <font>
      <name val="Calibri"/>
      <color rgb="0093A0BA"/>
      <sz val="11"/>
    </font>
    <font>
      <name val="Calibri"/>
      <i val="1"/>
      <color rgb="0093A0BA"/>
      <sz val="10"/>
    </font>
    <font>
      <name val="Calibri"/>
      <b val="1"/>
      <color rgb="00FFFFFF"/>
      <sz val="10"/>
    </font>
    <font>
      <name val="Calibri"/>
      <color rgb="00222222"/>
      <sz val="11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A1A1A"/>
      <sz val="10"/>
    </font>
    <font>
      <name val="Calibri"/>
      <b val="1"/>
      <color rgb="002BB3A3"/>
      <sz val="12"/>
    </font>
    <font>
      <name val="Consolas"/>
      <color rgb="0011302C"/>
      <sz val="10"/>
    </font>
  </fonts>
  <fills count="5">
    <fill>
      <patternFill/>
    </fill>
    <fill>
      <patternFill patternType="gray125"/>
    </fill>
    <fill>
      <patternFill patternType="solid">
        <fgColor rgb="001B2435"/>
      </patternFill>
    </fill>
    <fill>
      <patternFill patternType="solid">
        <fgColor rgb="00FFF3C4"/>
      </patternFill>
    </fill>
    <fill>
      <patternFill patternType="solid">
        <fgColor rgb="00E7F6F4"/>
      </patternFill>
    </fill>
  </fills>
  <borders count="3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 style="thin">
        <color rgb="00E6C84B"/>
      </left>
      <right style="thin">
        <color rgb="00E6C84B"/>
      </right>
      <top style="thin">
        <color rgb="00E6C84B"/>
      </top>
      <bottom style="thin">
        <color rgb="00E6C84B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4" fontId="5" fillId="3" borderId="2" applyAlignment="1" pivotButton="0" quotePrefix="0" xfId="0">
      <alignment horizontal="right" vertical="center"/>
    </xf>
    <xf numFmtId="3" fontId="5" fillId="3" borderId="2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4" fontId="7" fillId="4" borderId="1" applyAlignment="1" pivotButton="0" quotePrefix="0" xfId="0">
      <alignment horizontal="right" vertical="center"/>
    </xf>
    <xf numFmtId="3" fontId="7" fillId="4" borderId="1" applyAlignment="1" pivotButton="0" quotePrefix="0" xfId="0">
      <alignment horizontal="right" vertical="center"/>
    </xf>
    <xf numFmtId="165" fontId="7" fillId="4" borderId="1" applyAlignment="1" pivotButton="0" quotePrefix="0" xfId="0">
      <alignment horizontal="right" vertical="center"/>
    </xf>
    <xf numFmtId="3" fontId="8" fillId="0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166" fontId="7" fillId="4" borderId="1" applyAlignment="1" pivotButton="0" quotePrefix="0" xfId="0">
      <alignment horizontal="right" vertical="center"/>
    </xf>
    <xf numFmtId="165" fontId="8" fillId="0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5" fillId="3" borderId="2" applyAlignment="1" pivotButton="0" quotePrefix="0" xfId="0">
      <alignment horizontal="right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right" vertical="center"/>
    </xf>
    <xf numFmtId="0" fontId="12" fillId="3" borderId="1" applyAlignment="1" pivotButton="0" quotePrefix="0" xfId="0">
      <alignment horizontal="left" vertical="center"/>
    </xf>
    <xf numFmtId="164" fontId="12" fillId="3" borderId="1" applyAlignment="1" pivotButton="0" quotePrefix="0" xfId="0">
      <alignment horizontal="right" vertical="center"/>
    </xf>
    <xf numFmtId="3" fontId="12" fillId="3" borderId="1" applyAlignment="1" pivotButton="0" quotePrefix="0" xfId="0">
      <alignment horizontal="right" vertical="center"/>
    </xf>
    <xf numFmtId="165" fontId="12" fillId="0" borderId="1" applyAlignment="1" pivotButton="0" quotePrefix="0" xfId="0">
      <alignment horizontal="right" vertical="center"/>
    </xf>
    <xf numFmtId="164" fontId="12" fillId="0" borderId="1" applyAlignment="1" pivotButton="0" quotePrefix="0" xfId="0">
      <alignment horizontal="right" vertical="center"/>
    </xf>
    <xf numFmtId="166" fontId="12" fillId="0" borderId="1" applyAlignment="1" pivotButton="0" quotePrefix="0" xfId="0">
      <alignment horizontal="right" vertical="center"/>
    </xf>
    <xf numFmtId="0" fontId="13" fillId="2" borderId="1" applyAlignment="1" pivotButton="0" quotePrefix="0" xfId="0">
      <alignment horizontal="left" vertical="center"/>
    </xf>
    <xf numFmtId="0" fontId="0" fillId="2" borderId="1" pivotButton="0" quotePrefix="0" xfId="0"/>
    <xf numFmtId="165" fontId="13" fillId="2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right"/>
    </xf>
    <xf numFmtId="166" fontId="13" fillId="2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11" fillId="2" borderId="1" pivotButton="0" quotePrefix="0" xfId="0"/>
    <xf numFmtId="165" fontId="0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vertical="center" wrapText="1"/>
    </xf>
    <xf numFmtId="0" fontId="16" fillId="0" borderId="0" pivotButton="0" quotePrefix="0" xfId="0"/>
    <xf numFmtId="0" fontId="17" fillId="4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8696B"/>
        </patternFill>
      </fill>
    </dxf>
    <dxf>
      <fill>
        <patternFill patternType="solid">
          <fgColor rgb="00FFC24B"/>
        </patternFill>
      </fill>
    </dxf>
    <dxf>
      <fill>
        <patternFill patternType="solid">
          <fgColor rgb="00FFEB84"/>
        </patternFill>
      </fill>
    </dxf>
    <dxf>
      <fill>
        <patternFill patternType="solid">
          <fgColor rgb="0063BE7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Gross profit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'Portfolio'!K4</f>
            </strRef>
          </tx>
          <spPr>
            <a:ln>
              <a:prstDash val="solid"/>
            </a:ln>
          </spPr>
          <cat>
            <numRef>
              <f>'Portfolio'!$A$5:$A$18</f>
            </numRef>
          </cat>
          <val>
            <numRef>
              <f>'Portfolio'!$K$5:$K$18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Margin Studio</author>
  </authors>
  <commentList>
    <comment ref="C5" authorId="0" shapeId="0">
      <text>
        <t>Price the customer pays per unit, excluding sales tax.</t>
      </text>
    </comment>
    <comment ref="C6" authorId="0" shapeId="0">
      <text>
        <t>All-in cost to put one sellable unit on the shelf. Build it on the Cost Builder sheet.</t>
      </text>
    </comment>
    <comment ref="C7" authorId="0" shapeId="0">
      <text>
        <t>Sellable units over the period you are modeling.</t>
      </text>
    </comment>
    <comment ref="C8" authorId="0" shapeId="0">
      <text>
        <t>Costs that don't change with volume (slotting, marketing, storage).</t>
      </text>
    </comment>
    <comment ref="C9" authorId="0" shapeId="0">
      <text>
        <t>Units per case, for case-level economics.</t>
      </text>
    </comment>
    <comment ref="C10" authorId="0" shapeId="0">
      <text>
        <t>A profit goal; the model finds the units needed to reach it.</t>
      </text>
    </comment>
  </commentList>
</comments>
</file>

<file path=xl/comments/comment2.xml><?xml version="1.0" encoding="utf-8"?>
<comments xmlns="http://schemas.openxmlformats.org/spreadsheetml/2006/main">
  <authors>
    <author>Margin Studio</author>
  </authors>
  <commentList>
    <comment ref="C5" authorId="0" shapeId="0">
      <text>
        <t>Supplier's per-unit price before any other cost.</t>
      </text>
    </comment>
    <comment ref="C6" authorId="0" shapeId="0">
      <text>
        <t>Inbound shipping &amp; logistics per unit.</t>
      </text>
    </comment>
    <comment ref="C7" authorId="0" shapeId="0">
      <text>
        <t>Import duty or alcohol/sugar excise per unit.</t>
      </text>
    </comment>
    <comment ref="C8" authorId="0" shapeId="0">
      <text>
        <t>Secondary packaging, labels, rework.</t>
      </text>
    </comment>
    <comment ref="C9" authorId="0" shapeId="0">
      <text>
        <t>Container deposit or any other per-unit cost.</t>
      </text>
    </comment>
    <comment ref="C10" authorId="0" shapeId="0">
      <text>
        <t>Share of units lost to breakage/shrink. Survivors carry the loss: cost ÷ (1 − spoilage%).</t>
      </text>
    </comment>
    <comment ref="F13" authorId="0" shapeId="0">
      <text>
        <t>Try a selling price to preview margin &amp; markup against the landed cost.</t>
      </text>
    </comment>
  </commentList>
</comments>
</file>

<file path=xl/comments/comment3.xml><?xml version="1.0" encoding="utf-8"?>
<comments xmlns="http://schemas.openxmlformats.org/spreadsheetml/2006/main">
  <authors>
    <author>Margin Studio</author>
  </authors>
  <commentList>
    <comment ref="G3" authorId="0" shapeId="0">
      <text>
        <t>How far above/below centre to sweep, e.g. 30%.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rgb="002BB3A3"/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3" customWidth="1" min="4" max="4"/>
    <col width="30" customWidth="1" min="5" max="5"/>
    <col width="16" customWidth="1" min="6" max="6"/>
  </cols>
  <sheetData>
    <row r="1" ht="30" customHeight="1">
      <c r="A1" s="1" t="inlineStr">
        <is>
          <t>Beverage Margin Studio — Calculator</t>
        </is>
      </c>
    </row>
    <row r="2" ht="18" customHeight="1">
      <c r="A2" s="2" t="inlineStr">
        <is>
          <t>Yellow cells are inputs. Everything else is a live formula — edit MSRP, CP or Volume and watch it recalc.</t>
        </is>
      </c>
    </row>
    <row r="4">
      <c r="A4" s="3" t="inlineStr">
        <is>
          <t>INPUTS</t>
        </is>
      </c>
    </row>
    <row r="5">
      <c r="B5" s="4" t="inlineStr">
        <is>
          <t>MSRP — selling price / unit</t>
        </is>
      </c>
      <c r="C5" s="5" t="n">
        <v>3.5</v>
      </c>
    </row>
    <row r="6">
      <c r="B6" s="4" t="inlineStr">
        <is>
          <t>CP — cost / unit (landed)</t>
        </is>
      </c>
      <c r="C6" s="5" t="n">
        <v>1.2</v>
      </c>
    </row>
    <row r="7">
      <c r="B7" s="4" t="inlineStr">
        <is>
          <t>Volume — units sold</t>
        </is>
      </c>
      <c r="C7" s="6" t="n">
        <v>10000</v>
      </c>
    </row>
    <row r="8">
      <c r="B8" s="4" t="inlineStr">
        <is>
          <t>Fixed / period costs</t>
        </is>
      </c>
      <c r="C8" s="5" t="n">
        <v>0</v>
      </c>
    </row>
    <row r="9">
      <c r="B9" s="4" t="inlineStr">
        <is>
          <t>Units / case</t>
        </is>
      </c>
      <c r="C9" s="6" t="n">
        <v>24</v>
      </c>
    </row>
    <row r="10">
      <c r="B10" s="4" t="inlineStr">
        <is>
          <t>Target profit</t>
        </is>
      </c>
      <c r="C10" s="5" t="n">
        <v>0</v>
      </c>
    </row>
    <row r="12">
      <c r="A12" s="3" t="inlineStr">
        <is>
          <t>RESULTS — PER UNIT &amp; PER PERIOD</t>
        </is>
      </c>
    </row>
    <row r="13">
      <c r="B13" s="7" t="inlineStr">
        <is>
          <t>Profit / unit</t>
        </is>
      </c>
      <c r="C13" s="8">
        <f>C5-C6</f>
        <v/>
      </c>
      <c r="E13" s="7" t="inlineStr">
        <is>
          <t>Break-even units</t>
        </is>
      </c>
      <c r="F13" s="9">
        <f>IF((C5-C6)&gt;0,C8/(C5-C6),"n/a")</f>
        <v/>
      </c>
    </row>
    <row r="14">
      <c r="B14" s="7" t="inlineStr">
        <is>
          <t>Gross margin</t>
        </is>
      </c>
      <c r="C14" s="10">
        <f>IF(C5&gt;0,(C5-C6)/C5,"")</f>
        <v/>
      </c>
      <c r="E14" s="7" t="inlineStr">
        <is>
          <t>Units to hit target profit</t>
        </is>
      </c>
      <c r="F14" s="9">
        <f>IF((C5-C6)&gt;0,(C8+C10)/(C5-C6),"n/a")</f>
        <v/>
      </c>
    </row>
    <row r="15">
      <c r="B15" s="7" t="inlineStr">
        <is>
          <t>Markup</t>
        </is>
      </c>
      <c r="C15" s="10">
        <f>IF(C6&gt;0,(C5-C6)/C6,"")</f>
        <v/>
      </c>
      <c r="E15" s="4" t="inlineStr">
        <is>
          <t>Cases sold</t>
        </is>
      </c>
      <c r="F15" s="11">
        <f>IF(C9&gt;0,C7/C9,"")</f>
        <v/>
      </c>
    </row>
    <row r="16">
      <c r="B16" s="4" t="inlineStr">
        <is>
          <t>Revenue</t>
        </is>
      </c>
      <c r="C16" s="12">
        <f>C5*C7</f>
        <v/>
      </c>
      <c r="E16" s="4" t="inlineStr">
        <is>
          <t>Revenue / case</t>
        </is>
      </c>
      <c r="F16" s="13">
        <f>C5*C9</f>
        <v/>
      </c>
    </row>
    <row r="17">
      <c r="B17" s="4" t="inlineStr">
        <is>
          <t>COGS</t>
        </is>
      </c>
      <c r="C17" s="12">
        <f>C6*C7</f>
        <v/>
      </c>
      <c r="E17" s="4" t="inlineStr">
        <is>
          <t>Profit / case</t>
        </is>
      </c>
      <c r="F17" s="13">
        <f>(C5-C6)*C9</f>
        <v/>
      </c>
    </row>
    <row r="18">
      <c r="B18" s="7" t="inlineStr">
        <is>
          <t>Gross profit</t>
        </is>
      </c>
      <c r="C18" s="14">
        <f>C16-C17</f>
        <v/>
      </c>
      <c r="E18" s="4" t="inlineStr">
        <is>
          <t>Cost as % of price</t>
        </is>
      </c>
      <c r="F18" s="15">
        <f>IF(C5&gt;0,C6/C5,"")</f>
        <v/>
      </c>
    </row>
    <row r="19">
      <c r="B19" s="7" t="inlineStr">
        <is>
          <t>Net profit (after fixed)</t>
        </is>
      </c>
      <c r="C19" s="14">
        <f>C18-C8</f>
        <v/>
      </c>
    </row>
    <row r="21">
      <c r="B21" s="16" t="inlineStr">
        <is>
          <t>Tip: build a defensible CP on the Cost Builder sheet, then paste it into C6.</t>
        </is>
      </c>
    </row>
  </sheetData>
  <mergeCells count="4">
    <mergeCell ref="A2:F2"/>
    <mergeCell ref="A4:C4"/>
    <mergeCell ref="A1:F1"/>
    <mergeCell ref="A12:F12"/>
  </mergeCells>
  <conditionalFormatting sqref="C14">
    <cfRule type="cellIs" priority="1" operator="lessThan" dxfId="0">
      <formula>0</formula>
    </cfRule>
    <cfRule type="cellIs" priority="2" operator="between" dxfId="1">
      <formula>0</formula>
      <formula>0.1</formula>
    </cfRule>
    <cfRule type="cellIs" priority="3" operator="between" dxfId="2">
      <formula>0.1</formula>
      <formula>0.25</formula>
    </cfRule>
    <cfRule type="cellIs" priority="4" operator="greaterThanOrEqual" dxfId="3">
      <formula>0.25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DFF"/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6" customWidth="1" min="3" max="3"/>
    <col width="3" customWidth="1" min="4" max="4"/>
    <col width="28" customWidth="1" min="5" max="5"/>
    <col width="16" customWidth="1" min="6" max="6"/>
  </cols>
  <sheetData>
    <row r="1" ht="30" customHeight="1">
      <c r="A1" s="1" t="inlineStr">
        <is>
          <t>Cost Builder — your true landed cost (CP)</t>
        </is>
      </c>
    </row>
    <row r="2" ht="18" customHeight="1">
      <c r="A2" s="2" t="inlineStr">
        <is>
          <t>Add up everything it takes to land one sellable unit. The total is your CP.</t>
        </is>
      </c>
    </row>
    <row r="4">
      <c r="A4" s="3" t="inlineStr">
        <is>
          <t>COST COMPONENTS / UNIT</t>
        </is>
      </c>
    </row>
    <row r="5">
      <c r="B5" s="4" t="inlineStr">
        <is>
          <t>Base unit cost (supplier)</t>
        </is>
      </c>
      <c r="C5" s="5" t="n">
        <v>0.85</v>
      </c>
    </row>
    <row r="6">
      <c r="B6" s="4" t="inlineStr">
        <is>
          <t>Freight / unit</t>
        </is>
      </c>
      <c r="C6" s="5" t="n">
        <v>0.12</v>
      </c>
    </row>
    <row r="7">
      <c r="B7" s="4" t="inlineStr">
        <is>
          <t>Duty / excise / unit</t>
        </is>
      </c>
      <c r="C7" s="5" t="n">
        <v>0.08</v>
      </c>
    </row>
    <row r="8">
      <c r="B8" s="4" t="inlineStr">
        <is>
          <t>Packaging / label / unit</t>
        </is>
      </c>
      <c r="C8" s="5" t="n">
        <v>0.1</v>
      </c>
    </row>
    <row r="9">
      <c r="B9" s="4" t="inlineStr">
        <is>
          <t>Deposit / other / unit</t>
        </is>
      </c>
      <c r="C9" s="5" t="n">
        <v>0.05</v>
      </c>
    </row>
    <row r="10">
      <c r="B10" s="4" t="inlineStr">
        <is>
          <t>Spoilage / breakage allowance</t>
        </is>
      </c>
      <c r="C10" s="17" t="n">
        <v>0.03</v>
      </c>
    </row>
    <row r="12">
      <c r="B12" s="3" t="inlineStr">
        <is>
          <t>LANDED COST</t>
        </is>
      </c>
      <c r="E12" s="3" t="inlineStr">
        <is>
          <t>QUICK MARGIN PREVIEW</t>
        </is>
      </c>
    </row>
    <row r="13">
      <c r="B13" s="4" t="inlineStr">
        <is>
          <t>Subtotal (sum of components)</t>
        </is>
      </c>
      <c r="C13" s="13">
        <f>SUM(C5:C9)</f>
        <v/>
      </c>
      <c r="E13" s="4" t="inlineStr">
        <is>
          <t>If I sell at MSRP …</t>
        </is>
      </c>
      <c r="F13" s="5" t="n">
        <v>3.5</v>
      </c>
    </row>
    <row r="14">
      <c r="B14" s="7" t="inlineStr">
        <is>
          <t>Landed cost / unit  (CP)</t>
        </is>
      </c>
      <c r="C14" s="8">
        <f>IF(C10&lt;1,C13/(1-C10),C13)</f>
        <v/>
      </c>
      <c r="E14" s="7" t="inlineStr">
        <is>
          <t>Gross margin</t>
        </is>
      </c>
      <c r="F14" s="10">
        <f>IF(F13&gt;0,(F13-C14)/F13,"")</f>
        <v/>
      </c>
    </row>
    <row r="15">
      <c r="B15" s="4" t="inlineStr">
        <is>
          <t>Cost / case</t>
        </is>
      </c>
      <c r="C15" s="13">
        <f>C14*Calculator!C9</f>
        <v/>
      </c>
      <c r="E15" s="7" t="inlineStr">
        <is>
          <t>Markup</t>
        </is>
      </c>
      <c r="F15" s="10">
        <f>IF(C14&gt;0,(F13-C14)/C14,"")</f>
        <v/>
      </c>
    </row>
    <row r="16">
      <c r="B16" s="4" t="inlineStr">
        <is>
          <t>Spoilage uplift</t>
        </is>
      </c>
      <c r="C16" s="13">
        <f>C14-C13</f>
        <v/>
      </c>
      <c r="E16" s="4" t="inlineStr">
        <is>
          <t>Profit / unit</t>
        </is>
      </c>
      <c r="F16" s="13">
        <f>F13-C14</f>
        <v/>
      </c>
    </row>
    <row r="18">
      <c r="B18" s="16" t="inlineStr">
        <is>
          <t>To use this CP: copy C14 and paste-special (values) into Calculator!C6.</t>
        </is>
      </c>
    </row>
  </sheetData>
  <mergeCells count="3">
    <mergeCell ref="A2:F2"/>
    <mergeCell ref="A4:C4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23E0A0"/>
    <outlinePr summaryBelow="1" summaryRight="1"/>
    <pageSetUpPr/>
  </sheetPr>
  <dimension ref="A1:K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0" customWidth="1" min="6" max="6"/>
    <col width="10" customWidth="1" min="7" max="7"/>
    <col width="12" customWidth="1" min="8" max="8"/>
    <col width="13" customWidth="1" min="9" max="9"/>
    <col width="13" customWidth="1" min="10" max="10"/>
    <col width="14" customWidth="1" min="11" max="11"/>
  </cols>
  <sheetData>
    <row r="1" ht="30" customHeight="1">
      <c r="A1" s="1" t="inlineStr">
        <is>
          <t>Portfolio — every SKU side by side</t>
        </is>
      </c>
    </row>
    <row r="2" ht="18" customHeight="1">
      <c r="A2" s="2" t="inlineStr">
        <is>
          <t>Edit the yellow Product / MSRP / CP / Units / Volume cells. Margins, profit and blended totals are live formulas.</t>
        </is>
      </c>
    </row>
    <row r="4">
      <c r="A4" s="18" t="inlineStr">
        <is>
          <t>Product</t>
        </is>
      </c>
      <c r="B4" s="19" t="inlineStr">
        <is>
          <t>MSRP</t>
        </is>
      </c>
      <c r="C4" s="19" t="inlineStr">
        <is>
          <t>CP</t>
        </is>
      </c>
      <c r="D4" s="19" t="inlineStr">
        <is>
          <t>Units/case</t>
        </is>
      </c>
      <c r="E4" s="19" t="inlineStr">
        <is>
          <t>Volume</t>
        </is>
      </c>
      <c r="F4" s="19" t="inlineStr">
        <is>
          <t>Margin</t>
        </is>
      </c>
      <c r="G4" s="19" t="inlineStr">
        <is>
          <t>Markup</t>
        </is>
      </c>
      <c r="H4" s="19" t="inlineStr">
        <is>
          <t>Profit/unit</t>
        </is>
      </c>
      <c r="I4" s="19" t="inlineStr">
        <is>
          <t>Revenue</t>
        </is>
      </c>
      <c r="J4" s="19" t="inlineStr">
        <is>
          <t>COGS</t>
        </is>
      </c>
      <c r="K4" s="19" t="inlineStr">
        <is>
          <t>Gross profit</t>
        </is>
      </c>
    </row>
    <row r="5">
      <c r="A5" s="20" t="inlineStr">
        <is>
          <t>Sparkling Water 500ml</t>
        </is>
      </c>
      <c r="B5" s="21" t="n">
        <v>1.8</v>
      </c>
      <c r="C5" s="21" t="n">
        <v>0.55</v>
      </c>
      <c r="D5" s="22" t="n">
        <v>24</v>
      </c>
      <c r="E5" s="22" t="n">
        <v>24000</v>
      </c>
      <c r="F5" s="23">
        <f>IF(B5&gt;0,(B5-C5)/B5,"")</f>
        <v/>
      </c>
      <c r="G5" s="23">
        <f>IF(C5&gt;0,(B5-C5)/C5,"")</f>
        <v/>
      </c>
      <c r="H5" s="24">
        <f>IF(B5&lt;&gt;"",B5-C5,"")</f>
        <v/>
      </c>
      <c r="I5" s="25">
        <f>IF(B5&lt;&gt;"",B5*E5,"")</f>
        <v/>
      </c>
      <c r="J5" s="25">
        <f>IF(B5&lt;&gt;"",C5*E5,"")</f>
        <v/>
      </c>
      <c r="K5" s="25">
        <f>IF(B5&lt;&gt;"",I5-J5,"")</f>
        <v/>
      </c>
    </row>
    <row r="6">
      <c r="A6" s="20" t="inlineStr">
        <is>
          <t>Cold Brew Can 250ml</t>
        </is>
      </c>
      <c r="B6" s="21" t="n">
        <v>3.5</v>
      </c>
      <c r="C6" s="21" t="n">
        <v>1.2</v>
      </c>
      <c r="D6" s="22" t="n">
        <v>12</v>
      </c>
      <c r="E6" s="22" t="n">
        <v>9000</v>
      </c>
      <c r="F6" s="23">
        <f>IF(B6&gt;0,(B6-C6)/B6,"")</f>
        <v/>
      </c>
      <c r="G6" s="23">
        <f>IF(C6&gt;0,(B6-C6)/C6,"")</f>
        <v/>
      </c>
      <c r="H6" s="24">
        <f>IF(B6&lt;&gt;"",B6-C6,"")</f>
        <v/>
      </c>
      <c r="I6" s="25">
        <f>IF(B6&lt;&gt;"",B6*E6,"")</f>
        <v/>
      </c>
      <c r="J6" s="25">
        <f>IF(B6&lt;&gt;"",C6*E6,"")</f>
        <v/>
      </c>
      <c r="K6" s="25">
        <f>IF(B6&lt;&gt;"",I6-J6,"")</f>
        <v/>
      </c>
    </row>
    <row r="7">
      <c r="A7" s="20" t="inlineStr">
        <is>
          <t>Craft Soda 355ml</t>
        </is>
      </c>
      <c r="B7" s="21" t="n">
        <v>2.25</v>
      </c>
      <c r="C7" s="21" t="n">
        <v>0.78</v>
      </c>
      <c r="D7" s="22" t="n">
        <v>24</v>
      </c>
      <c r="E7" s="22" t="n">
        <v>14000</v>
      </c>
      <c r="F7" s="23">
        <f>IF(B7&gt;0,(B7-C7)/B7,"")</f>
        <v/>
      </c>
      <c r="G7" s="23">
        <f>IF(C7&gt;0,(B7-C7)/C7,"")</f>
        <v/>
      </c>
      <c r="H7" s="24">
        <f>IF(B7&lt;&gt;"",B7-C7,"")</f>
        <v/>
      </c>
      <c r="I7" s="25">
        <f>IF(B7&lt;&gt;"",B7*E7,"")</f>
        <v/>
      </c>
      <c r="J7" s="25">
        <f>IF(B7&lt;&gt;"",C7*E7,"")</f>
        <v/>
      </c>
      <c r="K7" s="25">
        <f>IF(B7&lt;&gt;"",I7-J7,"")</f>
        <v/>
      </c>
    </row>
    <row r="8">
      <c r="A8" s="20" t="inlineStr">
        <is>
          <t>Energy Drink 250ml</t>
        </is>
      </c>
      <c r="B8" s="21" t="n">
        <v>2.99</v>
      </c>
      <c r="C8" s="21" t="n">
        <v>0.95</v>
      </c>
      <c r="D8" s="22" t="n">
        <v>24</v>
      </c>
      <c r="E8" s="22" t="n">
        <v>7000</v>
      </c>
      <c r="F8" s="23">
        <f>IF(B8&gt;0,(B8-C8)/B8,"")</f>
        <v/>
      </c>
      <c r="G8" s="23">
        <f>IF(C8&gt;0,(B8-C8)/C8,"")</f>
        <v/>
      </c>
      <c r="H8" s="24">
        <f>IF(B8&lt;&gt;"",B8-C8,"")</f>
        <v/>
      </c>
      <c r="I8" s="25">
        <f>IF(B8&lt;&gt;"",B8*E8,"")</f>
        <v/>
      </c>
      <c r="J8" s="25">
        <f>IF(B8&lt;&gt;"",C8*E8,"")</f>
        <v/>
      </c>
      <c r="K8" s="25">
        <f>IF(B8&lt;&gt;"",I8-J8,"")</f>
        <v/>
      </c>
    </row>
    <row r="9">
      <c r="A9" s="20" t="inlineStr"/>
      <c r="B9" s="21" t="n"/>
      <c r="C9" s="21" t="n"/>
      <c r="D9" s="22" t="n"/>
      <c r="E9" s="22" t="n"/>
      <c r="F9" s="23">
        <f>IF(B9&gt;0,(B9-C9)/B9,"")</f>
        <v/>
      </c>
      <c r="G9" s="23">
        <f>IF(C9&gt;0,(B9-C9)/C9,"")</f>
        <v/>
      </c>
      <c r="H9" s="24">
        <f>IF(B9&lt;&gt;"",B9-C9,"")</f>
        <v/>
      </c>
      <c r="I9" s="25">
        <f>IF(B9&lt;&gt;"",B9*E9,"")</f>
        <v/>
      </c>
      <c r="J9" s="25">
        <f>IF(B9&lt;&gt;"",C9*E9,"")</f>
        <v/>
      </c>
      <c r="K9" s="25">
        <f>IF(B9&lt;&gt;"",I9-J9,"")</f>
        <v/>
      </c>
    </row>
    <row r="10">
      <c r="A10" s="20" t="inlineStr"/>
      <c r="B10" s="21" t="n"/>
      <c r="C10" s="21" t="n"/>
      <c r="D10" s="22" t="n"/>
      <c r="E10" s="22" t="n"/>
      <c r="F10" s="23">
        <f>IF(B10&gt;0,(B10-C10)/B10,"")</f>
        <v/>
      </c>
      <c r="G10" s="23">
        <f>IF(C10&gt;0,(B10-C10)/C10,"")</f>
        <v/>
      </c>
      <c r="H10" s="24">
        <f>IF(B10&lt;&gt;"",B10-C10,"")</f>
        <v/>
      </c>
      <c r="I10" s="25">
        <f>IF(B10&lt;&gt;"",B10*E10,"")</f>
        <v/>
      </c>
      <c r="J10" s="25">
        <f>IF(B10&lt;&gt;"",C10*E10,"")</f>
        <v/>
      </c>
      <c r="K10" s="25">
        <f>IF(B10&lt;&gt;"",I10-J10,"")</f>
        <v/>
      </c>
    </row>
    <row r="11">
      <c r="A11" s="20" t="inlineStr"/>
      <c r="B11" s="21" t="n"/>
      <c r="C11" s="21" t="n"/>
      <c r="D11" s="22" t="n"/>
      <c r="E11" s="22" t="n"/>
      <c r="F11" s="23">
        <f>IF(B11&gt;0,(B11-C11)/B11,"")</f>
        <v/>
      </c>
      <c r="G11" s="23">
        <f>IF(C11&gt;0,(B11-C11)/C11,"")</f>
        <v/>
      </c>
      <c r="H11" s="24">
        <f>IF(B11&lt;&gt;"",B11-C11,"")</f>
        <v/>
      </c>
      <c r="I11" s="25">
        <f>IF(B11&lt;&gt;"",B11*E11,"")</f>
        <v/>
      </c>
      <c r="J11" s="25">
        <f>IF(B11&lt;&gt;"",C11*E11,"")</f>
        <v/>
      </c>
      <c r="K11" s="25">
        <f>IF(B11&lt;&gt;"",I11-J11,"")</f>
        <v/>
      </c>
    </row>
    <row r="12">
      <c r="A12" s="20" t="inlineStr"/>
      <c r="B12" s="21" t="n"/>
      <c r="C12" s="21" t="n"/>
      <c r="D12" s="22" t="n"/>
      <c r="E12" s="22" t="n"/>
      <c r="F12" s="23">
        <f>IF(B12&gt;0,(B12-C12)/B12,"")</f>
        <v/>
      </c>
      <c r="G12" s="23">
        <f>IF(C12&gt;0,(B12-C12)/C12,"")</f>
        <v/>
      </c>
      <c r="H12" s="24">
        <f>IF(B12&lt;&gt;"",B12-C12,"")</f>
        <v/>
      </c>
      <c r="I12" s="25">
        <f>IF(B12&lt;&gt;"",B12*E12,"")</f>
        <v/>
      </c>
      <c r="J12" s="25">
        <f>IF(B12&lt;&gt;"",C12*E12,"")</f>
        <v/>
      </c>
      <c r="K12" s="25">
        <f>IF(B12&lt;&gt;"",I12-J12,"")</f>
        <v/>
      </c>
    </row>
    <row r="13">
      <c r="A13" s="20" t="inlineStr"/>
      <c r="B13" s="21" t="n"/>
      <c r="C13" s="21" t="n"/>
      <c r="D13" s="22" t="n"/>
      <c r="E13" s="22" t="n"/>
      <c r="F13" s="23">
        <f>IF(B13&gt;0,(B13-C13)/B13,"")</f>
        <v/>
      </c>
      <c r="G13" s="23">
        <f>IF(C13&gt;0,(B13-C13)/C13,"")</f>
        <v/>
      </c>
      <c r="H13" s="24">
        <f>IF(B13&lt;&gt;"",B13-C13,"")</f>
        <v/>
      </c>
      <c r="I13" s="25">
        <f>IF(B13&lt;&gt;"",B13*E13,"")</f>
        <v/>
      </c>
      <c r="J13" s="25">
        <f>IF(B13&lt;&gt;"",C13*E13,"")</f>
        <v/>
      </c>
      <c r="K13" s="25">
        <f>IF(B13&lt;&gt;"",I13-J13,"")</f>
        <v/>
      </c>
    </row>
    <row r="14">
      <c r="A14" s="20" t="inlineStr"/>
      <c r="B14" s="21" t="n"/>
      <c r="C14" s="21" t="n"/>
      <c r="D14" s="22" t="n"/>
      <c r="E14" s="22" t="n"/>
      <c r="F14" s="23">
        <f>IF(B14&gt;0,(B14-C14)/B14,"")</f>
        <v/>
      </c>
      <c r="G14" s="23">
        <f>IF(C14&gt;0,(B14-C14)/C14,"")</f>
        <v/>
      </c>
      <c r="H14" s="24">
        <f>IF(B14&lt;&gt;"",B14-C14,"")</f>
        <v/>
      </c>
      <c r="I14" s="25">
        <f>IF(B14&lt;&gt;"",B14*E14,"")</f>
        <v/>
      </c>
      <c r="J14" s="25">
        <f>IF(B14&lt;&gt;"",C14*E14,"")</f>
        <v/>
      </c>
      <c r="K14" s="25">
        <f>IF(B14&lt;&gt;"",I14-J14,"")</f>
        <v/>
      </c>
    </row>
    <row r="15">
      <c r="A15" s="20" t="inlineStr"/>
      <c r="B15" s="21" t="n"/>
      <c r="C15" s="21" t="n"/>
      <c r="D15" s="22" t="n"/>
      <c r="E15" s="22" t="n"/>
      <c r="F15" s="23">
        <f>IF(B15&gt;0,(B15-C15)/B15,"")</f>
        <v/>
      </c>
      <c r="G15" s="23">
        <f>IF(C15&gt;0,(B15-C15)/C15,"")</f>
        <v/>
      </c>
      <c r="H15" s="24">
        <f>IF(B15&lt;&gt;"",B15-C15,"")</f>
        <v/>
      </c>
      <c r="I15" s="25">
        <f>IF(B15&lt;&gt;"",B15*E15,"")</f>
        <v/>
      </c>
      <c r="J15" s="25">
        <f>IF(B15&lt;&gt;"",C15*E15,"")</f>
        <v/>
      </c>
      <c r="K15" s="25">
        <f>IF(B15&lt;&gt;"",I15-J15,"")</f>
        <v/>
      </c>
    </row>
    <row r="16">
      <c r="A16" s="20" t="inlineStr"/>
      <c r="B16" s="21" t="n"/>
      <c r="C16" s="21" t="n"/>
      <c r="D16" s="22" t="n"/>
      <c r="E16" s="22" t="n"/>
      <c r="F16" s="23">
        <f>IF(B16&gt;0,(B16-C16)/B16,"")</f>
        <v/>
      </c>
      <c r="G16" s="23">
        <f>IF(C16&gt;0,(B16-C16)/C16,"")</f>
        <v/>
      </c>
      <c r="H16" s="24">
        <f>IF(B16&lt;&gt;"",B16-C16,"")</f>
        <v/>
      </c>
      <c r="I16" s="25">
        <f>IF(B16&lt;&gt;"",B16*E16,"")</f>
        <v/>
      </c>
      <c r="J16" s="25">
        <f>IF(B16&lt;&gt;"",C16*E16,"")</f>
        <v/>
      </c>
      <c r="K16" s="25">
        <f>IF(B16&lt;&gt;"",I16-J16,"")</f>
        <v/>
      </c>
    </row>
    <row r="17">
      <c r="A17" s="20" t="inlineStr"/>
      <c r="B17" s="21" t="n"/>
      <c r="C17" s="21" t="n"/>
      <c r="D17" s="22" t="n"/>
      <c r="E17" s="22" t="n"/>
      <c r="F17" s="23">
        <f>IF(B17&gt;0,(B17-C17)/B17,"")</f>
        <v/>
      </c>
      <c r="G17" s="23">
        <f>IF(C17&gt;0,(B17-C17)/C17,"")</f>
        <v/>
      </c>
      <c r="H17" s="24">
        <f>IF(B17&lt;&gt;"",B17-C17,"")</f>
        <v/>
      </c>
      <c r="I17" s="25">
        <f>IF(B17&lt;&gt;"",B17*E17,"")</f>
        <v/>
      </c>
      <c r="J17" s="25">
        <f>IF(B17&lt;&gt;"",C17*E17,"")</f>
        <v/>
      </c>
      <c r="K17" s="25">
        <f>IF(B17&lt;&gt;"",I17-J17,"")</f>
        <v/>
      </c>
    </row>
    <row r="18">
      <c r="A18" s="20" t="inlineStr"/>
      <c r="B18" s="21" t="n"/>
      <c r="C18" s="21" t="n"/>
      <c r="D18" s="22" t="n"/>
      <c r="E18" s="22" t="n"/>
      <c r="F18" s="23">
        <f>IF(B18&gt;0,(B18-C18)/B18,"")</f>
        <v/>
      </c>
      <c r="G18" s="23">
        <f>IF(C18&gt;0,(B18-C18)/C18,"")</f>
        <v/>
      </c>
      <c r="H18" s="24">
        <f>IF(B18&lt;&gt;"",B18-C18,"")</f>
        <v/>
      </c>
      <c r="I18" s="25">
        <f>IF(B18&lt;&gt;"",B18*E18,"")</f>
        <v/>
      </c>
      <c r="J18" s="25">
        <f>IF(B18&lt;&gt;"",C18*E18,"")</f>
        <v/>
      </c>
      <c r="K18" s="25">
        <f>IF(B18&lt;&gt;"",I18-J18,"")</f>
        <v/>
      </c>
    </row>
    <row r="19">
      <c r="A19" s="26" t="inlineStr">
        <is>
          <t>Portfolio total</t>
        </is>
      </c>
      <c r="B19" s="27" t="n"/>
      <c r="C19" s="27" t="n"/>
      <c r="D19" s="27" t="n"/>
      <c r="E19" s="27" t="n"/>
      <c r="F19" s="28">
        <f>IF(SUM(I5:I18)&gt;0,SUM(K5:K18)/SUM(I5:I18),"")</f>
        <v/>
      </c>
      <c r="G19" s="28">
        <f>IF(SUM(J5:J18)&gt;0,SUM(K5:K18)/SUM(J5:J18),"")</f>
        <v/>
      </c>
      <c r="H19" s="29" t="inlineStr">
        <is>
          <t>blended →</t>
        </is>
      </c>
      <c r="I19" s="30">
        <f>SUM(I5:I18)</f>
        <v/>
      </c>
      <c r="J19" s="30">
        <f>SUM(J5:J18)</f>
        <v/>
      </c>
      <c r="K19" s="30">
        <f>SUM(K5:K18)</f>
        <v/>
      </c>
    </row>
  </sheetData>
  <mergeCells count="2">
    <mergeCell ref="A2:K2"/>
    <mergeCell ref="A1:K1"/>
  </mergeCells>
  <conditionalFormatting sqref="F5:F18">
    <cfRule type="colorScale" priority="1">
      <colorScale>
        <cfvo type="num" val="0"/>
        <cfvo type="num" val="0.3"/>
        <cfvo type="num" val="0.6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FFC24B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0" customHeight="1">
      <c r="A1" s="1" t="inlineStr">
        <is>
          <t>Sensitivity heatmap — margin (or markup) vs price × cost</t>
        </is>
      </c>
    </row>
    <row r="2" ht="18" customHeight="1">
      <c r="A2" s="2" t="inlineStr">
        <is>
          <t>Set centre price, centre cost and range. Each cell recalculates for a different MSRP × cost combo and colours itself.</t>
        </is>
      </c>
    </row>
    <row r="3">
      <c r="B3" s="4" t="inlineStr">
        <is>
          <t>Centre MSRP</t>
        </is>
      </c>
      <c r="C3" s="5" t="n">
        <v>3.5</v>
      </c>
      <c r="D3" s="4" t="inlineStr">
        <is>
          <t>Centre cost</t>
        </is>
      </c>
      <c r="E3" s="5" t="n">
        <v>1.2</v>
      </c>
      <c r="F3" s="4" t="inlineStr">
        <is>
          <t>Range ±</t>
        </is>
      </c>
      <c r="G3" s="17" t="n">
        <v>0.3</v>
      </c>
    </row>
    <row r="4">
      <c r="B4" s="4" t="inlineStr">
        <is>
          <t>Metric</t>
        </is>
      </c>
      <c r="C4" s="31" t="inlineStr">
        <is>
          <t>Margin</t>
        </is>
      </c>
    </row>
    <row r="6">
      <c r="A6" s="32" t="inlineStr">
        <is>
          <t>MSRP ↓ / Cost →</t>
        </is>
      </c>
      <c r="B6" s="33">
        <f>$E$3*(1+$G$3*((2*0/6)-1))</f>
        <v/>
      </c>
      <c r="C6" s="33">
        <f>$E$3*(1+$G$3*((2*1/6)-1))</f>
        <v/>
      </c>
      <c r="D6" s="33">
        <f>$E$3*(1+$G$3*((2*2/6)-1))</f>
        <v/>
      </c>
      <c r="E6" s="33">
        <f>$E$3*(1+$G$3*((2*3/6)-1))</f>
        <v/>
      </c>
      <c r="F6" s="33">
        <f>$E$3*(1+$G$3*((2*4/6)-1))</f>
        <v/>
      </c>
      <c r="G6" s="33">
        <f>$E$3*(1+$G$3*((2*5/6)-1))</f>
        <v/>
      </c>
      <c r="H6" s="33">
        <f>$E$3*(1+$G$3*((2*6/6)-1))</f>
        <v/>
      </c>
    </row>
    <row r="7">
      <c r="A7" s="33">
        <f>$C$3*(1+$G$3*((2*0/6)-1))</f>
        <v/>
      </c>
      <c r="B7" s="34">
        <f>IF($A7&gt;0,IF($C$4="Markup",IF(B$6&gt;0,($A7-B$6)/B$6,""),($A7-B$6)/$A7),"")</f>
        <v/>
      </c>
      <c r="C7" s="34">
        <f>IF($A7&gt;0,IF($C$4="Markup",IF(C$6&gt;0,($A7-C$6)/C$6,""),($A7-C$6)/$A7),"")</f>
        <v/>
      </c>
      <c r="D7" s="34">
        <f>IF($A7&gt;0,IF($C$4="Markup",IF(D$6&gt;0,($A7-D$6)/D$6,""),($A7-D$6)/$A7),"")</f>
        <v/>
      </c>
      <c r="E7" s="34">
        <f>IF($A7&gt;0,IF($C$4="Markup",IF(E$6&gt;0,($A7-E$6)/E$6,""),($A7-E$6)/$A7),"")</f>
        <v/>
      </c>
      <c r="F7" s="34">
        <f>IF($A7&gt;0,IF($C$4="Markup",IF(F$6&gt;0,($A7-F$6)/F$6,""),($A7-F$6)/$A7),"")</f>
        <v/>
      </c>
      <c r="G7" s="34">
        <f>IF($A7&gt;0,IF($C$4="Markup",IF(G$6&gt;0,($A7-G$6)/G$6,""),($A7-G$6)/$A7),"")</f>
        <v/>
      </c>
      <c r="H7" s="34">
        <f>IF($A7&gt;0,IF($C$4="Markup",IF(H$6&gt;0,($A7-H$6)/H$6,""),($A7-H$6)/$A7),"")</f>
        <v/>
      </c>
    </row>
    <row r="8">
      <c r="A8" s="33">
        <f>$C$3*(1+$G$3*((2*1/6)-1))</f>
        <v/>
      </c>
      <c r="B8" s="34">
        <f>IF($A8&gt;0,IF($C$4="Markup",IF(B$6&gt;0,($A8-B$6)/B$6,""),($A8-B$6)/$A8),"")</f>
        <v/>
      </c>
      <c r="C8" s="34">
        <f>IF($A8&gt;0,IF($C$4="Markup",IF(C$6&gt;0,($A8-C$6)/C$6,""),($A8-C$6)/$A8),"")</f>
        <v/>
      </c>
      <c r="D8" s="34">
        <f>IF($A8&gt;0,IF($C$4="Markup",IF(D$6&gt;0,($A8-D$6)/D$6,""),($A8-D$6)/$A8),"")</f>
        <v/>
      </c>
      <c r="E8" s="34">
        <f>IF($A8&gt;0,IF($C$4="Markup",IF(E$6&gt;0,($A8-E$6)/E$6,""),($A8-E$6)/$A8),"")</f>
        <v/>
      </c>
      <c r="F8" s="34">
        <f>IF($A8&gt;0,IF($C$4="Markup",IF(F$6&gt;0,($A8-F$6)/F$6,""),($A8-F$6)/$A8),"")</f>
        <v/>
      </c>
      <c r="G8" s="34">
        <f>IF($A8&gt;0,IF($C$4="Markup",IF(G$6&gt;0,($A8-G$6)/G$6,""),($A8-G$6)/$A8),"")</f>
        <v/>
      </c>
      <c r="H8" s="34">
        <f>IF($A8&gt;0,IF($C$4="Markup",IF(H$6&gt;0,($A8-H$6)/H$6,""),($A8-H$6)/$A8),"")</f>
        <v/>
      </c>
    </row>
    <row r="9">
      <c r="A9" s="33">
        <f>$C$3*(1+$G$3*((2*2/6)-1))</f>
        <v/>
      </c>
      <c r="B9" s="34">
        <f>IF($A9&gt;0,IF($C$4="Markup",IF(B$6&gt;0,($A9-B$6)/B$6,""),($A9-B$6)/$A9),"")</f>
        <v/>
      </c>
      <c r="C9" s="34">
        <f>IF($A9&gt;0,IF($C$4="Markup",IF(C$6&gt;0,($A9-C$6)/C$6,""),($A9-C$6)/$A9),"")</f>
        <v/>
      </c>
      <c r="D9" s="34">
        <f>IF($A9&gt;0,IF($C$4="Markup",IF(D$6&gt;0,($A9-D$6)/D$6,""),($A9-D$6)/$A9),"")</f>
        <v/>
      </c>
      <c r="E9" s="34">
        <f>IF($A9&gt;0,IF($C$4="Markup",IF(E$6&gt;0,($A9-E$6)/E$6,""),($A9-E$6)/$A9),"")</f>
        <v/>
      </c>
      <c r="F9" s="34">
        <f>IF($A9&gt;0,IF($C$4="Markup",IF(F$6&gt;0,($A9-F$6)/F$6,""),($A9-F$6)/$A9),"")</f>
        <v/>
      </c>
      <c r="G9" s="34">
        <f>IF($A9&gt;0,IF($C$4="Markup",IF(G$6&gt;0,($A9-G$6)/G$6,""),($A9-G$6)/$A9),"")</f>
        <v/>
      </c>
      <c r="H9" s="34">
        <f>IF($A9&gt;0,IF($C$4="Markup",IF(H$6&gt;0,($A9-H$6)/H$6,""),($A9-H$6)/$A9),"")</f>
        <v/>
      </c>
    </row>
    <row r="10">
      <c r="A10" s="33">
        <f>$C$3*(1+$G$3*((2*3/6)-1))</f>
        <v/>
      </c>
      <c r="B10" s="34">
        <f>IF($A10&gt;0,IF($C$4="Markup",IF(B$6&gt;0,($A10-B$6)/B$6,""),($A10-B$6)/$A10),"")</f>
        <v/>
      </c>
      <c r="C10" s="34">
        <f>IF($A10&gt;0,IF($C$4="Markup",IF(C$6&gt;0,($A10-C$6)/C$6,""),($A10-C$6)/$A10),"")</f>
        <v/>
      </c>
      <c r="D10" s="34">
        <f>IF($A10&gt;0,IF($C$4="Markup",IF(D$6&gt;0,($A10-D$6)/D$6,""),($A10-D$6)/$A10),"")</f>
        <v/>
      </c>
      <c r="E10" s="34">
        <f>IF($A10&gt;0,IF($C$4="Markup",IF(E$6&gt;0,($A10-E$6)/E$6,""),($A10-E$6)/$A10),"")</f>
        <v/>
      </c>
      <c r="F10" s="34">
        <f>IF($A10&gt;0,IF($C$4="Markup",IF(F$6&gt;0,($A10-F$6)/F$6,""),($A10-F$6)/$A10),"")</f>
        <v/>
      </c>
      <c r="G10" s="34">
        <f>IF($A10&gt;0,IF($C$4="Markup",IF(G$6&gt;0,($A10-G$6)/G$6,""),($A10-G$6)/$A10),"")</f>
        <v/>
      </c>
      <c r="H10" s="34">
        <f>IF($A10&gt;0,IF($C$4="Markup",IF(H$6&gt;0,($A10-H$6)/H$6,""),($A10-H$6)/$A10),"")</f>
        <v/>
      </c>
    </row>
    <row r="11">
      <c r="A11" s="33">
        <f>$C$3*(1+$G$3*((2*4/6)-1))</f>
        <v/>
      </c>
      <c r="B11" s="34">
        <f>IF($A11&gt;0,IF($C$4="Markup",IF(B$6&gt;0,($A11-B$6)/B$6,""),($A11-B$6)/$A11),"")</f>
        <v/>
      </c>
      <c r="C11" s="34">
        <f>IF($A11&gt;0,IF($C$4="Markup",IF(C$6&gt;0,($A11-C$6)/C$6,""),($A11-C$6)/$A11),"")</f>
        <v/>
      </c>
      <c r="D11" s="34">
        <f>IF($A11&gt;0,IF($C$4="Markup",IF(D$6&gt;0,($A11-D$6)/D$6,""),($A11-D$6)/$A11),"")</f>
        <v/>
      </c>
      <c r="E11" s="34">
        <f>IF($A11&gt;0,IF($C$4="Markup",IF(E$6&gt;0,($A11-E$6)/E$6,""),($A11-E$6)/$A11),"")</f>
        <v/>
      </c>
      <c r="F11" s="34">
        <f>IF($A11&gt;0,IF($C$4="Markup",IF(F$6&gt;0,($A11-F$6)/F$6,""),($A11-F$6)/$A11),"")</f>
        <v/>
      </c>
      <c r="G11" s="34">
        <f>IF($A11&gt;0,IF($C$4="Markup",IF(G$6&gt;0,($A11-G$6)/G$6,""),($A11-G$6)/$A11),"")</f>
        <v/>
      </c>
      <c r="H11" s="34">
        <f>IF($A11&gt;0,IF($C$4="Markup",IF(H$6&gt;0,($A11-H$6)/H$6,""),($A11-H$6)/$A11),"")</f>
        <v/>
      </c>
    </row>
    <row r="12">
      <c r="A12" s="33">
        <f>$C$3*(1+$G$3*((2*5/6)-1))</f>
        <v/>
      </c>
      <c r="B12" s="34">
        <f>IF($A12&gt;0,IF($C$4="Markup",IF(B$6&gt;0,($A12-B$6)/B$6,""),($A12-B$6)/$A12),"")</f>
        <v/>
      </c>
      <c r="C12" s="34">
        <f>IF($A12&gt;0,IF($C$4="Markup",IF(C$6&gt;0,($A12-C$6)/C$6,""),($A12-C$6)/$A12),"")</f>
        <v/>
      </c>
      <c r="D12" s="34">
        <f>IF($A12&gt;0,IF($C$4="Markup",IF(D$6&gt;0,($A12-D$6)/D$6,""),($A12-D$6)/$A12),"")</f>
        <v/>
      </c>
      <c r="E12" s="34">
        <f>IF($A12&gt;0,IF($C$4="Markup",IF(E$6&gt;0,($A12-E$6)/E$6,""),($A12-E$6)/$A12),"")</f>
        <v/>
      </c>
      <c r="F12" s="34">
        <f>IF($A12&gt;0,IF($C$4="Markup",IF(F$6&gt;0,($A12-F$6)/F$6,""),($A12-F$6)/$A12),"")</f>
        <v/>
      </c>
      <c r="G12" s="34">
        <f>IF($A12&gt;0,IF($C$4="Markup",IF(G$6&gt;0,($A12-G$6)/G$6,""),($A12-G$6)/$A12),"")</f>
        <v/>
      </c>
      <c r="H12" s="34">
        <f>IF($A12&gt;0,IF($C$4="Markup",IF(H$6&gt;0,($A12-H$6)/H$6,""),($A12-H$6)/$A12),"")</f>
        <v/>
      </c>
    </row>
    <row r="13">
      <c r="A13" s="33">
        <f>$C$3*(1+$G$3*((2*6/6)-1))</f>
        <v/>
      </c>
      <c r="B13" s="34">
        <f>IF($A13&gt;0,IF($C$4="Markup",IF(B$6&gt;0,($A13-B$6)/B$6,""),($A13-B$6)/$A13),"")</f>
        <v/>
      </c>
      <c r="C13" s="34">
        <f>IF($A13&gt;0,IF($C$4="Markup",IF(C$6&gt;0,($A13-C$6)/C$6,""),($A13-C$6)/$A13),"")</f>
        <v/>
      </c>
      <c r="D13" s="34">
        <f>IF($A13&gt;0,IF($C$4="Markup",IF(D$6&gt;0,($A13-D$6)/D$6,""),($A13-D$6)/$A13),"")</f>
        <v/>
      </c>
      <c r="E13" s="34">
        <f>IF($A13&gt;0,IF($C$4="Markup",IF(E$6&gt;0,($A13-E$6)/E$6,""),($A13-E$6)/$A13),"")</f>
        <v/>
      </c>
      <c r="F13" s="34">
        <f>IF($A13&gt;0,IF($C$4="Markup",IF(F$6&gt;0,($A13-F$6)/F$6,""),($A13-F$6)/$A13),"")</f>
        <v/>
      </c>
      <c r="G13" s="34">
        <f>IF($A13&gt;0,IF($C$4="Markup",IF(G$6&gt;0,($A13-G$6)/G$6,""),($A13-G$6)/$A13),"")</f>
        <v/>
      </c>
      <c r="H13" s="34">
        <f>IF($A13&gt;0,IF($C$4="Markup",IF(H$6&gt;0,($A13-H$6)/H$6,""),($A13-H$6)/$A13),"")</f>
        <v/>
      </c>
    </row>
    <row r="15">
      <c r="A15" s="16" t="inlineStr">
        <is>
          <t>Green = stronger, red = weaker. Switch the Metric cell between Margin and Markup.</t>
        </is>
      </c>
    </row>
  </sheetData>
  <mergeCells count="2">
    <mergeCell ref="A2:H2"/>
    <mergeCell ref="A1:H1"/>
  </mergeCells>
  <conditionalFormatting sqref="B7:H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">
    <dataValidation sqref="C4" showDropDown="0" showInputMessage="0" showErrorMessage="0" allowBlank="0" type="list">
      <formula1>"Margin,Markup"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A98BFF"/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3" customWidth="1" min="4" max="4"/>
    <col width="22" customWidth="1" min="5" max="5"/>
    <col width="16" customWidth="1" min="6" max="6"/>
  </cols>
  <sheetData>
    <row r="1" ht="30" customHeight="1">
      <c r="A1" s="1" t="inlineStr">
        <is>
          <t>Reference — Margin ↔ Markup</t>
        </is>
      </c>
    </row>
    <row r="2" ht="18" customHeight="1">
      <c r="A2" s="2" t="inlineStr">
        <is>
          <t>They are linked but not equal. Convert either way below.</t>
        </is>
      </c>
    </row>
    <row r="4">
      <c r="A4" s="3" t="inlineStr">
        <is>
          <t>LIVE CONVERTER</t>
        </is>
      </c>
    </row>
    <row r="5">
      <c r="B5" s="4" t="inlineStr">
        <is>
          <t>Enter margin %</t>
        </is>
      </c>
      <c r="C5" s="17" t="n">
        <v>0.5</v>
      </c>
      <c r="E5" s="4" t="inlineStr">
        <is>
          <t>Enter markup %</t>
        </is>
      </c>
      <c r="F5" s="17" t="n">
        <v>1</v>
      </c>
    </row>
    <row r="6">
      <c r="B6" s="7" t="inlineStr">
        <is>
          <t>→ equivalent markup</t>
        </is>
      </c>
      <c r="C6" s="10">
        <f>IF(C5&lt;1,C5/(1-C5),"")</f>
        <v/>
      </c>
      <c r="E6" s="7" t="inlineStr">
        <is>
          <t>→ equivalent margin</t>
        </is>
      </c>
      <c r="F6" s="10">
        <f>F5/(1+F5)</f>
        <v/>
      </c>
    </row>
    <row r="8">
      <c r="A8" s="3" t="inlineStr">
        <is>
          <t>REFERENCE TABLE</t>
        </is>
      </c>
    </row>
    <row r="9">
      <c r="B9" s="35" t="inlineStr">
        <is>
          <t>Gross margin</t>
        </is>
      </c>
      <c r="C9" s="35" t="inlineStr">
        <is>
          <t>Markup</t>
        </is>
      </c>
    </row>
    <row r="10">
      <c r="B10" s="36" t="n">
        <v>0.1</v>
      </c>
      <c r="C10" s="36">
        <f>B10/(1-B10)</f>
        <v/>
      </c>
    </row>
    <row r="11">
      <c r="B11" s="36" t="n">
        <v>0.15</v>
      </c>
      <c r="C11" s="36">
        <f>B11/(1-B11)</f>
        <v/>
      </c>
    </row>
    <row r="12">
      <c r="B12" s="36" t="n">
        <v>0.2</v>
      </c>
      <c r="C12" s="36">
        <f>B12/(1-B12)</f>
        <v/>
      </c>
    </row>
    <row r="13">
      <c r="B13" s="36" t="n">
        <v>0.25</v>
      </c>
      <c r="C13" s="36">
        <f>B13/(1-B13)</f>
        <v/>
      </c>
    </row>
    <row r="14">
      <c r="B14" s="36" t="n">
        <v>0.3</v>
      </c>
      <c r="C14" s="36">
        <f>B14/(1-B14)</f>
        <v/>
      </c>
    </row>
    <row r="15">
      <c r="B15" s="36" t="n">
        <v>0.3333333333333333</v>
      </c>
      <c r="C15" s="36">
        <f>B15/(1-B15)</f>
        <v/>
      </c>
    </row>
    <row r="16">
      <c r="B16" s="36" t="n">
        <v>0.4</v>
      </c>
      <c r="C16" s="36">
        <f>B16/(1-B16)</f>
        <v/>
      </c>
    </row>
    <row r="17">
      <c r="B17" s="36" t="n">
        <v>0.5</v>
      </c>
      <c r="C17" s="36">
        <f>B17/(1-B17)</f>
        <v/>
      </c>
    </row>
    <row r="18">
      <c r="B18" s="36" t="n">
        <v>0.6</v>
      </c>
      <c r="C18" s="36">
        <f>B18/(1-B18)</f>
        <v/>
      </c>
    </row>
    <row r="19">
      <c r="B19" s="36" t="n">
        <v>0.6666666666666666</v>
      </c>
      <c r="C19" s="36">
        <f>B19/(1-B19)</f>
        <v/>
      </c>
    </row>
    <row r="20">
      <c r="B20" s="36" t="n">
        <v>0.75</v>
      </c>
      <c r="C20" s="36">
        <f>B20/(1-B20)</f>
        <v/>
      </c>
    </row>
  </sheetData>
  <mergeCells count="4">
    <mergeCell ref="A2:F2"/>
    <mergeCell ref="A8:C8"/>
    <mergeCell ref="A4:C4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B2435"/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 ht="30" customHeight="1">
      <c r="A1" s="1" t="inlineStr">
        <is>
          <t>Guide — what every number means</t>
        </is>
      </c>
    </row>
    <row r="4">
      <c r="B4" s="37" t="inlineStr"/>
    </row>
    <row r="5">
      <c r="B5" s="38" t="inlineStr">
        <is>
          <t>Margin vs Markup — the #1 confusion</t>
        </is>
      </c>
    </row>
    <row r="6">
      <c r="B6" s="37" t="inlineStr">
        <is>
          <t>Margin answers 'what share of the sale do I keep?'  →  (MSRP − CP) ÷ MSRP</t>
        </is>
      </c>
    </row>
    <row r="7">
      <c r="B7" s="37" t="inlineStr">
        <is>
          <t>Markup answers 'how much did I add on top of cost?'  →  (MSRP − CP) ÷ CP</t>
        </is>
      </c>
    </row>
    <row r="8">
      <c r="B8" s="37" t="inlineStr">
        <is>
          <t>For the same price and cost, markup is always the bigger number.</t>
        </is>
      </c>
    </row>
    <row r="9">
      <c r="B9" s="39" t="inlineStr">
        <is>
          <t>Convert:  markup = margin ÷ (1 − margin)      margin = markup ÷ (1 + markup)</t>
        </is>
      </c>
    </row>
    <row r="10">
      <c r="B10" s="37" t="inlineStr"/>
    </row>
    <row r="11">
      <c r="B11" s="38" t="inlineStr">
        <is>
          <t>Core formulas</t>
        </is>
      </c>
    </row>
    <row r="12">
      <c r="B12" s="39" t="inlineStr">
        <is>
          <t>profit / unit   = MSRP − CP</t>
        </is>
      </c>
    </row>
    <row r="13">
      <c r="B13" s="39" t="inlineStr">
        <is>
          <t>revenue         = MSRP × volume</t>
        </is>
      </c>
    </row>
    <row r="14">
      <c r="B14" s="39" t="inlineStr">
        <is>
          <t>COGS            = CP × volume</t>
        </is>
      </c>
    </row>
    <row r="15">
      <c r="B15" s="39" t="inlineStr">
        <is>
          <t>gross profit    = revenue − COGS</t>
        </is>
      </c>
    </row>
    <row r="16">
      <c r="B16" s="39" t="inlineStr">
        <is>
          <t>net profit      = gross profit − fixed costs</t>
        </is>
      </c>
    </row>
    <row r="17">
      <c r="B17" s="39" t="inlineStr">
        <is>
          <t>break-even units = fixed costs ÷ (MSRP − CP)</t>
        </is>
      </c>
    </row>
    <row r="18">
      <c r="B18" s="37" t="inlineStr"/>
    </row>
    <row r="19">
      <c r="B19" s="38" t="inlineStr">
        <is>
          <t>Beverage-specific reality</t>
        </is>
      </c>
    </row>
    <row r="20">
      <c r="B20" s="37" t="inlineStr">
        <is>
          <t>• Landed cost ≠ supplier price. Freight, duty/excise, packaging, deposits and breakage all sit</t>
        </is>
      </c>
    </row>
    <row r="21">
      <c r="B21" s="37" t="inlineStr">
        <is>
          <t xml:space="preserve">  between the invoice and the shelf — build the real CP on the Cost Builder sheet.</t>
        </is>
      </c>
    </row>
    <row r="22">
      <c r="B22" s="37" t="inlineStr">
        <is>
          <t>• Three-tier (esp. alcohol): supplier → distributor → retailer each take a margin. Model each</t>
        </is>
      </c>
    </row>
    <row r="23">
      <c r="B23" s="37" t="inlineStr">
        <is>
          <t xml:space="preserve">  tier as its own Portfolio row, using the prior tier's price as the next tier's cost.</t>
        </is>
      </c>
    </row>
    <row r="24">
      <c r="B24" s="37" t="inlineStr">
        <is>
          <t>• Case packs: you buy in cases but sell in units — set Units/case for case-level economics.</t>
        </is>
      </c>
    </row>
    <row r="25">
      <c r="B25" s="37" t="inlineStr">
        <is>
          <t>• Excise &amp; deposits are per-unit costs that quietly crush thin margins; keep them visible.</t>
        </is>
      </c>
    </row>
    <row r="26">
      <c r="B26" s="37" t="inlineStr"/>
    </row>
    <row r="27">
      <c r="B27" s="38" t="inlineStr">
        <is>
          <t>How to use the sheets</t>
        </is>
      </c>
    </row>
    <row r="28">
      <c r="B28" s="37" t="inlineStr">
        <is>
          <t>Calculator   – one product, live. Inputs are the yellow cells.</t>
        </is>
      </c>
    </row>
    <row r="29">
      <c r="B29" s="37" t="inlineStr">
        <is>
          <t>Cost Builder – assemble a defensible CP, then paste it into Calculator!C6.</t>
        </is>
      </c>
    </row>
    <row r="30">
      <c r="B30" s="37" t="inlineStr">
        <is>
          <t>Portfolio    – every SKU side by side with a profit-weighted blended margin and a chart.</t>
        </is>
      </c>
    </row>
    <row r="31">
      <c r="B31" s="37" t="inlineStr">
        <is>
          <t>Sensitivity  – a heatmap of margin/markup across price × cost; switch the Metric cell.</t>
        </is>
      </c>
    </row>
    <row r="32">
      <c r="B32" s="37" t="inlineStr">
        <is>
          <t>Reference    – margin ↔ markup converter and lookup table.</t>
        </is>
      </c>
    </row>
    <row r="33">
      <c r="B33" s="37" t="inlineStr"/>
    </row>
    <row r="34">
      <c r="B34" s="40" t="inlineStr">
        <is>
          <t>Figures are estimates — validate against your own invoices, excise schedules and tax rules.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2026-06-06T04:17:31Z</dcterms:created>
  <dcterms:modified xsi:type="dcterms:W3CDTF">2026-06-06T04:17:31Z</dcterms:modified>
</cp:coreProperties>
</file>