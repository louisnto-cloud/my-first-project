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Brand Roll-up" sheetId="9" state="visible" r:id="rId9"/>
    <sheet name="Category Benchmarks" sheetId="10" state="visible" r:id="rId10"/>
    <sheet name="Nutrition Scoreboard" sheetId="11" state="visible" r:id="rId11"/>
    <sheet name="Pricing &amp; Promo Analysis" sheetId="12" state="visible" r:id="rId12"/>
    <sheet name="Subscription Strategy" sheetId="13" state="visible" r:id="rId13"/>
    <sheet name="Why They Win" sheetId="14" state="visible" r:id="rId14"/>
    <sheet name="Velocity Estimate" sheetId="15" state="visible" r:id="rId15"/>
    <sheet name="Flavour Map" sheetId="16" state="visible" r:id="rId16"/>
    <sheet name="Live-Capture Protocol" sheetId="17" state="visible" r:id="rId17"/>
    <sheet name="QA &amp; Integrity" sheetId="18" state="visible" r:id="rId18"/>
    <sheet name="Sourc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4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9" headerRowCount="1">
  <autoFilter ref="A1:AP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16" headerRowCount="1">
  <autoFilter ref="A1:AP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17" headerRowCount="1">
  <autoFilter ref="A1:AP17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20" headerRowCount="1">
  <autoFilter ref="A1:AP2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18" headerRowCount="1">
  <autoFilter ref="A1:AP18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63" headerRowCount="1">
  <autoFilter ref="A1:I63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76" headerRowCount="1">
  <autoFilter ref="A1:K76"/>
  <tableColumns count="11">
    <tableColumn id="1" name="Rank"/>
    <tableColumn id="2" name="Brand"/>
    <tableColumn id="3" name="SKU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76" headerRowCount="1">
  <autoFilter ref="A1:J76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76" headerRowCount="1">
  <autoFilter ref="A1:I76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76" headerRowCount="1">
  <autoFilter ref="A1:E76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76" headerRowCount="1">
  <autoFilter ref="A1:E76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63" headerRowCount="1">
  <autoFilter ref="A1:P63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Src" displayName="tblSrc" ref="A1:C78" headerRowCount="1">
  <autoFilter ref="A1:C78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2026-06-06   |   v2 Enterprise   |   75 products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Amazon.ca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58" customHeight="1">
      <c r="B7" s="5" t="inlineStr">
        <is>
          <t>What IS filled (and its confidence)</t>
        </is>
      </c>
      <c r="C7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8" ht="29" customHeight="1">
      <c r="B8" s="5" t="inlineStr">
        <is>
          <t>What is BLANK (capture live)</t>
        </is>
      </c>
      <c r="C8" s="4" t="inlineStr">
        <is>
          <t>Fields 6, 9-14, 23-26, 30 and helper H2. All amber. Filled by a live-capture pass (see 'Live-Capture Protocol' tab).</t>
        </is>
      </c>
    </row>
    <row r="9" ht="43.5" customHeight="1">
      <c r="B9" s="5" t="inlineStr">
        <is>
          <t>Built-in automation</t>
        </is>
      </c>
      <c r="C9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0" ht="29" customHeight="1">
      <c r="B10" s="5" t="inlineStr">
        <is>
          <t>NEW v2 - computed analytics</t>
        </is>
      </c>
      <c r="C10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1" ht="29" customHeight="1">
      <c r="B11" s="5" t="inlineStr">
        <is>
          <t>Health Score (0-100) model</t>
        </is>
      </c>
      <c r="C11" s="4">
        <f>MAX(0, MIN(100, 100 - sugar*2.5 - calories*0.12 + 12 if sugar&lt;=1)). Higher = lighter/cleaner. Transparent and editable; based on APPROXIMATE nutrition.</f>
        <v/>
      </c>
    </row>
    <row r="12" ht="29" customHeight="1">
      <c r="B12" s="5" t="inlineStr">
        <is>
          <t>Functional Score (0-100) model</t>
        </is>
      </c>
      <c r="C12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3" ht="29" customHeight="1">
      <c r="B13" s="5" t="inlineStr">
        <is>
          <t>Stacking model (field 14)</t>
        </is>
      </c>
      <c r="C13" s="4" t="inlineStr">
        <is>
          <t>Lowest Effective = (Price - Coupon) x (1 - S&amp;S %). Assumes coupon + subscription stack on one order (usual Amazon behaviour); confirm per listing.</t>
        </is>
      </c>
    </row>
    <row r="14" ht="29" customHeight="1">
      <c r="B14" s="5" t="inlineStr">
        <is>
          <t>Velocity estimate (field 27)</t>
        </is>
      </c>
      <c r="C14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5" ht="29" customHeight="1">
      <c r="B15" s="5" t="inlineStr">
        <is>
          <t>Scope rules</t>
        </is>
      </c>
      <c r="C15" s="4" t="inlineStr">
        <is>
          <t>RTD only. Powders, drink-mix packets, tablets EXCLUDED (Liquid I.V., Nuun, LMNT, Cure powder, Cirkul). One PRIMARY category per product; overlaps noted.</t>
        </is>
      </c>
    </row>
    <row r="16" ht="29" customHeight="1">
      <c r="B16" s="5" t="inlineStr">
        <is>
          <t>Cross-tab linkage</t>
        </is>
      </c>
      <c r="C16" s="4" t="inlineStr">
        <is>
          <t>Pricing &amp; Promo and Subscription tabs are LIVE-LINKED to the Master tabs - fill a price once and those tabs update automatically.</t>
        </is>
      </c>
    </row>
    <row r="17" ht="43.5" customHeight="1">
      <c r="B17" s="5" t="inlineStr">
        <is>
          <t>Tabs</t>
        </is>
      </c>
      <c r="C17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8" ht="29" customHeight="1">
      <c r="B18" s="5" t="inlineStr">
        <is>
          <t>Integrity statement</t>
        </is>
      </c>
      <c r="C18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2026-06-06  |  ESTIMATE/secondary data - see README</t>
        </is>
      </c>
    </row>
    <row r="5">
      <c r="B5" s="8" t="n">
        <v>75</v>
      </c>
      <c r="C5" s="8" t="n">
        <v>62</v>
      </c>
      <c r="D5" s="8" t="n">
        <v>5</v>
      </c>
      <c r="E5" s="8" t="n">
        <v>46</v>
      </c>
      <c r="F5" s="8" t="n">
        <v>7.2</v>
      </c>
      <c r="G5" s="9">
        <f>(COUNT('M1 - Sparkling Electrolyte'!F2:F9)+COUNT('M2 - Electrolyte RTD'!F2:F16)+COUNT('M3 - Functional Beverage'!F2:F17)+COUNT('M4 - Caffeine &amp; Energy'!F2:F20)+COUNT('M5 - Sparkling Water &amp; Soda'!F2:F18))/75</f>
        <v/>
      </c>
    </row>
    <row r="6">
      <c r="B6" s="10" t="inlineStr">
        <is>
          <t>Products</t>
        </is>
      </c>
      <c r="C6" s="10" t="inlineStr">
        <is>
          <t>Brands</t>
        </is>
      </c>
      <c r="D6" s="10" t="inlineStr">
        <is>
          <t>Categories</t>
        </is>
      </c>
      <c r="E6" s="10" t="inlineStr">
        <is>
          <t>Sugar-free SKUs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8</v>
      </c>
      <c r="D21" t="n">
        <v>1</v>
      </c>
      <c r="E21" t="n">
        <v>34.9</v>
      </c>
    </row>
    <row r="22">
      <c r="B22" t="inlineStr">
        <is>
          <t>Electrolyte beverage (</t>
        </is>
      </c>
      <c r="C22" t="n">
        <v>15</v>
      </c>
      <c r="D22" t="n">
        <v>10.1</v>
      </c>
      <c r="E22" t="n">
        <v>0</v>
      </c>
    </row>
    <row r="23">
      <c r="B23" t="inlineStr">
        <is>
          <t>Functional beverage (s</t>
        </is>
      </c>
      <c r="C23" t="n">
        <v>16</v>
      </c>
      <c r="D23" t="n">
        <v>5</v>
      </c>
      <c r="E23" t="n">
        <v>7.5</v>
      </c>
    </row>
    <row r="24">
      <c r="B24" t="inlineStr">
        <is>
          <t>Caffeine &amp; energy beve</t>
        </is>
      </c>
      <c r="C24" t="n">
        <v>19</v>
      </c>
      <c r="D24" t="n">
        <v>12.8</v>
      </c>
      <c r="E24" t="n">
        <v>174.5</v>
      </c>
    </row>
    <row r="25">
      <c r="B25" t="inlineStr">
        <is>
          <t>Sparkling water &amp; soda</t>
        </is>
      </c>
      <c r="C25" t="n">
        <v>17</v>
      </c>
      <c r="D25" t="n">
        <v>3.4</v>
      </c>
      <c r="E25" t="n">
        <v>3.8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Non-caloric only</t>
        </is>
      </c>
      <c r="C28" t="n">
        <v>29</v>
      </c>
    </row>
    <row r="29">
      <c r="B29" t="inlineStr">
        <is>
          <t>None / unsweetened</t>
        </is>
      </c>
      <c r="C29" t="n">
        <v>20</v>
      </c>
    </row>
    <row r="30">
      <c r="B30" t="inlineStr">
        <is>
          <t>Caloric only</t>
        </is>
      </c>
      <c r="C30" t="n">
        <v>16</v>
      </c>
    </row>
    <row r="31">
      <c r="B31" t="inlineStr">
        <is>
          <t>Blend (caloric + non-caloric)</t>
        </is>
      </c>
      <c r="C31" t="n">
        <v>8</v>
      </c>
    </row>
    <row r="32">
      <c r="B32" t="inlineStr">
        <is>
          <t>Other</t>
        </is>
      </c>
      <c r="C32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58" customHeight="1">
      <c r="A2" s="15" t="inlineStr">
        <is>
          <t>Sparkling Ice</t>
        </is>
      </c>
      <c r="B2" s="15" t="inlineStr">
        <is>
          <t>Sparkling Ice (+ Antioxidants &amp; Vitamins)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12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Raspberry, Cherry Limeade, Orange Mango, Kiwi Strawberry, Coconut Pineapple, Classic Lemonade</t>
        </is>
      </c>
      <c r="P2" s="16" t="n">
        <v>0</v>
      </c>
      <c r="Q2" s="16" t="n">
        <v>25</v>
      </c>
      <c r="R2" s="15" t="inlineStr">
        <is>
          <t>Not listed</t>
        </is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58" customHeight="1">
      <c r="A3" s="15" t="inlineStr">
        <is>
          <t>BUBBL'R</t>
        </is>
      </c>
      <c r="B3" s="15" t="inlineStr">
        <is>
          <t>BUBBL'R Antioxidant Sparkling Water</t>
        </is>
      </c>
      <c r="C3" s="15" t="inlineStr">
        <is>
          <t>1) Sparkling electrolyte / functional sparkling</t>
        </is>
      </c>
      <c r="D3" s="15" t="inlineStr">
        <is>
          <t>473 mL can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Blackberribrilliance, Strawbeary Lemonade, Tropic'b'r, Raspberry Lemonade, Blue Crush'r</t>
        </is>
      </c>
      <c r="P3" s="16" t="n">
        <v>69</v>
      </c>
      <c r="Q3" s="16" t="n">
        <v>15</v>
      </c>
      <c r="R3" s="15" t="inlineStr">
        <is>
          <t>Not listed</t>
        </is>
      </c>
      <c r="S3" s="16" t="n">
        <v>0</v>
      </c>
      <c r="T3" s="16" t="n">
        <v>10</v>
      </c>
      <c r="U3" s="15" t="inlineStr">
        <is>
          <t>Erythritol + stevia</t>
        </is>
      </c>
      <c r="V3" s="15" t="inlineStr">
        <is>
          <t>Natural caffeine (69 mg), antioxidants, B-vitamins, zero sugar</t>
        </is>
      </c>
      <c r="W3" s="19" t="n"/>
      <c r="X3" s="19" t="n"/>
      <c r="Y3" s="19" t="n"/>
      <c r="Z3" s="19" t="n"/>
      <c r="AA3" s="15" t="inlineStr">
        <is>
          <t>Medium</t>
        </is>
      </c>
      <c r="AB3" s="15" t="inlineStr">
        <is>
          <t>Mid-caffeine functional sparkling; growing</t>
        </is>
      </c>
      <c r="AC3" s="15" t="inlineStr">
        <is>
          <t>Sparkling water with a light caffeine + antioxidant lift</t>
        </is>
      </c>
      <c r="AD3" s="15" t="inlineStr">
        <is>
          <t>Light natural caffeine and antioxidants without an energy-drink dose.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473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58" customHeight="1">
      <c r="A4" s="15" t="inlineStr">
        <is>
          <t>Phocus</t>
        </is>
      </c>
      <c r="B4" s="15" t="inlineStr">
        <is>
          <t>Phocus Caffeinated Sparkling Water</t>
        </is>
      </c>
      <c r="C4" s="15" t="inlineStr">
        <is>
          <t>1) Sparkling electrolyte / functional sparkling</t>
        </is>
      </c>
      <c r="D4" s="15" t="inlineStr">
        <is>
          <t>350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Grapefruit, Yuzu Lime, Cucumber, Black Cherry, Natural, Lemon</t>
        </is>
      </c>
      <c r="P4" s="16" t="n">
        <v>75</v>
      </c>
      <c r="Q4" s="16" t="n">
        <v>0</v>
      </c>
      <c r="R4" s="15" t="inlineStr">
        <is>
          <t>Not listed</t>
        </is>
      </c>
      <c r="S4" s="16" t="n">
        <v>0</v>
      </c>
      <c r="T4" s="16" t="n">
        <v>0</v>
      </c>
      <c r="U4" s="15" t="inlineStr">
        <is>
          <t>None (natural flavours)</t>
        </is>
      </c>
      <c r="V4" s="15" t="inlineStr">
        <is>
          <t>75 mg caffeine + L-theanine for smooth focus, zero sugar/calorie</t>
        </is>
      </c>
      <c r="W4" s="19" t="n"/>
      <c r="X4" s="19" t="n"/>
      <c r="Y4" s="19" t="n"/>
      <c r="Z4" s="19" t="n"/>
      <c r="AA4" s="15" t="inlineStr">
        <is>
          <t>Medium</t>
        </is>
      </c>
      <c r="AB4" s="15" t="inlineStr">
        <is>
          <t>Niche caffeinated sparkling; focus positioning</t>
        </is>
      </c>
      <c r="AC4" s="15" t="inlineStr">
        <is>
          <t>Sparkling water that wakes you up smoothly</t>
        </is>
      </c>
      <c r="AD4" s="15" t="inlineStr">
        <is>
          <t>Coffee-level caffeine plus L-theanine in a calorie-free seltzer.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58" customHeight="1">
      <c r="A5" s="15" t="inlineStr">
        <is>
          <t>Aura Bora</t>
        </is>
      </c>
      <c r="B5" s="15" t="inlineStr">
        <is>
          <t>Aura Bora Herbal Sparkling Water</t>
        </is>
      </c>
      <c r="C5" s="15" t="inlineStr">
        <is>
          <t>1) Sparkling electrolyte / functional sparkling</t>
        </is>
      </c>
      <c r="D5" s="15" t="inlineStr">
        <is>
          <t>355 mL can</t>
        </is>
      </c>
      <c r="E5" s="16" t="n">
        <v>12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Lavender Cucumber, Basil Berry, Lemongrass Coconut, Cactus Rose, Peppermint Watermelon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None (herbal extracts)</t>
        </is>
      </c>
      <c r="V5" s="15" t="inlineStr">
        <is>
          <t>Herb/flower/fruit flavours, zero sugar, calm/unique sensory</t>
        </is>
      </c>
      <c r="W5" s="19" t="n"/>
      <c r="X5" s="19" t="n"/>
      <c r="Y5" s="19" t="n"/>
      <c r="Z5" s="19" t="n"/>
      <c r="AA5" s="15" t="inlineStr">
        <is>
          <t>Low</t>
        </is>
      </c>
      <c r="AB5" s="15" t="inlineStr">
        <is>
          <t>Emerging craft brand; small but loyal</t>
        </is>
      </c>
      <c r="AC5" s="15" t="inlineStr">
        <is>
          <t>Whimsical herbal sparkling water for the curious</t>
        </is>
      </c>
      <c r="AD5" s="15" t="inlineStr">
        <is>
          <t>Unusual herbal-botanical flavours you can't get elsewhere.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58" customHeight="1">
      <c r="A6" s="15" t="inlineStr">
        <is>
          <t>Sound</t>
        </is>
      </c>
      <c r="B6" s="15" t="inlineStr">
        <is>
          <t>Sound Sparkling Water (Tea/Botanical)</t>
        </is>
      </c>
      <c r="C6" s="15" t="inlineStr">
        <is>
          <t>1) Sparkling electrolyte / functional sparkling</t>
        </is>
      </c>
      <c r="D6" s="15" t="inlineStr">
        <is>
          <t>355 mL can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Blackberry + Lemon Verbena, Grapefruit + Hops, Lemon Ginger, Cucumber + Mint Green Tea</t>
        </is>
      </c>
      <c r="P6" s="16" t="n">
        <v>15</v>
      </c>
      <c r="Q6" s="16" t="n">
        <v>0</v>
      </c>
      <c r="R6" s="15" t="inlineStr">
        <is>
          <t>Not listed</t>
        </is>
      </c>
      <c r="S6" s="16" t="n">
        <v>0</v>
      </c>
      <c r="T6" s="16" t="n">
        <v>0</v>
      </c>
      <c r="U6" s="15" t="inlineStr">
        <is>
          <t>None (unsweetened)</t>
        </is>
      </c>
      <c r="V6" s="15" t="inlineStr">
        <is>
          <t>Real brewed tea/botanicals, unsweetened, zero sugar/calorie</t>
        </is>
      </c>
      <c r="W6" s="19" t="n"/>
      <c r="X6" s="19" t="n"/>
      <c r="Y6" s="19" t="n"/>
      <c r="Z6" s="19" t="n"/>
      <c r="AA6" s="15" t="inlineStr">
        <is>
          <t>Low</t>
        </is>
      </c>
      <c r="AB6" s="15" t="inlineStr">
        <is>
          <t>Emerging unsweetened-botanical niche</t>
        </is>
      </c>
      <c r="AC6" s="15" t="inlineStr">
        <is>
          <t>Unsweetened sparkling brewed tea and botanicals</t>
        </is>
      </c>
      <c r="AD6" s="15" t="inlineStr">
        <is>
          <t>Genuinely unsweetened with real tea/botanical character.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58" customHeight="1">
      <c r="A7" s="15" t="inlineStr">
        <is>
          <t>Halo Sport</t>
        </is>
      </c>
      <c r="B7" s="15" t="inlineStr">
        <is>
          <t>Halo Sport Sparkling Electrolyte Water</t>
        </is>
      </c>
      <c r="C7" s="15" t="inlineStr">
        <is>
          <t>1) Sparkling electrolyte / functional sparkling</t>
        </is>
      </c>
      <c r="D7" s="15" t="inlineStr">
        <is>
          <t>355 mL can</t>
        </is>
      </c>
      <c r="E7" s="16" t="n">
        <v>12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 Lime, Berry, Orange, Grapefruit</t>
        </is>
      </c>
      <c r="P7" s="16" t="n">
        <v>0</v>
      </c>
      <c r="Q7" s="16" t="n">
        <v>110</v>
      </c>
      <c r="R7" s="16" t="n">
        <v>40</v>
      </c>
      <c r="S7" s="16" t="n">
        <v>0</v>
      </c>
      <c r="T7" s="16" t="n">
        <v>5</v>
      </c>
      <c r="U7" s="15" t="inlineStr">
        <is>
          <t>Stevia</t>
        </is>
      </c>
      <c r="V7" s="15" t="inlineStr">
        <is>
          <t>Sparkling electrolytes, zero sugar, light hydration</t>
        </is>
      </c>
      <c r="W7" s="19" t="n"/>
      <c r="X7" s="19" t="n"/>
      <c r="Y7" s="19" t="n"/>
      <c r="Z7" s="19" t="n"/>
      <c r="AA7" s="15" t="inlineStr">
        <is>
          <t>Low</t>
        </is>
      </c>
      <c r="AB7" s="15" t="inlineStr">
        <is>
          <t>Small emerging sparkling-electrolyte entrant</t>
        </is>
      </c>
      <c r="AC7" s="15" t="inlineStr">
        <is>
          <t>Sparkling, lightly-mineralled hydration</t>
        </is>
      </c>
      <c r="AD7" s="15" t="inlineStr">
        <is>
          <t>Electrolytes in a fizzy, zero-sugar format.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58" customHeight="1">
      <c r="A8" s="15" t="inlineStr">
        <is>
          <t>Gorgie</t>
        </is>
      </c>
      <c r="B8" s="15" t="inlineStr">
        <is>
          <t>Gorgie Energy Sparkling Water</t>
        </is>
      </c>
      <c r="C8" s="15" t="inlineStr">
        <is>
          <t>1) Sparkling electrolyte / functional sparkling</t>
        </is>
      </c>
      <c r="D8" s="15" t="inlineStr">
        <is>
          <t>355 mL can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Watermelon, Tropical, Strawberry Lemonade, Cherry Limeade</t>
        </is>
      </c>
      <c r="P8" s="16" t="n">
        <v>120</v>
      </c>
      <c r="Q8" s="16" t="n">
        <v>10</v>
      </c>
      <c r="R8" s="15" t="inlineStr">
        <is>
          <t>Not listed</t>
        </is>
      </c>
      <c r="S8" s="16" t="n">
        <v>0</v>
      </c>
      <c r="T8" s="16" t="n">
        <v>10</v>
      </c>
      <c r="U8" s="15" t="inlineStr">
        <is>
          <t>Stevia</t>
        </is>
      </c>
      <c r="V8" s="15" t="inlineStr">
        <is>
          <t>120 mg natural caffeine, L-theanine, biotin, zero sugar</t>
        </is>
      </c>
      <c r="W8" s="19" t="n"/>
      <c r="X8" s="19" t="n"/>
      <c r="Y8" s="19" t="n"/>
      <c r="Z8" s="19" t="n"/>
      <c r="AA8" s="15" t="inlineStr">
        <is>
          <t>Low</t>
        </is>
      </c>
      <c r="AB8" s="15" t="inlineStr">
        <is>
          <t>New social-driven entrant; small footprint</t>
        </is>
      </c>
      <c r="AC8" s="15" t="inlineStr">
        <is>
          <t>A lighter, prettier caffeinated sparkling energy</t>
        </is>
      </c>
      <c r="AD8" s="15" t="inlineStr">
        <is>
          <t>Mid-dose caffeine with a clean, lifestyle aesthetic.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58" customHeight="1">
      <c r="A9" s="15" t="inlineStr">
        <is>
          <t>United Sodas</t>
        </is>
      </c>
      <c r="B9" s="15" t="inlineStr">
        <is>
          <t>United Sodas of America</t>
        </is>
      </c>
      <c r="C9" s="15" t="inlineStr">
        <is>
          <t>1) Sparkling electrolyte / functional sparkling</t>
        </is>
      </c>
      <c r="D9" s="15" t="inlineStr">
        <is>
          <t>355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Wild Berry, Black Cherry, Mango Chili, Lemon Lime, Peach Vanilla</t>
        </is>
      </c>
      <c r="P9" s="16" t="n">
        <v>0</v>
      </c>
      <c r="Q9" s="16" t="n">
        <v>10</v>
      </c>
      <c r="R9" s="15" t="inlineStr">
        <is>
          <t>Not listed</t>
        </is>
      </c>
      <c r="S9" s="16" t="n">
        <v>8</v>
      </c>
      <c r="T9" s="16" t="n">
        <v>30</v>
      </c>
      <c r="U9" s="15" t="inlineStr">
        <is>
          <t>Cane sugar (small amount)</t>
        </is>
      </c>
      <c r="V9" s="15" t="inlineStr">
        <is>
          <t>Low calorie, light sparkling soda, minimalist branding</t>
        </is>
      </c>
      <c r="W9" s="19" t="n"/>
      <c r="X9" s="19" t="n"/>
      <c r="Y9" s="19" t="n"/>
      <c r="Z9" s="19" t="n"/>
      <c r="AA9" s="15" t="inlineStr">
        <is>
          <t>Low</t>
        </is>
      </c>
      <c r="AB9" s="15" t="inlineStr">
        <is>
          <t>Niche premium soda; design-led</t>
        </is>
      </c>
      <c r="AC9" s="15" t="inlineStr">
        <is>
          <t>A light, low-calorie modern soda</t>
        </is>
      </c>
      <c r="AD9" s="15" t="inlineStr">
        <is>
          <t>Low-calorie soda with a clean, design-forward identity.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</sheetData>
  <conditionalFormatting sqref="S2:S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">
    <cfRule type="dataBar" priority="3">
      <dataBar>
        <cfvo type="num" val="0"/>
        <cfvo type="num" val="100"/>
        <color rgb="0063BE7B"/>
      </dataBar>
    </cfRule>
  </conditionalFormatting>
  <conditionalFormatting sqref="AK2:AK9">
    <cfRule type="dataBar" priority="4">
      <dataBar>
        <cfvo type="num" val="0"/>
        <cfvo type="num" val="75"/>
        <color rgb="008FAADC"/>
      </dataBar>
    </cfRule>
  </conditionalFormatting>
  <conditionalFormatting sqref="AP2:AP9">
    <cfRule type="expression" priority="5" dxfId="0">
      <formula>ISBLANK($F2)</formula>
    </cfRule>
  </conditionalFormatting>
  <dataValidations count="1">
    <dataValidation sqref="I2:I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58" customHeight="1">
      <c r="A2" s="15" t="inlineStr">
        <is>
          <t>Gatorade</t>
        </is>
      </c>
      <c r="B2" s="15" t="inlineStr">
        <is>
          <t>Gatorade Thirst Quencher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12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Blue, Fruit Punch, Glacier Freeze, Lemon-Lime, Orange, Riptide Rush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58" customHeight="1">
      <c r="A3" s="15" t="inlineStr">
        <is>
          <t>Gatorade</t>
        </is>
      </c>
      <c r="B3" s="15" t="inlineStr">
        <is>
          <t>Gatorade Zero Sugar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Glacier Cherry, Lemon-Lime, Orange, Berry, Glacier Freeze</t>
        </is>
      </c>
      <c r="P3" s="16" t="n">
        <v>0</v>
      </c>
      <c r="Q3" s="16" t="n">
        <v>270</v>
      </c>
      <c r="R3" s="16" t="n">
        <v>75</v>
      </c>
      <c r="S3" s="16" t="n">
        <v>0</v>
      </c>
      <c r="T3" s="16" t="n">
        <v>5</v>
      </c>
      <c r="U3" s="15" t="inlineStr">
        <is>
          <t>Sucralose + acesulfame-K</t>
        </is>
      </c>
      <c r="V3" s="15" t="inlineStr">
        <is>
          <t>Same electrolytes, zero sugar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Top zero-sugar sports drink</t>
        </is>
      </c>
      <c r="AC3" s="15" t="inlineStr">
        <is>
          <t>Gatorade electrolytes without the sugar</t>
        </is>
      </c>
      <c r="AD3" s="15" t="inlineStr">
        <is>
          <t>Full electrolytes minus the sugar load.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58" customHeight="1">
      <c r="A4" s="15" t="inlineStr">
        <is>
          <t>Powerade</t>
        </is>
      </c>
      <c r="B4" s="15" t="inlineStr">
        <is>
          <t>Powerade Mountain Berry Blast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Mountain Berry Blast, Fruit Punch, Grape, White Cherry, Lemon-Lime</t>
        </is>
      </c>
      <c r="P4" s="16" t="n">
        <v>0</v>
      </c>
      <c r="Q4" s="16" t="n">
        <v>250</v>
      </c>
      <c r="R4" s="16" t="n">
        <v>70</v>
      </c>
      <c r="S4" s="16" t="n">
        <v>35</v>
      </c>
      <c r="T4" s="16" t="n">
        <v>130</v>
      </c>
      <c r="U4" s="15" t="inlineStr">
        <is>
          <t>High-fructose corn syrup</t>
        </is>
      </c>
      <c r="V4" s="15" t="inlineStr">
        <is>
          <t>ION4 electrolytes, B-vitamins, hydration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Strong #2; Coca-Cola distribution &amp; price</t>
        </is>
      </c>
      <c r="AC4" s="15" t="inlineStr">
        <is>
          <t>Value-priced electrolyte hydration</t>
        </is>
      </c>
      <c r="AD4" s="15" t="inlineStr">
        <is>
          <t>Cheaper electrolyte alternative to Gatorade.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58" customHeight="1">
      <c r="A5" s="15" t="inlineStr">
        <is>
          <t>Powerade</t>
        </is>
      </c>
      <c r="B5" s="15" t="inlineStr">
        <is>
          <t>Powerade Zero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12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Mixed Berry, Fruit Punch, Grape, White Cherry</t>
        </is>
      </c>
      <c r="P5" s="16" t="n">
        <v>0</v>
      </c>
      <c r="Q5" s="16" t="n">
        <v>250</v>
      </c>
      <c r="R5" s="16" t="n">
        <v>35</v>
      </c>
      <c r="S5" s="16" t="n">
        <v>0</v>
      </c>
      <c r="T5" s="16" t="n">
        <v>0</v>
      </c>
      <c r="U5" s="15" t="inlineStr">
        <is>
          <t>Sucralose + acesulfame-K</t>
        </is>
      </c>
      <c r="V5" s="15" t="inlineStr">
        <is>
          <t>Zero sugar/calorie, ION4 electrolytes, vitamins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Popular zero-sugar value option</t>
        </is>
      </c>
      <c r="AC5" s="15" t="inlineStr">
        <is>
          <t>Zero-calorie electrolytes at a value price</t>
        </is>
      </c>
      <c r="AD5" s="15" t="inlineStr">
        <is>
          <t>Cheapest zero-sugar electrolyte option.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58" customHeight="1">
      <c r="A6" s="15" t="inlineStr">
        <is>
          <t>BODYARMOR</t>
        </is>
      </c>
      <c r="B6" s="15" t="inlineStr">
        <is>
          <t>BODYARMOR Sports Drink</t>
        </is>
      </c>
      <c r="C6" s="15" t="inlineStr">
        <is>
          <t>2) Electrolyte beverage (RTD)</t>
        </is>
      </c>
      <c r="D6" s="15" t="inlineStr">
        <is>
          <t>473 mL bottle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Punch, Strawberry Banana, Orange Mango, Mixed Berry, Tropical Punch</t>
        </is>
      </c>
      <c r="P6" s="16" t="n">
        <v>0</v>
      </c>
      <c r="Q6" s="16" t="n">
        <v>30</v>
      </c>
      <c r="R6" s="16" t="n">
        <v>350</v>
      </c>
      <c r="S6" s="16" t="n">
        <v>21</v>
      </c>
      <c r="T6" s="16" t="n">
        <v>90</v>
      </c>
      <c r="U6" s="15" t="inlineStr">
        <is>
          <t>Cane sugar</t>
        </is>
      </c>
      <c r="V6" s="15" t="inlineStr">
        <is>
          <t>Potassium-packed electrolytes, coconut water, vitamins, no artificial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Fast-growing premium sports drink (Coca-Cola owned)</t>
        </is>
      </c>
      <c r="AC6" s="15" t="inlineStr">
        <is>
          <t>Premium, natural sports hydration with potassium</t>
        </is>
      </c>
      <c r="AD6" s="15" t="inlineStr">
        <is>
          <t>Coconut-water electrolytes and a cleaner label than legacy brands.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473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58" customHeight="1">
      <c r="A7" s="15" t="inlineStr">
        <is>
          <t>BODYARMOR</t>
        </is>
      </c>
      <c r="B7" s="15" t="inlineStr">
        <is>
          <t>BODYARMOR LYTE</t>
        </is>
      </c>
      <c r="C7" s="15" t="inlineStr">
        <is>
          <t>2) Electrolyte beverage (RTD)</t>
        </is>
      </c>
      <c r="D7" s="15" t="inlineStr">
        <is>
          <t>473 mL bottle</t>
        </is>
      </c>
      <c r="E7" s="16" t="n">
        <v>12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Blueberry Pomegranate, Peach Mango, Tropical Coconut, Berry Punch</t>
        </is>
      </c>
      <c r="P7" s="16" t="n">
        <v>0</v>
      </c>
      <c r="Q7" s="16" t="n">
        <v>30</v>
      </c>
      <c r="R7" s="16" t="n">
        <v>350</v>
      </c>
      <c r="S7" s="16" t="n">
        <v>3</v>
      </c>
      <c r="T7" s="16" t="n">
        <v>20</v>
      </c>
      <c r="U7" s="15" t="inlineStr">
        <is>
          <t>Stevia + erythritol</t>
        </is>
      </c>
      <c r="V7" s="15" t="inlineStr">
        <is>
          <t>Low sugar, potassium electrolytes, coconut water, vitamins</t>
        </is>
      </c>
      <c r="W7" s="19" t="n"/>
      <c r="X7" s="19" t="n"/>
      <c r="Y7" s="19" t="n"/>
      <c r="Z7" s="19" t="n"/>
      <c r="AA7" s="15" t="inlineStr">
        <is>
          <t>Medium</t>
        </is>
      </c>
      <c r="AB7" s="15" t="inlineStr">
        <is>
          <t>Low-sugar variant of fast-grower</t>
        </is>
      </c>
      <c r="AC7" s="15" t="inlineStr">
        <is>
          <t>Low-sugar premium hydration</t>
        </is>
      </c>
      <c r="AD7" s="15" t="inlineStr">
        <is>
          <t>High potassium with very little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473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58" customHeight="1">
      <c r="A8" s="15" t="inlineStr">
        <is>
          <t>Prime</t>
        </is>
      </c>
      <c r="B8" s="15" t="inlineStr">
        <is>
          <t>Prime Hydration</t>
        </is>
      </c>
      <c r="C8" s="15" t="inlineStr">
        <is>
          <t>2) Electrolyte beverage (RTD)</t>
        </is>
      </c>
      <c r="D8" s="15" t="inlineStr">
        <is>
          <t>500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Blue Raspberry, Tropical Punch, Ice Pop, Lemon Lime, Strawberry Watermelon, Meta Moon</t>
        </is>
      </c>
      <c r="P8" s="16" t="n">
        <v>0</v>
      </c>
      <c r="Q8" s="16" t="n">
        <v>10</v>
      </c>
      <c r="R8" s="16" t="n">
        <v>700</v>
      </c>
      <c r="S8" s="16" t="n">
        <v>0</v>
      </c>
      <c r="T8" s="16" t="n">
        <v>20</v>
      </c>
      <c r="U8" s="15" t="inlineStr">
        <is>
          <t>Sucralose + acesulfame-K</t>
        </is>
      </c>
      <c r="V8" s="15" t="inlineStr">
        <is>
          <t>Zero sugar, BCAAs, electrolytes, coconut water, 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Influencer hype; strong youth pull</t>
        </is>
      </c>
      <c r="AC8" s="15" t="inlineStr">
        <is>
          <t>Hype-brand zero-sugar hydration with BCAAs</t>
        </is>
      </c>
      <c r="AD8" s="15" t="inlineStr">
        <is>
          <t>Brand cachet plus zero sugar and added BCAAs.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58" customHeight="1">
      <c r="A9" s="15" t="inlineStr">
        <is>
          <t>Roar Organic</t>
        </is>
      </c>
      <c r="B9" s="15" t="inlineStr">
        <is>
          <t>Roar Organic Electrolyte Infusions</t>
        </is>
      </c>
      <c r="C9" s="15" t="inlineStr">
        <is>
          <t>2) Electrolyte beverage (RTD)</t>
        </is>
      </c>
      <c r="D9" s="15" t="inlineStr">
        <is>
          <t>532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Cucumber Watermelon, Mango Clementine, Blueberry Acai, Georgia Peach</t>
        </is>
      </c>
      <c r="P9" s="16" t="n">
        <v>0</v>
      </c>
      <c r="Q9" s="16" t="n">
        <v>45</v>
      </c>
      <c r="R9" s="16" t="n">
        <v>100</v>
      </c>
      <c r="S9" s="16" t="n">
        <v>2</v>
      </c>
      <c r="T9" s="16" t="n">
        <v>10</v>
      </c>
      <c r="U9" s="15" t="inlineStr">
        <is>
          <t>Stevia + erythritol</t>
        </is>
      </c>
      <c r="V9" s="15" t="inlineStr">
        <is>
          <t>Coconut-water electrolytes, antioxidants, B-vitamins, low sugar, organic</t>
        </is>
      </c>
      <c r="W9" s="19" t="n"/>
      <c r="X9" s="19" t="n"/>
      <c r="Y9" s="19" t="n"/>
      <c r="Z9" s="19" t="n"/>
      <c r="AA9" s="15" t="inlineStr">
        <is>
          <t>Low</t>
        </is>
      </c>
      <c r="AB9" s="15" t="inlineStr">
        <is>
          <t>Emerging organic niche; modest shelf share</t>
        </is>
      </c>
      <c r="AC9" s="15" t="inlineStr">
        <is>
          <t>Organic, low-sugar coconut-water hydration</t>
        </is>
      </c>
      <c r="AD9" s="15" t="inlineStr">
        <is>
          <t>Organic and barely-sweetened for clean-label hydration seekers.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532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58" customHeight="1">
      <c r="A10" s="15" t="inlineStr">
        <is>
          <t>BioSteel</t>
        </is>
      </c>
      <c r="B10" s="15" t="inlineStr">
        <is>
          <t>BioSteel Sports Drink (RTD)</t>
        </is>
      </c>
      <c r="C10" s="15" t="inlineStr">
        <is>
          <t>2) Electrolyte beverage (RTD)</t>
        </is>
      </c>
      <c r="D10" s="15" t="inlineStr">
        <is>
          <t>500 mL bottle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Blue Raspberry, White Freeze, Rainbow Twist, Mixed Berry, Peach Mango</t>
        </is>
      </c>
      <c r="P10" s="16" t="n">
        <v>0</v>
      </c>
      <c r="Q10" s="16" t="n">
        <v>130</v>
      </c>
      <c r="R10" s="16" t="n">
        <v>20</v>
      </c>
      <c r="S10" s="16" t="n">
        <v>0</v>
      </c>
      <c r="T10" s="16" t="n">
        <v>0</v>
      </c>
      <c r="U10" s="15" t="inlineStr">
        <is>
          <t>Stevia</t>
        </is>
      </c>
      <c r="V10" s="15" t="inlineStr">
        <is>
          <t>Zero sugar, electrolytes, no artificial, pro-sports endorsed</t>
        </is>
      </c>
      <c r="W10" s="19" t="n"/>
      <c r="X10" s="19" t="n"/>
      <c r="Y10" s="19" t="n"/>
      <c r="Z10" s="19" t="n"/>
      <c r="AA10" s="15" t="inlineStr">
        <is>
          <t>Medium</t>
        </is>
      </c>
      <c r="AB10" s="15" t="inlineStr">
        <is>
          <t>Canadian brand; strong domestic hockey/sports tie-ins</t>
        </is>
      </c>
      <c r="AC10" s="15" t="inlineStr">
        <is>
          <t>Zero-sugar clean sports hydration (Canadian, pro-endorsed)</t>
        </is>
      </c>
      <c r="AD10" s="15" t="inlineStr">
        <is>
          <t>Zero sugar plus pro-sports credibility, made in Canada.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58" customHeight="1">
      <c r="A11" s="15" t="inlineStr">
        <is>
          <t>CWENCH</t>
        </is>
      </c>
      <c r="B11" s="15" t="inlineStr">
        <is>
          <t>CWENCH Hydration</t>
        </is>
      </c>
      <c r="C11" s="15" t="inlineStr">
        <is>
          <t>2) Electrolyte beverage (RTD)</t>
        </is>
      </c>
      <c r="D11" s="15" t="inlineStr">
        <is>
          <t>500 mL bottle</t>
        </is>
      </c>
      <c r="E11" s="16" t="n">
        <v>12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Blue Raspberry, Fruit Punch, Green Apple, Watermelon, Peach</t>
        </is>
      </c>
      <c r="P11" s="16" t="n">
        <v>0</v>
      </c>
      <c r="Q11" s="16" t="n">
        <v>200</v>
      </c>
      <c r="R11" s="16" t="n">
        <v>100</v>
      </c>
      <c r="S11" s="16" t="n">
        <v>0</v>
      </c>
      <c r="T11" s="16" t="n">
        <v>15</v>
      </c>
      <c r="U11" s="15" t="inlineStr">
        <is>
          <t>Sucralose</t>
        </is>
      </c>
      <c r="V11" s="15" t="inlineStr">
        <is>
          <t>Zero sugar, electrolytes, vitamins; Canadian challenger brand</t>
        </is>
      </c>
      <c r="W11" s="19" t="n"/>
      <c r="X11" s="19" t="n"/>
      <c r="Y11" s="19" t="n"/>
      <c r="Z11" s="19" t="n"/>
      <c r="AA11" s="15" t="inlineStr">
        <is>
          <t>Low</t>
        </is>
      </c>
      <c r="AB11" s="15" t="inlineStr">
        <is>
          <t>New Canadian entrant; limited reviews/footprint</t>
        </is>
      </c>
      <c r="AC11" s="15" t="inlineStr">
        <is>
          <t>Affordable Canadian zero-sugar hydration</t>
        </is>
      </c>
      <c r="AD11" s="15" t="inlineStr">
        <is>
          <t>Local challenger price and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58" customHeight="1">
      <c r="A12" s="15" t="inlineStr">
        <is>
          <t>Pedialyte</t>
        </is>
      </c>
      <c r="B12" s="15" t="inlineStr">
        <is>
          <t>Pedialyte Electrolyte Solution</t>
        </is>
      </c>
      <c r="C12" s="15" t="inlineStr">
        <is>
          <t>2) Electrolyte beverage (RTD)</t>
        </is>
      </c>
      <c r="D12" s="15" t="inlineStr">
        <is>
          <t>1 L bottle</t>
        </is>
      </c>
      <c r="E12" s="16" t="n">
        <v>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Unflavored, Fruit, Grape, Strawberry, Mixed Fruit</t>
        </is>
      </c>
      <c r="P12" s="16" t="n">
        <v>0</v>
      </c>
      <c r="Q12" s="16" t="n">
        <v>370</v>
      </c>
      <c r="R12" s="16" t="n">
        <v>280</v>
      </c>
      <c r="S12" s="16" t="n">
        <v>9</v>
      </c>
      <c r="T12" s="16" t="n">
        <v>35</v>
      </c>
      <c r="U12" s="15" t="inlineStr">
        <is>
          <t>Dextrose + sucralose + acesulfame-K</t>
        </is>
      </c>
      <c r="V12" s="15" t="inlineStr">
        <is>
          <t>Medical-grade rehydration, dehydration relief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Trusted clinical rehydration; year-round + flu-season spikes</t>
        </is>
      </c>
      <c r="AC12" s="15" t="inlineStr">
        <is>
          <t>Doctor-trusted rehydration for illness/dehydration</t>
        </is>
      </c>
      <c r="AD12" s="15" t="inlineStr">
        <is>
          <t>Medical-grade electrolyte ratio trusted for genuine dehydration.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1000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58" customHeight="1">
      <c r="A13" s="15" t="inlineStr">
        <is>
          <t>Gatorade</t>
        </is>
      </c>
      <c r="B13" s="15" t="inlineStr">
        <is>
          <t>Gatorlyte Rapid Rehydration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12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Orange, Cherry Lime, Glacier Cherry, Strawberry Kiwi</t>
        </is>
      </c>
      <c r="P13" s="16" t="n">
        <v>0</v>
      </c>
      <c r="Q13" s="16" t="n">
        <v>490</v>
      </c>
      <c r="R13" s="16" t="n">
        <v>350</v>
      </c>
      <c r="S13" s="16" t="n">
        <v>12</v>
      </c>
      <c r="T13" s="16" t="n">
        <v>50</v>
      </c>
      <c r="U13" s="15" t="inlineStr">
        <is>
          <t>Sugar + sucralose</t>
        </is>
      </c>
      <c r="V13" s="15" t="inlineStr">
        <is>
          <t>5 electrolytes, rapid rehydration, specialized formula</t>
        </is>
      </c>
      <c r="W13" s="19" t="n"/>
      <c r="X13" s="19" t="n"/>
      <c r="Y13" s="19" t="n"/>
      <c r="Z13" s="19" t="n"/>
      <c r="AA13" s="15" t="inlineStr">
        <is>
          <t>Medium</t>
        </is>
      </c>
      <c r="AB13" s="15" t="inlineStr">
        <is>
          <t>Premium rapid-rehydration line</t>
        </is>
      </c>
      <c r="AC13" s="15" t="inlineStr">
        <is>
          <t>Higher-electrolyte rapid rehydration</t>
        </is>
      </c>
      <c r="AD13" s="15" t="inlineStr">
        <is>
          <t>Highest sodium/potassium load for serious rehydration.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58" customHeight="1">
      <c r="A14" s="15" t="inlineStr">
        <is>
          <t>Vita Coco</t>
        </is>
      </c>
      <c r="B14" s="15" t="inlineStr">
        <is>
          <t>Vita Coco Pure Coconut Water</t>
        </is>
      </c>
      <c r="C14" s="15" t="inlineStr">
        <is>
          <t>2) Electrolyte beverage (RTD)</t>
        </is>
      </c>
      <c r="D14" s="15" t="inlineStr">
        <is>
          <t>330 mL carton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Original, Pineapple, Peach Mango, The Original (Pressed)</t>
        </is>
      </c>
      <c r="P14" s="16" t="n">
        <v>0</v>
      </c>
      <c r="Q14" s="16" t="n">
        <v>25</v>
      </c>
      <c r="R14" s="16" t="n">
        <v>470</v>
      </c>
      <c r="S14" s="16" t="n">
        <v>11</v>
      </c>
      <c r="T14" s="16" t="n">
        <v>45</v>
      </c>
      <c r="U14" s="15" t="inlineStr">
        <is>
          <t>None (naturally occurring)</t>
        </is>
      </c>
      <c r="V14" s="15" t="inlineStr">
        <is>
          <t>Natural electrolytes, potassium, no added sugar (Original)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Market-leading coconut water; mainstream</t>
        </is>
      </c>
      <c r="AC14" s="15" t="inlineStr">
        <is>
          <t>Natural hydration straight from coconuts</t>
        </is>
      </c>
      <c r="AD14" s="15" t="inlineStr">
        <is>
          <t>Naturally high potassium with no added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330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58" customHeight="1">
      <c r="A15" s="15" t="inlineStr">
        <is>
          <t>Electrolit</t>
        </is>
      </c>
      <c r="B15" s="15" t="inlineStr">
        <is>
          <t>Electrolit Hydration Beverage</t>
        </is>
      </c>
      <c r="C15" s="15" t="inlineStr">
        <is>
          <t>2) Electrolyte beverage (RTD)</t>
        </is>
      </c>
      <c r="D15" s="15" t="inlineStr">
        <is>
          <t>625 mL bottle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Strawberry-Kiwi, Fruit Punch, Watermelon, Coconut, Blue Raspberry, Grape</t>
        </is>
      </c>
      <c r="P15" s="16" t="n">
        <v>0</v>
      </c>
      <c r="Q15" s="16" t="n">
        <v>270</v>
      </c>
      <c r="R15" s="16" t="n">
        <v>200</v>
      </c>
      <c r="S15" s="16" t="n">
        <v>24</v>
      </c>
      <c r="T15" s="16" t="n">
        <v>100</v>
      </c>
      <c r="U15" s="15" t="inlineStr">
        <is>
          <t>Cane sugar + glucose</t>
        </is>
      </c>
      <c r="V15" s="15" t="inlineStr">
        <is>
          <t>Magnesium + calcium + sodium + potassium, fast rehydration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Fast-growing Mexican import; strong Amazon momentum</t>
        </is>
      </c>
      <c r="AC15" s="15" t="inlineStr">
        <is>
          <t>Multi-mineral rehydration popular for recovery</t>
        </is>
      </c>
      <c r="AD15" s="15" t="inlineStr">
        <is>
          <t>Broad mineral profile (incl. magnesium) for serious rehydration.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625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58" customHeight="1">
      <c r="A16" s="15" t="inlineStr">
        <is>
          <t>Gatorade</t>
        </is>
      </c>
      <c r="B16" s="15" t="inlineStr">
        <is>
          <t>Gatorade Fit Electrolyte Beverage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Tropical Mango, Blue Citrus, Strawberry Watermelon, Watermelon Strawberry</t>
        </is>
      </c>
      <c r="P16" s="16" t="n">
        <v>0</v>
      </c>
      <c r="Q16" s="16" t="n">
        <v>200</v>
      </c>
      <c r="R16" s="16" t="n">
        <v>80</v>
      </c>
      <c r="S16" s="16" t="n">
        <v>0</v>
      </c>
      <c r="T16" s="16" t="n">
        <v>5</v>
      </c>
      <c r="U16" s="15" t="inlineStr">
        <is>
          <t>Stevia</t>
        </is>
      </c>
      <c r="V16" s="15" t="inlineStr">
        <is>
          <t>No added sugar, naturally sweetened, electrolytes + vitamins A &amp; C</t>
        </is>
      </c>
      <c r="W16" s="19" t="n"/>
      <c r="X16" s="19" t="n"/>
      <c r="Y16" s="19" t="n"/>
      <c r="Z16" s="19" t="n"/>
      <c r="AA16" s="15" t="inlineStr">
        <is>
          <t>Medium</t>
        </is>
      </c>
      <c r="AB16" s="15" t="inlineStr">
        <is>
          <t>Clean-label line targeting wellness shoppers</t>
        </is>
      </c>
      <c r="AC16" s="15" t="inlineStr">
        <is>
          <t>Cleaner-label Gatorade with no added sugar</t>
        </is>
      </c>
      <c r="AD16" s="15" t="inlineStr">
        <is>
          <t>Gatorade electrolytes with stevia and added vitamins.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</sheetData>
  <conditionalFormatting sqref="S2:S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16">
    <cfRule type="dataBar" priority="3">
      <dataBar>
        <cfvo type="num" val="0"/>
        <cfvo type="num" val="100"/>
        <color rgb="0063BE7B"/>
      </dataBar>
    </cfRule>
  </conditionalFormatting>
  <conditionalFormatting sqref="AK2:AK16">
    <cfRule type="dataBar" priority="4">
      <dataBar>
        <cfvo type="num" val="0"/>
        <cfvo type="num" val="75"/>
        <color rgb="008FAADC"/>
      </dataBar>
    </cfRule>
  </conditionalFormatting>
  <conditionalFormatting sqref="AP2:AP16">
    <cfRule type="expression" priority="5" dxfId="0">
      <formula>ISBLANK($F2)</formula>
    </cfRule>
  </conditionalFormatting>
  <dataValidations count="1">
    <dataValidation sqref="I2:I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58" customHeight="1">
      <c r="A2" s="15" t="inlineStr">
        <is>
          <t>OLIPOP</t>
        </is>
      </c>
      <c r="B2" s="15" t="inlineStr">
        <is>
          <t>OLIPOP Prebiotic Soda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12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Cola, Classic Root Beer, Cherry Cola, Strawberry Vanilla, Orange Squeeze, Ginger Ale, Doctor Goodwin, Lemon Lime, Watermelon Lime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58" customHeight="1">
      <c r="A3" s="15" t="inlineStr">
        <is>
          <t>Poppi</t>
        </is>
      </c>
      <c r="B3" s="15" t="inlineStr">
        <is>
          <t>Poppi Prebiotic Soda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Strawberry Lemon, Raspberry Rose, Classic Cola, Cherry Limeade, Orange, Grape, Watermelon, Ginger Lime</t>
        </is>
      </c>
      <c r="P3" s="16" t="n">
        <v>0</v>
      </c>
      <c r="Q3" s="16" t="n">
        <v>10</v>
      </c>
      <c r="R3" s="15" t="inlineStr">
        <is>
          <t>Not listed</t>
        </is>
      </c>
      <c r="S3" s="16" t="n">
        <v>5</v>
      </c>
      <c r="T3" s="16" t="n">
        <v>25</v>
      </c>
      <c r="U3" s="15" t="inlineStr">
        <is>
          <t>Agave + stevia</t>
        </is>
      </c>
      <c r="V3" s="15" t="inlineStr">
        <is>
          <t>Prebiotic, apple cider vinegar, gut health, low sugar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Viral brand; Super Bowl ad; strong Gen-Z pull</t>
        </is>
      </c>
      <c r="AC3" s="15" t="inlineStr">
        <is>
          <t>Pretty, prebiotic, apple-cider-vinegar soda</t>
        </is>
      </c>
      <c r="AD3" s="15" t="inlineStr">
        <is>
          <t>Trendy aesthetic plus a gut-health ACV story at low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58" customHeight="1">
      <c r="A4" s="15" t="inlineStr">
        <is>
          <t>Culture Pop</t>
        </is>
      </c>
      <c r="B4" s="15" t="inlineStr">
        <is>
          <t>Culture Pop Probiotic Soda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Ginger Lemon, Wild Berry, Orange Mango, Lime Watermelon, Cherry Pomegranate</t>
        </is>
      </c>
      <c r="P4" s="16" t="n">
        <v>0</v>
      </c>
      <c r="Q4" s="16" t="n">
        <v>15</v>
      </c>
      <c r="R4" s="15" t="inlineStr">
        <is>
          <t>Not listed</t>
        </is>
      </c>
      <c r="S4" s="16" t="n">
        <v>9</v>
      </c>
      <c r="T4" s="16" t="n">
        <v>40</v>
      </c>
      <c r="U4" s="15" t="inlineStr">
        <is>
          <t>Fruit juice + a touch of cane</t>
        </is>
      </c>
      <c r="V4" s="15" t="inlineStr">
        <is>
          <t>Live probiotics, real juice, gut health, no stevia</t>
        </is>
      </c>
      <c r="W4" s="19" t="n"/>
      <c r="X4" s="19" t="n"/>
      <c r="Y4" s="19" t="n"/>
      <c r="Z4" s="19" t="n"/>
      <c r="AA4" s="15" t="inlineStr">
        <is>
          <t>Medium</t>
        </is>
      </c>
      <c r="AB4" s="15" t="inlineStr">
        <is>
          <t>Emerging; differentiates on real-juice/no-stevia</t>
        </is>
      </c>
      <c r="AC4" s="15" t="inlineStr">
        <is>
          <t>Probiotic soda with real juice, no stevia</t>
        </is>
      </c>
      <c r="AD4" s="15" t="inlineStr">
        <is>
          <t>Real-juice taste and live probiotics without stevia.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58" customHeight="1">
      <c r="A5" s="15" t="inlineStr">
        <is>
          <t>Mayawell</t>
        </is>
      </c>
      <c r="B5" s="15" t="inlineStr">
        <is>
          <t>Mayawell Prebiotic Soda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12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Strawberry Hibiscus, Prickly Pear, Mango Chili, Grapefruit Jalapeno</t>
        </is>
      </c>
      <c r="P5" s="16" t="n">
        <v>0</v>
      </c>
      <c r="Q5" s="16" t="n">
        <v>20</v>
      </c>
      <c r="R5" s="15" t="inlineStr">
        <is>
          <t>Not listed</t>
        </is>
      </c>
      <c r="S5" s="16" t="n">
        <v>6</v>
      </c>
      <c r="T5" s="16" t="n">
        <v>40</v>
      </c>
      <c r="U5" s="15" t="inlineStr">
        <is>
          <t>Agave inulin</t>
        </is>
      </c>
      <c r="V5" s="15" t="inlineStr">
        <is>
          <t>Prebiotic agave fiber, gut health, low sugar, Latino-owned</t>
        </is>
      </c>
      <c r="W5" s="19" t="n"/>
      <c r="X5" s="19" t="n"/>
      <c r="Y5" s="19" t="n"/>
      <c r="Z5" s="19" t="n"/>
      <c r="AA5" s="15" t="inlineStr">
        <is>
          <t>Low</t>
        </is>
      </c>
      <c r="AB5" s="15" t="inlineStr">
        <is>
          <t>Small emerging brand; limited footprint</t>
        </is>
      </c>
      <c r="AC5" s="15" t="inlineStr">
        <is>
          <t>Agave-fiber prebiotic soda with bold flavours</t>
        </is>
      </c>
      <c r="AD5" s="15" t="inlineStr">
        <is>
          <t>Distinctive agave-fiber prebiotic and adventurous flavours.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58" customHeight="1">
      <c r="A6" s="15" t="inlineStr">
        <is>
          <t>De La Calle</t>
        </is>
      </c>
      <c r="B6" s="15" t="inlineStr">
        <is>
          <t>De La Calle Tepache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Tamarindo, Mango Chili, Original, Guava, Pineapple Spice</t>
        </is>
      </c>
      <c r="P6" s="16" t="n">
        <v>0</v>
      </c>
      <c r="Q6" s="16" t="n">
        <v>15</v>
      </c>
      <c r="R6" s="15" t="inlineStr">
        <is>
          <t>Not listed</t>
        </is>
      </c>
      <c r="S6" s="16" t="n">
        <v>6</v>
      </c>
      <c r="T6" s="16" t="n">
        <v>45</v>
      </c>
      <c r="U6" s="15" t="inlineStr">
        <is>
          <t>Fermented pineapple + agave</t>
        </is>
      </c>
      <c r="V6" s="15" t="inlineStr">
        <is>
          <t>Fermented prebiotic tepache, gut health, low sugar</t>
        </is>
      </c>
      <c r="W6" s="19" t="n"/>
      <c r="X6" s="19" t="n"/>
      <c r="Y6" s="19" t="n"/>
      <c r="Z6" s="19" t="n"/>
      <c r="AA6" s="15" t="inlineStr">
        <is>
          <t>Low</t>
        </is>
      </c>
      <c r="AB6" s="15" t="inlineStr">
        <is>
          <t>Niche fermented-soda entrant</t>
        </is>
      </c>
      <c r="AC6" s="15" t="inlineStr">
        <is>
          <t>Traditional Mexican fermented tepache, modernized</t>
        </is>
      </c>
      <c r="AD6" s="15" t="inlineStr">
        <is>
          <t>Authentic fermented tepache with a prebiotic angle.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58" customHeight="1">
      <c r="A7" s="15" t="inlineStr">
        <is>
          <t>GT's</t>
        </is>
      </c>
      <c r="B7" s="15" t="inlineStr">
        <is>
          <t>GT's Synergy Raw Kombucha</t>
        </is>
      </c>
      <c r="C7" s="15" t="inlineStr">
        <is>
          <t>3) Functional beverage (still/sparkling)</t>
        </is>
      </c>
      <c r="D7" s="15" t="inlineStr">
        <is>
          <t>480 mL bottle</t>
        </is>
      </c>
      <c r="E7" s="16" t="n">
        <v>12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Trilogy, Gingerade, Gingerberry, Strawberry Lemonade, Cosmic Cranberry</t>
        </is>
      </c>
      <c r="P7" s="16" t="n">
        <v>10</v>
      </c>
      <c r="Q7" s="16" t="n">
        <v>10</v>
      </c>
      <c r="R7" s="15" t="inlineStr">
        <is>
          <t>Not listed</t>
        </is>
      </c>
      <c r="S7" s="16" t="n">
        <v>6</v>
      </c>
      <c r="T7" s="16" t="n">
        <v>30</v>
      </c>
      <c r="U7" s="15" t="inlineStr">
        <is>
          <t>Naturally fermented (residual)</t>
        </is>
      </c>
      <c r="V7" s="15" t="inlineStr">
        <is>
          <t>Raw kombucha, billions of probiotics, gut health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Kombucha category leader</t>
        </is>
      </c>
      <c r="AC7" s="15" t="inlineStr">
        <is>
          <t>The original raw, probiotic kombucha</t>
        </is>
      </c>
      <c r="AD7" s="15" t="inlineStr">
        <is>
          <t>Authentic raw kombucha from the category pioneer.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480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58" customHeight="1">
      <c r="A8" s="15" t="inlineStr">
        <is>
          <t>Health-Ade</t>
        </is>
      </c>
      <c r="B8" s="15" t="inlineStr">
        <is>
          <t>Health-Ade Kombucha</t>
        </is>
      </c>
      <c r="C8" s="15" t="inlineStr">
        <is>
          <t>3) Functional beverage (still/sparkling)</t>
        </is>
      </c>
      <c r="D8" s="15" t="inlineStr">
        <is>
          <t>473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Pink Lady Apple, Pomegranate, Ginger Lemon, Bubbly Rose, California Grape</t>
        </is>
      </c>
      <c r="P8" s="16" t="n">
        <v>15</v>
      </c>
      <c r="Q8" s="16" t="n">
        <v>10</v>
      </c>
      <c r="R8" s="15" t="inlineStr">
        <is>
          <t>Not listed</t>
        </is>
      </c>
      <c r="S8" s="16" t="n">
        <v>7</v>
      </c>
      <c r="T8" s="16" t="n">
        <v>35</v>
      </c>
      <c r="U8" s="15" t="inlineStr">
        <is>
          <t>Naturally fermented (residual)</t>
        </is>
      </c>
      <c r="V8" s="15" t="inlineStr">
        <is>
          <t>Probiotics, organic, gut health, glass-bottle quality</t>
        </is>
      </c>
      <c r="W8" s="19" t="n"/>
      <c r="X8" s="19" t="n"/>
      <c r="Y8" s="19" t="n"/>
      <c r="Z8" s="19" t="n"/>
      <c r="AA8" s="15" t="inlineStr">
        <is>
          <t>Medium</t>
        </is>
      </c>
      <c r="AB8" s="15" t="inlineStr">
        <is>
          <t>Premium kombucha; strong natural channel</t>
        </is>
      </c>
      <c r="AC8" s="15" t="inlineStr">
        <is>
          <t>Premium small-batch organic kombucha</t>
        </is>
      </c>
      <c r="AD8" s="15" t="inlineStr">
        <is>
          <t>Premium organic kombucha taste and quality cues.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473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58" customHeight="1">
      <c r="A9" s="15" t="inlineStr">
        <is>
          <t>Remedy</t>
        </is>
      </c>
      <c r="B9" s="15" t="inlineStr">
        <is>
          <t>Remedy Kombucha</t>
        </is>
      </c>
      <c r="C9" s="15" t="inlineStr">
        <is>
          <t>3) Functional beverage (still/sparkling)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Lemonade, Ginger Lemon, Peach, Cherry Plum, Passionfruit</t>
        </is>
      </c>
      <c r="P9" s="16" t="n">
        <v>10</v>
      </c>
      <c r="Q9" s="16" t="n">
        <v>5</v>
      </c>
      <c r="R9" s="15" t="inlineStr">
        <is>
          <t>Not listed</t>
        </is>
      </c>
      <c r="S9" s="16" t="n">
        <v>0</v>
      </c>
      <c r="T9" s="16" t="n">
        <v>8</v>
      </c>
      <c r="U9" s="15" t="inlineStr">
        <is>
          <t>None (sugar-free fermented)</t>
        </is>
      </c>
      <c r="V9" s="15" t="inlineStr">
        <is>
          <t>Sugar-free kombucha, live cultures, organic acids</t>
        </is>
      </c>
      <c r="W9" s="19" t="n"/>
      <c r="X9" s="19" t="n"/>
      <c r="Y9" s="19" t="n"/>
      <c r="Z9" s="19" t="n"/>
      <c r="AA9" s="15" t="inlineStr">
        <is>
          <t>Medium</t>
        </is>
      </c>
      <c r="AB9" s="15" t="inlineStr">
        <is>
          <t>Sugar-free kombucha differentiator</t>
        </is>
      </c>
      <c r="AC9" s="15" t="inlineStr">
        <is>
          <t>Kombucha benefits with no sugar</t>
        </is>
      </c>
      <c r="AD9" s="15" t="inlineStr">
        <is>
          <t>Live-culture kombucha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58" customHeight="1">
      <c r="A10" s="15" t="inlineStr">
        <is>
          <t>Recess</t>
        </is>
      </c>
      <c r="B10" s="15" t="inlineStr">
        <is>
          <t>Recess Mood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Blackberry Chai, Pomegranate Hibiscus, Blood Orange, Black Cherry, Coconut Lime</t>
        </is>
      </c>
      <c r="P10" s="16" t="n">
        <v>0</v>
      </c>
      <c r="Q10" s="16" t="n">
        <v>10</v>
      </c>
      <c r="R10" s="15" t="inlineStr">
        <is>
          <t>Not listed</t>
        </is>
      </c>
      <c r="S10" s="16" t="n">
        <v>1</v>
      </c>
      <c r="T10" s="16" t="n">
        <v>25</v>
      </c>
      <c r="U10" s="15" t="inlineStr">
        <is>
          <t>Agave + stevia</t>
        </is>
      </c>
      <c r="V10" s="15" t="inlineStr">
        <is>
          <t>Adaptogens + magnesium + L-theanine, calm/de-stress</t>
        </is>
      </c>
      <c r="W10" s="19" t="n"/>
      <c r="X10" s="19" t="n"/>
      <c r="Y10" s="19" t="n"/>
      <c r="Z10" s="19" t="n"/>
      <c r="AA10" s="15" t="inlineStr">
        <is>
          <t>Medium</t>
        </is>
      </c>
      <c r="AB10" s="15" t="inlineStr">
        <is>
          <t>Leading calming/adaptogen sparkling brand</t>
        </is>
      </c>
      <c r="AC10" s="15" t="inlineStr">
        <is>
          <t>A sparkling drink designed to calm you down</t>
        </is>
      </c>
      <c r="AD10" s="15" t="inlineStr">
        <is>
          <t>Adaptogens and L-theanine for relaxation, not energy.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58" customHeight="1">
      <c r="A11" s="15" t="inlineStr">
        <is>
          <t>Protein2o</t>
        </is>
      </c>
      <c r="B11" s="15" t="inlineStr">
        <is>
          <t>Protein2o Protein Infused Water</t>
        </is>
      </c>
      <c r="C11" s="15" t="inlineStr">
        <is>
          <t>3) Functional beverage (still/sparkling)</t>
        </is>
      </c>
      <c r="D11" s="15" t="inlineStr">
        <is>
          <t>500 mL bottle</t>
        </is>
      </c>
      <c r="E11" s="16" t="n">
        <v>12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Wild Cherry, Mixed Berry, Tropical Coconut, Peach Mango, Blueberry Raspberry</t>
        </is>
      </c>
      <c r="P11" s="16" t="n">
        <v>0</v>
      </c>
      <c r="Q11" s="16" t="n">
        <v>120</v>
      </c>
      <c r="R11" s="15" t="inlineStr">
        <is>
          <t>Not listed</t>
        </is>
      </c>
      <c r="S11" s="16" t="n">
        <v>1</v>
      </c>
      <c r="T11" s="16" t="n">
        <v>70</v>
      </c>
      <c r="U11" s="15" t="inlineStr">
        <is>
          <t>Sucralose + acesulfame-K</t>
        </is>
      </c>
      <c r="V11" s="15" t="inlineStr">
        <is>
          <t>15 g whey protein isolate, electrolytes, low calorie</t>
        </is>
      </c>
      <c r="W11" s="19" t="n"/>
      <c r="X11" s="19" t="n"/>
      <c r="Y11" s="19" t="n"/>
      <c r="Z11" s="19" t="n"/>
      <c r="AA11" s="15" t="inlineStr">
        <is>
          <t>Medium</t>
        </is>
      </c>
      <c r="AB11" s="15" t="inlineStr">
        <is>
          <t>Leading protein-water; fitness shoppers</t>
        </is>
      </c>
      <c r="AC11" s="15" t="inlineStr">
        <is>
          <t>15 g of protein in a light, clear water</t>
        </is>
      </c>
      <c r="AD11" s="15" t="inlineStr">
        <is>
          <t>Real protein dose without a heavy milkshake texture.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58" customHeight="1">
      <c r="A12" s="15" t="inlineStr">
        <is>
          <t>vitaminwater</t>
        </is>
      </c>
      <c r="B12" s="15" t="inlineStr">
        <is>
          <t>vitaminwater (glaceau)</t>
        </is>
      </c>
      <c r="C12" s="15" t="inlineStr">
        <is>
          <t>3) Functional beverage (still/sparkling)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XXX Acai-Blueberry-Pomegranate, Power-C Dragonfruit, Focus Kiwi-Strawberry, Energy Tropical Citrus</t>
        </is>
      </c>
      <c r="P12" s="16" t="n">
        <v>50</v>
      </c>
      <c r="Q12" s="16" t="n">
        <v>0</v>
      </c>
      <c r="R12" s="15" t="inlineStr">
        <is>
          <t>Not listed</t>
        </is>
      </c>
      <c r="S12" s="16" t="n">
        <v>27</v>
      </c>
      <c r="T12" s="16" t="n">
        <v>120</v>
      </c>
      <c r="U12" s="15" t="inlineStr">
        <is>
          <t>Cane sugar + crystalline fructose</t>
        </is>
      </c>
      <c r="V12" s="15" t="inlineStr">
        <is>
          <t>Added vitamins (B, C), function-by-flavour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Established functional water; mass distribution</t>
        </is>
      </c>
      <c r="AC12" s="15" t="inlineStr">
        <is>
          <t>Flavoured water with a vitamin function story</t>
        </is>
      </c>
      <c r="AD12" s="15" t="inlineStr">
        <is>
          <t>Familiar vitamin-enhanced water in many functional flavours.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58" customHeight="1">
      <c r="A13" s="15" t="inlineStr">
        <is>
          <t>vitaminwater</t>
        </is>
      </c>
      <c r="B13" s="15" t="inlineStr">
        <is>
          <t>vitaminwater zero sugar</t>
        </is>
      </c>
      <c r="C13" s="15" t="inlineStr">
        <is>
          <t>3) Functional beverage (still/sparkling)</t>
        </is>
      </c>
      <c r="D13" s="15" t="inlineStr">
        <is>
          <t>591 mL bottle</t>
        </is>
      </c>
      <c r="E13" s="16" t="n">
        <v>12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XXX, Power-C, Squeezed Lemonade, Rise Orange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0</v>
      </c>
      <c r="T13" s="16" t="n">
        <v>0</v>
      </c>
      <c r="U13" s="15" t="inlineStr">
        <is>
          <t>Stevia + erythritol</t>
        </is>
      </c>
      <c r="V13" s="15" t="inlineStr">
        <is>
          <t>Vitamins, zero sugar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Strong zero-sugar variant</t>
        </is>
      </c>
      <c r="AC13" s="15" t="inlineStr">
        <is>
          <t>Vitamin water with zero sugar</t>
        </is>
      </c>
      <c r="AD13" s="15" t="inlineStr">
        <is>
          <t>The vitamin story without the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58" customHeight="1">
      <c r="A14" s="15" t="inlineStr">
        <is>
          <t>Bai</t>
        </is>
      </c>
      <c r="B14" s="15" t="inlineStr">
        <is>
          <t>Bai Antioxidant Infusion</t>
        </is>
      </c>
      <c r="C14" s="15" t="inlineStr">
        <is>
          <t>3) Functional beverage (still/sparkling)</t>
        </is>
      </c>
      <c r="D14" s="15" t="inlineStr">
        <is>
          <t>530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Brasilia Blueberry, Costa Rica Clementine, Molokai Coconut, Ipanema Pomegranate</t>
        </is>
      </c>
      <c r="P14" s="16" t="n">
        <v>35</v>
      </c>
      <c r="Q14" s="16" t="n">
        <v>10</v>
      </c>
      <c r="R14" s="15" t="inlineStr">
        <is>
          <t>Not listed</t>
        </is>
      </c>
      <c r="S14" s="16" t="n">
        <v>1</v>
      </c>
      <c r="T14" s="16" t="n">
        <v>10</v>
      </c>
      <c r="U14" s="15" t="inlineStr">
        <is>
          <t>Erythritol + stevia</t>
        </is>
      </c>
      <c r="V14" s="15" t="inlineStr">
        <is>
          <t>Antioxidants, low sugar, low calorie</t>
        </is>
      </c>
      <c r="W14" s="19" t="n"/>
      <c r="X14" s="19" t="n"/>
      <c r="Y14" s="19" t="n"/>
      <c r="Z14" s="19" t="n"/>
      <c r="AA14" s="15" t="inlineStr">
        <is>
          <t>Medium</t>
        </is>
      </c>
      <c r="AB14" s="15" t="inlineStr">
        <is>
          <t>Established low-sugar functional flavoured water</t>
        </is>
      </c>
      <c r="AC14" s="15" t="inlineStr">
        <is>
          <t>Antioxidant flavoured water, barely any sugar</t>
        </is>
      </c>
      <c r="AD14" s="15" t="inlineStr">
        <is>
          <t>Flavour with antioxidants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530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58" customHeight="1">
      <c r="A15" s="15" t="inlineStr">
        <is>
          <t>Hint</t>
        </is>
      </c>
      <c r="B15" s="15" t="inlineStr">
        <is>
          <t>Hint Water (fruit-infused)</t>
        </is>
      </c>
      <c r="C15" s="15" t="inlineStr">
        <is>
          <t>3) Functional beverage (still/sparkling)</t>
        </is>
      </c>
      <c r="D15" s="15" t="inlineStr">
        <is>
          <t>473 mL bottle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Watermelon, Blackberry, Cherry, Pineapple, Peach, Crisp Apple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0</v>
      </c>
      <c r="T15" s="16" t="n">
        <v>0</v>
      </c>
      <c r="U15" s="15" t="inlineStr">
        <is>
          <t>None (fruit essence only)</t>
        </is>
      </c>
      <c r="V15" s="15" t="inlineStr">
        <is>
          <t>Zero sweetener, zero sugar, zero calorie, just fruit essence</t>
        </is>
      </c>
      <c r="W15" s="19" t="n"/>
      <c r="X15" s="19" t="n"/>
      <c r="Y15" s="19" t="n"/>
      <c r="Z15" s="19" t="n"/>
      <c r="AA15" s="15" t="inlineStr">
        <is>
          <t>Medium</t>
        </is>
      </c>
      <c r="AB15" s="15" t="inlineStr">
        <is>
          <t>Leading unsweetened flavoured water</t>
        </is>
      </c>
      <c r="AC15" s="15" t="inlineStr">
        <is>
          <t>Fruit-flavoured water with absolutely no sweetener</t>
        </is>
      </c>
      <c r="AD15" s="15" t="inlineStr">
        <is>
          <t>Real fruit essence with zero sweeteners of any kind.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58" customHeight="1">
      <c r="A16" s="15" t="inlineStr">
        <is>
          <t>wildwonder</t>
        </is>
      </c>
      <c r="B16" s="15" t="inlineStr">
        <is>
          <t>wildwonder Sparkling Prebiotic+Probiotic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Strawberry Passion, Peach Ginger, Raspberry Rose, Lemon Elderflower, Pineapple Mango</t>
        </is>
      </c>
      <c r="P16" s="16" t="n">
        <v>0</v>
      </c>
      <c r="Q16" s="16" t="n">
        <v>15</v>
      </c>
      <c r="R16" s="15" t="inlineStr">
        <is>
          <t>Not listed</t>
        </is>
      </c>
      <c r="S16" s="16" t="n">
        <v>6</v>
      </c>
      <c r="T16" s="16" t="n">
        <v>45</v>
      </c>
      <c r="U16" s="15" t="inlineStr">
        <is>
          <t>Cane sugar + chicory inulin</t>
        </is>
      </c>
      <c r="V16" s="15" t="inlineStr">
        <is>
          <t>Prebiotics + probiotics, organic botanicals, gut health, low sugar</t>
        </is>
      </c>
      <c r="W16" s="19" t="n"/>
      <c r="X16" s="19" t="n"/>
      <c r="Y16" s="19" t="n"/>
      <c r="Z16" s="19" t="n"/>
      <c r="AA16" s="15" t="inlineStr">
        <is>
          <t>Low</t>
        </is>
      </c>
      <c r="AB16" s="15" t="inlineStr">
        <is>
          <t>Emerging female/AAPI-founded gut-health brand</t>
        </is>
      </c>
      <c r="AC16" s="15" t="inlineStr">
        <is>
          <t>Botanical gut-health soda with pre + probiotics</t>
        </is>
      </c>
      <c r="AD16" s="15" t="inlineStr">
        <is>
          <t>Both prebiotics and probiotics plus organic botanicals.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58" customHeight="1">
      <c r="A17" s="15" t="inlineStr">
        <is>
          <t>Lemon Perfect</t>
        </is>
      </c>
      <c r="B17" s="15" t="inlineStr">
        <is>
          <t>Lemon Perfect Cold-Pressed Lemon Water</t>
        </is>
      </c>
      <c r="C17" s="15" t="inlineStr">
        <is>
          <t>3) Functional beverage (still/sparkling)</t>
        </is>
      </c>
      <c r="D17" s="15" t="inlineStr">
        <is>
          <t>355 mL bottle</t>
        </is>
      </c>
      <c r="E17" s="16" t="n">
        <v>12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Just Lemon, Peach Raspberry, Dragon Fruit Mango, Blueberry Acai, Strawberry Passionfruit</t>
        </is>
      </c>
      <c r="P17" s="16" t="n">
        <v>0</v>
      </c>
      <c r="Q17" s="16" t="n">
        <v>20</v>
      </c>
      <c r="R17" s="16" t="n">
        <v>70</v>
      </c>
      <c r="S17" s="16" t="n">
        <v>1</v>
      </c>
      <c r="T17" s="16" t="n">
        <v>5</v>
      </c>
      <c r="U17" s="15" t="inlineStr">
        <is>
          <t>Stevia + monk fruit</t>
        </is>
      </c>
      <c r="V17" s="15" t="inlineStr">
        <is>
          <t>Cold-pressed lemon, vitamin C, electrolytes, low sugar, organic</t>
        </is>
      </c>
      <c r="W17" s="19" t="n"/>
      <c r="X17" s="19" t="n"/>
      <c r="Y17" s="19" t="n"/>
      <c r="Z17" s="19" t="n"/>
      <c r="AA17" s="15" t="inlineStr">
        <is>
          <t>Low</t>
        </is>
      </c>
      <c r="AB17" s="15" t="inlineStr">
        <is>
          <t>Emerging functional lemon-water entrant</t>
        </is>
      </c>
      <c r="AC17" s="15" t="inlineStr">
        <is>
          <t>Organic lemon water with vitamin C and electrolytes</t>
        </is>
      </c>
      <c r="AD17" s="15" t="inlineStr">
        <is>
          <t>Clean lemon-water hydration with vitamin C, barely any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</sheetData>
  <conditionalFormatting sqref="S2:S17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17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17">
    <cfRule type="dataBar" priority="3">
      <dataBar>
        <cfvo type="num" val="0"/>
        <cfvo type="num" val="100"/>
        <color rgb="0063BE7B"/>
      </dataBar>
    </cfRule>
  </conditionalFormatting>
  <conditionalFormatting sqref="AK2:AK17">
    <cfRule type="dataBar" priority="4">
      <dataBar>
        <cfvo type="num" val="0"/>
        <cfvo type="num" val="75"/>
        <color rgb="008FAADC"/>
      </dataBar>
    </cfRule>
  </conditionalFormatting>
  <conditionalFormatting sqref="AP2:AP17">
    <cfRule type="expression" priority="5" dxfId="0">
      <formula>ISBLANK($F2)</formula>
    </cfRule>
  </conditionalFormatting>
  <dataValidations count="1">
    <dataValidation sqref="I2:I17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58" customHeight="1">
      <c r="A2" s="15" t="inlineStr">
        <is>
          <t>Red Bull</t>
        </is>
      </c>
      <c r="B2" s="15" t="inlineStr">
        <is>
          <t>Red Bull Energy Drink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24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58" customHeight="1">
      <c r="A3" s="15" t="inlineStr">
        <is>
          <t>Red Bull</t>
        </is>
      </c>
      <c r="B3" s="15" t="inlineStr">
        <is>
          <t>Red Bull Sugarfree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 (sugarfree)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0</v>
      </c>
      <c r="T3" s="16" t="n">
        <v>5</v>
      </c>
      <c r="U3" s="15" t="inlineStr">
        <is>
          <t>Aspartame + acesulfame-K</t>
        </is>
      </c>
      <c r="V3" s="15" t="inlineStr">
        <is>
          <t>Energy, zero sugar, B-vitamins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Strong line extension of #1 brand</t>
        </is>
      </c>
      <c r="AC3" s="15" t="inlineStr">
        <is>
          <t>Red Bull energy, no sugar</t>
        </is>
      </c>
      <c r="AD3" s="15" t="inlineStr">
        <is>
          <t>No sugar without leaving the brand they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58" customHeight="1">
      <c r="A4" s="15" t="inlineStr">
        <is>
          <t>Monster</t>
        </is>
      </c>
      <c r="B4" s="15" t="inlineStr">
        <is>
          <t>Monster Energy Original (Green)</t>
        </is>
      </c>
      <c r="C4" s="15" t="inlineStr">
        <is>
          <t>4) Caffeine &amp; energy beverage</t>
        </is>
      </c>
      <c r="D4" s="15" t="inlineStr">
        <is>
          <t>473 mL can</t>
        </is>
      </c>
      <c r="E4" s="16" t="n">
        <v>15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160</v>
      </c>
      <c r="Q4" s="16" t="n">
        <v>370</v>
      </c>
      <c r="R4" s="15" t="inlineStr">
        <is>
          <t>Not listed</t>
        </is>
      </c>
      <c r="S4" s="16" t="n">
        <v>54</v>
      </c>
      <c r="T4" s="16" t="n">
        <v>210</v>
      </c>
      <c r="U4" s="15" t="inlineStr">
        <is>
          <t>Sugar + glucose</t>
        </is>
      </c>
      <c r="V4" s="15" t="inlineStr">
        <is>
          <t>Big energy blend, taurine, ginseng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#2 energy brand; large can = value perception</t>
        </is>
      </c>
      <c r="AC4" s="15" t="inlineStr">
        <is>
          <t>A bigger, harder-hitting energy can</t>
        </is>
      </c>
      <c r="AD4" s="15" t="inlineStr">
        <is>
          <t>Pack economics and high dose - more caffeine and volume per dollar.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473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58" customHeight="1">
      <c r="A5" s="15" t="inlineStr">
        <is>
          <t>Monster</t>
        </is>
      </c>
      <c r="B5" s="15" t="inlineStr">
        <is>
          <t>Monster Energy Ultra Zero (White)</t>
        </is>
      </c>
      <c r="C5" s="15" t="inlineStr">
        <is>
          <t>4) Caffeine &amp; energy beverage</t>
        </is>
      </c>
      <c r="D5" s="15" t="inlineStr">
        <is>
          <t>473 mL can</t>
        </is>
      </c>
      <c r="E5" s="16" t="n">
        <v>12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Zero Ultra, Ultra Paradise, Ultra Sunrise, Ultra Watermelon, Ultra Gold</t>
        </is>
      </c>
      <c r="P5" s="16" t="n">
        <v>140</v>
      </c>
      <c r="Q5" s="16" t="n">
        <v>370</v>
      </c>
      <c r="R5" s="15" t="inlineStr">
        <is>
          <t>Not listed</t>
        </is>
      </c>
      <c r="S5" s="16" t="n">
        <v>0</v>
      </c>
      <c r="T5" s="16" t="n">
        <v>10</v>
      </c>
      <c r="U5" s="15" t="inlineStr">
        <is>
          <t>Erythritol + sucralose</t>
        </is>
      </c>
      <c r="V5" s="15" t="inlineStr">
        <is>
          <t>Zero sugar, light taste, full energy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Best-selling zero-sugar energy line</t>
        </is>
      </c>
      <c r="AC5" s="15" t="inlineStr">
        <is>
          <t>Full Monster energy, zero sugar, lighter taste</t>
        </is>
      </c>
      <c r="AD5" s="15" t="inlineStr">
        <is>
          <t>No sugar plus a lighter flavour than the green can.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473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58" customHeight="1">
      <c r="A6" s="15" t="inlineStr">
        <is>
          <t>Celsius</t>
        </is>
      </c>
      <c r="B6" s="15" t="inlineStr">
        <is>
          <t>Celsius Original Sparkling</t>
        </is>
      </c>
      <c r="C6" s="15" t="inlineStr">
        <is>
          <t>4) Caffeine &amp; energy beverage</t>
        </is>
      </c>
      <c r="D6" s="15" t="inlineStr">
        <is>
          <t>355 mL can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Sparkling Orange, Wild Berry, Kiwi Guava, Cola, Fuji Apple Pear, Sparkling Cranberry</t>
        </is>
      </c>
      <c r="P6" s="16" t="n">
        <v>200</v>
      </c>
      <c r="Q6" s="16" t="n">
        <v>10</v>
      </c>
      <c r="R6" s="16" t="n">
        <v>50</v>
      </c>
      <c r="S6" s="16" t="n">
        <v>0</v>
      </c>
      <c r="T6" s="16" t="n">
        <v>10</v>
      </c>
      <c r="U6" s="15" t="inlineStr">
        <is>
          <t>Sucralose</t>
        </is>
      </c>
      <c r="V6" s="15" t="inlineStr">
        <is>
          <t>Accelerates metabolism, MetaPlus blend, zero sugar, vitamins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Fastest-growing energy brand; fitness crossover</t>
        </is>
      </c>
      <c r="AC6" s="15" t="inlineStr">
        <is>
          <t>Functional energy that claims to boost metabolism</t>
        </is>
      </c>
      <c r="AD6" s="15" t="inlineStr">
        <is>
          <t>No sugar plus a fitness/metabolism story, not just caffeine.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58" customHeight="1">
      <c r="A7" s="15" t="inlineStr">
        <is>
          <t>Celsius</t>
        </is>
      </c>
      <c r="B7" s="15" t="inlineStr">
        <is>
          <t>Celsius Essentials</t>
        </is>
      </c>
      <c r="C7" s="15" t="inlineStr">
        <is>
          <t>4) Caffeine &amp; energy beverage</t>
        </is>
      </c>
      <c r="D7" s="15" t="inlineStr">
        <is>
          <t>473 mL can</t>
        </is>
      </c>
      <c r="E7" s="16" t="n">
        <v>12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Cosmic Blue, Sparkling Green, Dragonberry, Orange Mango</t>
        </is>
      </c>
      <c r="P7" s="16" t="n">
        <v>270</v>
      </c>
      <c r="Q7" s="16" t="n">
        <v>10</v>
      </c>
      <c r="R7" s="15" t="inlineStr">
        <is>
          <t>Not listed</t>
        </is>
      </c>
      <c r="S7" s="16" t="n">
        <v>0</v>
      </c>
      <c r="T7" s="16" t="n">
        <v>10</v>
      </c>
      <c r="U7" s="15" t="inlineStr">
        <is>
          <t>Sucralose</t>
        </is>
      </c>
      <c r="V7" s="15" t="inlineStr">
        <is>
          <t>Higher caffeine, amino acids, zero sugar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Higher-dose line riding Celsius momentum</t>
        </is>
      </c>
      <c r="AC7" s="15" t="inlineStr">
        <is>
          <t>A bigger, stronger Celsius for serious energy</t>
        </is>
      </c>
      <c r="AD7" s="15" t="inlineStr">
        <is>
          <t>Highest caffeine dose in the Celsius family.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473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58" customHeight="1">
      <c r="A8" s="15" t="inlineStr">
        <is>
          <t>Prime</t>
        </is>
      </c>
      <c r="B8" s="15" t="inlineStr">
        <is>
          <t>Prime Energy</t>
        </is>
      </c>
      <c r="C8" s="15" t="inlineStr">
        <is>
          <t>4) Caffeine &amp; energy beverage</t>
        </is>
      </c>
      <c r="D8" s="15" t="inlineStr">
        <is>
          <t>355 mL can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Blue Raspberry, Tropical Punch, Lemon Lime, Ice Pop, Strawberry Watermelon</t>
        </is>
      </c>
      <c r="P8" s="16" t="n">
        <v>200</v>
      </c>
      <c r="Q8" s="16" t="n">
        <v>10</v>
      </c>
      <c r="R8" s="15" t="inlineStr">
        <is>
          <t>Not listed</t>
        </is>
      </c>
      <c r="S8" s="16" t="n">
        <v>0</v>
      </c>
      <c r="T8" s="16" t="n">
        <v>10</v>
      </c>
      <c r="U8" s="15" t="inlineStr">
        <is>
          <t>Sucralose + acesulfame-K</t>
        </is>
      </c>
      <c r="V8" s="15" t="inlineStr">
        <is>
          <t>Zero sugar, electrolytes,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Influencer-driven (Logan Paul/KSI); youth pull</t>
        </is>
      </c>
      <c r="AC8" s="15" t="inlineStr">
        <is>
          <t>Hype-brand energy with zero sugar</t>
        </is>
      </c>
      <c r="AD8" s="15" t="inlineStr">
        <is>
          <t>Social-media brand cachet with a zero-sugar profile.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58" customHeight="1">
      <c r="A9" s="15" t="inlineStr">
        <is>
          <t>C4</t>
        </is>
      </c>
      <c r="B9" s="15" t="inlineStr">
        <is>
          <t>C4 Energy (Performance)</t>
        </is>
      </c>
      <c r="C9" s="15" t="inlineStr">
        <is>
          <t>4) Caffeine &amp; energy beverage</t>
        </is>
      </c>
      <c r="D9" s="15" t="inlineStr">
        <is>
          <t>473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Frozen Bombsicle, Cotton Candy, Strawberry Watermelon, Tropical Blast, Orange Slice</t>
        </is>
      </c>
      <c r="P9" s="16" t="n">
        <v>200</v>
      </c>
      <c r="Q9" s="16" t="n">
        <v>45</v>
      </c>
      <c r="R9" s="15" t="inlineStr">
        <is>
          <t>Not listed</t>
        </is>
      </c>
      <c r="S9" s="16" t="n">
        <v>0</v>
      </c>
      <c r="T9" s="16" t="n">
        <v>0</v>
      </c>
      <c r="U9" s="15" t="inlineStr">
        <is>
          <t>Sucralose + acesulfame-K</t>
        </is>
      </c>
      <c r="V9" s="15" t="inlineStr">
        <is>
          <t>Pre-workout energy, beta-alanine (CarnoSyn)</t>
        </is>
      </c>
      <c r="W9" s="19" t="n"/>
      <c r="X9" s="19" t="n"/>
      <c r="Y9" s="19" t="n"/>
      <c r="Z9" s="19" t="n"/>
      <c r="AA9" s="15" t="inlineStr">
        <is>
          <t>Medium</t>
        </is>
      </c>
      <c r="AB9" s="15" t="inlineStr">
        <is>
          <t>Strong in fitness/pre-workout niche</t>
        </is>
      </c>
      <c r="AC9" s="15" t="inlineStr">
        <is>
          <t>Pre-workout performance in a ready-to-drink can</t>
        </is>
      </c>
      <c r="AD9" s="15" t="inlineStr">
        <is>
          <t>Performance/pre-workout positioning with beta-alanine.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473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58" customHeight="1">
      <c r="A10" s="15" t="inlineStr">
        <is>
          <t>Reign</t>
        </is>
      </c>
      <c r="B10" s="15" t="inlineStr">
        <is>
          <t>Reign Total Body Fuel</t>
        </is>
      </c>
      <c r="C10" s="15" t="inlineStr">
        <is>
          <t>4) Caffeine &amp; energy beverage</t>
        </is>
      </c>
      <c r="D10" s="15" t="inlineStr">
        <is>
          <t>473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Razzle Berry, Melon Mania, Sour Apple, Orange Dreamsicle, Lemon HDZ</t>
        </is>
      </c>
      <c r="P10" s="16" t="n">
        <v>300</v>
      </c>
      <c r="Q10" s="16" t="n">
        <v>10</v>
      </c>
      <c r="R10" s="15" t="inlineStr">
        <is>
          <t>Not listed</t>
        </is>
      </c>
      <c r="S10" s="16" t="n">
        <v>0</v>
      </c>
      <c r="T10" s="16" t="n">
        <v>10</v>
      </c>
      <c r="U10" s="15" t="inlineStr">
        <is>
          <t>Sucralose</t>
        </is>
      </c>
      <c r="V10" s="15" t="inlineStr">
        <is>
          <t>300 mg caffeine, BCAAs, CoQ10, zero sugar</t>
        </is>
      </c>
      <c r="W10" s="19" t="n"/>
      <c r="X10" s="19" t="n"/>
      <c r="Y10" s="19" t="n"/>
      <c r="Z10" s="19" t="n"/>
      <c r="AA10" s="15" t="inlineStr">
        <is>
          <t>Medium</t>
        </is>
      </c>
      <c r="AB10" s="15" t="inlineStr">
        <is>
          <t>Performance line under Monster umbrella</t>
        </is>
      </c>
      <c r="AC10" s="15" t="inlineStr">
        <is>
          <t>Maximum-dose fitness energy with BCAAs</t>
        </is>
      </c>
      <c r="AD10" s="15" t="inlineStr">
        <is>
          <t>Highest mainstream caffeine dose plus workout aminos.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473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58" customHeight="1">
      <c r="A11" s="15" t="inlineStr">
        <is>
          <t>Alani Nu</t>
        </is>
      </c>
      <c r="B11" s="15" t="inlineStr">
        <is>
          <t>Alani Nu Energy</t>
        </is>
      </c>
      <c r="C11" s="15" t="inlineStr">
        <is>
          <t>4) Caffeine &amp; energy beverage</t>
        </is>
      </c>
      <c r="D11" s="15" t="inlineStr">
        <is>
          <t>355 mL can</t>
        </is>
      </c>
      <c r="E11" s="16" t="n">
        <v>12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Hawaiian Shaved Ice, Witch's Brew, Mimosa, Cosmic Stardust, Breezeberry, Watermelon Wave</t>
        </is>
      </c>
      <c r="P11" s="16" t="n">
        <v>200</v>
      </c>
      <c r="Q11" s="16" t="n">
        <v>35</v>
      </c>
      <c r="R11" s="15" t="inlineStr">
        <is>
          <t>Not listed</t>
        </is>
      </c>
      <c r="S11" s="16" t="n">
        <v>0</v>
      </c>
      <c r="T11" s="16" t="n">
        <v>10</v>
      </c>
      <c r="U11" s="15" t="inlineStr">
        <is>
          <t>Sucralose</t>
        </is>
      </c>
      <c r="V11" s="15" t="inlineStr">
        <is>
          <t>Zero sugar, vitamins, female-fitness positioning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Fast-growing; strong female demographic &amp; flavours</t>
        </is>
      </c>
      <c r="AC11" s="15" t="inlineStr">
        <is>
          <t>Stylish zero-sugar energy aimed at women</t>
        </is>
      </c>
      <c r="AD11" s="15" t="inlineStr">
        <is>
          <t>On-trend flavours and aesthetic plus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58" customHeight="1">
      <c r="A12" s="15" t="inlineStr">
        <is>
          <t>Bang</t>
        </is>
      </c>
      <c r="B12" s="15" t="inlineStr">
        <is>
          <t>Bang Energy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Rainbow Unicorn, Star Blast, Cotton Candy, Blue Razz, Peach Mango</t>
        </is>
      </c>
      <c r="P12" s="16" t="n">
        <v>300</v>
      </c>
      <c r="Q12" s="16" t="n">
        <v>40</v>
      </c>
      <c r="R12" s="16" t="n">
        <v>85</v>
      </c>
      <c r="S12" s="16" t="n">
        <v>0</v>
      </c>
      <c r="T12" s="16" t="n">
        <v>0</v>
      </c>
      <c r="U12" s="15" t="inlineStr">
        <is>
          <t>Sucralose</t>
        </is>
      </c>
      <c r="V12" s="15" t="inlineStr">
        <is>
          <t>300 mg caffeine, BCAAs, CoQ10, zero calorie</t>
        </is>
      </c>
      <c r="W12" s="19" t="n"/>
      <c r="X12" s="19" t="n"/>
      <c r="Y12" s="19" t="n"/>
      <c r="Z12" s="19" t="n"/>
      <c r="AA12" s="15" t="inlineStr">
        <is>
          <t>Medium</t>
        </is>
      </c>
      <c r="AB12" s="15" t="inlineStr">
        <is>
          <t>Declining vs peak but still high volume</t>
        </is>
      </c>
      <c r="AC12" s="15" t="inlineStr">
        <is>
          <t>Zero-calorie high-caffeine performance fuel</t>
        </is>
      </c>
      <c r="AD12" s="15" t="inlineStr">
        <is>
          <t>High caffeine at zero calories with aminos.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58" customHeight="1">
      <c r="A13" s="15" t="inlineStr">
        <is>
          <t>Rockstar</t>
        </is>
      </c>
      <c r="B13" s="15" t="inlineStr">
        <is>
          <t>Rockstar Energy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12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Original, Sugar Free, Punched Fruit Punch, Pure Zero Silver Ice</t>
        </is>
      </c>
      <c r="P13" s="16" t="n">
        <v>160</v>
      </c>
      <c r="Q13" s="16" t="n">
        <v>65</v>
      </c>
      <c r="R13" s="15" t="inlineStr">
        <is>
          <t>Not listed</t>
        </is>
      </c>
      <c r="S13" s="16" t="n">
        <v>31</v>
      </c>
      <c r="T13" s="16" t="n">
        <v>122</v>
      </c>
      <c r="U13" s="15" t="inlineStr">
        <is>
          <t>Sugar (or sucralose on zero)</t>
        </is>
      </c>
      <c r="V13" s="15" t="inlineStr">
        <is>
          <t>Energy blend, taurine, guarana</t>
        </is>
      </c>
      <c r="W13" s="19" t="n"/>
      <c r="X13" s="19" t="n"/>
      <c r="Y13" s="19" t="n"/>
      <c r="Z13" s="19" t="n"/>
      <c r="AA13" s="15" t="inlineStr">
        <is>
          <t>Medium</t>
        </is>
      </c>
      <c r="AB13" s="15" t="inlineStr">
        <is>
          <t>Legacy brand; PepsiCo distribution</t>
        </is>
      </c>
      <c r="AC13" s="15" t="inlineStr">
        <is>
          <t>Value-priced legacy energy can</t>
        </is>
      </c>
      <c r="AD13" s="15" t="inlineStr">
        <is>
          <t>Familiar legacy brand, usually a lower price point.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58" customHeight="1">
      <c r="A14" s="15" t="inlineStr">
        <is>
          <t>GURU</t>
        </is>
      </c>
      <c r="B14" s="15" t="inlineStr">
        <is>
          <t>GURU Organic Energy</t>
        </is>
      </c>
      <c r="C14" s="15" t="inlineStr">
        <is>
          <t>4) Caffeine &amp; energy beverage</t>
        </is>
      </c>
      <c r="D14" s="15" t="inlineStr">
        <is>
          <t>355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Original, Lite, Tropical Punch, Yerba Mate</t>
        </is>
      </c>
      <c r="P14" s="16" t="n">
        <v>100</v>
      </c>
      <c r="Q14" s="16" t="n">
        <v>0</v>
      </c>
      <c r="R14" s="15" t="inlineStr">
        <is>
          <t>Not listed</t>
        </is>
      </c>
      <c r="S14" s="16" t="n">
        <v>21</v>
      </c>
      <c r="T14" s="16" t="n">
        <v>80</v>
      </c>
      <c r="U14" s="15" t="inlineStr">
        <is>
          <t>Organic cane sugar (or stevia on Lite)</t>
        </is>
      </c>
      <c r="V14" s="15" t="inlineStr">
        <is>
          <t>Certified organic, plant-based, natural caffeine (guarana/green tea)</t>
        </is>
      </c>
      <c r="W14" s="19" t="n"/>
      <c r="X14" s="19" t="n"/>
      <c r="Y14" s="19" t="n"/>
      <c r="Z14" s="19" t="n"/>
      <c r="AA14" s="15" t="inlineStr">
        <is>
          <t>Medium</t>
        </is>
      </c>
      <c r="AB14" s="15" t="inlineStr">
        <is>
          <t>Canadian brand; natural/organic niche leader at home</t>
        </is>
      </c>
      <c r="AC14" s="15" t="inlineStr">
        <is>
          <t>Clean, organic, plant-based energy (Canadian)</t>
        </is>
      </c>
      <c r="AD14" s="15" t="inlineStr">
        <is>
          <t>Organic, natural-caffeine alternative - a clean-label choice.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58" customHeight="1">
      <c r="A15" s="15" t="inlineStr">
        <is>
          <t>Guayaki</t>
        </is>
      </c>
      <c r="B15" s="15" t="inlineStr">
        <is>
          <t>Guayaki Yerba Mate</t>
        </is>
      </c>
      <c r="C15" s="15" t="inlineStr">
        <is>
          <t>4) Caffeine &amp; energy beverage</t>
        </is>
      </c>
      <c r="D15" s="15" t="inlineStr">
        <is>
          <t>458 mL can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Revel Berry, Enlighten Mint, Bluephoria, Lemon Elation, Orange Exuberance</t>
        </is>
      </c>
      <c r="P15" s="16" t="n">
        <v>150</v>
      </c>
      <c r="Q15" s="16" t="n">
        <v>10</v>
      </c>
      <c r="R15" s="15" t="inlineStr">
        <is>
          <t>Not listed</t>
        </is>
      </c>
      <c r="S15" s="16" t="n">
        <v>28</v>
      </c>
      <c r="T15" s="16" t="n">
        <v>120</v>
      </c>
      <c r="U15" s="15" t="inlineStr">
        <is>
          <t>Organic cane sugar</t>
        </is>
      </c>
      <c r="V15" s="15" t="inlineStr">
        <is>
          <t>Organic, Fair Trade yerba mate, clean energy</t>
        </is>
      </c>
      <c r="W15" s="19" t="n"/>
      <c r="X15" s="19" t="n"/>
      <c r="Y15" s="19" t="n"/>
      <c r="Z15" s="19" t="n"/>
      <c r="AA15" s="15" t="inlineStr">
        <is>
          <t>Medium</t>
        </is>
      </c>
      <c r="AB15" s="15" t="inlineStr">
        <is>
          <t>Strong natural-channel following</t>
        </is>
      </c>
      <c r="AC15" s="15" t="inlineStr">
        <is>
          <t>Organic yerba mate energy with an ethical story</t>
        </is>
      </c>
      <c r="AD15" s="15" t="inlineStr">
        <is>
          <t>Natural yerba-mate caffeine plus organic/Fair-Trade ethics.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458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58" customHeight="1">
      <c r="A16" s="15" t="inlineStr">
        <is>
          <t>NOS</t>
        </is>
      </c>
      <c r="B16" s="15" t="inlineStr">
        <is>
          <t>NOS Energy Drink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Original, Sugar Free</t>
        </is>
      </c>
      <c r="P16" s="16" t="n">
        <v>160</v>
      </c>
      <c r="Q16" s="16" t="n">
        <v>200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(or sucralose on SF)</t>
        </is>
      </c>
      <c r="V16" s="15" t="inlineStr">
        <is>
          <t>High-performance energy blend, taurine</t>
        </is>
      </c>
      <c r="W16" s="19" t="n"/>
      <c r="X16" s="19" t="n"/>
      <c r="Y16" s="19" t="n"/>
      <c r="Z16" s="19" t="n"/>
      <c r="AA16" s="15" t="inlineStr">
        <is>
          <t>Low</t>
        </is>
      </c>
      <c r="AB16" s="15" t="inlineStr">
        <is>
          <t>Niche legacy brand, limited shelf share</t>
        </is>
      </c>
      <c r="AC16" s="15" t="inlineStr">
        <is>
          <t>Motorsport-styled high-octane energy</t>
        </is>
      </c>
      <c r="AD16" s="15" t="inlineStr">
        <is>
          <t>Legacy enthusiast brand at a value price.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58" customHeight="1">
      <c r="A17" s="15" t="inlineStr">
        <is>
          <t>Starbucks</t>
        </is>
      </c>
      <c r="B17" s="15" t="inlineStr">
        <is>
          <t>Starbucks Doubleshot Espresso</t>
        </is>
      </c>
      <c r="C17" s="15" t="inlineStr">
        <is>
          <t>4) Caffeine &amp; energy beverage</t>
        </is>
      </c>
      <c r="D17" s="15" t="inlineStr">
        <is>
          <t>444 mL can</t>
        </is>
      </c>
      <c r="E17" s="16" t="n">
        <v>12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Espresso, Vanilla, Salted Caramel, White Chocolate</t>
        </is>
      </c>
      <c r="P17" s="16" t="n">
        <v>135</v>
      </c>
      <c r="Q17" s="16" t="n">
        <v>170</v>
      </c>
      <c r="R17" s="15" t="inlineStr">
        <is>
          <t>Not listed</t>
        </is>
      </c>
      <c r="S17" s="16" t="n">
        <v>29</v>
      </c>
      <c r="T17" s="16" t="n">
        <v>210</v>
      </c>
      <c r="U17" s="15" t="inlineStr">
        <is>
          <t>Sugar</t>
        </is>
      </c>
      <c r="V17" s="15" t="inlineStr">
        <is>
          <t>Espresso + milk RTD coffee energy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Coffee-energy crossover; broad mainstream appeal</t>
        </is>
      </c>
      <c r="AC17" s="15" t="inlineStr">
        <is>
          <t>Cafe espresso energy in a grab-and-go can</t>
        </is>
      </c>
      <c r="AD17" s="15" t="inlineStr">
        <is>
          <t>Trusted coffee taste rather than a synthetic energy flavour.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444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58" customHeight="1">
      <c r="A18" s="15" t="inlineStr">
        <is>
          <t>Ghost</t>
        </is>
      </c>
      <c r="B18" s="15" t="inlineStr">
        <is>
          <t>Ghost Energy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12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Sour Patch Kids Redberry, Warheads Sour Watermelon, Swedish Fish, Tropical Mango, Orange Cream</t>
        </is>
      </c>
      <c r="P18" s="16" t="n">
        <v>200</v>
      </c>
      <c r="Q18" s="16" t="n">
        <v>20</v>
      </c>
      <c r="R18" s="15" t="inlineStr">
        <is>
          <t>Not listed</t>
        </is>
      </c>
      <c r="S18" s="16" t="n">
        <v>0</v>
      </c>
      <c r="T18" s="16" t="n">
        <v>5</v>
      </c>
      <c r="U18" s="15" t="inlineStr">
        <is>
          <t>Sucralose + acesulfame-K</t>
        </is>
      </c>
      <c r="V18" s="15" t="inlineStr">
        <is>
          <t>200 mg natural caffeine, zero sugar, licensed-candy flavours, nootropic blend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Fast-growing lifestyle brand; strong flavour licensing</t>
        </is>
      </c>
      <c r="AC18" s="15" t="inlineStr">
        <is>
          <t>Candy-flavoured zero-sugar energy with a focus blend</t>
        </is>
      </c>
      <c r="AD18" s="15" t="inlineStr">
        <is>
          <t>Novel licensed-candy flavours plus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58" customHeight="1">
      <c r="A19" s="15" t="inlineStr">
        <is>
          <t>ZOA</t>
        </is>
      </c>
      <c r="B19" s="15" t="inlineStr">
        <is>
          <t>ZOA Zero Sugar Energy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Wild Orange, Super Berry, Tropical Punch, White Peach, Lemon Lime</t>
        </is>
      </c>
      <c r="P19" s="16" t="n">
        <v>160</v>
      </c>
      <c r="Q19" s="16" t="n">
        <v>70</v>
      </c>
      <c r="R19" s="16" t="n">
        <v>95</v>
      </c>
      <c r="S19" s="16" t="n">
        <v>0</v>
      </c>
      <c r="T19" s="16" t="n">
        <v>15</v>
      </c>
      <c r="U19" s="15" t="inlineStr">
        <is>
          <t>Sucralose + acesulfame-K</t>
        </is>
      </c>
      <c r="V19" s="15" t="inlineStr">
        <is>
          <t>Natural caffeine, electrolytes, vitamin C &amp; D, zero sugar (Dwayne Johnson brand)</t>
        </is>
      </c>
      <c r="W19" s="19" t="n"/>
      <c r="X19" s="19" t="n"/>
      <c r="Y19" s="19" t="n"/>
      <c r="Z19" s="19" t="n"/>
      <c r="AA19" s="15" t="inlineStr">
        <is>
          <t>Medium</t>
        </is>
      </c>
      <c r="AB19" s="15" t="inlineStr">
        <is>
          <t>Celebrity-founded; wellness-energy positioning</t>
        </is>
      </c>
      <c r="AC19" s="15" t="inlineStr">
        <is>
          <t>A 'healthier' energy with electrolytes and vitamins</t>
        </is>
      </c>
      <c r="AD19" s="15" t="inlineStr">
        <is>
          <t>Energy plus added electrolytes/vitamins and a celebrity halo.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58" customHeight="1">
      <c r="A20" s="15" t="inlineStr">
        <is>
          <t>Zevia</t>
        </is>
      </c>
      <c r="B20" s="15" t="inlineStr">
        <is>
          <t>Zevia Energy</t>
        </is>
      </c>
      <c r="C20" s="15" t="inlineStr">
        <is>
          <t>4) Caffeine &amp; energy beverage</t>
        </is>
      </c>
      <c r="D20" s="15" t="inlineStr">
        <is>
          <t>355 mL can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Mango Ginger, Grapefruit, Kola, Raspberry Lime</t>
        </is>
      </c>
      <c r="P20" s="16" t="n">
        <v>120</v>
      </c>
      <c r="Q20" s="16" t="n">
        <v>0</v>
      </c>
      <c r="R20" s="15" t="inlineStr">
        <is>
          <t>Not listed</t>
        </is>
      </c>
      <c r="S20" s="16" t="n">
        <v>0</v>
      </c>
      <c r="T20" s="16" t="n">
        <v>0</v>
      </c>
      <c r="U20" s="15" t="inlineStr">
        <is>
          <t>Stevia</t>
        </is>
      </c>
      <c r="V20" s="15" t="inlineStr">
        <is>
          <t>Zero sugar, zero calorie, stevia-sweetened, no artificial sweeteners</t>
        </is>
      </c>
      <c r="W20" s="19" t="n"/>
      <c r="X20" s="19" t="n"/>
      <c r="Y20" s="19" t="n"/>
      <c r="Z20" s="19" t="n"/>
      <c r="AA20" s="15" t="inlineStr">
        <is>
          <t>Low</t>
        </is>
      </c>
      <c r="AB20" s="15" t="inlineStr">
        <is>
          <t>Niche clean-label energy; stevia differentiator</t>
        </is>
      </c>
      <c r="AC20" s="15" t="inlineStr">
        <is>
          <t>Naturally-sweetened zero-calorie energy</t>
        </is>
      </c>
      <c r="AD20" s="15" t="inlineStr">
        <is>
          <t>Caffeine with stevia and no artificial sweeteners.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</sheetData>
  <conditionalFormatting sqref="S2:S2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0">
    <cfRule type="dataBar" priority="3">
      <dataBar>
        <cfvo type="num" val="0"/>
        <cfvo type="num" val="100"/>
        <color rgb="0063BE7B"/>
      </dataBar>
    </cfRule>
  </conditionalFormatting>
  <conditionalFormatting sqref="AK2:AK20">
    <cfRule type="dataBar" priority="4">
      <dataBar>
        <cfvo type="num" val="0"/>
        <cfvo type="num" val="75"/>
        <color rgb="008FAADC"/>
      </dataBar>
    </cfRule>
  </conditionalFormatting>
  <conditionalFormatting sqref="AP2:AP20">
    <cfRule type="expression" priority="5" dxfId="0">
      <formula>ISBLANK($F2)</formula>
    </cfRule>
  </conditionalFormatting>
  <dataValidations count="1">
    <dataValidation sqref="I2:I2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58" customHeight="1">
      <c r="A2" s="15" t="inlineStr">
        <is>
          <t>Spindrift</t>
        </is>
      </c>
      <c r="B2" s="15" t="inlineStr">
        <is>
          <t>Spindrift Sparkling Water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12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Lemon, Raspberry Lime, Grapefruit, Half-Tea Half-Lemon, Pineapple, Blackberry, Strawberry, Orange Mango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58" customHeight="1">
      <c r="A3" s="15" t="inlineStr">
        <is>
          <t>LaCroix</t>
        </is>
      </c>
      <c r="B3" s="15" t="inlineStr">
        <is>
          <t>LaCroix Sparkling Water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Pamplemousse, Lime, Pure, Coconut, Berry, Passionfruit, Key Lime, Cerise Limon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0</v>
      </c>
      <c r="T3" s="16" t="n">
        <v>0</v>
      </c>
      <c r="U3" s="15" t="inlineStr">
        <is>
          <t>None (natural essence)</t>
        </is>
      </c>
      <c r="V3" s="15" t="inlineStr">
        <is>
          <t>Zero calorie/sugar/sweetener, naturally essenced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Iconic seltzer; huge mainstream base</t>
        </is>
      </c>
      <c r="AC3" s="15" t="inlineStr">
        <is>
          <t>The cult zero-everything sparkling water</t>
        </is>
      </c>
      <c r="AD3" s="15" t="inlineStr">
        <is>
          <t>Zero calories/sugar with cult brand status and price.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58" customHeight="1">
      <c r="A4" s="15" t="inlineStr">
        <is>
          <t>bubly</t>
        </is>
      </c>
      <c r="B4" s="15" t="inlineStr">
        <is>
          <t>bubly Sparkling Water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Cherry, Lime, Grapefruit, Mango, Strawberry, Blackberry, Raspberry, Watermelon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0</v>
      </c>
      <c r="T4" s="16" t="n">
        <v>0</v>
      </c>
      <c r="U4" s="15" t="inlineStr">
        <is>
          <t>None (natural flavours)</t>
        </is>
      </c>
      <c r="V4" s="15" t="inlineStr">
        <is>
          <t>Zero calorie/sugar/sweetener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PepsiCo muscle; aggressive pricing &amp; distribution</t>
        </is>
      </c>
      <c r="AC4" s="15" t="inlineStr">
        <is>
          <t>Cheerful zero-calorie sparkling water at a sharp price</t>
        </is>
      </c>
      <c r="AD4" s="15" t="inlineStr">
        <is>
          <t>Mainstream zero-everything seltzer, usually well priced.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58" customHeight="1">
      <c r="A5" s="15" t="inlineStr">
        <is>
          <t>Waterloo</t>
        </is>
      </c>
      <c r="B5" s="15" t="inlineStr">
        <is>
          <t>Waterloo Sparkling Water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12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Cherry, Grape, Watermelon, Lemon-Lime, Peach, Mango Orange, Summer Berry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0</v>
      </c>
      <c r="T5" s="16" t="n">
        <v>0</v>
      </c>
      <c r="U5" s="15" t="inlineStr">
        <is>
          <t>None (natural flavours)</t>
        </is>
      </c>
      <c r="V5" s="15" t="inlineStr">
        <is>
          <t>Zero calorie/sugar, bold true-to-fruit flavour</t>
        </is>
      </c>
      <c r="W5" s="19" t="n"/>
      <c r="X5" s="19" t="n"/>
      <c r="Y5" s="19" t="n"/>
      <c r="Z5" s="19" t="n"/>
      <c r="AA5" s="15" t="inlineStr">
        <is>
          <t>Medium</t>
        </is>
      </c>
      <c r="AB5" s="15" t="inlineStr">
        <is>
          <t>Flavour-forward challenger; growing</t>
        </is>
      </c>
      <c r="AC5" s="15" t="inlineStr">
        <is>
          <t>Bolder, more flavour-true sparkling water</t>
        </is>
      </c>
      <c r="AD5" s="15" t="inlineStr">
        <is>
          <t>Stronger, more realistic flavour than the big seltzers.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58" customHeight="1">
      <c r="A6" s="15" t="inlineStr">
        <is>
          <t>Perrier</t>
        </is>
      </c>
      <c r="B6" s="15" t="inlineStr">
        <is>
          <t>Perrier Carbonated Mineral Water</t>
        </is>
      </c>
      <c r="C6" s="15" t="inlineStr">
        <is>
          <t>5) Sparkling water &amp; soda</t>
        </is>
      </c>
      <c r="D6" s="15" t="inlineStr">
        <is>
          <t>330 mL can</t>
        </is>
      </c>
      <c r="E6" s="16" t="n">
        <v>10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Original, Lime, Lemon, Pink Grapefruit, Strawberry, Peach</t>
        </is>
      </c>
      <c r="P6" s="16" t="n">
        <v>0</v>
      </c>
      <c r="Q6" s="16" t="n">
        <v>10</v>
      </c>
      <c r="R6" s="15" t="inlineStr">
        <is>
          <t>Not listed</t>
        </is>
      </c>
      <c r="S6" s="16" t="n">
        <v>0</v>
      </c>
      <c r="T6" s="16" t="n">
        <v>0</v>
      </c>
      <c r="U6" s="15" t="inlineStr">
        <is>
          <t>None</t>
        </is>
      </c>
      <c r="V6" s="15" t="inlineStr">
        <is>
          <t>Natural French mineral water, naturally carbonated, premium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Iconic premium mineral water; mainstream + horeca</t>
        </is>
      </c>
      <c r="AC6" s="15" t="inlineStr">
        <is>
          <t>Premium French sparkling mineral water</t>
        </is>
      </c>
      <c r="AD6" s="15" t="inlineStr">
        <is>
          <t>Premium imported mineral-water cachet and crisp bubbles.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330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58" customHeight="1">
      <c r="A7" s="15" t="inlineStr">
        <is>
          <t>San Pellegrino</t>
        </is>
      </c>
      <c r="B7" s="15" t="inlineStr">
        <is>
          <t>S.Pellegrino Sparkling Natural Mineral Water</t>
        </is>
      </c>
      <c r="C7" s="15" t="inlineStr">
        <is>
          <t>5) Sparkling water &amp; soda</t>
        </is>
      </c>
      <c r="D7" s="15" t="inlineStr">
        <is>
          <t>500 mL bottle</t>
        </is>
      </c>
      <c r="E7" s="16" t="n">
        <v>12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(mineral)</t>
        </is>
      </c>
      <c r="P7" s="16" t="n">
        <v>0</v>
      </c>
      <c r="Q7" s="16" t="n">
        <v>35</v>
      </c>
      <c r="R7" s="15" t="inlineStr">
        <is>
          <t>Not listed</t>
        </is>
      </c>
      <c r="S7" s="16" t="n">
        <v>0</v>
      </c>
      <c r="T7" s="16" t="n">
        <v>0</v>
      </c>
      <c r="U7" s="15" t="inlineStr">
        <is>
          <t>None</t>
        </is>
      </c>
      <c r="V7" s="15" t="inlineStr">
        <is>
          <t>Italian natural mineral water, fine perlage, premium dining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mineral water; dining staple</t>
        </is>
      </c>
      <c r="AC7" s="15" t="inlineStr">
        <is>
          <t>Italy's fine-dining sparkling mineral water</t>
        </is>
      </c>
      <c r="AD7" s="15" t="inlineStr">
        <is>
          <t>Premium mineral profile and table-water prestige.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58" customHeight="1">
      <c r="A8" s="15" t="inlineStr">
        <is>
          <t>San Pellegrino</t>
        </is>
      </c>
      <c r="B8" s="15" t="inlineStr">
        <is>
          <t>Sanpellegrino Aranciata (Italian Sparkling Drink)</t>
        </is>
      </c>
      <c r="C8" s="15" t="inlineStr">
        <is>
          <t>5) Sparkling water &amp; soda</t>
        </is>
      </c>
      <c r="D8" s="15" t="inlineStr">
        <is>
          <t>330 mL can</t>
        </is>
      </c>
      <c r="E8" s="16" t="n">
        <v>6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Aranciata, Aranciata Rossa, Limonata, Pompelmo, Melograno e Arancia</t>
        </is>
      </c>
      <c r="P8" s="16" t="n">
        <v>0</v>
      </c>
      <c r="Q8" s="16" t="n">
        <v>10</v>
      </c>
      <c r="R8" s="15" t="inlineStr">
        <is>
          <t>Not listed</t>
        </is>
      </c>
      <c r="S8" s="16" t="n">
        <v>16</v>
      </c>
      <c r="T8" s="16" t="n">
        <v>70</v>
      </c>
      <c r="U8" s="15" t="inlineStr">
        <is>
          <t>Sugar + real fruit juice</t>
        </is>
      </c>
      <c r="V8" s="15" t="inlineStr">
        <is>
          <t>Real fruit juice Italian sparkling beverage</t>
        </is>
      </c>
      <c r="W8" s="19" t="n"/>
      <c r="X8" s="19" t="n"/>
      <c r="Y8" s="19" t="n"/>
      <c r="Z8" s="19" t="n"/>
      <c r="AA8" s="15" t="inlineStr">
        <is>
          <t>Medium</t>
        </is>
      </c>
      <c r="AB8" s="15" t="inlineStr">
        <is>
          <t>Premium imported fruit soda; recognizable</t>
        </is>
      </c>
      <c r="AC8" s="15" t="inlineStr">
        <is>
          <t>Italian fruit soda with real juice</t>
        </is>
      </c>
      <c r="AD8" s="15" t="inlineStr">
        <is>
          <t>Premium imported fruit-soda taste with real juice.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330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58" customHeight="1">
      <c r="A9" s="15" t="inlineStr">
        <is>
          <t>Liquid Death</t>
        </is>
      </c>
      <c r="B9" s="15" t="inlineStr">
        <is>
          <t>Liquid Death Sparkling Water</t>
        </is>
      </c>
      <c r="C9" s="15" t="inlineStr">
        <is>
          <t>5) Sparkling water &amp; soda</t>
        </is>
      </c>
      <c r="D9" s="15" t="inlineStr">
        <is>
          <t>500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Severed Lime, Mango Chainsaw, Berry It Alive, Convicted Melon, Grape of Wrath</t>
        </is>
      </c>
      <c r="P9" s="16" t="n">
        <v>0</v>
      </c>
      <c r="Q9" s="16" t="n">
        <v>20</v>
      </c>
      <c r="R9" s="15" t="inlineStr">
        <is>
          <t>Not listed</t>
        </is>
      </c>
      <c r="S9" s="16" t="n">
        <v>0</v>
      </c>
      <c r="T9" s="16" t="n">
        <v>0</v>
      </c>
      <c r="U9" s="15" t="inlineStr">
        <is>
          <t>None (natural flavours/agave on some)</t>
        </is>
      </c>
      <c r="V9" s="15" t="inlineStr">
        <is>
          <t>Mountain water, zero sugar, irreverent brand, recyclable tallboy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Viral brand; huge cultural pull beyond product</t>
        </is>
      </c>
      <c r="AC9" s="15" t="inlineStr">
        <is>
          <t>Edgy 'murder your thirst' sparkling water in a tallboy</t>
        </is>
      </c>
      <c r="AD9" s="15" t="inlineStr">
        <is>
          <t>Brand attitude and packaging as much as the water itself.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58" customHeight="1">
      <c r="A10" s="15" t="inlineStr">
        <is>
          <t>Liquid Death</t>
        </is>
      </c>
      <c r="B10" s="15" t="inlineStr">
        <is>
          <t>Liquid Death Mountain Water (Still)</t>
        </is>
      </c>
      <c r="C10" s="15" t="inlineStr">
        <is>
          <t>5) Sparkling water &amp; soda</t>
        </is>
      </c>
      <c r="D10" s="15" t="inlineStr">
        <is>
          <t>500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Still (unflavoured)</t>
        </is>
      </c>
      <c r="P10" s="16" t="n">
        <v>0</v>
      </c>
      <c r="Q10" s="16" t="n">
        <v>20</v>
      </c>
      <c r="R10" s="15" t="inlineStr">
        <is>
          <t>Not listed</t>
        </is>
      </c>
      <c r="S10" s="16" t="n">
        <v>0</v>
      </c>
      <c r="T10" s="16" t="n">
        <v>0</v>
      </c>
      <c r="U10" s="15" t="inlineStr">
        <is>
          <t>None</t>
        </is>
      </c>
      <c r="V10" s="15" t="inlineStr">
        <is>
          <t>Real mountain water, recyclable tallboy can, brand-driven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Viral brand halo on plain water</t>
        </is>
      </c>
      <c r="AC10" s="15" t="inlineStr">
        <is>
          <t>Plain mountain water made cool by branding</t>
        </is>
      </c>
      <c r="AD10" s="15" t="inlineStr">
        <is>
          <t>Buys the brand and the can, not just hydration.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58" customHeight="1">
      <c r="A11" s="15" t="inlineStr">
        <is>
          <t>Topo Chico</t>
        </is>
      </c>
      <c r="B11" s="15" t="inlineStr">
        <is>
          <t>Topo Chico Mineral Water</t>
        </is>
      </c>
      <c r="C11" s="15" t="inlineStr">
        <is>
          <t>5) Sparkling water &amp; soda</t>
        </is>
      </c>
      <c r="D11" s="15" t="inlineStr">
        <is>
          <t>355 mL bottle</t>
        </is>
      </c>
      <c r="E11" s="16" t="n">
        <v>12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Original, Twist of Lime, Twist of Grapefruit, Tangerine</t>
        </is>
      </c>
      <c r="P11" s="16" t="n">
        <v>0</v>
      </c>
      <c r="Q11" s="16" t="n">
        <v>20</v>
      </c>
      <c r="R11" s="15" t="inlineStr">
        <is>
          <t>Not listed</t>
        </is>
      </c>
      <c r="S11" s="16" t="n">
        <v>0</v>
      </c>
      <c r="T11" s="16" t="n">
        <v>0</v>
      </c>
      <c r="U11" s="15" t="inlineStr">
        <is>
          <t>None</t>
        </is>
      </c>
      <c r="V11" s="15" t="inlineStr">
        <is>
          <t>Mexican mineral water, strong carbonation, cult following</t>
        </is>
      </c>
      <c r="W11" s="19" t="n"/>
      <c r="X11" s="19" t="n"/>
      <c r="Y11" s="19" t="n"/>
      <c r="Z11" s="19" t="n"/>
      <c r="AA11" s="15" t="inlineStr">
        <is>
          <t>Medium</t>
        </is>
      </c>
      <c r="AB11" s="15" t="inlineStr">
        <is>
          <t>Cult mineral water; cocktail mixer crossover</t>
        </is>
      </c>
      <c r="AC11" s="15" t="inlineStr">
        <is>
          <t>Cult Mexican mineral water with serious fizz</t>
        </is>
      </c>
      <c r="AD11" s="15" t="inlineStr">
        <is>
          <t>Hard carbonation and mixer credibility.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58" customHeight="1">
      <c r="A12" s="15" t="inlineStr">
        <is>
          <t>Polar</t>
        </is>
      </c>
      <c r="B12" s="15" t="inlineStr">
        <is>
          <t>Polar Seltzer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Black Cherry, Ruby Red Grapefruit, Lime, Mandarin, Raspberry Lime, Vanilla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0</v>
      </c>
      <c r="T12" s="16" t="n">
        <v>0</v>
      </c>
      <c r="U12" s="15" t="inlineStr">
        <is>
          <t>None (natural flavours)</t>
        </is>
      </c>
      <c r="V12" s="15" t="inlineStr">
        <is>
          <t>Zero calorie/sugar, wide flavour range, value</t>
        </is>
      </c>
      <c r="W12" s="19" t="n"/>
      <c r="X12" s="19" t="n"/>
      <c r="Y12" s="19" t="n"/>
      <c r="Z12" s="19" t="n"/>
      <c r="AA12" s="15" t="inlineStr">
        <is>
          <t>Medium</t>
        </is>
      </c>
      <c r="AB12" s="15" t="inlineStr">
        <is>
          <t>Value seltzer with broad flavour range</t>
        </is>
      </c>
      <c r="AC12" s="15" t="inlineStr">
        <is>
          <t>Value seltzer with a huge flavour range</t>
        </is>
      </c>
      <c r="AD12" s="15" t="inlineStr">
        <is>
          <t>Lots of flavours at a value price.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58" customHeight="1">
      <c r="A13" s="15" t="inlineStr">
        <is>
          <t>AHA</t>
        </is>
      </c>
      <c r="B13" s="15" t="inlineStr">
        <is>
          <t>AHA Sparkling Water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Lime + Watermelon, Citrus + Green Tea (+caffeine), Black Cherry + Coffee, Peach + Honey</t>
        </is>
      </c>
      <c r="P13" s="16" t="n">
        <v>30</v>
      </c>
      <c r="Q13" s="16" t="n">
        <v>0</v>
      </c>
      <c r="R13" s="15" t="inlineStr">
        <is>
          <t>Not listed</t>
        </is>
      </c>
      <c r="S13" s="16" t="n">
        <v>0</v>
      </c>
      <c r="T13" s="16" t="n">
        <v>0</v>
      </c>
      <c r="U13" s="15" t="inlineStr">
        <is>
          <t>None (natural flavours)</t>
        </is>
      </c>
      <c r="V13" s="15" t="inlineStr">
        <is>
          <t>Zero sugar, bold dual-flavour pairings, some with caffeine</t>
        </is>
      </c>
      <c r="W13" s="19" t="n"/>
      <c r="X13" s="19" t="n"/>
      <c r="Y13" s="19" t="n"/>
      <c r="Z13" s="19" t="n"/>
      <c r="AA13" s="15" t="inlineStr">
        <is>
          <t>Medium</t>
        </is>
      </c>
      <c r="AB13" s="15" t="inlineStr">
        <is>
          <t>Coca-Cola seltzer entry; broad distribution</t>
        </is>
      </c>
      <c r="AC13" s="15" t="inlineStr">
        <is>
          <t>Bold paired-flavour seltzer, some caffeinated</t>
        </is>
      </c>
      <c r="AD13" s="15" t="inlineStr">
        <is>
          <t>Unusual flavour pairings (and optional caffeine) at value price.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58" customHeight="1">
      <c r="A14" s="15" t="inlineStr">
        <is>
          <t>Montellier</t>
        </is>
      </c>
      <c r="B14" s="15" t="inlineStr">
        <is>
          <t>Montellier Carbonated Natural Spring Water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Original, Lime, Lemon, Mango, Cranberry, Raspberry</t>
        </is>
      </c>
      <c r="P14" s="16" t="n">
        <v>0</v>
      </c>
      <c r="Q14" s="16" t="n">
        <v>5</v>
      </c>
      <c r="R14" s="15" t="inlineStr">
        <is>
          <t>Not listed</t>
        </is>
      </c>
      <c r="S14" s="16" t="n">
        <v>0</v>
      </c>
      <c r="T14" s="16" t="n">
        <v>0</v>
      </c>
      <c r="U14" s="15" t="inlineStr">
        <is>
          <t>None</t>
        </is>
      </c>
      <c r="V14" s="15" t="inlineStr">
        <is>
          <t>Canadian natural spring water, carbonated, zero everything</t>
        </is>
      </c>
      <c r="W14" s="19" t="n"/>
      <c r="X14" s="19" t="n"/>
      <c r="Y14" s="19" t="n"/>
      <c r="Z14" s="19" t="n"/>
      <c r="AA14" s="15" t="inlineStr">
        <is>
          <t>Medium</t>
        </is>
      </c>
      <c r="AB14" s="15" t="inlineStr">
        <is>
          <t>Established Canadian sparkling brand (domestic strength)</t>
        </is>
      </c>
      <c r="AC14" s="15" t="inlineStr">
        <is>
          <t>Canadian carbonated spring water</t>
        </is>
      </c>
      <c r="AD14" s="15" t="inlineStr">
        <is>
          <t>Local Canadian sparkling water, often value priced.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58" customHeight="1">
      <c r="A15" s="15" t="inlineStr">
        <is>
          <t>Eska</t>
        </is>
      </c>
      <c r="B15" s="15" t="inlineStr">
        <is>
          <t>Eska Sparkling Spring Water</t>
        </is>
      </c>
      <c r="C15" s="15" t="inlineStr">
        <is>
          <t>5) Sparkling water &amp; soda</t>
        </is>
      </c>
      <c r="D15" s="15" t="inlineStr">
        <is>
          <t>500 mL bottle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Original, Lemon, Lime</t>
        </is>
      </c>
      <c r="P15" s="16" t="n">
        <v>0</v>
      </c>
      <c r="Q15" s="16" t="n">
        <v>5</v>
      </c>
      <c r="R15" s="15" t="inlineStr">
        <is>
          <t>Not listed</t>
        </is>
      </c>
      <c r="S15" s="16" t="n">
        <v>0</v>
      </c>
      <c r="T15" s="16" t="n">
        <v>0</v>
      </c>
      <c r="U15" s="15" t="inlineStr">
        <is>
          <t>None</t>
        </is>
      </c>
      <c r="V15" s="15" t="inlineStr">
        <is>
          <t>Canadian glacial-era spring water, naturally pure</t>
        </is>
      </c>
      <c r="W15" s="19" t="n"/>
      <c r="X15" s="19" t="n"/>
      <c r="Y15" s="19" t="n"/>
      <c r="Z15" s="19" t="n"/>
      <c r="AA15" s="15" t="inlineStr">
        <is>
          <t>Low</t>
        </is>
      </c>
      <c r="AB15" s="15" t="inlineStr">
        <is>
          <t>Canadian regional brand; modest reach</t>
        </is>
      </c>
      <c r="AC15" s="15" t="inlineStr">
        <is>
          <t>Pure Canadian spring water, sparkling</t>
        </is>
      </c>
      <c r="AD15" s="15" t="inlineStr">
        <is>
          <t>Canadian-sourced purity story.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500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58" customHeight="1">
      <c r="A16" s="15" t="inlineStr">
        <is>
          <t>Coca-Cola</t>
        </is>
      </c>
      <c r="B16" s="15" t="inlineStr">
        <is>
          <t>Coca-Cola Classic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Classic</t>
        </is>
      </c>
      <c r="P16" s="16" t="n">
        <v>34</v>
      </c>
      <c r="Q16" s="16" t="n">
        <v>45</v>
      </c>
      <c r="R16" s="15" t="inlineStr">
        <is>
          <t>Not listed</t>
        </is>
      </c>
      <c r="S16" s="16" t="n">
        <v>39</v>
      </c>
      <c r="T16" s="16" t="n">
        <v>140</v>
      </c>
      <c r="U16" s="15" t="inlineStr">
        <is>
          <t>High-fructose corn syrup / sugar</t>
        </is>
      </c>
      <c r="V16" s="15" t="inlineStr">
        <is>
          <t>Classic cola (no functional claim)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World's #1 soda; baseline mass volume</t>
        </is>
      </c>
      <c r="AC16" s="15" t="inlineStr">
        <is>
          <t>The classic cola benchmark</t>
        </is>
      </c>
      <c r="AD16" s="15" t="inlineStr">
        <is>
          <t>Universal taste and brand - the soda baseline.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58" customHeight="1">
      <c r="A17" s="15" t="inlineStr">
        <is>
          <t>Zevia</t>
        </is>
      </c>
      <c r="B17" s="15" t="inlineStr">
        <is>
          <t>Zevia Zero Calorie Soda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12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Cola, Ginger Root Beer, Cream Soda, Dr. Zevia, Black Cherry, Grape, Lemon Lime Twist</t>
        </is>
      </c>
      <c r="P17" s="16" t="n">
        <v>0</v>
      </c>
      <c r="Q17" s="16" t="n">
        <v>10</v>
      </c>
      <c r="R17" s="15" t="inlineStr">
        <is>
          <t>Not listed</t>
        </is>
      </c>
      <c r="S17" s="16" t="n">
        <v>0</v>
      </c>
      <c r="T17" s="16" t="n">
        <v>0</v>
      </c>
      <c r="U17" s="15" t="inlineStr">
        <is>
          <t>Stevia</t>
        </is>
      </c>
      <c r="V17" s="15" t="inlineStr">
        <is>
          <t>Zero sugar/calorie, stevia-sweetened, no artificial sweeteners</t>
        </is>
      </c>
      <c r="W17" s="19" t="n"/>
      <c r="X17" s="19" t="n"/>
      <c r="Y17" s="19" t="n"/>
      <c r="Z17" s="19" t="n"/>
      <c r="AA17" s="15" t="inlineStr">
        <is>
          <t>Medium</t>
        </is>
      </c>
      <c r="AB17" s="15" t="inlineStr">
        <is>
          <t>Leading naturally-sweetened diet soda</t>
        </is>
      </c>
      <c r="AC17" s="15" t="inlineStr">
        <is>
          <t>Diet soda taste, sweetened only with stevia</t>
        </is>
      </c>
      <c r="AD17" s="15" t="inlineStr">
        <is>
          <t>Full soda flavour, zero sugar, no artificial sweeteners.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58" customHeight="1">
      <c r="A18" s="15" t="inlineStr">
        <is>
          <t>Nixie</t>
        </is>
      </c>
      <c r="B18" s="15" t="inlineStr">
        <is>
          <t>Nixie Organic Sparkling Water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 Twist, Lime, Black Cherry, Blackberry Mint, Watermelon Mint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0</v>
      </c>
      <c r="T18" s="16" t="n">
        <v>0</v>
      </c>
      <c r="U18" s="15" t="inlineStr">
        <is>
          <t>None (organic flavours)</t>
        </is>
      </c>
      <c r="V18" s="15" t="inlineStr">
        <is>
          <t>USDA organic, non-GMO, zero everything</t>
        </is>
      </c>
      <c r="W18" s="19" t="n"/>
      <c r="X18" s="19" t="n"/>
      <c r="Y18" s="19" t="n"/>
      <c r="Z18" s="19" t="n"/>
      <c r="AA18" s="15" t="inlineStr">
        <is>
          <t>Low</t>
        </is>
      </c>
      <c r="AB18" s="15" t="inlineStr">
        <is>
          <t>Small organic-certified seltzer niche</t>
        </is>
      </c>
      <c r="AC18" s="15" t="inlineStr">
        <is>
          <t>Certified-organic zero-everything seltzer</t>
        </is>
      </c>
      <c r="AD18" s="15" t="inlineStr">
        <is>
          <t>Organic certification in a plain-seltzer field that mostly isn't.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</sheetData>
  <conditionalFormatting sqref="S2:S18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18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18">
    <cfRule type="dataBar" priority="3">
      <dataBar>
        <cfvo type="num" val="0"/>
        <cfvo type="num" val="100"/>
        <color rgb="0063BE7B"/>
      </dataBar>
    </cfRule>
  </conditionalFormatting>
  <conditionalFormatting sqref="AK2:AK18">
    <cfRule type="dataBar" priority="4">
      <dataBar>
        <cfvo type="num" val="0"/>
        <cfvo type="num" val="75"/>
        <color rgb="008FAADC"/>
      </dataBar>
    </cfRule>
  </conditionalFormatting>
  <conditionalFormatting sqref="AP2:AP18">
    <cfRule type="expression" priority="5" dxfId="0">
      <formula>ISBLANK($F2)</formula>
    </cfRule>
  </conditionalFormatting>
  <dataValidations count="1">
    <dataValidation sqref="I2:I18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966CC"/>
    <outlinePr summaryBelow="1" summaryRight="1"/>
    <pageSetUpPr/>
  </sheetPr>
  <dimension ref="A1:I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4</v>
      </c>
      <c r="C2" s="15" t="inlineStr">
        <is>
          <t>2)</t>
        </is>
      </c>
      <c r="D2" s="15" t="n">
        <v>0</v>
      </c>
      <c r="E2" s="15" t="n">
        <v>11.5</v>
      </c>
      <c r="F2" s="15" t="n">
        <v>0</v>
      </c>
      <c r="G2" s="15" t="n">
        <v>66</v>
      </c>
      <c r="H2" s="15" t="n">
        <v>37.5</v>
      </c>
      <c r="I2" s="15" t="inlineStr">
        <is>
          <t>Very High</t>
        </is>
      </c>
    </row>
    <row r="3" ht="26" customHeight="1">
      <c r="A3" s="23" t="inlineStr">
        <is>
          <t>BODYARMOR</t>
        </is>
      </c>
      <c r="B3" s="15" t="n">
        <v>2</v>
      </c>
      <c r="C3" s="15" t="inlineStr">
        <is>
          <t>2)</t>
        </is>
      </c>
      <c r="D3" s="15" t="n">
        <v>0</v>
      </c>
      <c r="E3" s="15" t="n">
        <v>12</v>
      </c>
      <c r="F3" s="15" t="n">
        <v>3</v>
      </c>
      <c r="G3" s="15" t="n">
        <v>63.5</v>
      </c>
      <c r="H3" s="15" t="n">
        <v>35</v>
      </c>
      <c r="I3" s="15" t="inlineStr">
        <is>
          <t>High</t>
        </is>
      </c>
    </row>
    <row r="4" ht="26" customHeight="1">
      <c r="A4" s="23" t="inlineStr">
        <is>
          <t>Celsius</t>
        </is>
      </c>
      <c r="B4" s="15" t="n">
        <v>2</v>
      </c>
      <c r="C4" s="15" t="inlineStr">
        <is>
          <t>4)</t>
        </is>
      </c>
      <c r="D4" s="15" t="n">
        <v>235</v>
      </c>
      <c r="E4" s="15" t="n">
        <v>0</v>
      </c>
      <c r="F4" s="15" t="n">
        <v>0</v>
      </c>
      <c r="G4" s="15" t="n">
        <v>100</v>
      </c>
      <c r="H4" s="15" t="n">
        <v>35</v>
      </c>
      <c r="I4" s="15" t="inlineStr">
        <is>
          <t>Very High</t>
        </is>
      </c>
    </row>
    <row r="5" ht="26" customHeight="1">
      <c r="A5" s="23" t="inlineStr">
        <is>
          <t>Liquid Death</t>
        </is>
      </c>
      <c r="B5" s="15" t="n">
        <v>2</v>
      </c>
      <c r="C5" s="15" t="inlineStr">
        <is>
          <t>5)</t>
        </is>
      </c>
      <c r="D5" s="15" t="n">
        <v>0</v>
      </c>
      <c r="E5" s="15" t="n">
        <v>0</v>
      </c>
      <c r="F5" s="15" t="n">
        <v>0</v>
      </c>
      <c r="G5" s="15" t="n">
        <v>100</v>
      </c>
      <c r="H5" s="15" t="n">
        <v>20</v>
      </c>
      <c r="I5" s="15" t="inlineStr">
        <is>
          <t>High</t>
        </is>
      </c>
    </row>
    <row r="6" ht="26" customHeight="1">
      <c r="A6" s="23" t="inlineStr">
        <is>
          <t>Monster</t>
        </is>
      </c>
      <c r="B6" s="15" t="n">
        <v>2</v>
      </c>
      <c r="C6" s="15" t="inlineStr">
        <is>
          <t>4)</t>
        </is>
      </c>
      <c r="D6" s="15" t="n">
        <v>150</v>
      </c>
      <c r="E6" s="15" t="n">
        <v>27</v>
      </c>
      <c r="F6" s="15" t="n">
        <v>0</v>
      </c>
      <c r="G6" s="15" t="n">
        <v>50</v>
      </c>
      <c r="H6" s="15" t="n">
        <v>43.5</v>
      </c>
      <c r="I6" s="15" t="inlineStr">
        <is>
          <t>Very High</t>
        </is>
      </c>
    </row>
    <row r="7" ht="26" customHeight="1">
      <c r="A7" s="23" t="inlineStr">
        <is>
          <t>Powerade</t>
        </is>
      </c>
      <c r="B7" s="15" t="n">
        <v>2</v>
      </c>
      <c r="C7" s="15" t="inlineStr">
        <is>
          <t>2)</t>
        </is>
      </c>
      <c r="D7" s="15" t="n">
        <v>0</v>
      </c>
      <c r="E7" s="15" t="n">
        <v>17.5</v>
      </c>
      <c r="F7" s="15" t="n">
        <v>0</v>
      </c>
      <c r="G7" s="15" t="n">
        <v>50</v>
      </c>
      <c r="H7" s="15" t="n">
        <v>32.5</v>
      </c>
      <c r="I7" s="15" t="inlineStr">
        <is>
          <t>High</t>
        </is>
      </c>
    </row>
    <row r="8" ht="26" customHeight="1">
      <c r="A8" s="23" t="inlineStr">
        <is>
          <t>Prime</t>
        </is>
      </c>
      <c r="B8" s="15" t="n">
        <v>2</v>
      </c>
      <c r="C8" s="15" t="inlineStr">
        <is>
          <t>2), 4)</t>
        </is>
      </c>
      <c r="D8" s="15" t="n">
        <v>100</v>
      </c>
      <c r="E8" s="15" t="n">
        <v>0</v>
      </c>
      <c r="F8" s="15" t="n">
        <v>0</v>
      </c>
      <c r="G8" s="15" t="n">
        <v>100</v>
      </c>
      <c r="H8" s="15" t="n">
        <v>37.5</v>
      </c>
      <c r="I8" s="15" t="inlineStr">
        <is>
          <t>High</t>
        </is>
      </c>
    </row>
    <row r="9" ht="26" customHeight="1">
      <c r="A9" s="23" t="inlineStr">
        <is>
          <t>Red Bull</t>
        </is>
      </c>
      <c r="B9" s="15" t="n">
        <v>2</v>
      </c>
      <c r="C9" s="15" t="inlineStr">
        <is>
          <t>4)</t>
        </is>
      </c>
      <c r="D9" s="15" t="n">
        <v>80</v>
      </c>
      <c r="E9" s="15" t="n">
        <v>13.5</v>
      </c>
      <c r="F9" s="15" t="n">
        <v>0</v>
      </c>
      <c r="G9" s="15" t="n">
        <v>59.5</v>
      </c>
      <c r="H9" s="15" t="n">
        <v>39.5</v>
      </c>
      <c r="I9" s="15" t="inlineStr">
        <is>
          <t>Very High</t>
        </is>
      </c>
    </row>
    <row r="10" ht="26" customHeight="1">
      <c r="A10" s="23" t="inlineStr">
        <is>
          <t>San Pellegrino</t>
        </is>
      </c>
      <c r="B10" s="15" t="n">
        <v>2</v>
      </c>
      <c r="C10" s="15" t="inlineStr">
        <is>
          <t>5)</t>
        </is>
      </c>
      <c r="D10" s="15" t="n">
        <v>0</v>
      </c>
      <c r="E10" s="15" t="n">
        <v>8</v>
      </c>
      <c r="F10" s="15" t="n">
        <v>0</v>
      </c>
      <c r="G10" s="15" t="n">
        <v>76</v>
      </c>
      <c r="H10" s="15" t="n">
        <v>17.5</v>
      </c>
      <c r="I10" s="15" t="inlineStr">
        <is>
          <t>High</t>
        </is>
      </c>
    </row>
    <row r="11" ht="26" customHeight="1">
      <c r="A11" s="23" t="inlineStr">
        <is>
          <t>Zevia</t>
        </is>
      </c>
      <c r="B11" s="15" t="n">
        <v>2</v>
      </c>
      <c r="C11" s="15" t="inlineStr">
        <is>
          <t>4), 5)</t>
        </is>
      </c>
      <c r="D11" s="15" t="n">
        <v>60</v>
      </c>
      <c r="E11" s="15" t="n">
        <v>0</v>
      </c>
      <c r="F11" s="15" t="n">
        <v>0</v>
      </c>
      <c r="G11" s="15" t="n">
        <v>100</v>
      </c>
      <c r="H11" s="15" t="n">
        <v>23.5</v>
      </c>
      <c r="I11" s="15" t="inlineStr">
        <is>
          <t>Medium</t>
        </is>
      </c>
    </row>
    <row r="12" ht="26" customHeight="1">
      <c r="A12" s="23" t="inlineStr">
        <is>
          <t>vitaminwater</t>
        </is>
      </c>
      <c r="B12" s="15" t="n">
        <v>2</v>
      </c>
      <c r="C12" s="15" t="inlineStr">
        <is>
          <t>3)</t>
        </is>
      </c>
      <c r="D12" s="15" t="n">
        <v>25</v>
      </c>
      <c r="E12" s="15" t="n">
        <v>13.5</v>
      </c>
      <c r="F12" s="15" t="n">
        <v>0</v>
      </c>
      <c r="G12" s="15" t="n">
        <v>59</v>
      </c>
      <c r="H12" s="15" t="n">
        <v>16</v>
      </c>
      <c r="I12" s="15" t="inlineStr">
        <is>
          <t>High</t>
        </is>
      </c>
    </row>
    <row r="13" ht="26" customHeight="1">
      <c r="A13" s="23" t="inlineStr">
        <is>
          <t>AHA</t>
        </is>
      </c>
      <c r="B13" s="15" t="n">
        <v>1</v>
      </c>
      <c r="C13" s="15" t="inlineStr">
        <is>
          <t>5)</t>
        </is>
      </c>
      <c r="D13" s="15" t="n">
        <v>30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Medium</t>
        </is>
      </c>
    </row>
    <row r="14" ht="26" customHeight="1">
      <c r="A14" s="23" t="inlineStr">
        <is>
          <t>Alani Nu</t>
        </is>
      </c>
      <c r="B14" s="15" t="n">
        <v>1</v>
      </c>
      <c r="C14" s="15" t="inlineStr">
        <is>
          <t>4)</t>
        </is>
      </c>
      <c r="D14" s="15" t="n">
        <v>200</v>
      </c>
      <c r="E14" s="15" t="n">
        <v>0</v>
      </c>
      <c r="F14" s="15" t="n">
        <v>0</v>
      </c>
      <c r="G14" s="15" t="n">
        <v>100</v>
      </c>
      <c r="H14" s="15" t="n">
        <v>45</v>
      </c>
      <c r="I14" s="15" t="inlineStr">
        <is>
          <t>High</t>
        </is>
      </c>
    </row>
    <row r="15" ht="26" customHeight="1">
      <c r="A15" s="23" t="inlineStr">
        <is>
          <t>Aura Bora</t>
        </is>
      </c>
      <c r="B15" s="15" t="n">
        <v>1</v>
      </c>
      <c r="C15" s="15" t="inlineStr">
        <is>
          <t>1)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Low</t>
        </is>
      </c>
    </row>
    <row r="16" ht="26" customHeight="1">
      <c r="A16" s="23" t="inlineStr">
        <is>
          <t>BUBBL'R</t>
        </is>
      </c>
      <c r="B16" s="15" t="n">
        <v>1</v>
      </c>
      <c r="C16" s="15" t="inlineStr">
        <is>
          <t>1)</t>
        </is>
      </c>
      <c r="D16" s="15" t="n">
        <v>69</v>
      </c>
      <c r="E16" s="15" t="n">
        <v>0</v>
      </c>
      <c r="F16" s="15" t="n">
        <v>0</v>
      </c>
      <c r="G16" s="15" t="n">
        <v>100</v>
      </c>
      <c r="H16" s="15" t="n">
        <v>27</v>
      </c>
      <c r="I16" s="15" t="inlineStr">
        <is>
          <t>Medium</t>
        </is>
      </c>
    </row>
    <row r="17" ht="26" customHeight="1">
      <c r="A17" s="23" t="inlineStr">
        <is>
          <t>Bai</t>
        </is>
      </c>
      <c r="B17" s="15" t="n">
        <v>1</v>
      </c>
      <c r="C17" s="15" t="inlineStr">
        <is>
          <t>3)</t>
        </is>
      </c>
      <c r="D17" s="15" t="n">
        <v>35</v>
      </c>
      <c r="E17" s="15" t="n">
        <v>1</v>
      </c>
      <c r="F17" s="15" t="n">
        <v>1</v>
      </c>
      <c r="G17" s="15" t="n">
        <v>100</v>
      </c>
      <c r="H17" s="15" t="n">
        <v>20</v>
      </c>
      <c r="I17" s="15" t="inlineStr">
        <is>
          <t>Medium</t>
        </is>
      </c>
    </row>
    <row r="18" ht="26" customHeight="1">
      <c r="A18" s="23" t="inlineStr">
        <is>
          <t>Bang</t>
        </is>
      </c>
      <c r="B18" s="15" t="n">
        <v>1</v>
      </c>
      <c r="C18" s="15" t="inlineStr">
        <is>
          <t>4)</t>
        </is>
      </c>
      <c r="D18" s="15" t="n">
        <v>300</v>
      </c>
      <c r="E18" s="15" t="n">
        <v>0</v>
      </c>
      <c r="F18" s="15" t="n">
        <v>0</v>
      </c>
      <c r="G18" s="15" t="n">
        <v>100</v>
      </c>
      <c r="H18" s="15" t="n">
        <v>45</v>
      </c>
      <c r="I18" s="15" t="inlineStr">
        <is>
          <t>Medium</t>
        </is>
      </c>
    </row>
    <row r="19" ht="26" customHeight="1">
      <c r="A19" s="23" t="inlineStr">
        <is>
          <t>BioSteel</t>
        </is>
      </c>
      <c r="B19" s="15" t="n">
        <v>1</v>
      </c>
      <c r="C19" s="15" t="inlineStr">
        <is>
          <t>2)</t>
        </is>
      </c>
      <c r="D19" s="15" t="n">
        <v>0</v>
      </c>
      <c r="E19" s="15" t="n">
        <v>0</v>
      </c>
      <c r="F19" s="15" t="n">
        <v>0</v>
      </c>
      <c r="G19" s="15" t="n">
        <v>100</v>
      </c>
      <c r="H19" s="15" t="n">
        <v>40</v>
      </c>
      <c r="I19" s="15" t="inlineStr">
        <is>
          <t>Medium</t>
        </is>
      </c>
    </row>
    <row r="20" ht="26" customHeight="1">
      <c r="A20" s="23" t="inlineStr">
        <is>
          <t>C4</t>
        </is>
      </c>
      <c r="B20" s="15" t="n">
        <v>1</v>
      </c>
      <c r="C20" s="15" t="inlineStr">
        <is>
          <t>4)</t>
        </is>
      </c>
      <c r="D20" s="15" t="n">
        <v>200</v>
      </c>
      <c r="E20" s="15" t="n">
        <v>0</v>
      </c>
      <c r="F20" s="15" t="n">
        <v>0</v>
      </c>
      <c r="G20" s="15" t="n">
        <v>100</v>
      </c>
      <c r="H20" s="15" t="n">
        <v>45</v>
      </c>
      <c r="I20" s="15" t="inlineStr">
        <is>
          <t>Medium</t>
        </is>
      </c>
    </row>
    <row r="21" ht="26" customHeight="1">
      <c r="A21" s="23" t="inlineStr">
        <is>
          <t>CWENCH</t>
        </is>
      </c>
      <c r="B21" s="15" t="n">
        <v>1</v>
      </c>
      <c r="C21" s="15" t="inlineStr">
        <is>
          <t>2)</t>
        </is>
      </c>
      <c r="D21" s="15" t="n">
        <v>0</v>
      </c>
      <c r="E21" s="15" t="n">
        <v>0</v>
      </c>
      <c r="F21" s="15" t="n">
        <v>0</v>
      </c>
      <c r="G21" s="15" t="n">
        <v>100</v>
      </c>
      <c r="H21" s="15" t="n">
        <v>60</v>
      </c>
      <c r="I21" s="15" t="inlineStr">
        <is>
          <t>Low</t>
        </is>
      </c>
    </row>
    <row r="22" ht="26" customHeight="1">
      <c r="A22" s="23" t="inlineStr">
        <is>
          <t>Coca-Cola</t>
        </is>
      </c>
      <c r="B22" s="15" t="n">
        <v>1</v>
      </c>
      <c r="C22" s="15" t="inlineStr">
        <is>
          <t>5)</t>
        </is>
      </c>
      <c r="D22" s="15" t="n">
        <v>34</v>
      </c>
      <c r="E22" s="15" t="n">
        <v>39</v>
      </c>
      <c r="F22" s="15" t="n">
        <v>39</v>
      </c>
      <c r="G22" s="15" t="n">
        <v>0</v>
      </c>
      <c r="H22" s="15" t="n">
        <v>15</v>
      </c>
      <c r="I22" s="15" t="inlineStr">
        <is>
          <t>Very High</t>
        </is>
      </c>
    </row>
    <row r="23" ht="26" customHeight="1">
      <c r="A23" s="23" t="inlineStr">
        <is>
          <t>Culture Pop</t>
        </is>
      </c>
      <c r="B23" s="15" t="n">
        <v>1</v>
      </c>
      <c r="C23" s="15" t="inlineStr">
        <is>
          <t>3)</t>
        </is>
      </c>
      <c r="D23" s="15" t="n">
        <v>0</v>
      </c>
      <c r="E23" s="15" t="n">
        <v>9</v>
      </c>
      <c r="F23" s="15" t="n">
        <v>9</v>
      </c>
      <c r="G23" s="15" t="n">
        <v>73</v>
      </c>
      <c r="H23" s="15" t="n">
        <v>5</v>
      </c>
      <c r="I23" s="15" t="inlineStr">
        <is>
          <t>Medium</t>
        </is>
      </c>
    </row>
    <row r="24" ht="26" customHeight="1">
      <c r="A24" s="23" t="inlineStr">
        <is>
          <t>De La Calle</t>
        </is>
      </c>
      <c r="B24" s="15" t="n">
        <v>1</v>
      </c>
      <c r="C24" s="15" t="inlineStr">
        <is>
          <t>3)</t>
        </is>
      </c>
      <c r="D24" s="15" t="n">
        <v>0</v>
      </c>
      <c r="E24" s="15" t="n">
        <v>6</v>
      </c>
      <c r="F24" s="15" t="n">
        <v>6</v>
      </c>
      <c r="G24" s="15" t="n">
        <v>80</v>
      </c>
      <c r="H24" s="15" t="n">
        <v>5</v>
      </c>
      <c r="I24" s="15" t="inlineStr">
        <is>
          <t>Low</t>
        </is>
      </c>
    </row>
    <row r="25" ht="26" customHeight="1">
      <c r="A25" s="23" t="inlineStr">
        <is>
          <t>Electrolit</t>
        </is>
      </c>
      <c r="B25" s="15" t="n">
        <v>1</v>
      </c>
      <c r="C25" s="15" t="inlineStr">
        <is>
          <t>2)</t>
        </is>
      </c>
      <c r="D25" s="15" t="n">
        <v>0</v>
      </c>
      <c r="E25" s="15" t="n">
        <v>24</v>
      </c>
      <c r="F25" s="15" t="n">
        <v>24</v>
      </c>
      <c r="G25" s="15" t="n">
        <v>28</v>
      </c>
      <c r="H25" s="15" t="n">
        <v>45</v>
      </c>
      <c r="I25" s="15" t="inlineStr">
        <is>
          <t>High</t>
        </is>
      </c>
    </row>
    <row r="26" ht="26" customHeight="1">
      <c r="A26" s="23" t="inlineStr">
        <is>
          <t>Eska</t>
        </is>
      </c>
      <c r="B26" s="15" t="n">
        <v>1</v>
      </c>
      <c r="C26" s="15" t="inlineStr">
        <is>
          <t>5)</t>
        </is>
      </c>
      <c r="D26" s="15" t="n">
        <v>0</v>
      </c>
      <c r="E26" s="15" t="n">
        <v>0</v>
      </c>
      <c r="F26" s="15" t="n">
        <v>0</v>
      </c>
      <c r="G26" s="15" t="n">
        <v>100</v>
      </c>
      <c r="H26" s="15" t="n">
        <v>20</v>
      </c>
      <c r="I26" s="15" t="inlineStr">
        <is>
          <t>Low</t>
        </is>
      </c>
    </row>
    <row r="27" ht="26" customHeight="1">
      <c r="A27" s="23" t="inlineStr">
        <is>
          <t>GT's</t>
        </is>
      </c>
      <c r="B27" s="15" t="n">
        <v>1</v>
      </c>
      <c r="C27" s="15" t="inlineStr">
        <is>
          <t>3)</t>
        </is>
      </c>
      <c r="D27" s="15" t="n">
        <v>10</v>
      </c>
      <c r="E27" s="15" t="n">
        <v>6</v>
      </c>
      <c r="F27" s="15" t="n">
        <v>6</v>
      </c>
      <c r="G27" s="15" t="n">
        <v>81</v>
      </c>
      <c r="H27" s="15" t="n">
        <v>5</v>
      </c>
      <c r="I27" s="15" t="inlineStr">
        <is>
          <t>High</t>
        </is>
      </c>
    </row>
    <row r="28" ht="26" customHeight="1">
      <c r="A28" s="23" t="inlineStr">
        <is>
          <t>GURU</t>
        </is>
      </c>
      <c r="B28" s="15" t="n">
        <v>1</v>
      </c>
      <c r="C28" s="15" t="inlineStr">
        <is>
          <t>4)</t>
        </is>
      </c>
      <c r="D28" s="15" t="n">
        <v>100</v>
      </c>
      <c r="E28" s="15" t="n">
        <v>21</v>
      </c>
      <c r="F28" s="15" t="n">
        <v>21</v>
      </c>
      <c r="G28" s="15" t="n">
        <v>38</v>
      </c>
      <c r="H28" s="15" t="n">
        <v>12</v>
      </c>
      <c r="I28" s="15" t="inlineStr">
        <is>
          <t>Medium</t>
        </is>
      </c>
    </row>
    <row r="29" ht="26" customHeight="1">
      <c r="A29" s="23" t="inlineStr">
        <is>
          <t>Ghost</t>
        </is>
      </c>
      <c r="B29" s="15" t="n">
        <v>1</v>
      </c>
      <c r="C29" s="15" t="inlineStr">
        <is>
          <t>4)</t>
        </is>
      </c>
      <c r="D29" s="15" t="n">
        <v>200</v>
      </c>
      <c r="E29" s="15" t="n">
        <v>0</v>
      </c>
      <c r="F29" s="15" t="n">
        <v>0</v>
      </c>
      <c r="G29" s="15" t="n">
        <v>100</v>
      </c>
      <c r="H29" s="15" t="n">
        <v>35</v>
      </c>
      <c r="I29" s="15" t="inlineStr">
        <is>
          <t>High</t>
        </is>
      </c>
    </row>
    <row r="30" ht="26" customHeight="1">
      <c r="A30" s="23" t="inlineStr">
        <is>
          <t>Gorgie</t>
        </is>
      </c>
      <c r="B30" s="15" t="n">
        <v>1</v>
      </c>
      <c r="C30" s="15" t="inlineStr">
        <is>
          <t>1)</t>
        </is>
      </c>
      <c r="D30" s="15" t="n">
        <v>120</v>
      </c>
      <c r="E30" s="15" t="n">
        <v>0</v>
      </c>
      <c r="F30" s="15" t="n">
        <v>0</v>
      </c>
      <c r="G30" s="15" t="n">
        <v>100</v>
      </c>
      <c r="H30" s="15" t="n">
        <v>27</v>
      </c>
      <c r="I30" s="15" t="inlineStr">
        <is>
          <t>Low</t>
        </is>
      </c>
    </row>
    <row r="31" ht="26" customHeight="1">
      <c r="A31" s="23" t="inlineStr">
        <is>
          <t>Guayaki</t>
        </is>
      </c>
      <c r="B31" s="15" t="n">
        <v>1</v>
      </c>
      <c r="C31" s="15" t="inlineStr">
        <is>
          <t>4)</t>
        </is>
      </c>
      <c r="D31" s="15" t="n">
        <v>150</v>
      </c>
      <c r="E31" s="15" t="n">
        <v>28</v>
      </c>
      <c r="F31" s="15" t="n">
        <v>28</v>
      </c>
      <c r="G31" s="15" t="n">
        <v>16</v>
      </c>
      <c r="H31" s="15" t="n">
        <v>20</v>
      </c>
      <c r="I31" s="15" t="inlineStr">
        <is>
          <t>Medium</t>
        </is>
      </c>
    </row>
    <row r="32" ht="26" customHeight="1">
      <c r="A32" s="23" t="inlineStr">
        <is>
          <t>Halo Sport</t>
        </is>
      </c>
      <c r="B32" s="15" t="n">
        <v>1</v>
      </c>
      <c r="C32" s="15" t="inlineStr">
        <is>
          <t>1)</t>
        </is>
      </c>
      <c r="D32" s="15" t="n">
        <v>0</v>
      </c>
      <c r="E32" s="15" t="n">
        <v>0</v>
      </c>
      <c r="F32" s="15" t="n">
        <v>0</v>
      </c>
      <c r="G32" s="15" t="n">
        <v>100</v>
      </c>
      <c r="H32" s="15" t="n">
        <v>40</v>
      </c>
      <c r="I32" s="15" t="inlineStr">
        <is>
          <t>Low</t>
        </is>
      </c>
    </row>
    <row r="33" ht="26" customHeight="1">
      <c r="A33" s="23" t="inlineStr">
        <is>
          <t>Health-Ade</t>
        </is>
      </c>
      <c r="B33" s="15" t="n">
        <v>1</v>
      </c>
      <c r="C33" s="15" t="inlineStr">
        <is>
          <t>3)</t>
        </is>
      </c>
      <c r="D33" s="15" t="n">
        <v>15</v>
      </c>
      <c r="E33" s="15" t="n">
        <v>7</v>
      </c>
      <c r="F33" s="15" t="n">
        <v>7</v>
      </c>
      <c r="G33" s="15" t="n">
        <v>78</v>
      </c>
      <c r="H33" s="15" t="n">
        <v>5</v>
      </c>
      <c r="I33" s="15" t="inlineStr">
        <is>
          <t>Medium</t>
        </is>
      </c>
    </row>
    <row r="34" ht="26" customHeight="1">
      <c r="A34" s="23" t="inlineStr">
        <is>
          <t>Hint</t>
        </is>
      </c>
      <c r="B34" s="15" t="n">
        <v>1</v>
      </c>
      <c r="C34" s="15" t="inlineStr">
        <is>
          <t>3)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Medium</t>
        </is>
      </c>
    </row>
    <row r="35" ht="26" customHeight="1">
      <c r="A35" s="23" t="inlineStr">
        <is>
          <t>LaCroix</t>
        </is>
      </c>
      <c r="B35" s="15" t="n">
        <v>1</v>
      </c>
      <c r="C35" s="15" t="inlineStr">
        <is>
          <t>5)</t>
        </is>
      </c>
      <c r="D35" s="15" t="n">
        <v>0</v>
      </c>
      <c r="E35" s="15" t="n">
        <v>0</v>
      </c>
      <c r="F35" s="15" t="n">
        <v>0</v>
      </c>
      <c r="G35" s="15" t="n">
        <v>100</v>
      </c>
      <c r="H35" s="15" t="n">
        <v>20</v>
      </c>
      <c r="I35" s="15" t="inlineStr">
        <is>
          <t>Very High</t>
        </is>
      </c>
    </row>
    <row r="36" ht="26" customHeight="1">
      <c r="A36" s="23" t="inlineStr">
        <is>
          <t>Lemon Perfect</t>
        </is>
      </c>
      <c r="B36" s="15" t="n">
        <v>1</v>
      </c>
      <c r="C36" s="15" t="inlineStr">
        <is>
          <t>3)</t>
        </is>
      </c>
      <c r="D36" s="15" t="n">
        <v>0</v>
      </c>
      <c r="E36" s="15" t="n">
        <v>1</v>
      </c>
      <c r="F36" s="15" t="n">
        <v>1</v>
      </c>
      <c r="G36" s="15" t="n">
        <v>100</v>
      </c>
      <c r="H36" s="15" t="n">
        <v>20</v>
      </c>
      <c r="I36" s="15" t="inlineStr">
        <is>
          <t>Low</t>
        </is>
      </c>
    </row>
    <row r="37" ht="26" customHeight="1">
      <c r="A37" s="23" t="inlineStr">
        <is>
          <t>Mayawell</t>
        </is>
      </c>
      <c r="B37" s="15" t="n">
        <v>1</v>
      </c>
      <c r="C37" s="15" t="inlineStr">
        <is>
          <t>3)</t>
        </is>
      </c>
      <c r="D37" s="15" t="n">
        <v>0</v>
      </c>
      <c r="E37" s="15" t="n">
        <v>6</v>
      </c>
      <c r="F37" s="15" t="n">
        <v>6</v>
      </c>
      <c r="G37" s="15" t="n">
        <v>80</v>
      </c>
      <c r="H37" s="15" t="n">
        <v>5</v>
      </c>
      <c r="I37" s="15" t="inlineStr">
        <is>
          <t>Low</t>
        </is>
      </c>
    </row>
    <row r="38" ht="26" customHeight="1">
      <c r="A38" s="23" t="inlineStr">
        <is>
          <t>Montellier</t>
        </is>
      </c>
      <c r="B38" s="15" t="n">
        <v>1</v>
      </c>
      <c r="C38" s="15" t="inlineStr">
        <is>
          <t>5)</t>
        </is>
      </c>
      <c r="D38" s="15" t="n">
        <v>0</v>
      </c>
      <c r="E38" s="15" t="n">
        <v>0</v>
      </c>
      <c r="F38" s="15" t="n">
        <v>0</v>
      </c>
      <c r="G38" s="15" t="n">
        <v>100</v>
      </c>
      <c r="H38" s="15" t="n">
        <v>20</v>
      </c>
      <c r="I38" s="15" t="inlineStr">
        <is>
          <t>Medium</t>
        </is>
      </c>
    </row>
    <row r="39" ht="26" customHeight="1">
      <c r="A39" s="23" t="inlineStr">
        <is>
          <t>NOS</t>
        </is>
      </c>
      <c r="B39" s="15" t="n">
        <v>1</v>
      </c>
      <c r="C39" s="15" t="inlineStr">
        <is>
          <t>4)</t>
        </is>
      </c>
      <c r="D39" s="15" t="n">
        <v>160</v>
      </c>
      <c r="E39" s="15" t="n">
        <v>54</v>
      </c>
      <c r="F39" s="15" t="n">
        <v>54</v>
      </c>
      <c r="G39" s="15" t="n">
        <v>0</v>
      </c>
      <c r="H39" s="15" t="n">
        <v>40</v>
      </c>
      <c r="I39" s="15" t="inlineStr">
        <is>
          <t>Low</t>
        </is>
      </c>
    </row>
    <row r="40" ht="26" customHeight="1">
      <c r="A40" s="23" t="inlineStr">
        <is>
          <t>Nixie</t>
        </is>
      </c>
      <c r="B40" s="15" t="n">
        <v>1</v>
      </c>
      <c r="C40" s="15" t="inlineStr">
        <is>
          <t>5)</t>
        </is>
      </c>
      <c r="D40" s="15" t="n">
        <v>0</v>
      </c>
      <c r="E40" s="15" t="n">
        <v>0</v>
      </c>
      <c r="F40" s="15" t="n">
        <v>0</v>
      </c>
      <c r="G40" s="15" t="n">
        <v>100</v>
      </c>
      <c r="H40" s="15" t="n">
        <v>20</v>
      </c>
      <c r="I40" s="15" t="inlineStr">
        <is>
          <t>Low</t>
        </is>
      </c>
    </row>
    <row r="41" ht="26" customHeight="1">
      <c r="A41" s="23" t="inlineStr">
        <is>
          <t>OLIPOP</t>
        </is>
      </c>
      <c r="B41" s="15" t="n">
        <v>1</v>
      </c>
      <c r="C41" s="15" t="inlineStr">
        <is>
          <t>3)</t>
        </is>
      </c>
      <c r="D41" s="15" t="n">
        <v>0</v>
      </c>
      <c r="E41" s="15" t="n">
        <v>4</v>
      </c>
      <c r="F41" s="15" t="n">
        <v>4</v>
      </c>
      <c r="G41" s="15" t="n">
        <v>85</v>
      </c>
      <c r="H41" s="15" t="n">
        <v>15</v>
      </c>
      <c r="I41" s="15" t="inlineStr">
        <is>
          <t>Very High</t>
        </is>
      </c>
    </row>
    <row r="42" ht="26" customHeight="1">
      <c r="A42" s="23" t="inlineStr">
        <is>
          <t>Pedialyte</t>
        </is>
      </c>
      <c r="B42" s="15" t="n">
        <v>1</v>
      </c>
      <c r="C42" s="15" t="inlineStr">
        <is>
          <t>2)</t>
        </is>
      </c>
      <c r="D42" s="15" t="n">
        <v>0</v>
      </c>
      <c r="E42" s="15" t="n">
        <v>9</v>
      </c>
      <c r="F42" s="15" t="n">
        <v>9</v>
      </c>
      <c r="G42" s="15" t="n">
        <v>73</v>
      </c>
      <c r="H42" s="15" t="n">
        <v>45</v>
      </c>
      <c r="I42" s="15" t="inlineStr">
        <is>
          <t>High</t>
        </is>
      </c>
    </row>
    <row r="43" ht="26" customHeight="1">
      <c r="A43" s="23" t="inlineStr">
        <is>
          <t>Perrier</t>
        </is>
      </c>
      <c r="B43" s="15" t="n">
        <v>1</v>
      </c>
      <c r="C43" s="15" t="inlineStr">
        <is>
          <t>5)</t>
        </is>
      </c>
      <c r="D43" s="15" t="n">
        <v>0</v>
      </c>
      <c r="E43" s="15" t="n">
        <v>0</v>
      </c>
      <c r="F43" s="15" t="n">
        <v>0</v>
      </c>
      <c r="G43" s="15" t="n">
        <v>100</v>
      </c>
      <c r="H43" s="15" t="n">
        <v>20</v>
      </c>
      <c r="I43" s="15" t="inlineStr">
        <is>
          <t>High</t>
        </is>
      </c>
    </row>
    <row r="44" ht="26" customHeight="1">
      <c r="A44" s="23" t="inlineStr">
        <is>
          <t>Phocus</t>
        </is>
      </c>
      <c r="B44" s="15" t="n">
        <v>1</v>
      </c>
      <c r="C44" s="15" t="inlineStr">
        <is>
          <t>1)</t>
        </is>
      </c>
      <c r="D44" s="15" t="n">
        <v>75</v>
      </c>
      <c r="E44" s="15" t="n">
        <v>0</v>
      </c>
      <c r="F44" s="15" t="n">
        <v>0</v>
      </c>
      <c r="G44" s="15" t="n">
        <v>100</v>
      </c>
      <c r="H44" s="15" t="n">
        <v>27</v>
      </c>
      <c r="I44" s="15" t="inlineStr">
        <is>
          <t>Medium</t>
        </is>
      </c>
    </row>
    <row r="45" ht="26" customHeight="1">
      <c r="A45" s="23" t="inlineStr">
        <is>
          <t>Polar</t>
        </is>
      </c>
      <c r="B45" s="15" t="n">
        <v>1</v>
      </c>
      <c r="C45" s="15" t="inlineStr">
        <is>
          <t>5)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20</v>
      </c>
      <c r="I45" s="15" t="inlineStr">
        <is>
          <t>Medium</t>
        </is>
      </c>
    </row>
    <row r="46" ht="26" customHeight="1">
      <c r="A46" s="23" t="inlineStr">
        <is>
          <t>Poppi</t>
        </is>
      </c>
      <c r="B46" s="15" t="n">
        <v>1</v>
      </c>
      <c r="C46" s="15" t="inlineStr">
        <is>
          <t>3)</t>
        </is>
      </c>
      <c r="D46" s="15" t="n">
        <v>0</v>
      </c>
      <c r="E46" s="15" t="n">
        <v>5</v>
      </c>
      <c r="F46" s="15" t="n">
        <v>5</v>
      </c>
      <c r="G46" s="15" t="n">
        <v>84</v>
      </c>
      <c r="H46" s="15" t="n">
        <v>5</v>
      </c>
      <c r="I46" s="15" t="inlineStr">
        <is>
          <t>Very High</t>
        </is>
      </c>
    </row>
    <row r="47" ht="26" customHeight="1">
      <c r="A47" s="23" t="inlineStr">
        <is>
          <t>Protein2o</t>
        </is>
      </c>
      <c r="B47" s="15" t="n">
        <v>1</v>
      </c>
      <c r="C47" s="15" t="inlineStr">
        <is>
          <t>3)</t>
        </is>
      </c>
      <c r="D47" s="15" t="n">
        <v>0</v>
      </c>
      <c r="E47" s="15" t="n">
        <v>1</v>
      </c>
      <c r="F47" s="15" t="n">
        <v>1</v>
      </c>
      <c r="G47" s="15" t="n">
        <v>100</v>
      </c>
      <c r="H47" s="15" t="n">
        <v>40</v>
      </c>
      <c r="I47" s="15" t="inlineStr">
        <is>
          <t>Medium</t>
        </is>
      </c>
    </row>
    <row r="48" ht="26" customHeight="1">
      <c r="A48" s="23" t="inlineStr">
        <is>
          <t>Recess</t>
        </is>
      </c>
      <c r="B48" s="15" t="n">
        <v>1</v>
      </c>
      <c r="C48" s="15" t="inlineStr">
        <is>
          <t>3)</t>
        </is>
      </c>
      <c r="D48" s="15" t="n">
        <v>0</v>
      </c>
      <c r="E48" s="15" t="n">
        <v>1</v>
      </c>
      <c r="F48" s="15" t="n">
        <v>1</v>
      </c>
      <c r="G48" s="15" t="n">
        <v>100</v>
      </c>
      <c r="H48" s="15" t="n">
        <v>20</v>
      </c>
      <c r="I48" s="15" t="inlineStr">
        <is>
          <t>Medium</t>
        </is>
      </c>
    </row>
    <row r="49" ht="26" customHeight="1">
      <c r="A49" s="23" t="inlineStr">
        <is>
          <t>Reign</t>
        </is>
      </c>
      <c r="B49" s="15" t="n">
        <v>1</v>
      </c>
      <c r="C49" s="15" t="inlineStr">
        <is>
          <t>4)</t>
        </is>
      </c>
      <c r="D49" s="15" t="n">
        <v>300</v>
      </c>
      <c r="E49" s="15" t="n">
        <v>0</v>
      </c>
      <c r="F49" s="15" t="n">
        <v>0</v>
      </c>
      <c r="G49" s="15" t="n">
        <v>100</v>
      </c>
      <c r="H49" s="15" t="n">
        <v>35</v>
      </c>
      <c r="I49" s="15" t="inlineStr">
        <is>
          <t>Medium</t>
        </is>
      </c>
    </row>
    <row r="50" ht="26" customHeight="1">
      <c r="A50" s="23" t="inlineStr">
        <is>
          <t>Remedy</t>
        </is>
      </c>
      <c r="B50" s="15" t="n">
        <v>1</v>
      </c>
      <c r="C50" s="15" t="inlineStr">
        <is>
          <t>3)</t>
        </is>
      </c>
      <c r="D50" s="15" t="n">
        <v>10</v>
      </c>
      <c r="E50" s="15" t="n">
        <v>0</v>
      </c>
      <c r="F50" s="15" t="n">
        <v>0</v>
      </c>
      <c r="G50" s="15" t="n">
        <v>100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Roar Organic</t>
        </is>
      </c>
      <c r="B51" s="15" t="n">
        <v>1</v>
      </c>
      <c r="C51" s="15" t="inlineStr">
        <is>
          <t>2)</t>
        </is>
      </c>
      <c r="D51" s="15" t="n">
        <v>0</v>
      </c>
      <c r="E51" s="15" t="n">
        <v>2</v>
      </c>
      <c r="F51" s="15" t="n">
        <v>2</v>
      </c>
      <c r="G51" s="15" t="n">
        <v>94</v>
      </c>
      <c r="H51" s="15" t="n">
        <v>35</v>
      </c>
      <c r="I51" s="15" t="inlineStr">
        <is>
          <t>Low</t>
        </is>
      </c>
    </row>
    <row r="52" ht="26" customHeight="1">
      <c r="A52" s="23" t="inlineStr">
        <is>
          <t>Rockstar</t>
        </is>
      </c>
      <c r="B52" s="15" t="n">
        <v>1</v>
      </c>
      <c r="C52" s="15" t="inlineStr">
        <is>
          <t>4)</t>
        </is>
      </c>
      <c r="D52" s="15" t="n">
        <v>160</v>
      </c>
      <c r="E52" s="15" t="n">
        <v>31</v>
      </c>
      <c r="F52" s="15" t="n">
        <v>31</v>
      </c>
      <c r="G52" s="15" t="n">
        <v>8</v>
      </c>
      <c r="H52" s="15" t="n">
        <v>30</v>
      </c>
      <c r="I52" s="15" t="inlineStr">
        <is>
          <t>Medium</t>
        </is>
      </c>
    </row>
    <row r="53" ht="26" customHeight="1">
      <c r="A53" s="23" t="inlineStr">
        <is>
          <t>Sound</t>
        </is>
      </c>
      <c r="B53" s="15" t="n">
        <v>1</v>
      </c>
      <c r="C53" s="15" t="inlineStr">
        <is>
          <t>1)</t>
        </is>
      </c>
      <c r="D53" s="15" t="n">
        <v>15</v>
      </c>
      <c r="E53" s="15" t="n">
        <v>0</v>
      </c>
      <c r="F53" s="15" t="n">
        <v>0</v>
      </c>
      <c r="G53" s="15" t="n">
        <v>100</v>
      </c>
      <c r="H53" s="15" t="n">
        <v>20</v>
      </c>
      <c r="I53" s="15" t="inlineStr">
        <is>
          <t>Low</t>
        </is>
      </c>
    </row>
    <row r="54" ht="26" customHeight="1">
      <c r="A54" s="23" t="inlineStr">
        <is>
          <t>Sparkling Ice</t>
        </is>
      </c>
      <c r="B54" s="15" t="n">
        <v>1</v>
      </c>
      <c r="C54" s="15" t="inlineStr">
        <is>
          <t>1)</t>
        </is>
      </c>
      <c r="D54" s="15" t="n">
        <v>0</v>
      </c>
      <c r="E54" s="15" t="n">
        <v>0</v>
      </c>
      <c r="F54" s="15" t="n">
        <v>0</v>
      </c>
      <c r="G54" s="15" t="n">
        <v>100</v>
      </c>
      <c r="H54" s="15" t="n">
        <v>20</v>
      </c>
      <c r="I54" s="15" t="inlineStr">
        <is>
          <t>High</t>
        </is>
      </c>
    </row>
    <row r="55" ht="26" customHeight="1">
      <c r="A55" s="23" t="inlineStr">
        <is>
          <t>Spindrift</t>
        </is>
      </c>
      <c r="B55" s="15" t="n">
        <v>1</v>
      </c>
      <c r="C55" s="15" t="inlineStr">
        <is>
          <t>5)</t>
        </is>
      </c>
      <c r="D55" s="15" t="n">
        <v>0</v>
      </c>
      <c r="E55" s="15" t="n">
        <v>2</v>
      </c>
      <c r="F55" s="15" t="n">
        <v>2</v>
      </c>
      <c r="G55" s="15" t="n">
        <v>94</v>
      </c>
      <c r="H55" s="15" t="n">
        <v>5</v>
      </c>
      <c r="I55" s="15" t="inlineStr">
        <is>
          <t>High</t>
        </is>
      </c>
    </row>
    <row r="56" ht="26" customHeight="1">
      <c r="A56" s="23" t="inlineStr">
        <is>
          <t>Starbucks</t>
        </is>
      </c>
      <c r="B56" s="15" t="n">
        <v>1</v>
      </c>
      <c r="C56" s="15" t="inlineStr">
        <is>
          <t>4)</t>
        </is>
      </c>
      <c r="D56" s="15" t="n">
        <v>135</v>
      </c>
      <c r="E56" s="15" t="n">
        <v>29</v>
      </c>
      <c r="F56" s="15" t="n">
        <v>29</v>
      </c>
      <c r="G56" s="15" t="n">
        <v>2</v>
      </c>
      <c r="H56" s="15" t="n">
        <v>32</v>
      </c>
      <c r="I56" s="15" t="inlineStr">
        <is>
          <t>High</t>
        </is>
      </c>
    </row>
    <row r="57" ht="26" customHeight="1">
      <c r="A57" s="23" t="inlineStr">
        <is>
          <t>Topo Chico</t>
        </is>
      </c>
      <c r="B57" s="15" t="n">
        <v>1</v>
      </c>
      <c r="C57" s="15" t="inlineStr">
        <is>
          <t>5)</t>
        </is>
      </c>
      <c r="D57" s="15" t="n">
        <v>0</v>
      </c>
      <c r="E57" s="15" t="n">
        <v>0</v>
      </c>
      <c r="F57" s="15" t="n">
        <v>0</v>
      </c>
      <c r="G57" s="15" t="n">
        <v>100</v>
      </c>
      <c r="H57" s="15" t="n">
        <v>20</v>
      </c>
      <c r="I57" s="15" t="inlineStr">
        <is>
          <t>Medium</t>
        </is>
      </c>
    </row>
    <row r="58" ht="26" customHeight="1">
      <c r="A58" s="23" t="inlineStr">
        <is>
          <t>United Sodas</t>
        </is>
      </c>
      <c r="B58" s="15" t="n">
        <v>1</v>
      </c>
      <c r="C58" s="15" t="inlineStr">
        <is>
          <t>1)</t>
        </is>
      </c>
      <c r="D58" s="15" t="n">
        <v>0</v>
      </c>
      <c r="E58" s="15" t="n">
        <v>8</v>
      </c>
      <c r="F58" s="15" t="n">
        <v>8</v>
      </c>
      <c r="G58" s="15" t="n">
        <v>76</v>
      </c>
      <c r="H58" s="15" t="n">
        <v>5</v>
      </c>
      <c r="I58" s="15" t="inlineStr">
        <is>
          <t>Low</t>
        </is>
      </c>
    </row>
    <row r="59" ht="26" customHeight="1">
      <c r="A59" s="23" t="inlineStr">
        <is>
          <t>Vita Coco</t>
        </is>
      </c>
      <c r="B59" s="15" t="n">
        <v>1</v>
      </c>
      <c r="C59" s="15" t="inlineStr">
        <is>
          <t>2)</t>
        </is>
      </c>
      <c r="D59" s="15" t="n">
        <v>0</v>
      </c>
      <c r="E59" s="15" t="n">
        <v>11</v>
      </c>
      <c r="F59" s="15" t="n">
        <v>11</v>
      </c>
      <c r="G59" s="15" t="n">
        <v>67</v>
      </c>
      <c r="H59" s="15" t="n">
        <v>25</v>
      </c>
      <c r="I59" s="15" t="inlineStr">
        <is>
          <t>High</t>
        </is>
      </c>
    </row>
    <row r="60" ht="26" customHeight="1">
      <c r="A60" s="23" t="inlineStr">
        <is>
          <t>Waterloo</t>
        </is>
      </c>
      <c r="B60" s="15" t="n">
        <v>1</v>
      </c>
      <c r="C60" s="15" t="inlineStr">
        <is>
          <t>5)</t>
        </is>
      </c>
      <c r="D60" s="15" t="n">
        <v>0</v>
      </c>
      <c r="E60" s="15" t="n">
        <v>0</v>
      </c>
      <c r="F60" s="15" t="n">
        <v>0</v>
      </c>
      <c r="G60" s="15" t="n">
        <v>100</v>
      </c>
      <c r="H60" s="15" t="n">
        <v>20</v>
      </c>
      <c r="I60" s="15" t="inlineStr">
        <is>
          <t>Medium</t>
        </is>
      </c>
    </row>
    <row r="61" ht="26" customHeight="1">
      <c r="A61" s="23" t="inlineStr">
        <is>
          <t>ZOA</t>
        </is>
      </c>
      <c r="B61" s="15" t="n">
        <v>1</v>
      </c>
      <c r="C61" s="15" t="inlineStr">
        <is>
          <t>4)</t>
        </is>
      </c>
      <c r="D61" s="15" t="n">
        <v>160</v>
      </c>
      <c r="E61" s="15" t="n">
        <v>0</v>
      </c>
      <c r="F61" s="15" t="n">
        <v>0</v>
      </c>
      <c r="G61" s="15" t="n">
        <v>100</v>
      </c>
      <c r="H61" s="15" t="n">
        <v>45</v>
      </c>
      <c r="I61" s="15" t="inlineStr">
        <is>
          <t>Medium</t>
        </is>
      </c>
    </row>
    <row r="62" ht="26" customHeight="1">
      <c r="A62" s="23" t="inlineStr">
        <is>
          <t>bubly</t>
        </is>
      </c>
      <c r="B62" s="15" t="n">
        <v>1</v>
      </c>
      <c r="C62" s="15" t="inlineStr">
        <is>
          <t>5)</t>
        </is>
      </c>
      <c r="D62" s="15" t="n">
        <v>0</v>
      </c>
      <c r="E62" s="15" t="n">
        <v>0</v>
      </c>
      <c r="F62" s="15" t="n">
        <v>0</v>
      </c>
      <c r="G62" s="15" t="n">
        <v>100</v>
      </c>
      <c r="H62" s="15" t="n">
        <v>20</v>
      </c>
      <c r="I62" s="15" t="inlineStr">
        <is>
          <t>Very High</t>
        </is>
      </c>
    </row>
    <row r="63" ht="26" customHeight="1">
      <c r="A63" s="23" t="inlineStr">
        <is>
          <t>wildwonder</t>
        </is>
      </c>
      <c r="B63" s="15" t="n">
        <v>1</v>
      </c>
      <c r="C63" s="15" t="inlineStr">
        <is>
          <t>3)</t>
        </is>
      </c>
      <c r="D63" s="15" t="n">
        <v>0</v>
      </c>
      <c r="E63" s="15" t="n">
        <v>6</v>
      </c>
      <c r="F63" s="15" t="n">
        <v>6</v>
      </c>
      <c r="G63" s="15" t="n">
        <v>80</v>
      </c>
      <c r="H63" s="15" t="n">
        <v>5</v>
      </c>
      <c r="I63" s="15" t="inlineStr">
        <is>
          <t>Low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8</v>
      </c>
      <c r="C2" s="15" t="n">
        <v>7</v>
      </c>
      <c r="D2" s="15" t="n">
        <v>1</v>
      </c>
      <c r="E2" s="15" t="n">
        <v>0</v>
      </c>
      <c r="F2" s="15" t="n">
        <v>8</v>
      </c>
      <c r="G2" s="15" t="n">
        <v>34.9</v>
      </c>
      <c r="H2" s="15" t="n">
        <v>8.1</v>
      </c>
      <c r="I2" s="15" t="n">
        <v>97</v>
      </c>
      <c r="J2" s="15" t="n">
        <v>23.2</v>
      </c>
    </row>
    <row r="3" ht="30" customHeight="1">
      <c r="A3" s="23" t="inlineStr">
        <is>
          <t>2) Electrolyte beverage (RTD)</t>
        </is>
      </c>
      <c r="B3" s="15" t="n">
        <v>15</v>
      </c>
      <c r="C3" s="15" t="n">
        <v>6</v>
      </c>
      <c r="D3" s="15" t="n">
        <v>10.1</v>
      </c>
      <c r="E3" s="15" t="n">
        <v>0</v>
      </c>
      <c r="F3" s="15" t="n">
        <v>35</v>
      </c>
      <c r="G3" s="15" t="n">
        <v>0</v>
      </c>
      <c r="H3" s="15" t="n">
        <v>44.3</v>
      </c>
      <c r="I3" s="15" t="n">
        <v>70.2</v>
      </c>
      <c r="J3" s="15" t="n">
        <v>38.3</v>
      </c>
    </row>
    <row r="4" ht="30" customHeight="1">
      <c r="A4" s="23" t="inlineStr">
        <is>
          <t>3) Functional beverage (still/sparkling)</t>
        </is>
      </c>
      <c r="B4" s="15" t="n">
        <v>16</v>
      </c>
      <c r="C4" s="15" t="n">
        <v>7</v>
      </c>
      <c r="D4" s="15" t="n">
        <v>5</v>
      </c>
      <c r="E4" s="15" t="n">
        <v>0</v>
      </c>
      <c r="F4" s="15" t="n">
        <v>27</v>
      </c>
      <c r="G4" s="15" t="n">
        <v>7.5</v>
      </c>
      <c r="H4" s="15" t="n">
        <v>33.9</v>
      </c>
      <c r="I4" s="15" t="n">
        <v>84.90000000000001</v>
      </c>
      <c r="J4" s="15" t="n">
        <v>13.9</v>
      </c>
    </row>
    <row r="5" ht="30" customHeight="1">
      <c r="A5" s="23" t="inlineStr">
        <is>
          <t>4) Caffeine &amp; energy beverage</t>
        </is>
      </c>
      <c r="B5" s="15" t="n">
        <v>19</v>
      </c>
      <c r="C5" s="15" t="n">
        <v>12</v>
      </c>
      <c r="D5" s="15" t="n">
        <v>12.8</v>
      </c>
      <c r="E5" s="15" t="n">
        <v>0</v>
      </c>
      <c r="F5" s="15" t="n">
        <v>54</v>
      </c>
      <c r="G5" s="15" t="n">
        <v>174.5</v>
      </c>
      <c r="H5" s="15" t="n">
        <v>60.5</v>
      </c>
      <c r="I5" s="15" t="n">
        <v>67.5</v>
      </c>
      <c r="J5" s="15" t="n">
        <v>35.9</v>
      </c>
    </row>
    <row r="6" ht="30" customHeight="1">
      <c r="A6" s="23" t="inlineStr">
        <is>
          <t>5) Sparkling water &amp; soda</t>
        </is>
      </c>
      <c r="B6" s="15" t="n">
        <v>17</v>
      </c>
      <c r="C6" s="15" t="n">
        <v>14</v>
      </c>
      <c r="D6" s="15" t="n">
        <v>3.4</v>
      </c>
      <c r="E6" s="15" t="n">
        <v>0</v>
      </c>
      <c r="F6" s="15" t="n">
        <v>39</v>
      </c>
      <c r="G6" s="15" t="n">
        <v>3.8</v>
      </c>
      <c r="H6" s="15" t="n">
        <v>12.9</v>
      </c>
      <c r="I6" s="15" t="n">
        <v>90.90000000000001</v>
      </c>
      <c r="J6" s="15" t="n">
        <v>18.5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B050"/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4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>
        <f>'M4 - Caffeine &amp; Energy'!AG3</f>
        <v/>
      </c>
      <c r="I2" s="11">
        <f>'M4 - Caffeine &amp; Energy'!AJ3</f>
        <v/>
      </c>
      <c r="J2" s="11">
        <f>'M4 - Caffeine &amp; Energy'!AK3</f>
        <v/>
      </c>
      <c r="K2" s="11">
        <f>'M4 - Caffeine &amp; Energy'!AI3</f>
        <v/>
      </c>
    </row>
    <row r="3" ht="24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140</v>
      </c>
      <c r="G3" s="11" t="n">
        <v>10</v>
      </c>
      <c r="H3" s="25">
        <f>'M4 - Caffeine &amp; Energy'!AG5</f>
        <v/>
      </c>
      <c r="I3" s="11">
        <f>'M4 - Caffeine &amp; Energy'!AJ5</f>
        <v/>
      </c>
      <c r="J3" s="11">
        <f>'M4 - Caffeine &amp; Energy'!AK5</f>
        <v/>
      </c>
      <c r="K3" s="11">
        <f>'M4 - Caffeine &amp; Energy'!AI5</f>
        <v/>
      </c>
    </row>
    <row r="4" ht="24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>
        <f>'M4 - Caffeine &amp; Energy'!AG6</f>
        <v/>
      </c>
      <c r="I4" s="11">
        <f>'M4 - Caffeine &amp; Energy'!AJ6</f>
        <v/>
      </c>
      <c r="J4" s="11">
        <f>'M4 - Caffeine &amp; Energy'!AK6</f>
        <v/>
      </c>
      <c r="K4" s="11">
        <f>'M4 - Caffeine &amp; Energy'!AI6</f>
        <v/>
      </c>
    </row>
    <row r="5" ht="24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>
        <f>'M4 - Caffeine &amp; Energy'!AG7</f>
        <v/>
      </c>
      <c r="I5" s="11">
        <f>'M4 - Caffeine &amp; Energy'!AJ7</f>
        <v/>
      </c>
      <c r="J5" s="11">
        <f>'M4 - Caffeine &amp; Energy'!AK7</f>
        <v/>
      </c>
      <c r="K5" s="11">
        <f>'M4 - Caffeine &amp; Energy'!AI7</f>
        <v/>
      </c>
    </row>
    <row r="6" ht="24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>
        <f>'M4 - Caffeine &amp; Energy'!AG8</f>
        <v/>
      </c>
      <c r="I6" s="11">
        <f>'M4 - Caffeine &amp; Energy'!AJ8</f>
        <v/>
      </c>
      <c r="J6" s="11">
        <f>'M4 - Caffeine &amp; Energy'!AK8</f>
        <v/>
      </c>
      <c r="K6" s="11">
        <f>'M4 - Caffeine &amp; Energy'!AI8</f>
        <v/>
      </c>
    </row>
    <row r="7" ht="24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>
        <f>'M4 - Caffeine &amp; Energy'!AG9</f>
        <v/>
      </c>
      <c r="I7" s="11">
        <f>'M4 - Caffeine &amp; Energy'!AJ9</f>
        <v/>
      </c>
      <c r="J7" s="11">
        <f>'M4 - Caffeine &amp; Energy'!AK9</f>
        <v/>
      </c>
      <c r="K7" s="11">
        <f>'M4 - Caffeine &amp; Energy'!AI9</f>
        <v/>
      </c>
    </row>
    <row r="8" ht="24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>
        <f>'M4 - Caffeine &amp; Energy'!AG10</f>
        <v/>
      </c>
      <c r="I8" s="11">
        <f>'M4 - Caffeine &amp; Energy'!AJ10</f>
        <v/>
      </c>
      <c r="J8" s="11">
        <f>'M4 - Caffeine &amp; Energy'!AK10</f>
        <v/>
      </c>
      <c r="K8" s="11">
        <f>'M4 - Caffeine &amp; Energy'!AI10</f>
        <v/>
      </c>
    </row>
    <row r="9" ht="24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>
        <f>'M4 - Caffeine &amp; Energy'!AG11</f>
        <v/>
      </c>
      <c r="I9" s="11">
        <f>'M4 - Caffeine &amp; Energy'!AJ11</f>
        <v/>
      </c>
      <c r="J9" s="11">
        <f>'M4 - Caffeine &amp; Energy'!AK11</f>
        <v/>
      </c>
      <c r="K9" s="11">
        <f>'M4 - Caffeine &amp; Energy'!AI11</f>
        <v/>
      </c>
    </row>
    <row r="10" ht="24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>
        <f>'M4 - Caffeine &amp; Energy'!AG12</f>
        <v/>
      </c>
      <c r="I10" s="11">
        <f>'M4 - Caffeine &amp; Energy'!AJ12</f>
        <v/>
      </c>
      <c r="J10" s="11">
        <f>'M4 - Caffeine &amp; Energy'!AK12</f>
        <v/>
      </c>
      <c r="K10" s="11">
        <f>'M4 - Caffeine &amp; Energy'!AI12</f>
        <v/>
      </c>
    </row>
    <row r="11" ht="24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>
        <f>'M4 - Caffeine &amp; Energy'!AG18</f>
        <v/>
      </c>
      <c r="I11" s="11">
        <f>'M4 - Caffeine &amp; Energy'!AJ18</f>
        <v/>
      </c>
      <c r="J11" s="11">
        <f>'M4 - Caffeine &amp; Energy'!AK18</f>
        <v/>
      </c>
      <c r="K11" s="11">
        <f>'M4 - Caffeine &amp; Energy'!AI18</f>
        <v/>
      </c>
    </row>
    <row r="12" ht="24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>
        <f>'M4 - Caffeine &amp; Energy'!AG19</f>
        <v/>
      </c>
      <c r="I12" s="11">
        <f>'M4 - Caffeine &amp; Energy'!AJ19</f>
        <v/>
      </c>
      <c r="J12" s="11">
        <f>'M4 - Caffeine &amp; Energy'!AK19</f>
        <v/>
      </c>
      <c r="K12" s="11">
        <f>'M4 - Caffeine &amp; Energy'!AI19</f>
        <v/>
      </c>
    </row>
    <row r="13" ht="24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>
        <f>'M4 - Caffeine &amp; Energy'!AG20</f>
        <v/>
      </c>
      <c r="I13" s="11">
        <f>'M4 - Caffeine &amp; Energy'!AJ20</f>
        <v/>
      </c>
      <c r="J13" s="11">
        <f>'M4 - Caffeine &amp; Energy'!AK20</f>
        <v/>
      </c>
      <c r="K13" s="11">
        <f>'M4 - Caffeine &amp; Energy'!AI20</f>
        <v/>
      </c>
    </row>
    <row r="14" ht="24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>
        <f>'M2 - Electrolyte RTD'!AG3</f>
        <v/>
      </c>
      <c r="I14" s="11">
        <f>'M2 - Electrolyte RTD'!AJ3</f>
        <v/>
      </c>
      <c r="J14" s="11">
        <f>'M2 - Electrolyte RTD'!AK3</f>
        <v/>
      </c>
      <c r="K14" s="11">
        <f>'M2 - Electrolyte RTD'!AI3</f>
        <v/>
      </c>
    </row>
    <row r="15" ht="24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>
        <f>'M2 - Electrolyte RTD'!AG5</f>
        <v/>
      </c>
      <c r="I15" s="11">
        <f>'M2 - Electrolyte RTD'!AJ5</f>
        <v/>
      </c>
      <c r="J15" s="11">
        <f>'M2 - Electrolyte RTD'!AK5</f>
        <v/>
      </c>
      <c r="K15" s="11">
        <f>'M2 - Electrolyte RTD'!AI5</f>
        <v/>
      </c>
    </row>
    <row r="16" ht="24" customHeight="1">
      <c r="A16" s="24" t="n">
        <v>15</v>
      </c>
      <c r="B16" s="15" t="inlineStr">
        <is>
          <t>Prime</t>
        </is>
      </c>
      <c r="C16" s="15" t="inlineStr">
        <is>
          <t>Prime Hydration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20</v>
      </c>
      <c r="H16" s="25">
        <f>'M2 - Electrolyte RTD'!AG8</f>
        <v/>
      </c>
      <c r="I16" s="11">
        <f>'M2 - Electrolyte RTD'!AJ8</f>
        <v/>
      </c>
      <c r="J16" s="11">
        <f>'M2 - Electrolyte RTD'!AK8</f>
        <v/>
      </c>
      <c r="K16" s="11">
        <f>'M2 - Electrolyte RTD'!AI8</f>
        <v/>
      </c>
    </row>
    <row r="17" ht="24" customHeight="1">
      <c r="A17" s="24" t="n">
        <v>16</v>
      </c>
      <c r="B17" s="15" t="inlineStr">
        <is>
          <t>BioSteel</t>
        </is>
      </c>
      <c r="C17" s="15" t="inlineStr">
        <is>
          <t>BioSteel Sports Drink (RTD)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0</v>
      </c>
      <c r="H17" s="25">
        <f>'M2 - Electrolyte RTD'!AG10</f>
        <v/>
      </c>
      <c r="I17" s="11">
        <f>'M2 - Electrolyte RTD'!AJ10</f>
        <v/>
      </c>
      <c r="J17" s="11">
        <f>'M2 - Electrolyte RTD'!AK10</f>
        <v/>
      </c>
      <c r="K17" s="11">
        <f>'M2 - Electrolyte RTD'!AI10</f>
        <v/>
      </c>
    </row>
    <row r="18" ht="24" customHeight="1">
      <c r="A18" s="24" t="n">
        <v>17</v>
      </c>
      <c r="B18" s="15" t="inlineStr">
        <is>
          <t>CWENCH</t>
        </is>
      </c>
      <c r="C18" s="15" t="inlineStr">
        <is>
          <t>CWENCH Hydration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15</v>
      </c>
      <c r="H18" s="25">
        <f>'M2 - Electrolyte RTD'!AG11</f>
        <v/>
      </c>
      <c r="I18" s="11">
        <f>'M2 - Electrolyte RTD'!AJ11</f>
        <v/>
      </c>
      <c r="J18" s="11">
        <f>'M2 - Electrolyte RTD'!AK11</f>
        <v/>
      </c>
      <c r="K18" s="11">
        <f>'M2 - Electrolyte RTD'!AI11</f>
        <v/>
      </c>
    </row>
    <row r="19" ht="24" customHeight="1">
      <c r="A19" s="24" t="n">
        <v>18</v>
      </c>
      <c r="B19" s="15" t="inlineStr">
        <is>
          <t>Gatorade</t>
        </is>
      </c>
      <c r="C19" s="15" t="inlineStr">
        <is>
          <t>Gatorade Fit Electrolyte Beverage</t>
        </is>
      </c>
      <c r="D19" s="15" t="inlineStr">
        <is>
          <t>2) Electrolyte beverage (RTD)</t>
        </is>
      </c>
      <c r="E19" s="11" t="n">
        <v>0</v>
      </c>
      <c r="F19" s="11" t="n">
        <v>0</v>
      </c>
      <c r="G19" s="11" t="n">
        <v>5</v>
      </c>
      <c r="H19" s="25">
        <f>'M2 - Electrolyte RTD'!AG16</f>
        <v/>
      </c>
      <c r="I19" s="11">
        <f>'M2 - Electrolyte RTD'!AJ16</f>
        <v/>
      </c>
      <c r="J19" s="11">
        <f>'M2 - Electrolyte RTD'!AK16</f>
        <v/>
      </c>
      <c r="K19" s="11">
        <f>'M2 - Electrolyte RTD'!AI16</f>
        <v/>
      </c>
    </row>
    <row r="20" ht="24" customHeight="1">
      <c r="A20" s="24" t="n">
        <v>19</v>
      </c>
      <c r="B20" s="15" t="inlineStr">
        <is>
          <t>Remedy</t>
        </is>
      </c>
      <c r="C20" s="15" t="inlineStr">
        <is>
          <t>Remedy Kombucha</t>
        </is>
      </c>
      <c r="D20" s="15" t="inlineStr">
        <is>
          <t>3) Functional beverage (still/sparkling)</t>
        </is>
      </c>
      <c r="E20" s="11" t="n">
        <v>0</v>
      </c>
      <c r="F20" s="11" t="n">
        <v>10</v>
      </c>
      <c r="G20" s="11" t="n">
        <v>8</v>
      </c>
      <c r="H20" s="25">
        <f>'M3 - Functional Beverage'!AG9</f>
        <v/>
      </c>
      <c r="I20" s="11">
        <f>'M3 - Functional Beverage'!AJ9</f>
        <v/>
      </c>
      <c r="J20" s="11">
        <f>'M3 - Functional Beverage'!AK9</f>
        <v/>
      </c>
      <c r="K20" s="11">
        <f>'M3 - Functional Beverage'!AI9</f>
        <v/>
      </c>
    </row>
    <row r="21" ht="24" customHeight="1">
      <c r="A21" s="24" t="n">
        <v>20</v>
      </c>
      <c r="B21" s="15" t="inlineStr">
        <is>
          <t>Recess</t>
        </is>
      </c>
      <c r="C21" s="15" t="inlineStr">
        <is>
          <t>Recess Mood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25</v>
      </c>
      <c r="H21" s="25">
        <f>'M3 - Functional Beverage'!AG10</f>
        <v/>
      </c>
      <c r="I21" s="11">
        <f>'M3 - Functional Beverage'!AJ10</f>
        <v/>
      </c>
      <c r="J21" s="11">
        <f>'M3 - Functional Beverage'!AK10</f>
        <v/>
      </c>
      <c r="K21" s="11">
        <f>'M3 - Functional Beverage'!AI10</f>
        <v/>
      </c>
    </row>
    <row r="22" ht="24" customHeight="1">
      <c r="A22" s="24" t="n">
        <v>21</v>
      </c>
      <c r="B22" s="15" t="inlineStr">
        <is>
          <t>Protein2o</t>
        </is>
      </c>
      <c r="C22" s="15" t="inlineStr">
        <is>
          <t>Protein2o Protein Infused Water</t>
        </is>
      </c>
      <c r="D22" s="15" t="inlineStr">
        <is>
          <t>3) Functional beverage (still/sparkling)</t>
        </is>
      </c>
      <c r="E22" s="11" t="n">
        <v>1</v>
      </c>
      <c r="F22" s="11" t="n">
        <v>0</v>
      </c>
      <c r="G22" s="11" t="n">
        <v>70</v>
      </c>
      <c r="H22" s="25">
        <f>'M3 - Functional Beverage'!AG11</f>
        <v/>
      </c>
      <c r="I22" s="11">
        <f>'M3 - Functional Beverage'!AJ11</f>
        <v/>
      </c>
      <c r="J22" s="11">
        <f>'M3 - Functional Beverage'!AK11</f>
        <v/>
      </c>
      <c r="K22" s="11">
        <f>'M3 - Functional Beverage'!AI11</f>
        <v/>
      </c>
    </row>
    <row r="23" ht="24" customHeight="1">
      <c r="A23" s="24" t="n">
        <v>22</v>
      </c>
      <c r="B23" s="15" t="inlineStr">
        <is>
          <t>vitaminwater</t>
        </is>
      </c>
      <c r="C23" s="15" t="inlineStr">
        <is>
          <t>vitaminwater zero sugar</t>
        </is>
      </c>
      <c r="D23" s="15" t="inlineStr">
        <is>
          <t>3) Functional beverage (still/sparkling)</t>
        </is>
      </c>
      <c r="E23" s="11" t="n">
        <v>0</v>
      </c>
      <c r="F23" s="11" t="n">
        <v>0</v>
      </c>
      <c r="G23" s="11" t="n">
        <v>0</v>
      </c>
      <c r="H23" s="25">
        <f>'M3 - Functional Beverage'!AG13</f>
        <v/>
      </c>
      <c r="I23" s="11">
        <f>'M3 - Functional Beverage'!AJ13</f>
        <v/>
      </c>
      <c r="J23" s="11">
        <f>'M3 - Functional Beverage'!AK13</f>
        <v/>
      </c>
      <c r="K23" s="11">
        <f>'M3 - Functional Beverage'!AI13</f>
        <v/>
      </c>
    </row>
    <row r="24" ht="24" customHeight="1">
      <c r="A24" s="24" t="n">
        <v>23</v>
      </c>
      <c r="B24" s="15" t="inlineStr">
        <is>
          <t>Bai</t>
        </is>
      </c>
      <c r="C24" s="15" t="inlineStr">
        <is>
          <t>Bai Antioxidant Infusion</t>
        </is>
      </c>
      <c r="D24" s="15" t="inlineStr">
        <is>
          <t>3) Functional beverage (still/sparkling)</t>
        </is>
      </c>
      <c r="E24" s="11" t="n">
        <v>1</v>
      </c>
      <c r="F24" s="11" t="n">
        <v>35</v>
      </c>
      <c r="G24" s="11" t="n">
        <v>10</v>
      </c>
      <c r="H24" s="25">
        <f>'M3 - Functional Beverage'!AG14</f>
        <v/>
      </c>
      <c r="I24" s="11">
        <f>'M3 - Functional Beverage'!AJ14</f>
        <v/>
      </c>
      <c r="J24" s="11">
        <f>'M3 - Functional Beverage'!AK14</f>
        <v/>
      </c>
      <c r="K24" s="11">
        <f>'M3 - Functional Beverage'!AI14</f>
        <v/>
      </c>
    </row>
    <row r="25" ht="24" customHeight="1">
      <c r="A25" s="24" t="n">
        <v>24</v>
      </c>
      <c r="B25" s="15" t="inlineStr">
        <is>
          <t>Hint</t>
        </is>
      </c>
      <c r="C25" s="15" t="inlineStr">
        <is>
          <t>Hint Water (fruit-infused)</t>
        </is>
      </c>
      <c r="D25" s="15" t="inlineStr">
        <is>
          <t>3) Functional beverage (still/sparkling)</t>
        </is>
      </c>
      <c r="E25" s="11" t="n">
        <v>0</v>
      </c>
      <c r="F25" s="11" t="n">
        <v>0</v>
      </c>
      <c r="G25" s="11" t="n">
        <v>0</v>
      </c>
      <c r="H25" s="25">
        <f>'M3 - Functional Beverage'!AG15</f>
        <v/>
      </c>
      <c r="I25" s="11">
        <f>'M3 - Functional Beverage'!AJ15</f>
        <v/>
      </c>
      <c r="J25" s="11">
        <f>'M3 - Functional Beverage'!AK15</f>
        <v/>
      </c>
      <c r="K25" s="11">
        <f>'M3 - Functional Beverage'!AI15</f>
        <v/>
      </c>
    </row>
    <row r="26" ht="24" customHeight="1">
      <c r="A26" s="24" t="n">
        <v>25</v>
      </c>
      <c r="B26" s="15" t="inlineStr">
        <is>
          <t>Lemon Perfect</t>
        </is>
      </c>
      <c r="C26" s="15" t="inlineStr">
        <is>
          <t>Lemon Perfect Cold-Pressed Lemon Water</t>
        </is>
      </c>
      <c r="D26" s="15" t="inlineStr">
        <is>
          <t>3) Functional beverage (still/sparkling)</t>
        </is>
      </c>
      <c r="E26" s="11" t="n">
        <v>1</v>
      </c>
      <c r="F26" s="11" t="n">
        <v>0</v>
      </c>
      <c r="G26" s="11" t="n">
        <v>5</v>
      </c>
      <c r="H26" s="25">
        <f>'M3 - Functional Beverage'!AG17</f>
        <v/>
      </c>
      <c r="I26" s="11">
        <f>'M3 - Functional Beverage'!AJ17</f>
        <v/>
      </c>
      <c r="J26" s="11">
        <f>'M3 - Functional Beverage'!AK17</f>
        <v/>
      </c>
      <c r="K26" s="11">
        <f>'M3 - Functional Beverage'!AI17</f>
        <v/>
      </c>
    </row>
    <row r="27" ht="24" customHeight="1">
      <c r="A27" s="24" t="n">
        <v>26</v>
      </c>
      <c r="B27" s="15" t="inlineStr">
        <is>
          <t>LaCroix</t>
        </is>
      </c>
      <c r="C27" s="15" t="inlineStr">
        <is>
          <t>LaCroix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>
        <f>'M5 - Sparkling Water &amp; Soda'!AG3</f>
        <v/>
      </c>
      <c r="I27" s="11">
        <f>'M5 - Sparkling Water &amp; Soda'!AJ3</f>
        <v/>
      </c>
      <c r="J27" s="11">
        <f>'M5 - Sparkling Water &amp; Soda'!AK3</f>
        <v/>
      </c>
      <c r="K27" s="11">
        <f>'M5 - Sparkling Water &amp; Soda'!AI3</f>
        <v/>
      </c>
    </row>
    <row r="28" ht="24" customHeight="1">
      <c r="A28" s="24" t="n">
        <v>27</v>
      </c>
      <c r="B28" s="15" t="inlineStr">
        <is>
          <t>bubly</t>
        </is>
      </c>
      <c r="C28" s="15" t="inlineStr">
        <is>
          <t>bubly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>
        <f>'M5 - Sparkling Water &amp; Soda'!AG4</f>
        <v/>
      </c>
      <c r="I28" s="11">
        <f>'M5 - Sparkling Water &amp; Soda'!AJ4</f>
        <v/>
      </c>
      <c r="J28" s="11">
        <f>'M5 - Sparkling Water &amp; Soda'!AK4</f>
        <v/>
      </c>
      <c r="K28" s="11">
        <f>'M5 - Sparkling Water &amp; Soda'!AI4</f>
        <v/>
      </c>
    </row>
    <row r="29" ht="24" customHeight="1">
      <c r="A29" s="24" t="n">
        <v>28</v>
      </c>
      <c r="B29" s="15" t="inlineStr">
        <is>
          <t>Waterloo</t>
        </is>
      </c>
      <c r="C29" s="15" t="inlineStr">
        <is>
          <t>Waterloo Sparkling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>
        <f>'M5 - Sparkling Water &amp; Soda'!AG5</f>
        <v/>
      </c>
      <c r="I29" s="11">
        <f>'M5 - Sparkling Water &amp; Soda'!AJ5</f>
        <v/>
      </c>
      <c r="J29" s="11">
        <f>'M5 - Sparkling Water &amp; Soda'!AK5</f>
        <v/>
      </c>
      <c r="K29" s="11">
        <f>'M5 - Sparkling Water &amp; Soda'!AI5</f>
        <v/>
      </c>
    </row>
    <row r="30" ht="24" customHeight="1">
      <c r="A30" s="24" t="n">
        <v>29</v>
      </c>
      <c r="B30" s="15" t="inlineStr">
        <is>
          <t>Perrier</t>
        </is>
      </c>
      <c r="C30" s="15" t="inlineStr">
        <is>
          <t>Perrier Carbonated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>
        <f>'M5 - Sparkling Water &amp; Soda'!AG6</f>
        <v/>
      </c>
      <c r="I30" s="11">
        <f>'M5 - Sparkling Water &amp; Soda'!AJ6</f>
        <v/>
      </c>
      <c r="J30" s="11">
        <f>'M5 - Sparkling Water &amp; Soda'!AK6</f>
        <v/>
      </c>
      <c r="K30" s="11">
        <f>'M5 - Sparkling Water &amp; Soda'!AI6</f>
        <v/>
      </c>
    </row>
    <row r="31" ht="24" customHeight="1">
      <c r="A31" s="24" t="n">
        <v>30</v>
      </c>
      <c r="B31" s="15" t="inlineStr">
        <is>
          <t>San Pellegrino</t>
        </is>
      </c>
      <c r="C31" s="15" t="inlineStr">
        <is>
          <t>S.Pellegrino Sparkling Natural Mineral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0</v>
      </c>
      <c r="H31" s="25">
        <f>'M5 - Sparkling Water &amp; Soda'!AG7</f>
        <v/>
      </c>
      <c r="I31" s="11">
        <f>'M5 - Sparkling Water &amp; Soda'!AJ7</f>
        <v/>
      </c>
      <c r="J31" s="11">
        <f>'M5 - Sparkling Water &amp; Soda'!AK7</f>
        <v/>
      </c>
      <c r="K31" s="11">
        <f>'M5 - Sparkling Water &amp; Soda'!AI7</f>
        <v/>
      </c>
    </row>
    <row r="32" ht="24" customHeight="1">
      <c r="A32" s="24" t="n">
        <v>31</v>
      </c>
      <c r="B32" s="15" t="inlineStr">
        <is>
          <t>Liquid Death</t>
        </is>
      </c>
      <c r="C32" s="15" t="inlineStr">
        <is>
          <t>Liquid Death Sparkling Water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>
        <f>'M5 - Sparkling Water &amp; Soda'!AG9</f>
        <v/>
      </c>
      <c r="I32" s="11">
        <f>'M5 - Sparkling Water &amp; Soda'!AJ9</f>
        <v/>
      </c>
      <c r="J32" s="11">
        <f>'M5 - Sparkling Water &amp; Soda'!AK9</f>
        <v/>
      </c>
      <c r="K32" s="11">
        <f>'M5 - Sparkling Water &amp; Soda'!AI9</f>
        <v/>
      </c>
    </row>
    <row r="33" ht="24" customHeight="1">
      <c r="A33" s="24" t="n">
        <v>32</v>
      </c>
      <c r="B33" s="15" t="inlineStr">
        <is>
          <t>Liquid Death</t>
        </is>
      </c>
      <c r="C33" s="15" t="inlineStr">
        <is>
          <t>Liquid Death Mountain Water (Still)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>
        <f>'M5 - Sparkling Water &amp; Soda'!AG10</f>
        <v/>
      </c>
      <c r="I33" s="11">
        <f>'M5 - Sparkling Water &amp; Soda'!AJ10</f>
        <v/>
      </c>
      <c r="J33" s="11">
        <f>'M5 - Sparkling Water &amp; Soda'!AK10</f>
        <v/>
      </c>
      <c r="K33" s="11">
        <f>'M5 - Sparkling Water &amp; Soda'!AI10</f>
        <v/>
      </c>
    </row>
    <row r="34" ht="24" customHeight="1">
      <c r="A34" s="24" t="n">
        <v>33</v>
      </c>
      <c r="B34" s="15" t="inlineStr">
        <is>
          <t>Topo Chico</t>
        </is>
      </c>
      <c r="C34" s="15" t="inlineStr">
        <is>
          <t>Topo Chico Mineral Water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>
        <f>'M5 - Sparkling Water &amp; Soda'!AG11</f>
        <v/>
      </c>
      <c r="I34" s="11">
        <f>'M5 - Sparkling Water &amp; Soda'!AJ11</f>
        <v/>
      </c>
      <c r="J34" s="11">
        <f>'M5 - Sparkling Water &amp; Soda'!AK11</f>
        <v/>
      </c>
      <c r="K34" s="11">
        <f>'M5 - Sparkling Water &amp; Soda'!AI11</f>
        <v/>
      </c>
    </row>
    <row r="35" ht="24" customHeight="1">
      <c r="A35" s="24" t="n">
        <v>34</v>
      </c>
      <c r="B35" s="15" t="inlineStr">
        <is>
          <t>Polar</t>
        </is>
      </c>
      <c r="C35" s="15" t="inlineStr">
        <is>
          <t>Polar Seltzer</t>
        </is>
      </c>
      <c r="D35" s="15" t="inlineStr">
        <is>
          <t>5) Sparkling water &amp; soda</t>
        </is>
      </c>
      <c r="E35" s="11" t="n">
        <v>0</v>
      </c>
      <c r="F35" s="11" t="n">
        <v>0</v>
      </c>
      <c r="G35" s="11" t="n">
        <v>0</v>
      </c>
      <c r="H35" s="25">
        <f>'M5 - Sparkling Water &amp; Soda'!AG12</f>
        <v/>
      </c>
      <c r="I35" s="11">
        <f>'M5 - Sparkling Water &amp; Soda'!AJ12</f>
        <v/>
      </c>
      <c r="J35" s="11">
        <f>'M5 - Sparkling Water &amp; Soda'!AK12</f>
        <v/>
      </c>
      <c r="K35" s="11">
        <f>'M5 - Sparkling Water &amp; Soda'!AI12</f>
        <v/>
      </c>
    </row>
    <row r="36" ht="24" customHeight="1">
      <c r="A36" s="24" t="n">
        <v>35</v>
      </c>
      <c r="B36" s="15" t="inlineStr">
        <is>
          <t>AHA</t>
        </is>
      </c>
      <c r="C36" s="15" t="inlineStr">
        <is>
          <t>AHA Sparkling Water</t>
        </is>
      </c>
      <c r="D36" s="15" t="inlineStr">
        <is>
          <t>5) Sparkling water &amp; soda</t>
        </is>
      </c>
      <c r="E36" s="11" t="n">
        <v>0</v>
      </c>
      <c r="F36" s="11" t="n">
        <v>30</v>
      </c>
      <c r="G36" s="11" t="n">
        <v>0</v>
      </c>
      <c r="H36" s="25">
        <f>'M5 - Sparkling Water &amp; Soda'!AG13</f>
        <v/>
      </c>
      <c r="I36" s="11">
        <f>'M5 - Sparkling Water &amp; Soda'!AJ13</f>
        <v/>
      </c>
      <c r="J36" s="11">
        <f>'M5 - Sparkling Water &amp; Soda'!AK13</f>
        <v/>
      </c>
      <c r="K36" s="11">
        <f>'M5 - Sparkling Water &amp; Soda'!AI13</f>
        <v/>
      </c>
    </row>
    <row r="37" ht="24" customHeight="1">
      <c r="A37" s="24" t="n">
        <v>36</v>
      </c>
      <c r="B37" s="15" t="inlineStr">
        <is>
          <t>Montellier</t>
        </is>
      </c>
      <c r="C37" s="15" t="inlineStr">
        <is>
          <t>Montellier Carbonated Natural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>
        <f>'M5 - Sparkling Water &amp; Soda'!AG14</f>
        <v/>
      </c>
      <c r="I37" s="11">
        <f>'M5 - Sparkling Water &amp; Soda'!AJ14</f>
        <v/>
      </c>
      <c r="J37" s="11">
        <f>'M5 - Sparkling Water &amp; Soda'!AK14</f>
        <v/>
      </c>
      <c r="K37" s="11">
        <f>'M5 - Sparkling Water &amp; Soda'!AI14</f>
        <v/>
      </c>
    </row>
    <row r="38" ht="24" customHeight="1">
      <c r="A38" s="24" t="n">
        <v>37</v>
      </c>
      <c r="B38" s="15" t="inlineStr">
        <is>
          <t>Eska</t>
        </is>
      </c>
      <c r="C38" s="15" t="inlineStr">
        <is>
          <t>Eska Sparkling Spring Water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>
        <f>'M5 - Sparkling Water &amp; Soda'!AG15</f>
        <v/>
      </c>
      <c r="I38" s="11">
        <f>'M5 - Sparkling Water &amp; Soda'!AJ15</f>
        <v/>
      </c>
      <c r="J38" s="11">
        <f>'M5 - Sparkling Water &amp; Soda'!AK15</f>
        <v/>
      </c>
      <c r="K38" s="11">
        <f>'M5 - Sparkling Water &amp; Soda'!AI15</f>
        <v/>
      </c>
    </row>
    <row r="39" ht="24" customHeight="1">
      <c r="A39" s="24" t="n">
        <v>38</v>
      </c>
      <c r="B39" s="15" t="inlineStr">
        <is>
          <t>Zevia</t>
        </is>
      </c>
      <c r="C39" s="15" t="inlineStr">
        <is>
          <t>Zevia Zero Calorie Soda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>
        <f>'M5 - Sparkling Water &amp; Soda'!AG17</f>
        <v/>
      </c>
      <c r="I39" s="11">
        <f>'M5 - Sparkling Water &amp; Soda'!AJ17</f>
        <v/>
      </c>
      <c r="J39" s="11">
        <f>'M5 - Sparkling Water &amp; Soda'!AK17</f>
        <v/>
      </c>
      <c r="K39" s="11">
        <f>'M5 - Sparkling Water &amp; Soda'!AI17</f>
        <v/>
      </c>
    </row>
    <row r="40" ht="24" customHeight="1">
      <c r="A40" s="24" t="n">
        <v>39</v>
      </c>
      <c r="B40" s="15" t="inlineStr">
        <is>
          <t>Nixie</t>
        </is>
      </c>
      <c r="C40" s="15" t="inlineStr">
        <is>
          <t>Nixie Organic Sparkling Water</t>
        </is>
      </c>
      <c r="D40" s="15" t="inlineStr">
        <is>
          <t>5) Sparkling water &amp; soda</t>
        </is>
      </c>
      <c r="E40" s="11" t="n">
        <v>0</v>
      </c>
      <c r="F40" s="11" t="n">
        <v>0</v>
      </c>
      <c r="G40" s="11" t="n">
        <v>0</v>
      </c>
      <c r="H40" s="25">
        <f>'M5 - Sparkling Water &amp; Soda'!AG18</f>
        <v/>
      </c>
      <c r="I40" s="11">
        <f>'M5 - Sparkling Water &amp; Soda'!AJ18</f>
        <v/>
      </c>
      <c r="J40" s="11">
        <f>'M5 - Sparkling Water &amp; Soda'!AK18</f>
        <v/>
      </c>
      <c r="K40" s="11">
        <f>'M5 - Sparkling Water &amp; Soda'!AI18</f>
        <v/>
      </c>
    </row>
    <row r="41" ht="24" customHeight="1">
      <c r="A41" s="24" t="n">
        <v>40</v>
      </c>
      <c r="B41" s="15" t="inlineStr">
        <is>
          <t>Sparkling Ice</t>
        </is>
      </c>
      <c r="C41" s="15" t="inlineStr">
        <is>
          <t>Sparkling Ice (+ Antioxidants &amp; Vitamins)</t>
        </is>
      </c>
      <c r="D41" s="15" t="inlineStr">
        <is>
          <t>1) Sparkling electrolyte / functional sparkling</t>
        </is>
      </c>
      <c r="E41" s="11" t="n">
        <v>0</v>
      </c>
      <c r="F41" s="11" t="n">
        <v>0</v>
      </c>
      <c r="G41" s="11" t="n">
        <v>5</v>
      </c>
      <c r="H41" s="25">
        <f>'M1 - Sparkling Electrolyte'!AG2</f>
        <v/>
      </c>
      <c r="I41" s="11">
        <f>'M1 - Sparkling Electrolyte'!AJ2</f>
        <v/>
      </c>
      <c r="J41" s="11">
        <f>'M1 - Sparkling Electrolyte'!AK2</f>
        <v/>
      </c>
      <c r="K41" s="11">
        <f>'M1 - Sparkling Electrolyte'!AI2</f>
        <v/>
      </c>
    </row>
    <row r="42" ht="24" customHeight="1">
      <c r="A42" s="24" t="n">
        <v>41</v>
      </c>
      <c r="B42" s="15" t="inlineStr">
        <is>
          <t>BUBBL'R</t>
        </is>
      </c>
      <c r="C42" s="15" t="inlineStr">
        <is>
          <t>BUBBL'R Antioxidant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69</v>
      </c>
      <c r="G42" s="11" t="n">
        <v>10</v>
      </c>
      <c r="H42" s="25">
        <f>'M1 - Sparkling Electrolyte'!AG3</f>
        <v/>
      </c>
      <c r="I42" s="11">
        <f>'M1 - Sparkling Electrolyte'!AJ3</f>
        <v/>
      </c>
      <c r="J42" s="11">
        <f>'M1 - Sparkling Electrolyte'!AK3</f>
        <v/>
      </c>
      <c r="K42" s="11">
        <f>'M1 - Sparkling Electrolyte'!AI3</f>
        <v/>
      </c>
    </row>
    <row r="43" ht="24" customHeight="1">
      <c r="A43" s="24" t="n">
        <v>42</v>
      </c>
      <c r="B43" s="15" t="inlineStr">
        <is>
          <t>Phocus</t>
        </is>
      </c>
      <c r="C43" s="15" t="inlineStr">
        <is>
          <t>Phocus Caffeinated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75</v>
      </c>
      <c r="G43" s="11" t="n">
        <v>0</v>
      </c>
      <c r="H43" s="25">
        <f>'M1 - Sparkling Electrolyte'!AG4</f>
        <v/>
      </c>
      <c r="I43" s="11">
        <f>'M1 - Sparkling Electrolyte'!AJ4</f>
        <v/>
      </c>
      <c r="J43" s="11">
        <f>'M1 - Sparkling Electrolyte'!AK4</f>
        <v/>
      </c>
      <c r="K43" s="11">
        <f>'M1 - Sparkling Electrolyte'!AI4</f>
        <v/>
      </c>
    </row>
    <row r="44" ht="24" customHeight="1">
      <c r="A44" s="24" t="n">
        <v>43</v>
      </c>
      <c r="B44" s="15" t="inlineStr">
        <is>
          <t>Aura Bora</t>
        </is>
      </c>
      <c r="C44" s="15" t="inlineStr">
        <is>
          <t>Aura Bora Herbal Sparkling Water</t>
        </is>
      </c>
      <c r="D44" s="15" t="inlineStr">
        <is>
          <t>1) Sparkling electrolyte / functional sparkling</t>
        </is>
      </c>
      <c r="E44" s="11" t="n">
        <v>0</v>
      </c>
      <c r="F44" s="11" t="n">
        <v>0</v>
      </c>
      <c r="G44" s="11" t="n">
        <v>5</v>
      </c>
      <c r="H44" s="25">
        <f>'M1 - Sparkling Electrolyte'!AG5</f>
        <v/>
      </c>
      <c r="I44" s="11">
        <f>'M1 - Sparkling Electrolyte'!AJ5</f>
        <v/>
      </c>
      <c r="J44" s="11">
        <f>'M1 - Sparkling Electrolyte'!AK5</f>
        <v/>
      </c>
      <c r="K44" s="11">
        <f>'M1 - Sparkling Electrolyte'!AI5</f>
        <v/>
      </c>
    </row>
    <row r="45" ht="24" customHeight="1">
      <c r="A45" s="24" t="n">
        <v>44</v>
      </c>
      <c r="B45" s="15" t="inlineStr">
        <is>
          <t>Sound</t>
        </is>
      </c>
      <c r="C45" s="15" t="inlineStr">
        <is>
          <t>Sound Sparkling Water (Tea/Botanical)</t>
        </is>
      </c>
      <c r="D45" s="15" t="inlineStr">
        <is>
          <t>1) Sparkling electrolyte / functional sparkling</t>
        </is>
      </c>
      <c r="E45" s="11" t="n">
        <v>0</v>
      </c>
      <c r="F45" s="11" t="n">
        <v>15</v>
      </c>
      <c r="G45" s="11" t="n">
        <v>0</v>
      </c>
      <c r="H45" s="25">
        <f>'M1 - Sparkling Electrolyte'!AG6</f>
        <v/>
      </c>
      <c r="I45" s="11">
        <f>'M1 - Sparkling Electrolyte'!AJ6</f>
        <v/>
      </c>
      <c r="J45" s="11">
        <f>'M1 - Sparkling Electrolyte'!AK6</f>
        <v/>
      </c>
      <c r="K45" s="11">
        <f>'M1 - Sparkling Electrolyte'!AI6</f>
        <v/>
      </c>
    </row>
    <row r="46" ht="24" customHeight="1">
      <c r="A46" s="24" t="n">
        <v>45</v>
      </c>
      <c r="B46" s="15" t="inlineStr">
        <is>
          <t>Halo Sport</t>
        </is>
      </c>
      <c r="C46" s="15" t="inlineStr">
        <is>
          <t>Halo Sport Sparkling Electrolyte Water</t>
        </is>
      </c>
      <c r="D46" s="15" t="inlineStr">
        <is>
          <t>1) Sparkling electrolyte / functional sparkling</t>
        </is>
      </c>
      <c r="E46" s="11" t="n">
        <v>0</v>
      </c>
      <c r="F46" s="11" t="n">
        <v>0</v>
      </c>
      <c r="G46" s="11" t="n">
        <v>5</v>
      </c>
      <c r="H46" s="25">
        <f>'M1 - Sparkling Electrolyte'!AG7</f>
        <v/>
      </c>
      <c r="I46" s="11">
        <f>'M1 - Sparkling Electrolyte'!AJ7</f>
        <v/>
      </c>
      <c r="J46" s="11">
        <f>'M1 - Sparkling Electrolyte'!AK7</f>
        <v/>
      </c>
      <c r="K46" s="11">
        <f>'M1 - Sparkling Electrolyte'!AI7</f>
        <v/>
      </c>
    </row>
    <row r="47" ht="24" customHeight="1">
      <c r="A47" s="24" t="n">
        <v>46</v>
      </c>
      <c r="B47" s="15" t="inlineStr">
        <is>
          <t>Gorgie</t>
        </is>
      </c>
      <c r="C47" s="15" t="inlineStr">
        <is>
          <t>Gorgie Energy Sparkling Water</t>
        </is>
      </c>
      <c r="D47" s="15" t="inlineStr">
        <is>
          <t>1) Sparkling electrolyte / functional sparkling</t>
        </is>
      </c>
      <c r="E47" s="11" t="n">
        <v>0</v>
      </c>
      <c r="F47" s="11" t="n">
        <v>120</v>
      </c>
      <c r="G47" s="11" t="n">
        <v>10</v>
      </c>
      <c r="H47" s="25">
        <f>'M1 - Sparkling Electrolyte'!AG8</f>
        <v/>
      </c>
      <c r="I47" s="11">
        <f>'M1 - Sparkling Electrolyte'!AJ8</f>
        <v/>
      </c>
      <c r="J47" s="11">
        <f>'M1 - Sparkling Electrolyte'!AK8</f>
        <v/>
      </c>
      <c r="K47" s="11">
        <f>'M1 - Sparkling Electrolyte'!AI8</f>
        <v/>
      </c>
    </row>
    <row r="48" ht="24" customHeight="1">
      <c r="A48" s="24" t="n">
        <v>47</v>
      </c>
      <c r="B48" s="15" t="inlineStr">
        <is>
          <t>Roar Organic</t>
        </is>
      </c>
      <c r="C48" s="15" t="inlineStr">
        <is>
          <t>Roar Organic Electrolyte Infusions</t>
        </is>
      </c>
      <c r="D48" s="15" t="inlineStr">
        <is>
          <t>2) Electrolyte beverage (RTD)</t>
        </is>
      </c>
      <c r="E48" s="11" t="n">
        <v>2</v>
      </c>
      <c r="F48" s="11" t="n">
        <v>0</v>
      </c>
      <c r="G48" s="11" t="n">
        <v>10</v>
      </c>
      <c r="H48" s="25">
        <f>'M2 - Electrolyte RTD'!AG9</f>
        <v/>
      </c>
      <c r="I48" s="11">
        <f>'M2 - Electrolyte RTD'!AJ9</f>
        <v/>
      </c>
      <c r="J48" s="11">
        <f>'M2 - Electrolyte RTD'!AK9</f>
        <v/>
      </c>
      <c r="K48" s="11">
        <f>'M2 - Electrolyte RTD'!AI9</f>
        <v/>
      </c>
    </row>
    <row r="49" ht="24" customHeight="1">
      <c r="A49" s="24" t="n">
        <v>48</v>
      </c>
      <c r="B49" s="15" t="inlineStr">
        <is>
          <t>Spindrift</t>
        </is>
      </c>
      <c r="C49" s="15" t="inlineStr">
        <is>
          <t>Spindrift Sparkling Water</t>
        </is>
      </c>
      <c r="D49" s="15" t="inlineStr">
        <is>
          <t>5) Sparkling water &amp; soda</t>
        </is>
      </c>
      <c r="E49" s="11" t="n">
        <v>2</v>
      </c>
      <c r="F49" s="11" t="n">
        <v>0</v>
      </c>
      <c r="G49" s="11" t="n">
        <v>10</v>
      </c>
      <c r="H49" s="25">
        <f>'M5 - Sparkling Water &amp; Soda'!AG2</f>
        <v/>
      </c>
      <c r="I49" s="11">
        <f>'M5 - Sparkling Water &amp; Soda'!AJ2</f>
        <v/>
      </c>
      <c r="J49" s="11">
        <f>'M5 - Sparkling Water &amp; Soda'!AK2</f>
        <v/>
      </c>
      <c r="K49" s="11">
        <f>'M5 - Sparkling Water &amp; Soda'!AI2</f>
        <v/>
      </c>
    </row>
    <row r="50" ht="24" customHeight="1">
      <c r="A50" s="24" t="n">
        <v>49</v>
      </c>
      <c r="B50" s="15" t="inlineStr">
        <is>
          <t>BODYARMOR</t>
        </is>
      </c>
      <c r="C50" s="15" t="inlineStr">
        <is>
          <t>BODYARMOR LYTE</t>
        </is>
      </c>
      <c r="D50" s="15" t="inlineStr">
        <is>
          <t>2) Electrolyte beverage (RTD)</t>
        </is>
      </c>
      <c r="E50" s="11" t="n">
        <v>3</v>
      </c>
      <c r="F50" s="11" t="n">
        <v>0</v>
      </c>
      <c r="G50" s="11" t="n">
        <v>20</v>
      </c>
      <c r="H50" s="25">
        <f>'M2 - Electrolyte RTD'!AG7</f>
        <v/>
      </c>
      <c r="I50" s="11">
        <f>'M2 - Electrolyte RTD'!AJ7</f>
        <v/>
      </c>
      <c r="J50" s="11">
        <f>'M2 - Electrolyte RTD'!AK7</f>
        <v/>
      </c>
      <c r="K50" s="11">
        <f>'M2 - Electrolyte RTD'!AI7</f>
        <v/>
      </c>
    </row>
    <row r="51" ht="24" customHeight="1">
      <c r="A51" s="24" t="n">
        <v>50</v>
      </c>
      <c r="B51" s="15" t="inlineStr">
        <is>
          <t>OLIPOP</t>
        </is>
      </c>
      <c r="C51" s="15" t="inlineStr">
        <is>
          <t>OLIPOP Prebiotic Soda</t>
        </is>
      </c>
      <c r="D51" s="15" t="inlineStr">
        <is>
          <t>3) Functional beverage (still/sparkling)</t>
        </is>
      </c>
      <c r="E51" s="11" t="n">
        <v>4</v>
      </c>
      <c r="F51" s="11" t="n">
        <v>0</v>
      </c>
      <c r="G51" s="11" t="n">
        <v>45</v>
      </c>
      <c r="H51" s="25">
        <f>'M3 - Functional Beverage'!AG2</f>
        <v/>
      </c>
      <c r="I51" s="11">
        <f>'M3 - Functional Beverage'!AJ2</f>
        <v/>
      </c>
      <c r="J51" s="11">
        <f>'M3 - Functional Beverage'!AK2</f>
        <v/>
      </c>
      <c r="K51" s="11">
        <f>'M3 - Functional Beverage'!AI2</f>
        <v/>
      </c>
    </row>
    <row r="52" ht="24" customHeight="1">
      <c r="A52" s="24" t="n">
        <v>51</v>
      </c>
      <c r="B52" s="15" t="inlineStr">
        <is>
          <t>Poppi</t>
        </is>
      </c>
      <c r="C52" s="15" t="inlineStr">
        <is>
          <t>Poppi Prebiotic Soda</t>
        </is>
      </c>
      <c r="D52" s="15" t="inlineStr">
        <is>
          <t>3) Functional beverage (still/sparkling)</t>
        </is>
      </c>
      <c r="E52" s="11" t="n">
        <v>5</v>
      </c>
      <c r="F52" s="11" t="n">
        <v>0</v>
      </c>
      <c r="G52" s="11" t="n">
        <v>25</v>
      </c>
      <c r="H52" s="25">
        <f>'M3 - Functional Beverage'!AG3</f>
        <v/>
      </c>
      <c r="I52" s="11">
        <f>'M3 - Functional Beverage'!AJ3</f>
        <v/>
      </c>
      <c r="J52" s="11">
        <f>'M3 - Functional Beverage'!AK3</f>
        <v/>
      </c>
      <c r="K52" s="11">
        <f>'M3 - Functional Beverage'!AI3</f>
        <v/>
      </c>
    </row>
    <row r="53" ht="24" customHeight="1">
      <c r="A53" s="24" t="n">
        <v>52</v>
      </c>
      <c r="B53" s="15" t="inlineStr">
        <is>
          <t>GT's</t>
        </is>
      </c>
      <c r="C53" s="15" t="inlineStr">
        <is>
          <t>GT's Synergy Raw Kombucha</t>
        </is>
      </c>
      <c r="D53" s="15" t="inlineStr">
        <is>
          <t>3) Functional beverage (still/sparkling)</t>
        </is>
      </c>
      <c r="E53" s="11" t="n">
        <v>6</v>
      </c>
      <c r="F53" s="11" t="n">
        <v>10</v>
      </c>
      <c r="G53" s="11" t="n">
        <v>30</v>
      </c>
      <c r="H53" s="25">
        <f>'M3 - Functional Beverage'!AG7</f>
        <v/>
      </c>
      <c r="I53" s="11">
        <f>'M3 - Functional Beverage'!AJ7</f>
        <v/>
      </c>
      <c r="J53" s="11">
        <f>'M3 - Functional Beverage'!AK7</f>
        <v/>
      </c>
      <c r="K53" s="11">
        <f>'M3 - Functional Beverage'!AI7</f>
        <v/>
      </c>
    </row>
    <row r="54" ht="24" customHeight="1">
      <c r="A54" s="24" t="n">
        <v>53</v>
      </c>
      <c r="B54" s="15" t="inlineStr">
        <is>
          <t>Mayawell</t>
        </is>
      </c>
      <c r="C54" s="15" t="inlineStr">
        <is>
          <t>Mayawell Prebiotic Soda</t>
        </is>
      </c>
      <c r="D54" s="15" t="inlineStr">
        <is>
          <t>3) Functional beverage (still/sparkling)</t>
        </is>
      </c>
      <c r="E54" s="11" t="n">
        <v>6</v>
      </c>
      <c r="F54" s="11" t="n">
        <v>0</v>
      </c>
      <c r="G54" s="11" t="n">
        <v>40</v>
      </c>
      <c r="H54" s="25">
        <f>'M3 - Functional Beverage'!AG5</f>
        <v/>
      </c>
      <c r="I54" s="11">
        <f>'M3 - Functional Beverage'!AJ5</f>
        <v/>
      </c>
      <c r="J54" s="11">
        <f>'M3 - Functional Beverage'!AK5</f>
        <v/>
      </c>
      <c r="K54" s="11">
        <f>'M3 - Functional Beverage'!AI5</f>
        <v/>
      </c>
    </row>
    <row r="55" ht="24" customHeight="1">
      <c r="A55" s="24" t="n">
        <v>54</v>
      </c>
      <c r="B55" s="15" t="inlineStr">
        <is>
          <t>De La Calle</t>
        </is>
      </c>
      <c r="C55" s="15" t="inlineStr">
        <is>
          <t>De La Calle Tepache</t>
        </is>
      </c>
      <c r="D55" s="15" t="inlineStr">
        <is>
          <t>3) Functional beverage (still/sparkling)</t>
        </is>
      </c>
      <c r="E55" s="11" t="n">
        <v>6</v>
      </c>
      <c r="F55" s="11" t="n">
        <v>0</v>
      </c>
      <c r="G55" s="11" t="n">
        <v>45</v>
      </c>
      <c r="H55" s="25">
        <f>'M3 - Functional Beverage'!AG6</f>
        <v/>
      </c>
      <c r="I55" s="11">
        <f>'M3 - Functional Beverage'!AJ6</f>
        <v/>
      </c>
      <c r="J55" s="11">
        <f>'M3 - Functional Beverage'!AK6</f>
        <v/>
      </c>
      <c r="K55" s="11">
        <f>'M3 - Functional Beverage'!AI6</f>
        <v/>
      </c>
    </row>
    <row r="56" ht="24" customHeight="1">
      <c r="A56" s="24" t="n">
        <v>55</v>
      </c>
      <c r="B56" s="15" t="inlineStr">
        <is>
          <t>wildwonder</t>
        </is>
      </c>
      <c r="C56" s="15" t="inlineStr">
        <is>
          <t>wildwonder Sparkling Prebiotic+Probiotic</t>
        </is>
      </c>
      <c r="D56" s="15" t="inlineStr">
        <is>
          <t>3) Functional beverage (still/sparkling)</t>
        </is>
      </c>
      <c r="E56" s="11" t="n">
        <v>6</v>
      </c>
      <c r="F56" s="11" t="n">
        <v>0</v>
      </c>
      <c r="G56" s="11" t="n">
        <v>45</v>
      </c>
      <c r="H56" s="25">
        <f>'M3 - Functional Beverage'!AG16</f>
        <v/>
      </c>
      <c r="I56" s="11">
        <f>'M3 - Functional Beverage'!AJ16</f>
        <v/>
      </c>
      <c r="J56" s="11">
        <f>'M3 - Functional Beverage'!AK16</f>
        <v/>
      </c>
      <c r="K56" s="11">
        <f>'M3 - Functional Beverage'!AI16</f>
        <v/>
      </c>
    </row>
    <row r="57" ht="24" customHeight="1">
      <c r="A57" s="24" t="n">
        <v>56</v>
      </c>
      <c r="B57" s="15" t="inlineStr">
        <is>
          <t>Health-Ade</t>
        </is>
      </c>
      <c r="C57" s="15" t="inlineStr">
        <is>
          <t>Health-Ade Kombucha</t>
        </is>
      </c>
      <c r="D57" s="15" t="inlineStr">
        <is>
          <t>3) Functional beverage (still/sparkling)</t>
        </is>
      </c>
      <c r="E57" s="11" t="n">
        <v>7</v>
      </c>
      <c r="F57" s="11" t="n">
        <v>15</v>
      </c>
      <c r="G57" s="11" t="n">
        <v>35</v>
      </c>
      <c r="H57" s="25">
        <f>'M3 - Functional Beverage'!AG8</f>
        <v/>
      </c>
      <c r="I57" s="11">
        <f>'M3 - Functional Beverage'!AJ8</f>
        <v/>
      </c>
      <c r="J57" s="11">
        <f>'M3 - Functional Beverage'!AK8</f>
        <v/>
      </c>
      <c r="K57" s="11">
        <f>'M3 - Functional Beverage'!AI8</f>
        <v/>
      </c>
    </row>
    <row r="58" ht="24" customHeight="1">
      <c r="A58" s="24" t="n">
        <v>57</v>
      </c>
      <c r="B58" s="15" t="inlineStr">
        <is>
          <t>United Sodas</t>
        </is>
      </c>
      <c r="C58" s="15" t="inlineStr">
        <is>
          <t>United Sodas of America</t>
        </is>
      </c>
      <c r="D58" s="15" t="inlineStr">
        <is>
          <t>1) Sparkling electrolyte / functional sparkling</t>
        </is>
      </c>
      <c r="E58" s="11" t="n">
        <v>8</v>
      </c>
      <c r="F58" s="11" t="n">
        <v>0</v>
      </c>
      <c r="G58" s="11" t="n">
        <v>30</v>
      </c>
      <c r="H58" s="25">
        <f>'M1 - Sparkling Electrolyte'!AG9</f>
        <v/>
      </c>
      <c r="I58" s="11">
        <f>'M1 - Sparkling Electrolyte'!AJ9</f>
        <v/>
      </c>
      <c r="J58" s="11">
        <f>'M1 - Sparkling Electrolyte'!AK9</f>
        <v/>
      </c>
      <c r="K58" s="11">
        <f>'M1 - Sparkling Electrolyte'!AI9</f>
        <v/>
      </c>
    </row>
    <row r="59" ht="24" customHeight="1">
      <c r="A59" s="24" t="n">
        <v>58</v>
      </c>
      <c r="B59" s="15" t="inlineStr">
        <is>
          <t>Pedialyte</t>
        </is>
      </c>
      <c r="C59" s="15" t="inlineStr">
        <is>
          <t>Pedialyte Electrolyte Solution</t>
        </is>
      </c>
      <c r="D59" s="15" t="inlineStr">
        <is>
          <t>2) Electrolyte beverage (RTD)</t>
        </is>
      </c>
      <c r="E59" s="11" t="n">
        <v>9</v>
      </c>
      <c r="F59" s="11" t="n">
        <v>0</v>
      </c>
      <c r="G59" s="11" t="n">
        <v>35</v>
      </c>
      <c r="H59" s="25">
        <f>'M2 - Electrolyte RTD'!AG12</f>
        <v/>
      </c>
      <c r="I59" s="11">
        <f>'M2 - Electrolyte RTD'!AJ12</f>
        <v/>
      </c>
      <c r="J59" s="11">
        <f>'M2 - Electrolyte RTD'!AK12</f>
        <v/>
      </c>
      <c r="K59" s="11">
        <f>'M2 - Electrolyte RTD'!AI12</f>
        <v/>
      </c>
    </row>
    <row r="60" ht="24" customHeight="1">
      <c r="A60" s="24" t="n">
        <v>59</v>
      </c>
      <c r="B60" s="15" t="inlineStr">
        <is>
          <t>Culture Pop</t>
        </is>
      </c>
      <c r="C60" s="15" t="inlineStr">
        <is>
          <t>Culture Pop Probiotic Soda</t>
        </is>
      </c>
      <c r="D60" s="15" t="inlineStr">
        <is>
          <t>3) Functional beverage (still/sparkling)</t>
        </is>
      </c>
      <c r="E60" s="11" t="n">
        <v>9</v>
      </c>
      <c r="F60" s="11" t="n">
        <v>0</v>
      </c>
      <c r="G60" s="11" t="n">
        <v>40</v>
      </c>
      <c r="H60" s="25">
        <f>'M3 - Functional Beverage'!AG4</f>
        <v/>
      </c>
      <c r="I60" s="11">
        <f>'M3 - Functional Beverage'!AJ4</f>
        <v/>
      </c>
      <c r="J60" s="11">
        <f>'M3 - Functional Beverage'!AK4</f>
        <v/>
      </c>
      <c r="K60" s="11">
        <f>'M3 - Functional Beverage'!AI4</f>
        <v/>
      </c>
    </row>
    <row r="61" ht="24" customHeight="1">
      <c r="A61" s="24" t="n">
        <v>60</v>
      </c>
      <c r="B61" s="15" t="inlineStr">
        <is>
          <t>Vita Coco</t>
        </is>
      </c>
      <c r="C61" s="15" t="inlineStr">
        <is>
          <t>Vita Coco Pure Coconut Water</t>
        </is>
      </c>
      <c r="D61" s="15" t="inlineStr">
        <is>
          <t>2) Electrolyte beverage (RTD)</t>
        </is>
      </c>
      <c r="E61" s="11" t="n">
        <v>11</v>
      </c>
      <c r="F61" s="11" t="n">
        <v>0</v>
      </c>
      <c r="G61" s="11" t="n">
        <v>45</v>
      </c>
      <c r="H61" s="25">
        <f>'M2 - Electrolyte RTD'!AG14</f>
        <v/>
      </c>
      <c r="I61" s="11">
        <f>'M2 - Electrolyte RTD'!AJ14</f>
        <v/>
      </c>
      <c r="J61" s="11">
        <f>'M2 - Electrolyte RTD'!AK14</f>
        <v/>
      </c>
      <c r="K61" s="11">
        <f>'M2 - Electrolyte RTD'!AI14</f>
        <v/>
      </c>
    </row>
    <row r="62" ht="24" customHeight="1">
      <c r="A62" s="24" t="n">
        <v>61</v>
      </c>
      <c r="B62" s="15" t="inlineStr">
        <is>
          <t>Gatorade</t>
        </is>
      </c>
      <c r="C62" s="15" t="inlineStr">
        <is>
          <t>Gatorlyte Rapid Rehydration</t>
        </is>
      </c>
      <c r="D62" s="15" t="inlineStr">
        <is>
          <t>2) Electrolyte beverage (RTD)</t>
        </is>
      </c>
      <c r="E62" s="11" t="n">
        <v>12</v>
      </c>
      <c r="F62" s="11" t="n">
        <v>0</v>
      </c>
      <c r="G62" s="11" t="n">
        <v>50</v>
      </c>
      <c r="H62" s="25">
        <f>'M2 - Electrolyte RTD'!AG13</f>
        <v/>
      </c>
      <c r="I62" s="11">
        <f>'M2 - Electrolyte RTD'!AJ13</f>
        <v/>
      </c>
      <c r="J62" s="11">
        <f>'M2 - Electrolyte RTD'!AK13</f>
        <v/>
      </c>
      <c r="K62" s="11">
        <f>'M2 - Electrolyte RTD'!AI13</f>
        <v/>
      </c>
    </row>
    <row r="63" ht="24" customHeight="1">
      <c r="A63" s="24" t="n">
        <v>62</v>
      </c>
      <c r="B63" s="15" t="inlineStr">
        <is>
          <t>San Pellegrino</t>
        </is>
      </c>
      <c r="C63" s="15" t="inlineStr">
        <is>
          <t>Sanpellegrino Aranciata (Italian Sparkling Drink)</t>
        </is>
      </c>
      <c r="D63" s="15" t="inlineStr">
        <is>
          <t>5) Sparkling water &amp; soda</t>
        </is>
      </c>
      <c r="E63" s="11" t="n">
        <v>16</v>
      </c>
      <c r="F63" s="11" t="n">
        <v>0</v>
      </c>
      <c r="G63" s="11" t="n">
        <v>70</v>
      </c>
      <c r="H63" s="25">
        <f>'M5 - Sparkling Water &amp; Soda'!AG8</f>
        <v/>
      </c>
      <c r="I63" s="11">
        <f>'M5 - Sparkling Water &amp; Soda'!AJ8</f>
        <v/>
      </c>
      <c r="J63" s="11">
        <f>'M5 - Sparkling Water &amp; Soda'!AK8</f>
        <v/>
      </c>
      <c r="K63" s="11">
        <f>'M5 - Sparkling Water &amp; Soda'!AI8</f>
        <v/>
      </c>
    </row>
    <row r="64" ht="24" customHeight="1">
      <c r="A64" s="24" t="n">
        <v>63</v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4) Caffeine &amp; energy beverage</t>
        </is>
      </c>
      <c r="E64" s="11" t="n">
        <v>21</v>
      </c>
      <c r="F64" s="11" t="n">
        <v>100</v>
      </c>
      <c r="G64" s="11" t="n">
        <v>80</v>
      </c>
      <c r="H64" s="25">
        <f>'M4 - Caffeine &amp; Energy'!AG14</f>
        <v/>
      </c>
      <c r="I64" s="11">
        <f>'M4 - Caffeine &amp; Energy'!AJ14</f>
        <v/>
      </c>
      <c r="J64" s="11">
        <f>'M4 - Caffeine &amp; Energy'!AK14</f>
        <v/>
      </c>
      <c r="K64" s="11">
        <f>'M4 - Caffeine &amp; Energy'!AI14</f>
        <v/>
      </c>
    </row>
    <row r="65" ht="24" customHeight="1">
      <c r="A65" s="24" t="n">
        <v>64</v>
      </c>
      <c r="B65" s="15" t="inlineStr">
        <is>
          <t>BODYARMOR</t>
        </is>
      </c>
      <c r="C65" s="15" t="inlineStr">
        <is>
          <t>BODYARMOR Sports Drink</t>
        </is>
      </c>
      <c r="D65" s="15" t="inlineStr">
        <is>
          <t>2) Electrolyte beverage (RTD)</t>
        </is>
      </c>
      <c r="E65" s="11" t="n">
        <v>21</v>
      </c>
      <c r="F65" s="11" t="n">
        <v>0</v>
      </c>
      <c r="G65" s="11" t="n">
        <v>90</v>
      </c>
      <c r="H65" s="25">
        <f>'M2 - Electrolyte RTD'!AG6</f>
        <v/>
      </c>
      <c r="I65" s="11">
        <f>'M2 - Electrolyte RTD'!AJ6</f>
        <v/>
      </c>
      <c r="J65" s="11">
        <f>'M2 - Electrolyte RTD'!AK6</f>
        <v/>
      </c>
      <c r="K65" s="11">
        <f>'M2 - Electrolyte RTD'!AI6</f>
        <v/>
      </c>
    </row>
    <row r="66" ht="24" customHeight="1">
      <c r="A66" s="24" t="n">
        <v>65</v>
      </c>
      <c r="B66" s="15" t="inlineStr">
        <is>
          <t>Electrolit</t>
        </is>
      </c>
      <c r="C66" s="15" t="inlineStr">
        <is>
          <t>Electrolit Hydration Beverage</t>
        </is>
      </c>
      <c r="D66" s="15" t="inlineStr">
        <is>
          <t>2) Electrolyte beverage (RTD)</t>
        </is>
      </c>
      <c r="E66" s="11" t="n">
        <v>24</v>
      </c>
      <c r="F66" s="11" t="n">
        <v>0</v>
      </c>
      <c r="G66" s="11" t="n">
        <v>100</v>
      </c>
      <c r="H66" s="25">
        <f>'M2 - Electrolyte RTD'!AG15</f>
        <v/>
      </c>
      <c r="I66" s="11">
        <f>'M2 - Electrolyte RTD'!AJ15</f>
        <v/>
      </c>
      <c r="J66" s="11">
        <f>'M2 - Electrolyte RTD'!AK15</f>
        <v/>
      </c>
      <c r="K66" s="11">
        <f>'M2 - Electrolyte RTD'!AI15</f>
        <v/>
      </c>
    </row>
    <row r="67" ht="24" customHeight="1">
      <c r="A67" s="24" t="n">
        <v>66</v>
      </c>
      <c r="B67" s="15" t="inlineStr">
        <is>
          <t>Red Bull</t>
        </is>
      </c>
      <c r="C67" s="15" t="inlineStr">
        <is>
          <t>Red Bull Energy Drink</t>
        </is>
      </c>
      <c r="D67" s="15" t="inlineStr">
        <is>
          <t>4) Caffeine &amp; energy beverage</t>
        </is>
      </c>
      <c r="E67" s="11" t="n">
        <v>27</v>
      </c>
      <c r="F67" s="11" t="n">
        <v>80</v>
      </c>
      <c r="G67" s="11" t="n">
        <v>112</v>
      </c>
      <c r="H67" s="25">
        <f>'M4 - Caffeine &amp; Energy'!AG2</f>
        <v/>
      </c>
      <c r="I67" s="11">
        <f>'M4 - Caffeine &amp; Energy'!AJ2</f>
        <v/>
      </c>
      <c r="J67" s="11">
        <f>'M4 - Caffeine &amp; Energy'!AK2</f>
        <v/>
      </c>
      <c r="K67" s="11">
        <f>'M4 - Caffeine &amp; Energy'!AI2</f>
        <v/>
      </c>
    </row>
    <row r="68" ht="24" customHeight="1">
      <c r="A68" s="24" t="n">
        <v>67</v>
      </c>
      <c r="B68" s="15" t="inlineStr">
        <is>
          <t>vitaminwater</t>
        </is>
      </c>
      <c r="C68" s="15" t="inlineStr">
        <is>
          <t>vitaminwater (glaceau)</t>
        </is>
      </c>
      <c r="D68" s="15" t="inlineStr">
        <is>
          <t>3) Functional beverage (still/sparkling)</t>
        </is>
      </c>
      <c r="E68" s="11" t="n">
        <v>27</v>
      </c>
      <c r="F68" s="11" t="n">
        <v>50</v>
      </c>
      <c r="G68" s="11" t="n">
        <v>120</v>
      </c>
      <c r="H68" s="25">
        <f>'M3 - Functional Beverage'!AG12</f>
        <v/>
      </c>
      <c r="I68" s="11">
        <f>'M3 - Functional Beverage'!AJ12</f>
        <v/>
      </c>
      <c r="J68" s="11">
        <f>'M3 - Functional Beverage'!AK12</f>
        <v/>
      </c>
      <c r="K68" s="11">
        <f>'M3 - Functional Beverage'!AI12</f>
        <v/>
      </c>
    </row>
    <row r="69" ht="24" customHeight="1">
      <c r="A69" s="24" t="n">
        <v>68</v>
      </c>
      <c r="B69" s="15" t="inlineStr">
        <is>
          <t>Guayaki</t>
        </is>
      </c>
      <c r="C69" s="15" t="inlineStr">
        <is>
          <t>Guayaki Yerba Mate</t>
        </is>
      </c>
      <c r="D69" s="15" t="inlineStr">
        <is>
          <t>4) Caffeine &amp; energy beverage</t>
        </is>
      </c>
      <c r="E69" s="11" t="n">
        <v>28</v>
      </c>
      <c r="F69" s="11" t="n">
        <v>150</v>
      </c>
      <c r="G69" s="11" t="n">
        <v>120</v>
      </c>
      <c r="H69" s="25">
        <f>'M4 - Caffeine &amp; Energy'!AG15</f>
        <v/>
      </c>
      <c r="I69" s="11">
        <f>'M4 - Caffeine &amp; Energy'!AJ15</f>
        <v/>
      </c>
      <c r="J69" s="11">
        <f>'M4 - Caffeine &amp; Energy'!AK15</f>
        <v/>
      </c>
      <c r="K69" s="11">
        <f>'M4 - Caffeine &amp; Energy'!AI15</f>
        <v/>
      </c>
    </row>
    <row r="70" ht="24" customHeight="1">
      <c r="A70" s="24" t="n">
        <v>69</v>
      </c>
      <c r="B70" s="15" t="inlineStr">
        <is>
          <t>Rockstar</t>
        </is>
      </c>
      <c r="C70" s="15" t="inlineStr">
        <is>
          <t>Rockstar Energy</t>
        </is>
      </c>
      <c r="D70" s="15" t="inlineStr">
        <is>
          <t>4) Caffeine &amp; energy beverage</t>
        </is>
      </c>
      <c r="E70" s="11" t="n">
        <v>31</v>
      </c>
      <c r="F70" s="11" t="n">
        <v>160</v>
      </c>
      <c r="G70" s="11" t="n">
        <v>122</v>
      </c>
      <c r="H70" s="25">
        <f>'M4 - Caffeine &amp; Energy'!AG13</f>
        <v/>
      </c>
      <c r="I70" s="11">
        <f>'M4 - Caffeine &amp; Energy'!AJ13</f>
        <v/>
      </c>
      <c r="J70" s="11">
        <f>'M4 - Caffeine &amp; Energy'!AK13</f>
        <v/>
      </c>
      <c r="K70" s="11">
        <f>'M4 - Caffeine &amp; Energy'!AI13</f>
        <v/>
      </c>
    </row>
    <row r="71" ht="24" customHeight="1">
      <c r="A71" s="24" t="n">
        <v>70</v>
      </c>
      <c r="B71" s="15" t="inlineStr">
        <is>
          <t>Starbucks</t>
        </is>
      </c>
      <c r="C71" s="15" t="inlineStr">
        <is>
          <t>Starbucks Doubleshot Espresso</t>
        </is>
      </c>
      <c r="D71" s="15" t="inlineStr">
        <is>
          <t>4) Caffeine &amp; energy beverage</t>
        </is>
      </c>
      <c r="E71" s="11" t="n">
        <v>29</v>
      </c>
      <c r="F71" s="11" t="n">
        <v>135</v>
      </c>
      <c r="G71" s="11" t="n">
        <v>210</v>
      </c>
      <c r="H71" s="25">
        <f>'M4 - Caffeine &amp; Energy'!AG17</f>
        <v/>
      </c>
      <c r="I71" s="11">
        <f>'M4 - Caffeine &amp; Energy'!AJ17</f>
        <v/>
      </c>
      <c r="J71" s="11">
        <f>'M4 - Caffeine &amp; Energy'!AK17</f>
        <v/>
      </c>
      <c r="K71" s="11">
        <f>'M4 - Caffeine &amp; Energy'!AI17</f>
        <v/>
      </c>
    </row>
    <row r="72" ht="24" customHeight="1">
      <c r="A72" s="24" t="n">
        <v>71</v>
      </c>
      <c r="B72" s="15" t="inlineStr">
        <is>
          <t>Monster</t>
        </is>
      </c>
      <c r="C72" s="15" t="inlineStr">
        <is>
          <t>Monster Energy Original (Green)</t>
        </is>
      </c>
      <c r="D72" s="15" t="inlineStr">
        <is>
          <t>4) Caffeine &amp; energy beverage</t>
        </is>
      </c>
      <c r="E72" s="11" t="n">
        <v>54</v>
      </c>
      <c r="F72" s="11" t="n">
        <v>160</v>
      </c>
      <c r="G72" s="11" t="n">
        <v>210</v>
      </c>
      <c r="H72" s="25">
        <f>'M4 - Caffeine &amp; Energy'!AG4</f>
        <v/>
      </c>
      <c r="I72" s="11">
        <f>'M4 - Caffeine &amp; Energy'!AJ4</f>
        <v/>
      </c>
      <c r="J72" s="11">
        <f>'M4 - Caffeine &amp; Energy'!AK4</f>
        <v/>
      </c>
      <c r="K72" s="11">
        <f>'M4 - Caffeine &amp; Energy'!AI4</f>
        <v/>
      </c>
    </row>
    <row r="73" ht="24" customHeight="1">
      <c r="A73" s="24" t="n">
        <v>72</v>
      </c>
      <c r="B73" s="15" t="inlineStr">
        <is>
          <t>NOS</t>
        </is>
      </c>
      <c r="C73" s="15" t="inlineStr">
        <is>
          <t>NOS Energy Drink</t>
        </is>
      </c>
      <c r="D73" s="15" t="inlineStr">
        <is>
          <t>4) Caffeine &amp; energy beverage</t>
        </is>
      </c>
      <c r="E73" s="11" t="n">
        <v>54</v>
      </c>
      <c r="F73" s="11" t="n">
        <v>160</v>
      </c>
      <c r="G73" s="11" t="n">
        <v>210</v>
      </c>
      <c r="H73" s="25">
        <f>'M4 - Caffeine &amp; Energy'!AG16</f>
        <v/>
      </c>
      <c r="I73" s="11">
        <f>'M4 - Caffeine &amp; Energy'!AJ16</f>
        <v/>
      </c>
      <c r="J73" s="11">
        <f>'M4 - Caffeine &amp; Energy'!AK16</f>
        <v/>
      </c>
      <c r="K73" s="11">
        <f>'M4 - Caffeine &amp; Energy'!AI16</f>
        <v/>
      </c>
    </row>
    <row r="74" ht="24" customHeight="1">
      <c r="A74" s="24" t="n">
        <v>73</v>
      </c>
      <c r="B74" s="15" t="inlineStr">
        <is>
          <t>Gatorade</t>
        </is>
      </c>
      <c r="C74" s="15" t="inlineStr">
        <is>
          <t>Gatorade Thirst Quencher</t>
        </is>
      </c>
      <c r="D74" s="15" t="inlineStr">
        <is>
          <t>2) Electrolyte beverage (RTD)</t>
        </is>
      </c>
      <c r="E74" s="11" t="n">
        <v>34</v>
      </c>
      <c r="F74" s="11" t="n">
        <v>0</v>
      </c>
      <c r="G74" s="11" t="n">
        <v>140</v>
      </c>
      <c r="H74" s="25">
        <f>'M2 - Electrolyte RTD'!AG2</f>
        <v/>
      </c>
      <c r="I74" s="11">
        <f>'M2 - Electrolyte RTD'!AJ2</f>
        <v/>
      </c>
      <c r="J74" s="11">
        <f>'M2 - Electrolyte RTD'!AK2</f>
        <v/>
      </c>
      <c r="K74" s="11">
        <f>'M2 - Electrolyte RTD'!AI2</f>
        <v/>
      </c>
    </row>
    <row r="75" ht="24" customHeight="1">
      <c r="A75" s="24" t="n">
        <v>74</v>
      </c>
      <c r="B75" s="15" t="inlineStr">
        <is>
          <t>Powerade</t>
        </is>
      </c>
      <c r="C75" s="15" t="inlineStr">
        <is>
          <t>Powerade Mountain Berry Blast</t>
        </is>
      </c>
      <c r="D75" s="15" t="inlineStr">
        <is>
          <t>2) Electrolyte beverage (RTD)</t>
        </is>
      </c>
      <c r="E75" s="11" t="n">
        <v>35</v>
      </c>
      <c r="F75" s="11" t="n">
        <v>0</v>
      </c>
      <c r="G75" s="11" t="n">
        <v>130</v>
      </c>
      <c r="H75" s="25">
        <f>'M2 - Electrolyte RTD'!AG4</f>
        <v/>
      </c>
      <c r="I75" s="11">
        <f>'M2 - Electrolyte RTD'!AJ4</f>
        <v/>
      </c>
      <c r="J75" s="11">
        <f>'M2 - Electrolyte RTD'!AK4</f>
        <v/>
      </c>
      <c r="K75" s="11">
        <f>'M2 - Electrolyte RTD'!AI4</f>
        <v/>
      </c>
    </row>
    <row r="76" ht="24" customHeight="1">
      <c r="A76" s="24" t="n">
        <v>75</v>
      </c>
      <c r="B76" s="15" t="inlineStr">
        <is>
          <t>Coca-Cola</t>
        </is>
      </c>
      <c r="C76" s="15" t="inlineStr">
        <is>
          <t>Coca-Cola Classic</t>
        </is>
      </c>
      <c r="D76" s="15" t="inlineStr">
        <is>
          <t>5) Sparkling water &amp; soda</t>
        </is>
      </c>
      <c r="E76" s="11" t="n">
        <v>39</v>
      </c>
      <c r="F76" s="11" t="n">
        <v>34</v>
      </c>
      <c r="G76" s="11" t="n">
        <v>140</v>
      </c>
      <c r="H76" s="25">
        <f>'M5 - Sparkling Water &amp; Soda'!AG16</f>
        <v/>
      </c>
      <c r="I76" s="11">
        <f>'M5 - Sparkling Water &amp; Soda'!AJ16</f>
        <v/>
      </c>
      <c r="J76" s="11">
        <f>'M5 - Sparkling Water &amp; Soda'!AK16</f>
        <v/>
      </c>
      <c r="K76" s="11">
        <f>'M5 - Sparkling Water &amp; Soda'!AI16</f>
        <v/>
      </c>
    </row>
    <row r="78">
      <c r="A78" s="26" t="inlineStr">
        <is>
          <t>Ranked by Health Score (higher = lighter/cleaner) computed from APPROXIMATE nutrition. Verify on live labels.</t>
        </is>
      </c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8" t="n"/>
    </row>
  </sheetData>
  <mergeCells count="1">
    <mergeCell ref="A78:K78"/>
  </mergeCells>
  <conditionalFormatting sqref="I2:I76">
    <cfRule type="dataBar" priority="1">
      <dataBar>
        <cfvo type="num" val="0"/>
        <cfvo type="num" val="100"/>
        <color rgb="0063BE7B"/>
      </dataBar>
    </cfRule>
  </conditionalFormatting>
  <conditionalFormatting sqref="J2:J76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BF9000"/>
    <outlinePr summaryBelow="1" summaryRight="1"/>
    <pageSetUpPr/>
  </sheetPr>
  <dimension ref="A1:J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Sugarfree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Monster</t>
        </is>
      </c>
      <c r="B4" s="15" t="inlineStr">
        <is>
          <t>Monster Energy Original (Green)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Pack-size value play; occasional multipack promos.</t>
        </is>
      </c>
    </row>
    <row r="5" ht="28" customHeight="1">
      <c r="A5" s="15" t="inlineStr">
        <is>
          <t>Monster</t>
        </is>
      </c>
      <c r="B5" s="15" t="inlineStr">
        <is>
          <t>Monster Energy Ultra Zero (White)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Pack-size value play; occasional multipack promos.</t>
        </is>
      </c>
    </row>
    <row r="6" ht="28" customHeight="1">
      <c r="A6" s="15" t="inlineStr">
        <is>
          <t>Celsius</t>
        </is>
      </c>
      <c r="B6" s="15" t="inlineStr">
        <is>
          <t>Celsius Original Sparkling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Heavy S&amp;S + frequent coupons to drive trial/subscription.</t>
        </is>
      </c>
    </row>
    <row r="7" ht="28" customHeight="1">
      <c r="A7" s="15" t="inlineStr">
        <is>
          <t>Celsius</t>
        </is>
      </c>
      <c r="B7" s="15" t="inlineStr">
        <is>
          <t>Celsius Essentials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Heavy S&amp;S + frequent coupons to drive trial/subscription.</t>
        </is>
      </c>
    </row>
    <row r="8" ht="28" customHeight="1">
      <c r="A8" s="15" t="inlineStr">
        <is>
          <t>Prime</t>
        </is>
      </c>
      <c r="B8" s="15" t="inlineStr">
        <is>
          <t>Prime Energy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Hype-led; scarcity over discount.</t>
        </is>
      </c>
    </row>
    <row r="9" ht="28" customHeight="1">
      <c r="A9" s="15" t="inlineStr">
        <is>
          <t>C4</t>
        </is>
      </c>
      <c r="B9" s="15" t="inlineStr">
        <is>
          <t>C4 Energy (Performance)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Capture live promo to assess.</t>
        </is>
      </c>
    </row>
    <row r="10" ht="28" customHeight="1">
      <c r="A10" s="15" t="inlineStr">
        <is>
          <t>Reign</t>
        </is>
      </c>
      <c r="B10" s="15" t="inlineStr">
        <is>
          <t>Reign Total Body Fuel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Capture live promo to assess.</t>
        </is>
      </c>
    </row>
    <row r="11" ht="28" customHeight="1">
      <c r="A11" s="15" t="inlineStr">
        <is>
          <t>Alani Nu</t>
        </is>
      </c>
      <c r="B11" s="15" t="inlineStr">
        <is>
          <t>Alani Nu Energy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Capture live promo to assess.</t>
        </is>
      </c>
    </row>
    <row r="12" ht="28" customHeight="1">
      <c r="A12" s="15" t="inlineStr">
        <is>
          <t>Bang</t>
        </is>
      </c>
      <c r="B12" s="15" t="inlineStr">
        <is>
          <t>Bang Energy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Capture live promo to assess.</t>
        </is>
      </c>
    </row>
    <row r="13" ht="28" customHeight="1">
      <c r="A13" s="15" t="inlineStr">
        <is>
          <t>Rockstar</t>
        </is>
      </c>
      <c r="B13" s="15" t="inlineStr">
        <is>
          <t>Rockstar Energy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Capture live promo to assess.</t>
        </is>
      </c>
    </row>
    <row r="14" ht="28" customHeight="1">
      <c r="A14" s="15" t="inlineStr">
        <is>
          <t>GURU</t>
        </is>
      </c>
      <c r="B14" s="15" t="inlineStr">
        <is>
          <t>GURU Organic Energy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Capture live promo to assess.</t>
        </is>
      </c>
    </row>
    <row r="15" ht="28" customHeight="1">
      <c r="A15" s="15" t="inlineStr">
        <is>
          <t>Guayaki</t>
        </is>
      </c>
      <c r="B15" s="15" t="inlineStr">
        <is>
          <t>Guayaki Yerba Mate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Capture live promo to assess.</t>
        </is>
      </c>
    </row>
    <row r="16" ht="28" customHeight="1">
      <c r="A16" s="15" t="inlineStr">
        <is>
          <t>NOS</t>
        </is>
      </c>
      <c r="B16" s="15" t="inlineStr">
        <is>
          <t>NOS Energy Drink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Capture live promo to assess.</t>
        </is>
      </c>
    </row>
    <row r="17" ht="28" customHeight="1">
      <c r="A17" s="15" t="inlineStr">
        <is>
          <t>Starbucks</t>
        </is>
      </c>
      <c r="B17" s="15" t="inlineStr">
        <is>
          <t>Starbucks Doubleshot Espresso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Capture live promo to assess.</t>
        </is>
      </c>
    </row>
    <row r="18" ht="28" customHeight="1">
      <c r="A18" s="15" t="inlineStr">
        <is>
          <t>Ghost</t>
        </is>
      </c>
      <c r="B18" s="15" t="inlineStr">
        <is>
          <t>Ghost Energy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Flavour-drop hype; bundles.</t>
        </is>
      </c>
    </row>
    <row r="19" ht="28" customHeight="1">
      <c r="A19" s="15" t="inlineStr">
        <is>
          <t>ZOA</t>
        </is>
      </c>
      <c r="B19" s="15" t="inlineStr">
        <is>
          <t>ZOA Zero Sugar Energy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Capture live promo to assess.</t>
        </is>
      </c>
    </row>
    <row r="20" ht="28" customHeight="1">
      <c r="A20" s="15" t="inlineStr">
        <is>
          <t>Zevia</t>
        </is>
      </c>
      <c r="B20" s="15" t="inlineStr">
        <is>
          <t>Zevia Energy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Clean-label premium; S&amp;S for pantry-loaders.</t>
        </is>
      </c>
    </row>
    <row r="21" ht="28" customHeight="1">
      <c r="A21" s="15" t="inlineStr">
        <is>
          <t>Gatorade</t>
        </is>
      </c>
      <c r="B21" s="15" t="inlineStr">
        <is>
          <t>Gatorade Thirst Quencher</t>
        </is>
      </c>
      <c r="C21" s="15" t="inlineStr">
        <is>
          <t>2) Electrolyte beverage (RTD)</t>
        </is>
      </c>
      <c r="D21" s="17">
        <f>'M2 - Electrolyte RTD'!F2</f>
        <v/>
      </c>
      <c r="E21" s="20">
        <f>'M2 - Electrolyte RTD'!J2</f>
        <v/>
      </c>
      <c r="F21" s="18">
        <f>'M2 - Electrolyte RTD'!K2</f>
        <v/>
      </c>
      <c r="G21" s="17">
        <f>'M2 - Electrolyte RTD'!AM2</f>
        <v/>
      </c>
      <c r="H21" s="18">
        <f>'M2 - Electrolyte RTD'!N2</f>
        <v/>
      </c>
      <c r="I21" s="15">
        <f>'M2 - Electrolyte RTD'!AJ2</f>
        <v/>
      </c>
      <c r="J21" s="15" t="inlineStr">
        <is>
          <t>Volume + everyday-low-price; modest S&amp;S.</t>
        </is>
      </c>
    </row>
    <row r="22" ht="28" customHeight="1">
      <c r="A22" s="15" t="inlineStr">
        <is>
          <t>Gatorade</t>
        </is>
      </c>
      <c r="B22" s="15" t="inlineStr">
        <is>
          <t>Gatorade Zero Sugar</t>
        </is>
      </c>
      <c r="C22" s="15" t="inlineStr">
        <is>
          <t>2) Electrolyte beverage (RTD)</t>
        </is>
      </c>
      <c r="D22" s="17">
        <f>'M2 - Electrolyte RTD'!F3</f>
        <v/>
      </c>
      <c r="E22" s="20">
        <f>'M2 - Electrolyte RTD'!J3</f>
        <v/>
      </c>
      <c r="F22" s="18">
        <f>'M2 - Electrolyte RTD'!K3</f>
        <v/>
      </c>
      <c r="G22" s="17">
        <f>'M2 - Electrolyte RTD'!AM3</f>
        <v/>
      </c>
      <c r="H22" s="18">
        <f>'M2 - Electrolyte RTD'!N3</f>
        <v/>
      </c>
      <c r="I22" s="15">
        <f>'M2 - Electrolyte RTD'!AJ3</f>
        <v/>
      </c>
      <c r="J22" s="15" t="inlineStr">
        <is>
          <t>Volume + everyday-low-price; modest S&amp;S.</t>
        </is>
      </c>
    </row>
    <row r="23" ht="28" customHeight="1">
      <c r="A23" s="15" t="inlineStr">
        <is>
          <t>Powerade</t>
        </is>
      </c>
      <c r="B23" s="15" t="inlineStr">
        <is>
          <t>Powerade Mountain Berry Blast</t>
        </is>
      </c>
      <c r="C23" s="15" t="inlineStr">
        <is>
          <t>2) Electrolyte beverage (RTD)</t>
        </is>
      </c>
      <c r="D23" s="17">
        <f>'M2 - Electrolyte RTD'!F4</f>
        <v/>
      </c>
      <c r="E23" s="20">
        <f>'M2 - Electrolyte RTD'!J4</f>
        <v/>
      </c>
      <c r="F23" s="18">
        <f>'M2 - Electrolyte RTD'!K4</f>
        <v/>
      </c>
      <c r="G23" s="17">
        <f>'M2 - Electrolyte RTD'!AM4</f>
        <v/>
      </c>
      <c r="H23" s="18">
        <f>'M2 - Electrolyte RTD'!N4</f>
        <v/>
      </c>
      <c r="I23" s="15">
        <f>'M2 - Electrolyte RTD'!AJ4</f>
        <v/>
      </c>
      <c r="J23" s="15" t="inlineStr">
        <is>
          <t>Undercuts Gatorade on price as core lever.</t>
        </is>
      </c>
    </row>
    <row r="24" ht="28" customHeight="1">
      <c r="A24" s="15" t="inlineStr">
        <is>
          <t>Powerade</t>
        </is>
      </c>
      <c r="B24" s="15" t="inlineStr">
        <is>
          <t>Powerade Zero</t>
        </is>
      </c>
      <c r="C24" s="15" t="inlineStr">
        <is>
          <t>2) Electrolyte beverage (RTD)</t>
        </is>
      </c>
      <c r="D24" s="17">
        <f>'M2 - Electrolyte RTD'!F5</f>
        <v/>
      </c>
      <c r="E24" s="20">
        <f>'M2 - Electrolyte RTD'!J5</f>
        <v/>
      </c>
      <c r="F24" s="18">
        <f>'M2 - Electrolyte RTD'!K5</f>
        <v/>
      </c>
      <c r="G24" s="17">
        <f>'M2 - Electrolyte RTD'!AM5</f>
        <v/>
      </c>
      <c r="H24" s="18">
        <f>'M2 - Electrolyte RTD'!N5</f>
        <v/>
      </c>
      <c r="I24" s="15">
        <f>'M2 - Electrolyte RTD'!AJ5</f>
        <v/>
      </c>
      <c r="J24" s="15" t="inlineStr">
        <is>
          <t>Undercuts Gatorade on price as core lever.</t>
        </is>
      </c>
    </row>
    <row r="25" ht="28" customHeight="1">
      <c r="A25" s="15" t="inlineStr">
        <is>
          <t>BODYARMOR</t>
        </is>
      </c>
      <c r="B25" s="15" t="inlineStr">
        <is>
          <t>BODYARMOR Sports Drink</t>
        </is>
      </c>
      <c r="C25" s="15" t="inlineStr">
        <is>
          <t>2) Electrolyte beverage (RTD)</t>
        </is>
      </c>
      <c r="D25" s="17">
        <f>'M2 - Electrolyte RTD'!F6</f>
        <v/>
      </c>
      <c r="E25" s="20">
        <f>'M2 - Electrolyte RTD'!J6</f>
        <v/>
      </c>
      <c r="F25" s="18">
        <f>'M2 - Electrolyte RTD'!K6</f>
        <v/>
      </c>
      <c r="G25" s="17">
        <f>'M2 - Electrolyte RTD'!AM6</f>
        <v/>
      </c>
      <c r="H25" s="18">
        <f>'M2 - Electrolyte RTD'!N6</f>
        <v/>
      </c>
      <c r="I25" s="15">
        <f>'M2 - Electrolyte RTD'!AJ6</f>
        <v/>
      </c>
      <c r="J25" s="15" t="inlineStr">
        <is>
          <t>Premium price; promos to defend vs Gatorade.</t>
        </is>
      </c>
    </row>
    <row r="26" ht="28" customHeight="1">
      <c r="A26" s="15" t="inlineStr">
        <is>
          <t>BODYARMOR</t>
        </is>
      </c>
      <c r="B26" s="15" t="inlineStr">
        <is>
          <t>BODYARMOR LYTE</t>
        </is>
      </c>
      <c r="C26" s="15" t="inlineStr">
        <is>
          <t>2) Electrolyte beverage (RTD)</t>
        </is>
      </c>
      <c r="D26" s="17">
        <f>'M2 - Electrolyte RTD'!F7</f>
        <v/>
      </c>
      <c r="E26" s="20">
        <f>'M2 - Electrolyte RTD'!J7</f>
        <v/>
      </c>
      <c r="F26" s="18">
        <f>'M2 - Electrolyte RTD'!K7</f>
        <v/>
      </c>
      <c r="G26" s="17">
        <f>'M2 - Electrolyte RTD'!AM7</f>
        <v/>
      </c>
      <c r="H26" s="18">
        <f>'M2 - Electrolyte RTD'!N7</f>
        <v/>
      </c>
      <c r="I26" s="15">
        <f>'M2 - Electrolyte RTD'!AJ7</f>
        <v/>
      </c>
      <c r="J26" s="15" t="inlineStr">
        <is>
          <t>Premium price; promos to defend vs Gatorade.</t>
        </is>
      </c>
    </row>
    <row r="27" ht="28" customHeight="1">
      <c r="A27" s="15" t="inlineStr">
        <is>
          <t>Prime</t>
        </is>
      </c>
      <c r="B27" s="15" t="inlineStr">
        <is>
          <t>Prime Hydration</t>
        </is>
      </c>
      <c r="C27" s="15" t="inlineStr">
        <is>
          <t>2) Electrolyte beverage (RTD)</t>
        </is>
      </c>
      <c r="D27" s="17">
        <f>'M2 - Electrolyte RTD'!F8</f>
        <v/>
      </c>
      <c r="E27" s="20">
        <f>'M2 - Electrolyte RTD'!J8</f>
        <v/>
      </c>
      <c r="F27" s="18">
        <f>'M2 - Electrolyte RTD'!K8</f>
        <v/>
      </c>
      <c r="G27" s="17">
        <f>'M2 - Electrolyte RTD'!AM8</f>
        <v/>
      </c>
      <c r="H27" s="18">
        <f>'M2 - Electrolyte RTD'!N8</f>
        <v/>
      </c>
      <c r="I27" s="15">
        <f>'M2 - Electrolyte RTD'!AJ8</f>
        <v/>
      </c>
      <c r="J27" s="15" t="inlineStr">
        <is>
          <t>Hype-led; scarcity over discount.</t>
        </is>
      </c>
    </row>
    <row r="28" ht="28" customHeight="1">
      <c r="A28" s="15" t="inlineStr">
        <is>
          <t>Roar Organic</t>
        </is>
      </c>
      <c r="B28" s="15" t="inlineStr">
        <is>
          <t>Roar Organic Electrolyte Infusions</t>
        </is>
      </c>
      <c r="C28" s="15" t="inlineStr">
        <is>
          <t>2) Electrolyte beverage (RTD)</t>
        </is>
      </c>
      <c r="D28" s="17">
        <f>'M2 - Electrolyte RTD'!F9</f>
        <v/>
      </c>
      <c r="E28" s="20">
        <f>'M2 - Electrolyte RTD'!J9</f>
        <v/>
      </c>
      <c r="F28" s="18">
        <f>'M2 - Electrolyte RTD'!K9</f>
        <v/>
      </c>
      <c r="G28" s="17">
        <f>'M2 - Electrolyte RTD'!AM9</f>
        <v/>
      </c>
      <c r="H28" s="18">
        <f>'M2 - Electrolyte RTD'!N9</f>
        <v/>
      </c>
      <c r="I28" s="15">
        <f>'M2 - Electrolyte RTD'!AJ9</f>
        <v/>
      </c>
      <c r="J28" s="15" t="inlineStr">
        <is>
          <t>Capture live promo to assess.</t>
        </is>
      </c>
    </row>
    <row r="29" ht="28" customHeight="1">
      <c r="A29" s="15" t="inlineStr">
        <is>
          <t>BioSteel</t>
        </is>
      </c>
      <c r="B29" s="15" t="inlineStr">
        <is>
          <t>BioSteel Sports Drink (RTD)</t>
        </is>
      </c>
      <c r="C29" s="15" t="inlineStr">
        <is>
          <t>2) Electrolyte beverage (RTD)</t>
        </is>
      </c>
      <c r="D29" s="17">
        <f>'M2 - Electrolyte RTD'!F10</f>
        <v/>
      </c>
      <c r="E29" s="20">
        <f>'M2 - Electrolyte RTD'!J10</f>
        <v/>
      </c>
      <c r="F29" s="18">
        <f>'M2 - Electrolyte RTD'!K10</f>
        <v/>
      </c>
      <c r="G29" s="17">
        <f>'M2 - Electrolyte RTD'!AM10</f>
        <v/>
      </c>
      <c r="H29" s="18">
        <f>'M2 - Electrolyte RTD'!N10</f>
        <v/>
      </c>
      <c r="I29" s="15">
        <f>'M2 - Electrolyte RTD'!AJ10</f>
        <v/>
      </c>
      <c r="J29" s="15" t="inlineStr">
        <is>
          <t>Capture live promo to assess.</t>
        </is>
      </c>
    </row>
    <row r="30" ht="28" customHeight="1">
      <c r="A30" s="15" t="inlineStr">
        <is>
          <t>CWENCH</t>
        </is>
      </c>
      <c r="B30" s="15" t="inlineStr">
        <is>
          <t>CWENCH Hydration</t>
        </is>
      </c>
      <c r="C30" s="15" t="inlineStr">
        <is>
          <t>2) Electrolyte beverage (RTD)</t>
        </is>
      </c>
      <c r="D30" s="17">
        <f>'M2 - Electrolyte RTD'!F11</f>
        <v/>
      </c>
      <c r="E30" s="20">
        <f>'M2 - Electrolyte RTD'!J11</f>
        <v/>
      </c>
      <c r="F30" s="18">
        <f>'M2 - Electrolyte RTD'!K11</f>
        <v/>
      </c>
      <c r="G30" s="17">
        <f>'M2 - Electrolyte RTD'!AM11</f>
        <v/>
      </c>
      <c r="H30" s="18">
        <f>'M2 - Electrolyte RTD'!N11</f>
        <v/>
      </c>
      <c r="I30" s="15">
        <f>'M2 - Electrolyte RTD'!AJ11</f>
        <v/>
      </c>
      <c r="J30" s="15" t="inlineStr">
        <is>
          <t>Capture live promo to assess.</t>
        </is>
      </c>
    </row>
    <row r="31" ht="28" customHeight="1">
      <c r="A31" s="15" t="inlineStr">
        <is>
          <t>Pedialyte</t>
        </is>
      </c>
      <c r="B31" s="15" t="inlineStr">
        <is>
          <t>Pedialyte Electrolyte Solution</t>
        </is>
      </c>
      <c r="C31" s="15" t="inlineStr">
        <is>
          <t>2) Electrolyte beverage (RTD)</t>
        </is>
      </c>
      <c r="D31" s="17">
        <f>'M2 - Electrolyte RTD'!F12</f>
        <v/>
      </c>
      <c r="E31" s="20">
        <f>'M2 - Electrolyte RTD'!J12</f>
        <v/>
      </c>
      <c r="F31" s="18">
        <f>'M2 - Electrolyte RTD'!K12</f>
        <v/>
      </c>
      <c r="G31" s="17">
        <f>'M2 - Electrolyte RTD'!AM12</f>
        <v/>
      </c>
      <c r="H31" s="18">
        <f>'M2 - Electrolyte RTD'!N12</f>
        <v/>
      </c>
      <c r="I31" s="15">
        <f>'M2 - Electrolyte RTD'!AJ12</f>
        <v/>
      </c>
      <c r="J31" s="15" t="inlineStr">
        <is>
          <t>Capture live promo to assess.</t>
        </is>
      </c>
    </row>
    <row r="32" ht="28" customHeight="1">
      <c r="A32" s="15" t="inlineStr">
        <is>
          <t>Gatorade</t>
        </is>
      </c>
      <c r="B32" s="15" t="inlineStr">
        <is>
          <t>Gatorlyte Rapid Rehydration</t>
        </is>
      </c>
      <c r="C32" s="15" t="inlineStr">
        <is>
          <t>2) Electrolyte beverage (RTD)</t>
        </is>
      </c>
      <c r="D32" s="17">
        <f>'M2 - Electrolyte RTD'!F13</f>
        <v/>
      </c>
      <c r="E32" s="20">
        <f>'M2 - Electrolyte RTD'!J13</f>
        <v/>
      </c>
      <c r="F32" s="18">
        <f>'M2 - Electrolyte RTD'!K13</f>
        <v/>
      </c>
      <c r="G32" s="17">
        <f>'M2 - Electrolyte RTD'!AM13</f>
        <v/>
      </c>
      <c r="H32" s="18">
        <f>'M2 - Electrolyte RTD'!N13</f>
        <v/>
      </c>
      <c r="I32" s="15">
        <f>'M2 - Electrolyte RTD'!AJ13</f>
        <v/>
      </c>
      <c r="J32" s="15" t="inlineStr">
        <is>
          <t>Volume + everyday-low-price; modest S&amp;S.</t>
        </is>
      </c>
    </row>
    <row r="33" ht="28" customHeight="1">
      <c r="A33" s="15" t="inlineStr">
        <is>
          <t>Vita Coco</t>
        </is>
      </c>
      <c r="B33" s="15" t="inlineStr">
        <is>
          <t>Vita Coco Pure Coconut Water</t>
        </is>
      </c>
      <c r="C33" s="15" t="inlineStr">
        <is>
          <t>2) Electrolyte beverage (RTD)</t>
        </is>
      </c>
      <c r="D33" s="17">
        <f>'M2 - Electrolyte RTD'!F14</f>
        <v/>
      </c>
      <c r="E33" s="20">
        <f>'M2 - Electrolyte RTD'!J14</f>
        <v/>
      </c>
      <c r="F33" s="18">
        <f>'M2 - Electrolyte RTD'!K14</f>
        <v/>
      </c>
      <c r="G33" s="17">
        <f>'M2 - Electrolyte RTD'!AM14</f>
        <v/>
      </c>
      <c r="H33" s="18">
        <f>'M2 - Electrolyte RTD'!N14</f>
        <v/>
      </c>
      <c r="I33" s="15">
        <f>'M2 - Electrolyte RTD'!AJ14</f>
        <v/>
      </c>
      <c r="J33" s="15" t="inlineStr">
        <is>
          <t>Capture live promo to assess.</t>
        </is>
      </c>
    </row>
    <row r="34" ht="28" customHeight="1">
      <c r="A34" s="15" t="inlineStr">
        <is>
          <t>Electrolit</t>
        </is>
      </c>
      <c r="B34" s="15" t="inlineStr">
        <is>
          <t>Electrolit Hydration Beverage</t>
        </is>
      </c>
      <c r="C34" s="15" t="inlineStr">
        <is>
          <t>2) Electrolyte beverage (RTD)</t>
        </is>
      </c>
      <c r="D34" s="17">
        <f>'M2 - Electrolyte RTD'!F15</f>
        <v/>
      </c>
      <c r="E34" s="20">
        <f>'M2 - Electrolyte RTD'!J15</f>
        <v/>
      </c>
      <c r="F34" s="18">
        <f>'M2 - Electrolyte RTD'!K15</f>
        <v/>
      </c>
      <c r="G34" s="17">
        <f>'M2 - Electrolyte RTD'!AM15</f>
        <v/>
      </c>
      <c r="H34" s="18">
        <f>'M2 - Electrolyte RTD'!N15</f>
        <v/>
      </c>
      <c r="I34" s="15">
        <f>'M2 - Electrolyte RTD'!AJ15</f>
        <v/>
      </c>
      <c r="J34" s="15" t="inlineStr">
        <is>
          <t>Momentum brand; multipack value + S&amp;S.</t>
        </is>
      </c>
    </row>
    <row r="35" ht="28" customHeight="1">
      <c r="A35" s="15" t="inlineStr">
        <is>
          <t>Gatorade</t>
        </is>
      </c>
      <c r="B35" s="15" t="inlineStr">
        <is>
          <t>Gatorade Fit Electrolyte Beverage</t>
        </is>
      </c>
      <c r="C35" s="15" t="inlineStr">
        <is>
          <t>2) Electrolyte beverage (RTD)</t>
        </is>
      </c>
      <c r="D35" s="17">
        <f>'M2 - Electrolyte RTD'!F16</f>
        <v/>
      </c>
      <c r="E35" s="20">
        <f>'M2 - Electrolyte RTD'!J16</f>
        <v/>
      </c>
      <c r="F35" s="18">
        <f>'M2 - Electrolyte RTD'!K16</f>
        <v/>
      </c>
      <c r="G35" s="17">
        <f>'M2 - Electrolyte RTD'!AM16</f>
        <v/>
      </c>
      <c r="H35" s="18">
        <f>'M2 - Electrolyte RTD'!N16</f>
        <v/>
      </c>
      <c r="I35" s="15">
        <f>'M2 - Electrolyte RTD'!AJ16</f>
        <v/>
      </c>
      <c r="J35" s="15" t="inlineStr">
        <is>
          <t>Volume + everyday-low-price; modest S&amp;S.</t>
        </is>
      </c>
    </row>
    <row r="36" ht="28" customHeight="1">
      <c r="A36" s="15" t="inlineStr">
        <is>
          <t>OLIPOP</t>
        </is>
      </c>
      <c r="B36" s="15" t="inlineStr">
        <is>
          <t>OLIPOP Prebiotic Soda</t>
        </is>
      </c>
      <c r="C36" s="15" t="inlineStr">
        <is>
          <t>3) Functional beverage (still/sparkling)</t>
        </is>
      </c>
      <c r="D36" s="17">
        <f>'M3 - Functional Beverage'!F2</f>
        <v/>
      </c>
      <c r="E36" s="20">
        <f>'M3 - Functional Beverage'!J2</f>
        <v/>
      </c>
      <c r="F36" s="18">
        <f>'M3 - Functional Beverage'!K2</f>
        <v/>
      </c>
      <c r="G36" s="17">
        <f>'M3 - Functional Beverage'!AM2</f>
        <v/>
      </c>
      <c r="H36" s="18">
        <f>'M3 - Functional Beverage'!N2</f>
        <v/>
      </c>
      <c r="I36" s="15">
        <f>'M3 - Functional Beverage'!AJ2</f>
        <v/>
      </c>
      <c r="J36" s="15" t="inlineStr">
        <is>
          <t>S&amp;S to lock repeat; premium price held.</t>
        </is>
      </c>
    </row>
    <row r="37" ht="28" customHeight="1">
      <c r="A37" s="15" t="inlineStr">
        <is>
          <t>Poppi</t>
        </is>
      </c>
      <c r="B37" s="15" t="inlineStr">
        <is>
          <t>Poppi Prebiotic Soda</t>
        </is>
      </c>
      <c r="C37" s="15" t="inlineStr">
        <is>
          <t>3) Functional beverage (still/sparkling)</t>
        </is>
      </c>
      <c r="D37" s="17">
        <f>'M3 - Functional Beverage'!F3</f>
        <v/>
      </c>
      <c r="E37" s="20">
        <f>'M3 - Functional Beverage'!J3</f>
        <v/>
      </c>
      <c r="F37" s="18">
        <f>'M3 - Functional Beverage'!K3</f>
        <v/>
      </c>
      <c r="G37" s="17">
        <f>'M3 - Functional Beverage'!AM3</f>
        <v/>
      </c>
      <c r="H37" s="18">
        <f>'M3 - Functional Beverage'!N3</f>
        <v/>
      </c>
      <c r="I37" s="15">
        <f>'M3 - Functional Beverage'!AJ3</f>
        <v/>
      </c>
      <c r="J37" s="15" t="inlineStr">
        <is>
          <t>Trial-driving coupons + S&amp;S; aggressive first purchase.</t>
        </is>
      </c>
    </row>
    <row r="38" ht="28" customHeight="1">
      <c r="A38" s="15" t="inlineStr">
        <is>
          <t>Culture Pop</t>
        </is>
      </c>
      <c r="B38" s="15" t="inlineStr">
        <is>
          <t>Culture Pop Probiotic Soda</t>
        </is>
      </c>
      <c r="C38" s="15" t="inlineStr">
        <is>
          <t>3) Functional beverage (still/sparkling)</t>
        </is>
      </c>
      <c r="D38" s="17">
        <f>'M3 - Functional Beverage'!F4</f>
        <v/>
      </c>
      <c r="E38" s="20">
        <f>'M3 - Functional Beverage'!J4</f>
        <v/>
      </c>
      <c r="F38" s="18">
        <f>'M3 - Functional Beverage'!K4</f>
        <v/>
      </c>
      <c r="G38" s="17">
        <f>'M3 - Functional Beverage'!AM4</f>
        <v/>
      </c>
      <c r="H38" s="18">
        <f>'M3 - Functional Beverage'!N4</f>
        <v/>
      </c>
      <c r="I38" s="15">
        <f>'M3 - Functional Beverage'!AJ4</f>
        <v/>
      </c>
      <c r="J38" s="15" t="inlineStr">
        <is>
          <t>Capture live promo to assess.</t>
        </is>
      </c>
    </row>
    <row r="39" ht="28" customHeight="1">
      <c r="A39" s="15" t="inlineStr">
        <is>
          <t>Mayawell</t>
        </is>
      </c>
      <c r="B39" s="15" t="inlineStr">
        <is>
          <t>Mayawell Prebiotic Soda</t>
        </is>
      </c>
      <c r="C39" s="15" t="inlineStr">
        <is>
          <t>3) Functional beverage (still/sparkling)</t>
        </is>
      </c>
      <c r="D39" s="17">
        <f>'M3 - Functional Beverage'!F5</f>
        <v/>
      </c>
      <c r="E39" s="20">
        <f>'M3 - Functional Beverage'!J5</f>
        <v/>
      </c>
      <c r="F39" s="18">
        <f>'M3 - Functional Beverage'!K5</f>
        <v/>
      </c>
      <c r="G39" s="17">
        <f>'M3 - Functional Beverage'!AM5</f>
        <v/>
      </c>
      <c r="H39" s="18">
        <f>'M3 - Functional Beverage'!N5</f>
        <v/>
      </c>
      <c r="I39" s="15">
        <f>'M3 - Functional Beverage'!AJ5</f>
        <v/>
      </c>
      <c r="J39" s="15" t="inlineStr">
        <is>
          <t>Capture live promo to assess.</t>
        </is>
      </c>
    </row>
    <row r="40" ht="28" customHeight="1">
      <c r="A40" s="15" t="inlineStr">
        <is>
          <t>De La Calle</t>
        </is>
      </c>
      <c r="B40" s="15" t="inlineStr">
        <is>
          <t>De La Calle Tepache</t>
        </is>
      </c>
      <c r="C40" s="15" t="inlineStr">
        <is>
          <t>3) Functional beverage (still/sparkling)</t>
        </is>
      </c>
      <c r="D40" s="17">
        <f>'M3 - Functional Beverage'!F6</f>
        <v/>
      </c>
      <c r="E40" s="20">
        <f>'M3 - Functional Beverage'!J6</f>
        <v/>
      </c>
      <c r="F40" s="18">
        <f>'M3 - Functional Beverage'!K6</f>
        <v/>
      </c>
      <c r="G40" s="17">
        <f>'M3 - Functional Beverage'!AM6</f>
        <v/>
      </c>
      <c r="H40" s="18">
        <f>'M3 - Functional Beverage'!N6</f>
        <v/>
      </c>
      <c r="I40" s="15">
        <f>'M3 - Functional Beverage'!AJ6</f>
        <v/>
      </c>
      <c r="J40" s="15" t="inlineStr">
        <is>
          <t>Capture live promo to assess.</t>
        </is>
      </c>
    </row>
    <row r="41" ht="28" customHeight="1">
      <c r="A41" s="15" t="inlineStr">
        <is>
          <t>GT's</t>
        </is>
      </c>
      <c r="B41" s="15" t="inlineStr">
        <is>
          <t>GT's Synergy Raw Kombucha</t>
        </is>
      </c>
      <c r="C41" s="15" t="inlineStr">
        <is>
          <t>3) Functional beverage (still/sparkling)</t>
        </is>
      </c>
      <c r="D41" s="17">
        <f>'M3 - Functional Beverage'!F7</f>
        <v/>
      </c>
      <c r="E41" s="20">
        <f>'M3 - Functional Beverage'!J7</f>
        <v/>
      </c>
      <c r="F41" s="18">
        <f>'M3 - Functional Beverage'!K7</f>
        <v/>
      </c>
      <c r="G41" s="17">
        <f>'M3 - Functional Beverage'!AM7</f>
        <v/>
      </c>
      <c r="H41" s="18">
        <f>'M3 - Functional Beverage'!N7</f>
        <v/>
      </c>
      <c r="I41" s="15">
        <f>'M3 - Functional Beverage'!AJ7</f>
        <v/>
      </c>
      <c r="J41" s="15" t="inlineStr">
        <is>
          <t>Capture live promo to assess.</t>
        </is>
      </c>
    </row>
    <row r="42" ht="28" customHeight="1">
      <c r="A42" s="15" t="inlineStr">
        <is>
          <t>Health-Ade</t>
        </is>
      </c>
      <c r="B42" s="15" t="inlineStr">
        <is>
          <t>Health-Ade Kombucha</t>
        </is>
      </c>
      <c r="C42" s="15" t="inlineStr">
        <is>
          <t>3) Functional beverage (still/sparkling)</t>
        </is>
      </c>
      <c r="D42" s="17">
        <f>'M3 - Functional Beverage'!F8</f>
        <v/>
      </c>
      <c r="E42" s="20">
        <f>'M3 - Functional Beverage'!J8</f>
        <v/>
      </c>
      <c r="F42" s="18">
        <f>'M3 - Functional Beverage'!K8</f>
        <v/>
      </c>
      <c r="G42" s="17">
        <f>'M3 - Functional Beverage'!AM8</f>
        <v/>
      </c>
      <c r="H42" s="18">
        <f>'M3 - Functional Beverage'!N8</f>
        <v/>
      </c>
      <c r="I42" s="15">
        <f>'M3 - Functional Beverage'!AJ8</f>
        <v/>
      </c>
      <c r="J42" s="15" t="inlineStr">
        <is>
          <t>Capture live promo to assess.</t>
        </is>
      </c>
    </row>
    <row r="43" ht="28" customHeight="1">
      <c r="A43" s="15" t="inlineStr">
        <is>
          <t>Remedy</t>
        </is>
      </c>
      <c r="B43" s="15" t="inlineStr">
        <is>
          <t>Remedy Kombucha</t>
        </is>
      </c>
      <c r="C43" s="15" t="inlineStr">
        <is>
          <t>3) Functional beverage (still/sparkling)</t>
        </is>
      </c>
      <c r="D43" s="17">
        <f>'M3 - Functional Beverage'!F9</f>
        <v/>
      </c>
      <c r="E43" s="20">
        <f>'M3 - Functional Beverage'!J9</f>
        <v/>
      </c>
      <c r="F43" s="18">
        <f>'M3 - Functional Beverage'!K9</f>
        <v/>
      </c>
      <c r="G43" s="17">
        <f>'M3 - Functional Beverage'!AM9</f>
        <v/>
      </c>
      <c r="H43" s="18">
        <f>'M3 - Functional Beverage'!N9</f>
        <v/>
      </c>
      <c r="I43" s="15">
        <f>'M3 - Functional Beverage'!AJ9</f>
        <v/>
      </c>
      <c r="J43" s="15" t="inlineStr">
        <is>
          <t>Capture live promo to assess.</t>
        </is>
      </c>
    </row>
    <row r="44" ht="28" customHeight="1">
      <c r="A44" s="15" t="inlineStr">
        <is>
          <t>Recess</t>
        </is>
      </c>
      <c r="B44" s="15" t="inlineStr">
        <is>
          <t>Recess Mood</t>
        </is>
      </c>
      <c r="C44" s="15" t="inlineStr">
        <is>
          <t>3) Functional beverage (still/sparkling)</t>
        </is>
      </c>
      <c r="D44" s="17">
        <f>'M3 - Functional Beverage'!F10</f>
        <v/>
      </c>
      <c r="E44" s="20">
        <f>'M3 - Functional Beverage'!J10</f>
        <v/>
      </c>
      <c r="F44" s="18">
        <f>'M3 - Functional Beverage'!K10</f>
        <v/>
      </c>
      <c r="G44" s="17">
        <f>'M3 - Functional Beverage'!AM10</f>
        <v/>
      </c>
      <c r="H44" s="18">
        <f>'M3 - Functional Beverage'!N10</f>
        <v/>
      </c>
      <c r="I44" s="15">
        <f>'M3 - Functional Beverage'!AJ10</f>
        <v/>
      </c>
      <c r="J44" s="15" t="inlineStr">
        <is>
          <t>Capture live promo to assess.</t>
        </is>
      </c>
    </row>
    <row r="45" ht="28" customHeight="1">
      <c r="A45" s="15" t="inlineStr">
        <is>
          <t>Protein2o</t>
        </is>
      </c>
      <c r="B45" s="15" t="inlineStr">
        <is>
          <t>Protein2o Protein Infused Water</t>
        </is>
      </c>
      <c r="C45" s="15" t="inlineStr">
        <is>
          <t>3) Functional beverage (still/sparkling)</t>
        </is>
      </c>
      <c r="D45" s="17">
        <f>'M3 - Functional Beverage'!F11</f>
        <v/>
      </c>
      <c r="E45" s="20">
        <f>'M3 - Functional Beverage'!J11</f>
        <v/>
      </c>
      <c r="F45" s="18">
        <f>'M3 - Functional Beverage'!K11</f>
        <v/>
      </c>
      <c r="G45" s="17">
        <f>'M3 - Functional Beverage'!AM11</f>
        <v/>
      </c>
      <c r="H45" s="18">
        <f>'M3 - Functional Beverage'!N11</f>
        <v/>
      </c>
      <c r="I45" s="15">
        <f>'M3 - Functional Beverage'!AJ11</f>
        <v/>
      </c>
      <c r="J45" s="15" t="inlineStr">
        <is>
          <t>Capture live promo to assess.</t>
        </is>
      </c>
    </row>
    <row r="46" ht="28" customHeight="1">
      <c r="A46" s="15" t="inlineStr">
        <is>
          <t>vitaminwater</t>
        </is>
      </c>
      <c r="B46" s="15" t="inlineStr">
        <is>
          <t>vitaminwater (glaceau)</t>
        </is>
      </c>
      <c r="C46" s="15" t="inlineStr">
        <is>
          <t>3) Functional beverage (still/sparkling)</t>
        </is>
      </c>
      <c r="D46" s="17">
        <f>'M3 - Functional Beverage'!F12</f>
        <v/>
      </c>
      <c r="E46" s="20">
        <f>'M3 - Functional Beverage'!J12</f>
        <v/>
      </c>
      <c r="F46" s="18">
        <f>'M3 - Functional Beverage'!K12</f>
        <v/>
      </c>
      <c r="G46" s="17">
        <f>'M3 - Functional Beverage'!AM12</f>
        <v/>
      </c>
      <c r="H46" s="18">
        <f>'M3 - Functional Beverage'!N12</f>
        <v/>
      </c>
      <c r="I46" s="15">
        <f>'M3 - Functional Beverage'!AJ12</f>
        <v/>
      </c>
      <c r="J46" s="15" t="inlineStr">
        <is>
          <t>Capture live promo to assess.</t>
        </is>
      </c>
    </row>
    <row r="47" ht="28" customHeight="1">
      <c r="A47" s="15" t="inlineStr">
        <is>
          <t>vitaminwater</t>
        </is>
      </c>
      <c r="B47" s="15" t="inlineStr">
        <is>
          <t>vitaminwater zero sugar</t>
        </is>
      </c>
      <c r="C47" s="15" t="inlineStr">
        <is>
          <t>3) Functional beverage (still/sparkling)</t>
        </is>
      </c>
      <c r="D47" s="17">
        <f>'M3 - Functional Beverage'!F13</f>
        <v/>
      </c>
      <c r="E47" s="20">
        <f>'M3 - Functional Beverage'!J13</f>
        <v/>
      </c>
      <c r="F47" s="18">
        <f>'M3 - Functional Beverage'!K13</f>
        <v/>
      </c>
      <c r="G47" s="17">
        <f>'M3 - Functional Beverage'!AM13</f>
        <v/>
      </c>
      <c r="H47" s="18">
        <f>'M3 - Functional Beverage'!N13</f>
        <v/>
      </c>
      <c r="I47" s="15">
        <f>'M3 - Functional Beverage'!AJ13</f>
        <v/>
      </c>
      <c r="J47" s="15" t="inlineStr">
        <is>
          <t>Capture live promo to assess.</t>
        </is>
      </c>
    </row>
    <row r="48" ht="28" customHeight="1">
      <c r="A48" s="15" t="inlineStr">
        <is>
          <t>Bai</t>
        </is>
      </c>
      <c r="B48" s="15" t="inlineStr">
        <is>
          <t>Bai Antioxidant Infusion</t>
        </is>
      </c>
      <c r="C48" s="15" t="inlineStr">
        <is>
          <t>3) Functional beverage (still/sparkling)</t>
        </is>
      </c>
      <c r="D48" s="17">
        <f>'M3 - Functional Beverage'!F14</f>
        <v/>
      </c>
      <c r="E48" s="20">
        <f>'M3 - Functional Beverage'!J14</f>
        <v/>
      </c>
      <c r="F48" s="18">
        <f>'M3 - Functional Beverage'!K14</f>
        <v/>
      </c>
      <c r="G48" s="17">
        <f>'M3 - Functional Beverage'!AM14</f>
        <v/>
      </c>
      <c r="H48" s="18">
        <f>'M3 - Functional Beverage'!N14</f>
        <v/>
      </c>
      <c r="I48" s="15">
        <f>'M3 - Functional Beverage'!AJ14</f>
        <v/>
      </c>
      <c r="J48" s="15" t="inlineStr">
        <is>
          <t>Capture live promo to assess.</t>
        </is>
      </c>
    </row>
    <row r="49" ht="28" customHeight="1">
      <c r="A49" s="15" t="inlineStr">
        <is>
          <t>Hint</t>
        </is>
      </c>
      <c r="B49" s="15" t="inlineStr">
        <is>
          <t>Hint Water (fruit-infused)</t>
        </is>
      </c>
      <c r="C49" s="15" t="inlineStr">
        <is>
          <t>3) Functional beverage (still/sparkling)</t>
        </is>
      </c>
      <c r="D49" s="17">
        <f>'M3 - Functional Beverage'!F15</f>
        <v/>
      </c>
      <c r="E49" s="20">
        <f>'M3 - Functional Beverage'!J15</f>
        <v/>
      </c>
      <c r="F49" s="18">
        <f>'M3 - Functional Beverage'!K15</f>
        <v/>
      </c>
      <c r="G49" s="17">
        <f>'M3 - Functional Beverage'!AM15</f>
        <v/>
      </c>
      <c r="H49" s="18">
        <f>'M3 - Functional Beverage'!N15</f>
        <v/>
      </c>
      <c r="I49" s="15">
        <f>'M3 - Functional Beverage'!AJ15</f>
        <v/>
      </c>
      <c r="J49" s="15" t="inlineStr">
        <is>
          <t>Capture live promo to assess.</t>
        </is>
      </c>
    </row>
    <row r="50" ht="28" customHeight="1">
      <c r="A50" s="15" t="inlineStr">
        <is>
          <t>wildwonder</t>
        </is>
      </c>
      <c r="B50" s="15" t="inlineStr">
        <is>
          <t>wildwonder Sparkling Prebiotic+Probiotic</t>
        </is>
      </c>
      <c r="C50" s="15" t="inlineStr">
        <is>
          <t>3) Functional beverage (still/sparkling)</t>
        </is>
      </c>
      <c r="D50" s="17">
        <f>'M3 - Functional Beverage'!F16</f>
        <v/>
      </c>
      <c r="E50" s="20">
        <f>'M3 - Functional Beverage'!J16</f>
        <v/>
      </c>
      <c r="F50" s="18">
        <f>'M3 - Functional Beverage'!K16</f>
        <v/>
      </c>
      <c r="G50" s="17">
        <f>'M3 - Functional Beverage'!AM16</f>
        <v/>
      </c>
      <c r="H50" s="18">
        <f>'M3 - Functional Beverage'!N16</f>
        <v/>
      </c>
      <c r="I50" s="15">
        <f>'M3 - Functional Beverage'!AJ16</f>
        <v/>
      </c>
      <c r="J50" s="15" t="inlineStr">
        <is>
          <t>Capture live promo to assess.</t>
        </is>
      </c>
    </row>
    <row r="51" ht="28" customHeight="1">
      <c r="A51" s="15" t="inlineStr">
        <is>
          <t>Lemon Perfect</t>
        </is>
      </c>
      <c r="B51" s="15" t="inlineStr">
        <is>
          <t>Lemon Perfect Cold-Pressed Lemon Water</t>
        </is>
      </c>
      <c r="C51" s="15" t="inlineStr">
        <is>
          <t>3) Functional beverage (still/sparkling)</t>
        </is>
      </c>
      <c r="D51" s="17">
        <f>'M3 - Functional Beverage'!F17</f>
        <v/>
      </c>
      <c r="E51" s="20">
        <f>'M3 - Functional Beverage'!J17</f>
        <v/>
      </c>
      <c r="F51" s="18">
        <f>'M3 - Functional Beverage'!K17</f>
        <v/>
      </c>
      <c r="G51" s="17">
        <f>'M3 - Functional Beverage'!AM17</f>
        <v/>
      </c>
      <c r="H51" s="18">
        <f>'M3 - Functional Beverage'!N17</f>
        <v/>
      </c>
      <c r="I51" s="15">
        <f>'M3 - Functional Beverage'!AJ17</f>
        <v/>
      </c>
      <c r="J51" s="15" t="inlineStr">
        <is>
          <t>Capture live promo to assess.</t>
        </is>
      </c>
    </row>
    <row r="52" ht="28" customHeight="1">
      <c r="A52" s="15" t="inlineStr">
        <is>
          <t>Spindrift</t>
        </is>
      </c>
      <c r="B52" s="15" t="inlineStr">
        <is>
          <t>Spindrift Sparkling Water</t>
        </is>
      </c>
      <c r="C52" s="15" t="inlineStr">
        <is>
          <t>5) Sparkling water &amp; soda</t>
        </is>
      </c>
      <c r="D52" s="17">
        <f>'M5 - Sparkling Water &amp; Soda'!F2</f>
        <v/>
      </c>
      <c r="E52" s="20">
        <f>'M5 - Sparkling Water &amp; Soda'!J2</f>
        <v/>
      </c>
      <c r="F52" s="18">
        <f>'M5 - Sparkling Water &amp; Soda'!K2</f>
        <v/>
      </c>
      <c r="G52" s="17">
        <f>'M5 - Sparkling Water &amp; Soda'!AM2</f>
        <v/>
      </c>
      <c r="H52" s="18">
        <f>'M5 - Sparkling Water &amp; Soda'!N2</f>
        <v/>
      </c>
      <c r="I52" s="15">
        <f>'M5 - Sparkling Water &amp; Soda'!AJ2</f>
        <v/>
      </c>
      <c r="J52" s="15" t="inlineStr">
        <is>
          <t>Premium; selective S&amp;S to retain.</t>
        </is>
      </c>
    </row>
    <row r="53" ht="28" customHeight="1">
      <c r="A53" s="15" t="inlineStr">
        <is>
          <t>LaCroix</t>
        </is>
      </c>
      <c r="B53" s="15" t="inlineStr">
        <is>
          <t>LaCroix Sparkling Water</t>
        </is>
      </c>
      <c r="C53" s="15" t="inlineStr">
        <is>
          <t>5) Sparkling water &amp; soda</t>
        </is>
      </c>
      <c r="D53" s="17">
        <f>'M5 - Sparkling Water &amp; Soda'!F3</f>
        <v/>
      </c>
      <c r="E53" s="20">
        <f>'M5 - Sparkling Water &amp; Soda'!J3</f>
        <v/>
      </c>
      <c r="F53" s="18">
        <f>'M5 - Sparkling Water &amp; Soda'!K3</f>
        <v/>
      </c>
      <c r="G53" s="17">
        <f>'M5 - Sparkling Water &amp; Soda'!AM3</f>
        <v/>
      </c>
      <c r="H53" s="18">
        <f>'M5 - Sparkling Water &amp; Soda'!N3</f>
        <v/>
      </c>
      <c r="I53" s="15">
        <f>'M5 - Sparkling Water &amp; Soda'!AJ3</f>
        <v/>
      </c>
      <c r="J53" s="15" t="inlineStr">
        <is>
          <t>Everyday value; little need to promote.</t>
        </is>
      </c>
    </row>
    <row r="54" ht="28" customHeight="1">
      <c r="A54" s="15" t="inlineStr">
        <is>
          <t>bubly</t>
        </is>
      </c>
      <c r="B54" s="15" t="inlineStr">
        <is>
          <t>bubly Sparkling Water</t>
        </is>
      </c>
      <c r="C54" s="15" t="inlineStr">
        <is>
          <t>5) Sparkling water &amp; soda</t>
        </is>
      </c>
      <c r="D54" s="17">
        <f>'M5 - Sparkling Water &amp; Soda'!F4</f>
        <v/>
      </c>
      <c r="E54" s="20">
        <f>'M5 - Sparkling Water &amp; Soda'!J4</f>
        <v/>
      </c>
      <c r="F54" s="18">
        <f>'M5 - Sparkling Water &amp; Soda'!K4</f>
        <v/>
      </c>
      <c r="G54" s="17">
        <f>'M5 - Sparkling Water &amp; Soda'!AM4</f>
        <v/>
      </c>
      <c r="H54" s="18">
        <f>'M5 - Sparkling Water &amp; Soda'!N4</f>
        <v/>
      </c>
      <c r="I54" s="15">
        <f>'M5 - Sparkling Water &amp; Soda'!AJ4</f>
        <v/>
      </c>
      <c r="J54" s="15" t="inlineStr">
        <is>
          <t>PepsiCo price aggression is the lever.</t>
        </is>
      </c>
    </row>
    <row r="55" ht="28" customHeight="1">
      <c r="A55" s="15" t="inlineStr">
        <is>
          <t>Waterloo</t>
        </is>
      </c>
      <c r="B55" s="15" t="inlineStr">
        <is>
          <t>Waterloo Sparkling Water</t>
        </is>
      </c>
      <c r="C55" s="15" t="inlineStr">
        <is>
          <t>5) Sparkling water &amp; soda</t>
        </is>
      </c>
      <c r="D55" s="17">
        <f>'M5 - Sparkling Water &amp; Soda'!F5</f>
        <v/>
      </c>
      <c r="E55" s="20">
        <f>'M5 - Sparkling Water &amp; Soda'!J5</f>
        <v/>
      </c>
      <c r="F55" s="18">
        <f>'M5 - Sparkling Water &amp; Soda'!K5</f>
        <v/>
      </c>
      <c r="G55" s="17">
        <f>'M5 - Sparkling Water &amp; Soda'!AM5</f>
        <v/>
      </c>
      <c r="H55" s="18">
        <f>'M5 - Sparkling Water &amp; Soda'!N5</f>
        <v/>
      </c>
      <c r="I55" s="15">
        <f>'M5 - Sparkling Water &amp; Soda'!AJ5</f>
        <v/>
      </c>
      <c r="J55" s="15" t="inlineStr">
        <is>
          <t>Capture live promo to assess.</t>
        </is>
      </c>
    </row>
    <row r="56" ht="28" customHeight="1">
      <c r="A56" s="15" t="inlineStr">
        <is>
          <t>Perrier</t>
        </is>
      </c>
      <c r="B56" s="15" t="inlineStr">
        <is>
          <t>Perrier Carbonated Mineral Water</t>
        </is>
      </c>
      <c r="C56" s="15" t="inlineStr">
        <is>
          <t>5) Sparkling water &amp; soda</t>
        </is>
      </c>
      <c r="D56" s="17">
        <f>'M5 - Sparkling Water &amp; Soda'!F6</f>
        <v/>
      </c>
      <c r="E56" s="20">
        <f>'M5 - Sparkling Water &amp; Soda'!J6</f>
        <v/>
      </c>
      <c r="F56" s="18">
        <f>'M5 - Sparkling Water &amp; Soda'!K6</f>
        <v/>
      </c>
      <c r="G56" s="17">
        <f>'M5 - Sparkling Water &amp; Soda'!AM6</f>
        <v/>
      </c>
      <c r="H56" s="18">
        <f>'M5 - Sparkling Water &amp; Soda'!N6</f>
        <v/>
      </c>
      <c r="I56" s="15">
        <f>'M5 - Sparkling Water &amp; Soda'!AJ6</f>
        <v/>
      </c>
      <c r="J56" s="15" t="inlineStr">
        <is>
          <t>Capture live promo to assess.</t>
        </is>
      </c>
    </row>
    <row r="57" ht="28" customHeight="1">
      <c r="A57" s="15" t="inlineStr">
        <is>
          <t>San Pellegrino</t>
        </is>
      </c>
      <c r="B57" s="15" t="inlineStr">
        <is>
          <t>S.Pellegrino Sparkling Natural Mineral Water</t>
        </is>
      </c>
      <c r="C57" s="15" t="inlineStr">
        <is>
          <t>5) Sparkling water &amp; soda</t>
        </is>
      </c>
      <c r="D57" s="17">
        <f>'M5 - Sparkling Water &amp; Soda'!F7</f>
        <v/>
      </c>
      <c r="E57" s="20">
        <f>'M5 - Sparkling Water &amp; Soda'!J7</f>
        <v/>
      </c>
      <c r="F57" s="18">
        <f>'M5 - Sparkling Water &amp; Soda'!K7</f>
        <v/>
      </c>
      <c r="G57" s="17">
        <f>'M5 - Sparkling Water &amp; Soda'!AM7</f>
        <v/>
      </c>
      <c r="H57" s="18">
        <f>'M5 - Sparkling Water &amp; Soda'!N7</f>
        <v/>
      </c>
      <c r="I57" s="15">
        <f>'M5 - Sparkling Water &amp; Soda'!AJ7</f>
        <v/>
      </c>
      <c r="J57" s="15" t="inlineStr">
        <is>
          <t>Capture live promo to assess.</t>
        </is>
      </c>
    </row>
    <row r="58" ht="28" customHeight="1">
      <c r="A58" s="15" t="inlineStr">
        <is>
          <t>San Pellegrino</t>
        </is>
      </c>
      <c r="B58" s="15" t="inlineStr">
        <is>
          <t>Sanpellegrino Aranciata (Italian Sparkling Drink)</t>
        </is>
      </c>
      <c r="C58" s="15" t="inlineStr">
        <is>
          <t>5) Sparkling water &amp; soda</t>
        </is>
      </c>
      <c r="D58" s="17">
        <f>'M5 - Sparkling Water &amp; Soda'!F8</f>
        <v/>
      </c>
      <c r="E58" s="20">
        <f>'M5 - Sparkling Water &amp; Soda'!J8</f>
        <v/>
      </c>
      <c r="F58" s="18">
        <f>'M5 - Sparkling Water &amp; Soda'!K8</f>
        <v/>
      </c>
      <c r="G58" s="17">
        <f>'M5 - Sparkling Water &amp; Soda'!AM8</f>
        <v/>
      </c>
      <c r="H58" s="18">
        <f>'M5 - Sparkling Water &amp; Soda'!N8</f>
        <v/>
      </c>
      <c r="I58" s="15">
        <f>'M5 - Sparkling Water &amp; Soda'!AJ8</f>
        <v/>
      </c>
      <c r="J58" s="15" t="inlineStr">
        <is>
          <t>Capture live promo to assess.</t>
        </is>
      </c>
    </row>
    <row r="59" ht="28" customHeight="1">
      <c r="A59" s="15" t="inlineStr">
        <is>
          <t>Liquid Death</t>
        </is>
      </c>
      <c r="B59" s="15" t="inlineStr">
        <is>
          <t>Liquid Death Sparkling Water</t>
        </is>
      </c>
      <c r="C59" s="15" t="inlineStr">
        <is>
          <t>5) Sparkling water &amp; soda</t>
        </is>
      </c>
      <c r="D59" s="17">
        <f>'M5 - Sparkling Water &amp; Soda'!F9</f>
        <v/>
      </c>
      <c r="E59" s="20">
        <f>'M5 - Sparkling Water &amp; Soda'!J9</f>
        <v/>
      </c>
      <c r="F59" s="18">
        <f>'M5 - Sparkling Water &amp; Soda'!K9</f>
        <v/>
      </c>
      <c r="G59" s="17">
        <f>'M5 - Sparkling Water &amp; Soda'!AM9</f>
        <v/>
      </c>
      <c r="H59" s="18">
        <f>'M5 - Sparkling Water &amp; Soda'!N9</f>
        <v/>
      </c>
      <c r="I59" s="15">
        <f>'M5 - Sparkling Water &amp; Soda'!AJ9</f>
        <v/>
      </c>
      <c r="J59" s="15" t="inlineStr">
        <is>
          <t>Brand premium; bundles/merch over price cuts.</t>
        </is>
      </c>
    </row>
    <row r="60" ht="28" customHeight="1">
      <c r="A60" s="15" t="inlineStr">
        <is>
          <t>Liquid Death</t>
        </is>
      </c>
      <c r="B60" s="15" t="inlineStr">
        <is>
          <t>Liquid Death Mountain Water (Still)</t>
        </is>
      </c>
      <c r="C60" s="15" t="inlineStr">
        <is>
          <t>5) Sparkling water &amp; soda</t>
        </is>
      </c>
      <c r="D60" s="17">
        <f>'M5 - Sparkling Water &amp; Soda'!F10</f>
        <v/>
      </c>
      <c r="E60" s="20">
        <f>'M5 - Sparkling Water &amp; Soda'!J10</f>
        <v/>
      </c>
      <c r="F60" s="18">
        <f>'M5 - Sparkling Water &amp; Soda'!K10</f>
        <v/>
      </c>
      <c r="G60" s="17">
        <f>'M5 - Sparkling Water &amp; Soda'!AM10</f>
        <v/>
      </c>
      <c r="H60" s="18">
        <f>'M5 - Sparkling Water &amp; Soda'!N10</f>
        <v/>
      </c>
      <c r="I60" s="15">
        <f>'M5 - Sparkling Water &amp; Soda'!AJ10</f>
        <v/>
      </c>
      <c r="J60" s="15" t="inlineStr">
        <is>
          <t>Brand premium; bundles/merch over price cuts.</t>
        </is>
      </c>
    </row>
    <row r="61" ht="28" customHeight="1">
      <c r="A61" s="15" t="inlineStr">
        <is>
          <t>Topo Chico</t>
        </is>
      </c>
      <c r="B61" s="15" t="inlineStr">
        <is>
          <t>Topo Chico Mineral Water</t>
        </is>
      </c>
      <c r="C61" s="15" t="inlineStr">
        <is>
          <t>5) Sparkling water &amp; soda</t>
        </is>
      </c>
      <c r="D61" s="17">
        <f>'M5 - Sparkling Water &amp; Soda'!F11</f>
        <v/>
      </c>
      <c r="E61" s="20">
        <f>'M5 - Sparkling Water &amp; Soda'!J11</f>
        <v/>
      </c>
      <c r="F61" s="18">
        <f>'M5 - Sparkling Water &amp; Soda'!K11</f>
        <v/>
      </c>
      <c r="G61" s="17">
        <f>'M5 - Sparkling Water &amp; Soda'!AM11</f>
        <v/>
      </c>
      <c r="H61" s="18">
        <f>'M5 - Sparkling Water &amp; Soda'!N11</f>
        <v/>
      </c>
      <c r="I61" s="15">
        <f>'M5 - Sparkling Water &amp; Soda'!AJ11</f>
        <v/>
      </c>
      <c r="J61" s="15" t="inlineStr">
        <is>
          <t>Capture live promo to assess.</t>
        </is>
      </c>
    </row>
    <row r="62" ht="28" customHeight="1">
      <c r="A62" s="15" t="inlineStr">
        <is>
          <t>Polar</t>
        </is>
      </c>
      <c r="B62" s="15" t="inlineStr">
        <is>
          <t>Polar Seltzer</t>
        </is>
      </c>
      <c r="C62" s="15" t="inlineStr">
        <is>
          <t>5) Sparkling water &amp; soda</t>
        </is>
      </c>
      <c r="D62" s="17">
        <f>'M5 - Sparkling Water &amp; Soda'!F12</f>
        <v/>
      </c>
      <c r="E62" s="20">
        <f>'M5 - Sparkling Water &amp; Soda'!J12</f>
        <v/>
      </c>
      <c r="F62" s="18">
        <f>'M5 - Sparkling Water &amp; Soda'!K12</f>
        <v/>
      </c>
      <c r="G62" s="17">
        <f>'M5 - Sparkling Water &amp; Soda'!AM12</f>
        <v/>
      </c>
      <c r="H62" s="18">
        <f>'M5 - Sparkling Water &amp; Soda'!N12</f>
        <v/>
      </c>
      <c r="I62" s="15">
        <f>'M5 - Sparkling Water &amp; Soda'!AJ12</f>
        <v/>
      </c>
      <c r="J62" s="15" t="inlineStr">
        <is>
          <t>Capture live promo to assess.</t>
        </is>
      </c>
    </row>
    <row r="63" ht="28" customHeight="1">
      <c r="A63" s="15" t="inlineStr">
        <is>
          <t>AHA</t>
        </is>
      </c>
      <c r="B63" s="15" t="inlineStr">
        <is>
          <t>AHA Sparkling Water</t>
        </is>
      </c>
      <c r="C63" s="15" t="inlineStr">
        <is>
          <t>5) Sparkling water &amp; soda</t>
        </is>
      </c>
      <c r="D63" s="17">
        <f>'M5 - Sparkling Water &amp; Soda'!F13</f>
        <v/>
      </c>
      <c r="E63" s="20">
        <f>'M5 - Sparkling Water &amp; Soda'!J13</f>
        <v/>
      </c>
      <c r="F63" s="18">
        <f>'M5 - Sparkling Water &amp; Soda'!K13</f>
        <v/>
      </c>
      <c r="G63" s="17">
        <f>'M5 - Sparkling Water &amp; Soda'!AM13</f>
        <v/>
      </c>
      <c r="H63" s="18">
        <f>'M5 - Sparkling Water &amp; Soda'!N13</f>
        <v/>
      </c>
      <c r="I63" s="15">
        <f>'M5 - Sparkling Water &amp; Soda'!AJ13</f>
        <v/>
      </c>
      <c r="J63" s="15" t="inlineStr">
        <is>
          <t>Capture live promo to assess.</t>
        </is>
      </c>
    </row>
    <row r="64" ht="28" customHeight="1">
      <c r="A64" s="15" t="inlineStr">
        <is>
          <t>Montellier</t>
        </is>
      </c>
      <c r="B64" s="15" t="inlineStr">
        <is>
          <t>Montellier Carbonated Natural Spring Water</t>
        </is>
      </c>
      <c r="C64" s="15" t="inlineStr">
        <is>
          <t>5) Sparkling water &amp; soda</t>
        </is>
      </c>
      <c r="D64" s="17">
        <f>'M5 - Sparkling Water &amp; Soda'!F14</f>
        <v/>
      </c>
      <c r="E64" s="20">
        <f>'M5 - Sparkling Water &amp; Soda'!J14</f>
        <v/>
      </c>
      <c r="F64" s="18">
        <f>'M5 - Sparkling Water &amp; Soda'!K14</f>
        <v/>
      </c>
      <c r="G64" s="17">
        <f>'M5 - Sparkling Water &amp; Soda'!AM14</f>
        <v/>
      </c>
      <c r="H64" s="18">
        <f>'M5 - Sparkling Water &amp; Soda'!N14</f>
        <v/>
      </c>
      <c r="I64" s="15">
        <f>'M5 - Sparkling Water &amp; Soda'!AJ14</f>
        <v/>
      </c>
      <c r="J64" s="15" t="inlineStr">
        <is>
          <t>Capture live promo to assess.</t>
        </is>
      </c>
    </row>
    <row r="65" ht="28" customHeight="1">
      <c r="A65" s="15" t="inlineStr">
        <is>
          <t>Eska</t>
        </is>
      </c>
      <c r="B65" s="15" t="inlineStr">
        <is>
          <t>Eska Sparkling Spring Water</t>
        </is>
      </c>
      <c r="C65" s="15" t="inlineStr">
        <is>
          <t>5) Sparkling water &amp; soda</t>
        </is>
      </c>
      <c r="D65" s="17">
        <f>'M5 - Sparkling Water &amp; Soda'!F15</f>
        <v/>
      </c>
      <c r="E65" s="20">
        <f>'M5 - Sparkling Water &amp; Soda'!J15</f>
        <v/>
      </c>
      <c r="F65" s="18">
        <f>'M5 - Sparkling Water &amp; Soda'!K15</f>
        <v/>
      </c>
      <c r="G65" s="17">
        <f>'M5 - Sparkling Water &amp; Soda'!AM15</f>
        <v/>
      </c>
      <c r="H65" s="18">
        <f>'M5 - Sparkling Water &amp; Soda'!N15</f>
        <v/>
      </c>
      <c r="I65" s="15">
        <f>'M5 - Sparkling Water &amp; Soda'!AJ15</f>
        <v/>
      </c>
      <c r="J65" s="15" t="inlineStr">
        <is>
          <t>Capture live promo to assess.</t>
        </is>
      </c>
    </row>
    <row r="66" ht="28" customHeight="1">
      <c r="A66" s="15" t="inlineStr">
        <is>
          <t>Coca-Cola</t>
        </is>
      </c>
      <c r="B66" s="15" t="inlineStr">
        <is>
          <t>Coca-Cola Classic</t>
        </is>
      </c>
      <c r="C66" s="15" t="inlineStr">
        <is>
          <t>5) Sparkling water &amp; soda</t>
        </is>
      </c>
      <c r="D66" s="17">
        <f>'M5 - Sparkling Water &amp; Soda'!F16</f>
        <v/>
      </c>
      <c r="E66" s="20">
        <f>'M5 - Sparkling Water &amp; Soda'!J16</f>
        <v/>
      </c>
      <c r="F66" s="18">
        <f>'M5 - Sparkling Water &amp; Soda'!K16</f>
        <v/>
      </c>
      <c r="G66" s="17">
        <f>'M5 - Sparkling Water &amp; Soda'!AM16</f>
        <v/>
      </c>
      <c r="H66" s="18">
        <f>'M5 - Sparkling Water &amp; Soda'!N16</f>
        <v/>
      </c>
      <c r="I66" s="15">
        <f>'M5 - Sparkling Water &amp; Soda'!AJ16</f>
        <v/>
      </c>
      <c r="J66" s="15" t="inlineStr">
        <is>
          <t>Capture live promo to assess.</t>
        </is>
      </c>
    </row>
    <row r="67" ht="28" customHeight="1">
      <c r="A67" s="15" t="inlineStr">
        <is>
          <t>Zevia</t>
        </is>
      </c>
      <c r="B67" s="15" t="inlineStr">
        <is>
          <t>Zevia Zero Calorie Soda</t>
        </is>
      </c>
      <c r="C67" s="15" t="inlineStr">
        <is>
          <t>5) Sparkling water &amp; soda</t>
        </is>
      </c>
      <c r="D67" s="17">
        <f>'M5 - Sparkling Water &amp; Soda'!F17</f>
        <v/>
      </c>
      <c r="E67" s="20">
        <f>'M5 - Sparkling Water &amp; Soda'!J17</f>
        <v/>
      </c>
      <c r="F67" s="18">
        <f>'M5 - Sparkling Water &amp; Soda'!K17</f>
        <v/>
      </c>
      <c r="G67" s="17">
        <f>'M5 - Sparkling Water &amp; Soda'!AM17</f>
        <v/>
      </c>
      <c r="H67" s="18">
        <f>'M5 - Sparkling Water &amp; Soda'!N17</f>
        <v/>
      </c>
      <c r="I67" s="15">
        <f>'M5 - Sparkling Water &amp; Soda'!AJ17</f>
        <v/>
      </c>
      <c r="J67" s="15" t="inlineStr">
        <is>
          <t>Clean-label premium; S&amp;S for pantry-loaders.</t>
        </is>
      </c>
    </row>
    <row r="68" ht="28" customHeight="1">
      <c r="A68" s="15" t="inlineStr">
        <is>
          <t>Nixie</t>
        </is>
      </c>
      <c r="B68" s="15" t="inlineStr">
        <is>
          <t>Nixie Organic Sparkling Water</t>
        </is>
      </c>
      <c r="C68" s="15" t="inlineStr">
        <is>
          <t>5) Sparkling water &amp; soda</t>
        </is>
      </c>
      <c r="D68" s="17">
        <f>'M5 - Sparkling Water &amp; Soda'!F18</f>
        <v/>
      </c>
      <c r="E68" s="20">
        <f>'M5 - Sparkling Water &amp; Soda'!J18</f>
        <v/>
      </c>
      <c r="F68" s="18">
        <f>'M5 - Sparkling Water &amp; Soda'!K18</f>
        <v/>
      </c>
      <c r="G68" s="17">
        <f>'M5 - Sparkling Water &amp; Soda'!AM18</f>
        <v/>
      </c>
      <c r="H68" s="18">
        <f>'M5 - Sparkling Water &amp; Soda'!N18</f>
        <v/>
      </c>
      <c r="I68" s="15">
        <f>'M5 - Sparkling Water &amp; Soda'!AJ18</f>
        <v/>
      </c>
      <c r="J68" s="15" t="inlineStr">
        <is>
          <t>Capture live promo to assess.</t>
        </is>
      </c>
    </row>
    <row r="69" ht="28" customHeight="1">
      <c r="A69" s="15" t="inlineStr">
        <is>
          <t>Sparkling Ice</t>
        </is>
      </c>
      <c r="B69" s="15" t="inlineStr">
        <is>
          <t>Sparkling Ice (+ Antioxidants &amp; Vitamins)</t>
        </is>
      </c>
      <c r="C69" s="15" t="inlineStr">
        <is>
          <t>1) Sparkling electrolyte / functional sparkling</t>
        </is>
      </c>
      <c r="D69" s="17">
        <f>'M1 - Sparkling Electrolyte'!F2</f>
        <v/>
      </c>
      <c r="E69" s="20">
        <f>'M1 - Sparkling Electrolyte'!J2</f>
        <v/>
      </c>
      <c r="F69" s="18">
        <f>'M1 - Sparkling Electrolyte'!K2</f>
        <v/>
      </c>
      <c r="G69" s="17">
        <f>'M1 - Sparkling Electrolyte'!AM2</f>
        <v/>
      </c>
      <c r="H69" s="18">
        <f>'M1 - Sparkling Electrolyte'!N2</f>
        <v/>
      </c>
      <c r="I69" s="15">
        <f>'M1 - Sparkling Electrolyte'!AJ2</f>
        <v/>
      </c>
      <c r="J69" s="15" t="inlineStr">
        <is>
          <t>Capture live promo to assess.</t>
        </is>
      </c>
    </row>
    <row r="70" ht="28" customHeight="1">
      <c r="A70" s="15" t="inlineStr">
        <is>
          <t>BUBBL'R</t>
        </is>
      </c>
      <c r="B70" s="15" t="inlineStr">
        <is>
          <t>BUBBL'R Antioxidant Sparkling Water</t>
        </is>
      </c>
      <c r="C70" s="15" t="inlineStr">
        <is>
          <t>1) Sparkling electrolyte / functional sparkling</t>
        </is>
      </c>
      <c r="D70" s="17">
        <f>'M1 - Sparkling Electrolyte'!F3</f>
        <v/>
      </c>
      <c r="E70" s="20">
        <f>'M1 - Sparkling Electrolyte'!J3</f>
        <v/>
      </c>
      <c r="F70" s="18">
        <f>'M1 - Sparkling Electrolyte'!K3</f>
        <v/>
      </c>
      <c r="G70" s="17">
        <f>'M1 - Sparkling Electrolyte'!AM3</f>
        <v/>
      </c>
      <c r="H70" s="18">
        <f>'M1 - Sparkling Electrolyte'!N3</f>
        <v/>
      </c>
      <c r="I70" s="15">
        <f>'M1 - Sparkling Electrolyte'!AJ3</f>
        <v/>
      </c>
      <c r="J70" s="15" t="inlineStr">
        <is>
          <t>Capture live promo to assess.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</t>
        </is>
      </c>
      <c r="C71" s="15" t="inlineStr">
        <is>
          <t>1) Sparkling electrolyte / functional sparkling</t>
        </is>
      </c>
      <c r="D71" s="17">
        <f>'M1 - Sparkling Electrolyte'!F4</f>
        <v/>
      </c>
      <c r="E71" s="20">
        <f>'M1 - Sparkling Electrolyte'!J4</f>
        <v/>
      </c>
      <c r="F71" s="18">
        <f>'M1 - Sparkling Electrolyte'!K4</f>
        <v/>
      </c>
      <c r="G71" s="17">
        <f>'M1 - Sparkling Electrolyte'!AM4</f>
        <v/>
      </c>
      <c r="H71" s="18">
        <f>'M1 - Sparkling Electrolyte'!N4</f>
        <v/>
      </c>
      <c r="I71" s="15">
        <f>'M1 - Sparkling Electrolyte'!AJ4</f>
        <v/>
      </c>
      <c r="J71" s="15" t="inlineStr">
        <is>
          <t>Capture live promo to assess.</t>
        </is>
      </c>
    </row>
    <row r="72" ht="28" customHeight="1">
      <c r="A72" s="15" t="inlineStr">
        <is>
          <t>Aura Bora</t>
        </is>
      </c>
      <c r="B72" s="15" t="inlineStr">
        <is>
          <t>Aura Bora Herbal Sparkling Water</t>
        </is>
      </c>
      <c r="C72" s="15" t="inlineStr">
        <is>
          <t>1) Sparkling electrolyte / functional sparkling</t>
        </is>
      </c>
      <c r="D72" s="17">
        <f>'M1 - Sparkling Electrolyte'!F5</f>
        <v/>
      </c>
      <c r="E72" s="20">
        <f>'M1 - Sparkling Electrolyte'!J5</f>
        <v/>
      </c>
      <c r="F72" s="18">
        <f>'M1 - Sparkling Electrolyte'!K5</f>
        <v/>
      </c>
      <c r="G72" s="17">
        <f>'M1 - Sparkling Electrolyte'!AM5</f>
        <v/>
      </c>
      <c r="H72" s="18">
        <f>'M1 - Sparkling Electrolyte'!N5</f>
        <v/>
      </c>
      <c r="I72" s="15">
        <f>'M1 - Sparkling Electrolyte'!AJ5</f>
        <v/>
      </c>
      <c r="J72" s="15" t="inlineStr">
        <is>
          <t>Capture live promo to assess.</t>
        </is>
      </c>
    </row>
    <row r="73" ht="28" customHeight="1">
      <c r="A73" s="15" t="inlineStr">
        <is>
          <t>Sound</t>
        </is>
      </c>
      <c r="B73" s="15" t="inlineStr">
        <is>
          <t>Sound Sparkling Water (Tea/Botanical)</t>
        </is>
      </c>
      <c r="C73" s="15" t="inlineStr">
        <is>
          <t>1) Sparkling electrolyte / functional sparkling</t>
        </is>
      </c>
      <c r="D73" s="17">
        <f>'M1 - Sparkling Electrolyte'!F6</f>
        <v/>
      </c>
      <c r="E73" s="20">
        <f>'M1 - Sparkling Electrolyte'!J6</f>
        <v/>
      </c>
      <c r="F73" s="18">
        <f>'M1 - Sparkling Electrolyte'!K6</f>
        <v/>
      </c>
      <c r="G73" s="17">
        <f>'M1 - Sparkling Electrolyte'!AM6</f>
        <v/>
      </c>
      <c r="H73" s="18">
        <f>'M1 - Sparkling Electrolyte'!N6</f>
        <v/>
      </c>
      <c r="I73" s="15">
        <f>'M1 - Sparkling Electrolyte'!AJ6</f>
        <v/>
      </c>
      <c r="J73" s="15" t="inlineStr">
        <is>
          <t>Capture live promo to assess.</t>
        </is>
      </c>
    </row>
    <row r="74" ht="28" customHeight="1">
      <c r="A74" s="15" t="inlineStr">
        <is>
          <t>Halo Sport</t>
        </is>
      </c>
      <c r="B74" s="15" t="inlineStr">
        <is>
          <t>Halo Sport Sparkling Electrolyte Water</t>
        </is>
      </c>
      <c r="C74" s="15" t="inlineStr">
        <is>
          <t>1) Sparkling electrolyte / functional sparkling</t>
        </is>
      </c>
      <c r="D74" s="17">
        <f>'M1 - Sparkling Electrolyte'!F7</f>
        <v/>
      </c>
      <c r="E74" s="20">
        <f>'M1 - Sparkling Electrolyte'!J7</f>
        <v/>
      </c>
      <c r="F74" s="18">
        <f>'M1 - Sparkling Electrolyte'!K7</f>
        <v/>
      </c>
      <c r="G74" s="17">
        <f>'M1 - Sparkling Electrolyte'!AM7</f>
        <v/>
      </c>
      <c r="H74" s="18">
        <f>'M1 - Sparkling Electrolyte'!N7</f>
        <v/>
      </c>
      <c r="I74" s="15">
        <f>'M1 - Sparkling Electrolyte'!AJ7</f>
        <v/>
      </c>
      <c r="J74" s="15" t="inlineStr">
        <is>
          <t>Capture live promo to assess.</t>
        </is>
      </c>
    </row>
    <row r="75" ht="28" customHeight="1">
      <c r="A75" s="15" t="inlineStr">
        <is>
          <t>Gorgie</t>
        </is>
      </c>
      <c r="B75" s="15" t="inlineStr">
        <is>
          <t>Gorgie Energy Sparkling Water</t>
        </is>
      </c>
      <c r="C75" s="15" t="inlineStr">
        <is>
          <t>1) Sparkling electrolyte / functional sparkling</t>
        </is>
      </c>
      <c r="D75" s="17">
        <f>'M1 - Sparkling Electrolyte'!F8</f>
        <v/>
      </c>
      <c r="E75" s="20">
        <f>'M1 - Sparkling Electrolyte'!J8</f>
        <v/>
      </c>
      <c r="F75" s="18">
        <f>'M1 - Sparkling Electrolyte'!K8</f>
        <v/>
      </c>
      <c r="G75" s="17">
        <f>'M1 - Sparkling Electrolyte'!AM8</f>
        <v/>
      </c>
      <c r="H75" s="18">
        <f>'M1 - Sparkling Electrolyte'!N8</f>
        <v/>
      </c>
      <c r="I75" s="15">
        <f>'M1 - Sparkling Electrolyte'!AJ8</f>
        <v/>
      </c>
      <c r="J75" s="15" t="inlineStr">
        <is>
          <t>Capture live promo to assess.</t>
        </is>
      </c>
    </row>
    <row r="76" ht="28" customHeight="1">
      <c r="A76" s="15" t="inlineStr">
        <is>
          <t>United Sodas</t>
        </is>
      </c>
      <c r="B76" s="15" t="inlineStr">
        <is>
          <t>United Sodas of America</t>
        </is>
      </c>
      <c r="C76" s="15" t="inlineStr">
        <is>
          <t>1) Sparkling electrolyte / functional sparkling</t>
        </is>
      </c>
      <c r="D76" s="17">
        <f>'M1 - Sparkling Electrolyte'!F9</f>
        <v/>
      </c>
      <c r="E76" s="20">
        <f>'M1 - Sparkling Electrolyte'!J9</f>
        <v/>
      </c>
      <c r="F76" s="18">
        <f>'M1 - Sparkling Electrolyte'!K9</f>
        <v/>
      </c>
      <c r="G76" s="17">
        <f>'M1 - Sparkling Electrolyte'!AM9</f>
        <v/>
      </c>
      <c r="H76" s="18">
        <f>'M1 - Sparkling Electrolyte'!N9</f>
        <v/>
      </c>
      <c r="I76" s="15">
        <f>'M1 - Sparkling Electrolyte'!AJ9</f>
        <v/>
      </c>
      <c r="J76" s="15" t="inlineStr">
        <is>
          <t>Capture live promo to assess.</t>
        </is>
      </c>
    </row>
    <row r="78">
      <c r="A78" s="26" t="inlineStr">
        <is>
          <t>Sort by 'True Floor' once live prices are entered. Amber cells = capture live. Promo-reliance read is an analyst estimate pending live promo data.</t>
        </is>
      </c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 t="n"/>
    </row>
  </sheetData>
  <mergeCells count="1">
    <mergeCell ref="A78:J7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I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Sugarfree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Monster</t>
        </is>
      </c>
      <c r="B4" s="15" t="inlineStr">
        <is>
          <t>Monster Energy Original (Green)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Monster</t>
        </is>
      </c>
      <c r="B5" s="15" t="inlineStr">
        <is>
          <t>Monster Energy Ultra Zero (White)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Celsius</t>
        </is>
      </c>
      <c r="B6" s="15" t="inlineStr">
        <is>
          <t>Celsius Original Sparkling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Celsius</t>
        </is>
      </c>
      <c r="B7" s="15" t="inlineStr">
        <is>
          <t>Celsius Essentials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Prime</t>
        </is>
      </c>
      <c r="B8" s="15" t="inlineStr">
        <is>
          <t>Prime Energy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C4</t>
        </is>
      </c>
      <c r="B9" s="15" t="inlineStr">
        <is>
          <t>C4 Energy (Performance)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Reign</t>
        </is>
      </c>
      <c r="B10" s="15" t="inlineStr">
        <is>
          <t>Reign Total Body Fuel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Alani Nu</t>
        </is>
      </c>
      <c r="B11" s="15" t="inlineStr">
        <is>
          <t>Alani Nu Energy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Bang</t>
        </is>
      </c>
      <c r="B12" s="15" t="inlineStr">
        <is>
          <t>Bang Energy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Rockstar</t>
        </is>
      </c>
      <c r="B13" s="15" t="inlineStr">
        <is>
          <t>Rockstar Energy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GURU</t>
        </is>
      </c>
      <c r="B14" s="15" t="inlineStr">
        <is>
          <t>GURU Organic Energy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Guayaki</t>
        </is>
      </c>
      <c r="B15" s="15" t="inlineStr">
        <is>
          <t>Guayaki Yerba Mate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NOS</t>
        </is>
      </c>
      <c r="B16" s="15" t="inlineStr">
        <is>
          <t>NOS Energy Drink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Starbucks</t>
        </is>
      </c>
      <c r="B17" s="15" t="inlineStr">
        <is>
          <t>Starbucks Doubleshot Espresso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Ghost</t>
        </is>
      </c>
      <c r="B18" s="15" t="inlineStr">
        <is>
          <t>Ghost Energy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ZOA</t>
        </is>
      </c>
      <c r="B19" s="15" t="inlineStr">
        <is>
          <t>ZOA Zero Sugar Energy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Zevia</t>
        </is>
      </c>
      <c r="B20" s="15" t="inlineStr">
        <is>
          <t>Zevia Energy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Gatorade</t>
        </is>
      </c>
      <c r="B21" s="15" t="inlineStr">
        <is>
          <t>Gatorade Thirst Quencher</t>
        </is>
      </c>
      <c r="C21" s="15" t="inlineStr">
        <is>
          <t>2) Electrolyte beverage (RTD)</t>
        </is>
      </c>
      <c r="D21" s="19">
        <f>'M2 - Electrolyte RTD'!I2</f>
        <v/>
      </c>
      <c r="E21" s="20">
        <f>'M2 - Electrolyte RTD'!J2</f>
        <v/>
      </c>
      <c r="F21" s="18">
        <f>'M2 - Electrolyte RTD'!K2</f>
        <v/>
      </c>
      <c r="G21" s="17">
        <f>'M2 - Electrolyte RTD'!F2</f>
        <v/>
      </c>
      <c r="H21" s="18">
        <f>IF(AND(ISNUMBER('M2 - Electrolyte RTD'!F2),ISNUMBER('M2 - Electrolyte RTD'!K2)),'M2 - Electrolyte RTD'!F2-'M2 - Electrolyte RTD'!K2,"")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Gatorade</t>
        </is>
      </c>
      <c r="B22" s="15" t="inlineStr">
        <is>
          <t>Gatorade Zero Sugar</t>
        </is>
      </c>
      <c r="C22" s="15" t="inlineStr">
        <is>
          <t>2) Electrolyte beverage (RTD)</t>
        </is>
      </c>
      <c r="D22" s="19">
        <f>'M2 - Electrolyte RTD'!I3</f>
        <v/>
      </c>
      <c r="E22" s="20">
        <f>'M2 - Electrolyte RTD'!J3</f>
        <v/>
      </c>
      <c r="F22" s="18">
        <f>'M2 - Electrolyte RTD'!K3</f>
        <v/>
      </c>
      <c r="G22" s="17">
        <f>'M2 - Electrolyte RTD'!F3</f>
        <v/>
      </c>
      <c r="H22" s="18">
        <f>IF(AND(ISNUMBER('M2 - Electrolyte RTD'!F3),ISNUMBER('M2 - Electrolyte RTD'!K3)),'M2 - Electrolyte RTD'!F3-'M2 - Electrolyte RTD'!K3,"")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Powerade</t>
        </is>
      </c>
      <c r="B23" s="15" t="inlineStr">
        <is>
          <t>Powerade Mountain Berry Blast</t>
        </is>
      </c>
      <c r="C23" s="15" t="inlineStr">
        <is>
          <t>2) Electrolyte beverage (RTD)</t>
        </is>
      </c>
      <c r="D23" s="19">
        <f>'M2 - Electrolyte RTD'!I4</f>
        <v/>
      </c>
      <c r="E23" s="20">
        <f>'M2 - Electrolyte RTD'!J4</f>
        <v/>
      </c>
      <c r="F23" s="18">
        <f>'M2 - Electrolyte RTD'!K4</f>
        <v/>
      </c>
      <c r="G23" s="17">
        <f>'M2 - Electrolyte RTD'!F4</f>
        <v/>
      </c>
      <c r="H23" s="18">
        <f>IF(AND(ISNUMBER('M2 - Electrolyte RTD'!F4),ISNUMBER('M2 - Electrolyte RTD'!K4)),'M2 - Electrolyte RTD'!F4-'M2 - Electrolyte RTD'!K4,"")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Powerade</t>
        </is>
      </c>
      <c r="B24" s="15" t="inlineStr">
        <is>
          <t>Powerade Zero</t>
        </is>
      </c>
      <c r="C24" s="15" t="inlineStr">
        <is>
          <t>2) Electrolyte beverage (RTD)</t>
        </is>
      </c>
      <c r="D24" s="19">
        <f>'M2 - Electrolyte RTD'!I5</f>
        <v/>
      </c>
      <c r="E24" s="20">
        <f>'M2 - Electrolyte RTD'!J5</f>
        <v/>
      </c>
      <c r="F24" s="18">
        <f>'M2 - Electrolyte RTD'!K5</f>
        <v/>
      </c>
      <c r="G24" s="17">
        <f>'M2 - Electrolyte RTD'!F5</f>
        <v/>
      </c>
      <c r="H24" s="18">
        <f>IF(AND(ISNUMBER('M2 - Electrolyte RTD'!F5),ISNUMBER('M2 - Electrolyte RTD'!K5)),'M2 - Electrolyte RTD'!F5-'M2 - Electrolyte RTD'!K5,"")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BODYARMOR</t>
        </is>
      </c>
      <c r="B25" s="15" t="inlineStr">
        <is>
          <t>BODYARMOR Sports Drink</t>
        </is>
      </c>
      <c r="C25" s="15" t="inlineStr">
        <is>
          <t>2) Electrolyte beverage (RTD)</t>
        </is>
      </c>
      <c r="D25" s="19">
        <f>'M2 - Electrolyte RTD'!I6</f>
        <v/>
      </c>
      <c r="E25" s="20">
        <f>'M2 - Electrolyte RTD'!J6</f>
        <v/>
      </c>
      <c r="F25" s="18">
        <f>'M2 - Electrolyte RTD'!K6</f>
        <v/>
      </c>
      <c r="G25" s="17">
        <f>'M2 - Electrolyte RTD'!F6</f>
        <v/>
      </c>
      <c r="H25" s="18">
        <f>IF(AND(ISNUMBER('M2 - Electrolyte RTD'!F6),ISNUMBER('M2 - Electrolyte RTD'!K6)),'M2 - Electrolyte RTD'!F6-'M2 - Electrolyte RTD'!K6,"")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BODYARMOR</t>
        </is>
      </c>
      <c r="B26" s="15" t="inlineStr">
        <is>
          <t>BODYARMOR LYTE</t>
        </is>
      </c>
      <c r="C26" s="15" t="inlineStr">
        <is>
          <t>2) Electrolyte beverage (RTD)</t>
        </is>
      </c>
      <c r="D26" s="19">
        <f>'M2 - Electrolyte RTD'!I7</f>
        <v/>
      </c>
      <c r="E26" s="20">
        <f>'M2 - Electrolyte RTD'!J7</f>
        <v/>
      </c>
      <c r="F26" s="18">
        <f>'M2 - Electrolyte RTD'!K7</f>
        <v/>
      </c>
      <c r="G26" s="17">
        <f>'M2 - Electrolyte RTD'!F7</f>
        <v/>
      </c>
      <c r="H26" s="18">
        <f>IF(AND(ISNUMBER('M2 - Electrolyte RTD'!F7),ISNUMBER('M2 - Electrolyte RTD'!K7)),'M2 - Electrolyte RTD'!F7-'M2 - Electrolyte RTD'!K7,"")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Prime</t>
        </is>
      </c>
      <c r="B27" s="15" t="inlineStr">
        <is>
          <t>Prime Hydration</t>
        </is>
      </c>
      <c r="C27" s="15" t="inlineStr">
        <is>
          <t>2) Electrolyte beverage (RTD)</t>
        </is>
      </c>
      <c r="D27" s="19">
        <f>'M2 - Electrolyte RTD'!I8</f>
        <v/>
      </c>
      <c r="E27" s="20">
        <f>'M2 - Electrolyte RTD'!J8</f>
        <v/>
      </c>
      <c r="F27" s="18">
        <f>'M2 - Electrolyte RTD'!K8</f>
        <v/>
      </c>
      <c r="G27" s="17">
        <f>'M2 - Electrolyte RTD'!F8</f>
        <v/>
      </c>
      <c r="H27" s="18">
        <f>IF(AND(ISNUMBER('M2 - Electrolyte RTD'!F8),ISNUMBER('M2 - Electrolyte RTD'!K8)),'M2 - Electrolyte RTD'!F8-'M2 - Electrolyte RTD'!K8,"")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Roar Organic</t>
        </is>
      </c>
      <c r="B28" s="15" t="inlineStr">
        <is>
          <t>Roar Organic Electrolyte Infusions</t>
        </is>
      </c>
      <c r="C28" s="15" t="inlineStr">
        <is>
          <t>2) Electrolyte beverage (RTD)</t>
        </is>
      </c>
      <c r="D28" s="19">
        <f>'M2 - Electrolyte RTD'!I9</f>
        <v/>
      </c>
      <c r="E28" s="20">
        <f>'M2 - Electrolyte RTD'!J9</f>
        <v/>
      </c>
      <c r="F28" s="18">
        <f>'M2 - Electrolyte RTD'!K9</f>
        <v/>
      </c>
      <c r="G28" s="17">
        <f>'M2 - Electrolyte RTD'!F9</f>
        <v/>
      </c>
      <c r="H28" s="18">
        <f>IF(AND(ISNUMBER('M2 - Electrolyte RTD'!F9),ISNUMBER('M2 - Electrolyte RTD'!K9)),'M2 - Electrolyte RTD'!F9-'M2 - Electrolyte RTD'!K9,"")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BioSteel</t>
        </is>
      </c>
      <c r="B29" s="15" t="inlineStr">
        <is>
          <t>BioSteel Sports Drink (RTD)</t>
        </is>
      </c>
      <c r="C29" s="15" t="inlineStr">
        <is>
          <t>2) Electrolyte beverage (RTD)</t>
        </is>
      </c>
      <c r="D29" s="19">
        <f>'M2 - Electrolyte RTD'!I10</f>
        <v/>
      </c>
      <c r="E29" s="20">
        <f>'M2 - Electrolyte RTD'!J10</f>
        <v/>
      </c>
      <c r="F29" s="18">
        <f>'M2 - Electrolyte RTD'!K10</f>
        <v/>
      </c>
      <c r="G29" s="17">
        <f>'M2 - Electrolyte RTD'!F10</f>
        <v/>
      </c>
      <c r="H29" s="18">
        <f>IF(AND(ISNUMBER('M2 - Electrolyte RTD'!F10),ISNUMBER('M2 - Electrolyte RTD'!K10)),'M2 - Electrolyte RTD'!F10-'M2 - Electrolyte RTD'!K10,"")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CWENCH</t>
        </is>
      </c>
      <c r="B30" s="15" t="inlineStr">
        <is>
          <t>CWENCH Hydration</t>
        </is>
      </c>
      <c r="C30" s="15" t="inlineStr">
        <is>
          <t>2) Electrolyte beverage (RTD)</t>
        </is>
      </c>
      <c r="D30" s="19">
        <f>'M2 - Electrolyte RTD'!I11</f>
        <v/>
      </c>
      <c r="E30" s="20">
        <f>'M2 - Electrolyte RTD'!J11</f>
        <v/>
      </c>
      <c r="F30" s="18">
        <f>'M2 - Electrolyte RTD'!K11</f>
        <v/>
      </c>
      <c r="G30" s="17">
        <f>'M2 - Electrolyte RTD'!F11</f>
        <v/>
      </c>
      <c r="H30" s="18">
        <f>IF(AND(ISNUMBER('M2 - Electrolyte RTD'!F11),ISNUMBER('M2 - Electrolyte RTD'!K11)),'M2 - Electrolyte RTD'!F11-'M2 - Electrolyte RTD'!K11,"")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Pedialyte</t>
        </is>
      </c>
      <c r="B31" s="15" t="inlineStr">
        <is>
          <t>Pedialyte Electrolyte Solution</t>
        </is>
      </c>
      <c r="C31" s="15" t="inlineStr">
        <is>
          <t>2) Electrolyte beverage (RTD)</t>
        </is>
      </c>
      <c r="D31" s="19">
        <f>'M2 - Electrolyte RTD'!I12</f>
        <v/>
      </c>
      <c r="E31" s="20">
        <f>'M2 - Electrolyte RTD'!J12</f>
        <v/>
      </c>
      <c r="F31" s="18">
        <f>'M2 - Electrolyte RTD'!K12</f>
        <v/>
      </c>
      <c r="G31" s="17">
        <f>'M2 - Electrolyte RTD'!F12</f>
        <v/>
      </c>
      <c r="H31" s="18">
        <f>IF(AND(ISNUMBER('M2 - Electrolyte RTD'!F12),ISNUMBER('M2 - Electrolyte RTD'!K12)),'M2 - Electrolyte RTD'!F12-'M2 - Electrolyte RTD'!K12,"")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Gatorade</t>
        </is>
      </c>
      <c r="B32" s="15" t="inlineStr">
        <is>
          <t>Gatorlyte Rapid Rehydration</t>
        </is>
      </c>
      <c r="C32" s="15" t="inlineStr">
        <is>
          <t>2) Electrolyte beverage (RTD)</t>
        </is>
      </c>
      <c r="D32" s="19">
        <f>'M2 - Electrolyte RTD'!I13</f>
        <v/>
      </c>
      <c r="E32" s="20">
        <f>'M2 - Electrolyte RTD'!J13</f>
        <v/>
      </c>
      <c r="F32" s="18">
        <f>'M2 - Electrolyte RTD'!K13</f>
        <v/>
      </c>
      <c r="G32" s="17">
        <f>'M2 - Electrolyte RTD'!F13</f>
        <v/>
      </c>
      <c r="H32" s="18">
        <f>IF(AND(ISNUMBER('M2 - Electrolyte RTD'!F13),ISNUMBER('M2 - Electrolyte RTD'!K13)),'M2 - Electrolyte RTD'!F13-'M2 - Electrolyte RTD'!K13,"")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Vita Coco</t>
        </is>
      </c>
      <c r="B33" s="15" t="inlineStr">
        <is>
          <t>Vita Coco Pure Coconut Water</t>
        </is>
      </c>
      <c r="C33" s="15" t="inlineStr">
        <is>
          <t>2) Electrolyte beverage (RTD)</t>
        </is>
      </c>
      <c r="D33" s="19">
        <f>'M2 - Electrolyte RTD'!I14</f>
        <v/>
      </c>
      <c r="E33" s="20">
        <f>'M2 - Electrolyte RTD'!J14</f>
        <v/>
      </c>
      <c r="F33" s="18">
        <f>'M2 - Electrolyte RTD'!K14</f>
        <v/>
      </c>
      <c r="G33" s="17">
        <f>'M2 - Electrolyte RTD'!F14</f>
        <v/>
      </c>
      <c r="H33" s="18">
        <f>IF(AND(ISNUMBER('M2 - Electrolyte RTD'!F14),ISNUMBER('M2 - Electrolyte RTD'!K14)),'M2 - Electrolyte RTD'!F14-'M2 - Electrolyte RTD'!K14,"")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Electrolit</t>
        </is>
      </c>
      <c r="B34" s="15" t="inlineStr">
        <is>
          <t>Electrolit Hydration Beverage</t>
        </is>
      </c>
      <c r="C34" s="15" t="inlineStr">
        <is>
          <t>2) Electrolyte beverage (RTD)</t>
        </is>
      </c>
      <c r="D34" s="19">
        <f>'M2 - Electrolyte RTD'!I15</f>
        <v/>
      </c>
      <c r="E34" s="20">
        <f>'M2 - Electrolyte RTD'!J15</f>
        <v/>
      </c>
      <c r="F34" s="18">
        <f>'M2 - Electrolyte RTD'!K15</f>
        <v/>
      </c>
      <c r="G34" s="17">
        <f>'M2 - Electrolyte RTD'!F15</f>
        <v/>
      </c>
      <c r="H34" s="18">
        <f>IF(AND(ISNUMBER('M2 - Electrolyte RTD'!F15),ISNUMBER('M2 - Electrolyte RTD'!K15)),'M2 - Electrolyte RTD'!F15-'M2 - Electrolyte RTD'!K15,"")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Gatorade</t>
        </is>
      </c>
      <c r="B35" s="15" t="inlineStr">
        <is>
          <t>Gatorade Fit Electrolyte Beverage</t>
        </is>
      </c>
      <c r="C35" s="15" t="inlineStr">
        <is>
          <t>2) Electrolyte beverage (RTD)</t>
        </is>
      </c>
      <c r="D35" s="19">
        <f>'M2 - Electrolyte RTD'!I16</f>
        <v/>
      </c>
      <c r="E35" s="20">
        <f>'M2 - Electrolyte RTD'!J16</f>
        <v/>
      </c>
      <c r="F35" s="18">
        <f>'M2 - Electrolyte RTD'!K16</f>
        <v/>
      </c>
      <c r="G35" s="17">
        <f>'M2 - Electrolyte RTD'!F16</f>
        <v/>
      </c>
      <c r="H35" s="18">
        <f>IF(AND(ISNUMBER('M2 - Electrolyte RTD'!F16),ISNUMBER('M2 - Electrolyte RTD'!K16)),'M2 - Electrolyte RTD'!F16-'M2 - Electrolyte RTD'!K16,"")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OLIPOP</t>
        </is>
      </c>
      <c r="B36" s="15" t="inlineStr">
        <is>
          <t>OLIPOP Prebiotic Soda</t>
        </is>
      </c>
      <c r="C36" s="15" t="inlineStr">
        <is>
          <t>3) Functional beverage (still/sparkling)</t>
        </is>
      </c>
      <c r="D36" s="19">
        <f>'M3 - Functional Beverage'!I2</f>
        <v/>
      </c>
      <c r="E36" s="20">
        <f>'M3 - Functional Beverage'!J2</f>
        <v/>
      </c>
      <c r="F36" s="18">
        <f>'M3 - Functional Beverage'!K2</f>
        <v/>
      </c>
      <c r="G36" s="17">
        <f>'M3 - Functional Beverage'!F2</f>
        <v/>
      </c>
      <c r="H36" s="18">
        <f>IF(AND(ISNUMBER('M3 - Functional Beverage'!F2),ISNUMBER('M3 - Functional Beverage'!K2)),'M3 - Functional Beverage'!F2-'M3 - Functional Beverage'!K2,"")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Poppi</t>
        </is>
      </c>
      <c r="B37" s="15" t="inlineStr">
        <is>
          <t>Poppi Prebiotic Soda</t>
        </is>
      </c>
      <c r="C37" s="15" t="inlineStr">
        <is>
          <t>3) Functional beverage (still/sparkling)</t>
        </is>
      </c>
      <c r="D37" s="19">
        <f>'M3 - Functional Beverage'!I3</f>
        <v/>
      </c>
      <c r="E37" s="20">
        <f>'M3 - Functional Beverage'!J3</f>
        <v/>
      </c>
      <c r="F37" s="18">
        <f>'M3 - Functional Beverage'!K3</f>
        <v/>
      </c>
      <c r="G37" s="17">
        <f>'M3 - Functional Beverage'!F3</f>
        <v/>
      </c>
      <c r="H37" s="18">
        <f>IF(AND(ISNUMBER('M3 - Functional Beverage'!F3),ISNUMBER('M3 - Functional Beverage'!K3)),'M3 - Functional Beverage'!F3-'M3 - Functional Beverage'!K3,"")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Culture Pop</t>
        </is>
      </c>
      <c r="B38" s="15" t="inlineStr">
        <is>
          <t>Culture Pop Probiotic Soda</t>
        </is>
      </c>
      <c r="C38" s="15" t="inlineStr">
        <is>
          <t>3) Functional beverage (still/sparkling)</t>
        </is>
      </c>
      <c r="D38" s="19">
        <f>'M3 - Functional Beverage'!I4</f>
        <v/>
      </c>
      <c r="E38" s="20">
        <f>'M3 - Functional Beverage'!J4</f>
        <v/>
      </c>
      <c r="F38" s="18">
        <f>'M3 - Functional Beverage'!K4</f>
        <v/>
      </c>
      <c r="G38" s="17">
        <f>'M3 - Functional Beverage'!F4</f>
        <v/>
      </c>
      <c r="H38" s="18">
        <f>IF(AND(ISNUMBER('M3 - Functional Beverage'!F4),ISNUMBER('M3 - Functional Beverage'!K4)),'M3 - Functional Beverage'!F4-'M3 - Functional Beverage'!K4,"")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Mayawell</t>
        </is>
      </c>
      <c r="B39" s="15" t="inlineStr">
        <is>
          <t>Mayawell Prebiotic Soda</t>
        </is>
      </c>
      <c r="C39" s="15" t="inlineStr">
        <is>
          <t>3) Functional beverage (still/sparkling)</t>
        </is>
      </c>
      <c r="D39" s="19">
        <f>'M3 - Functional Beverage'!I5</f>
        <v/>
      </c>
      <c r="E39" s="20">
        <f>'M3 - Functional Beverage'!J5</f>
        <v/>
      </c>
      <c r="F39" s="18">
        <f>'M3 - Functional Beverage'!K5</f>
        <v/>
      </c>
      <c r="G39" s="17">
        <f>'M3 - Functional Beverage'!F5</f>
        <v/>
      </c>
      <c r="H39" s="18">
        <f>IF(AND(ISNUMBER('M3 - Functional Beverage'!F5),ISNUMBER('M3 - Functional Beverage'!K5)),'M3 - Functional Beverage'!F5-'M3 - Functional Beverage'!K5,"")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De La Calle</t>
        </is>
      </c>
      <c r="B40" s="15" t="inlineStr">
        <is>
          <t>De La Calle Tepache</t>
        </is>
      </c>
      <c r="C40" s="15" t="inlineStr">
        <is>
          <t>3) Functional beverage (still/sparkling)</t>
        </is>
      </c>
      <c r="D40" s="19">
        <f>'M3 - Functional Beverage'!I6</f>
        <v/>
      </c>
      <c r="E40" s="20">
        <f>'M3 - Functional Beverage'!J6</f>
        <v/>
      </c>
      <c r="F40" s="18">
        <f>'M3 - Functional Beverage'!K6</f>
        <v/>
      </c>
      <c r="G40" s="17">
        <f>'M3 - Functional Beverage'!F6</f>
        <v/>
      </c>
      <c r="H40" s="18">
        <f>IF(AND(ISNUMBER('M3 - Functional Beverage'!F6),ISNUMBER('M3 - Functional Beverage'!K6)),'M3 - Functional Beverage'!F6-'M3 - Functional Beverage'!K6,"")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GT's</t>
        </is>
      </c>
      <c r="B41" s="15" t="inlineStr">
        <is>
          <t>GT's Synergy Raw Kombucha</t>
        </is>
      </c>
      <c r="C41" s="15" t="inlineStr">
        <is>
          <t>3) Functional beverage (still/sparkling)</t>
        </is>
      </c>
      <c r="D41" s="19">
        <f>'M3 - Functional Beverage'!I7</f>
        <v/>
      </c>
      <c r="E41" s="20">
        <f>'M3 - Functional Beverage'!J7</f>
        <v/>
      </c>
      <c r="F41" s="18">
        <f>'M3 - Functional Beverage'!K7</f>
        <v/>
      </c>
      <c r="G41" s="17">
        <f>'M3 - Functional Beverage'!F7</f>
        <v/>
      </c>
      <c r="H41" s="18">
        <f>IF(AND(ISNUMBER('M3 - Functional Beverage'!F7),ISNUMBER('M3 - Functional Beverage'!K7)),'M3 - Functional Beverage'!F7-'M3 - Functional Beverage'!K7,"")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Health-Ade</t>
        </is>
      </c>
      <c r="B42" s="15" t="inlineStr">
        <is>
          <t>Health-Ade Kombucha</t>
        </is>
      </c>
      <c r="C42" s="15" t="inlineStr">
        <is>
          <t>3) Functional beverage (still/sparkling)</t>
        </is>
      </c>
      <c r="D42" s="19">
        <f>'M3 - Functional Beverage'!I8</f>
        <v/>
      </c>
      <c r="E42" s="20">
        <f>'M3 - Functional Beverage'!J8</f>
        <v/>
      </c>
      <c r="F42" s="18">
        <f>'M3 - Functional Beverage'!K8</f>
        <v/>
      </c>
      <c r="G42" s="17">
        <f>'M3 - Functional Beverage'!F8</f>
        <v/>
      </c>
      <c r="H42" s="18">
        <f>IF(AND(ISNUMBER('M3 - Functional Beverage'!F8),ISNUMBER('M3 - Functional Beverage'!K8)),'M3 - Functional Beverage'!F8-'M3 - Functional Beverage'!K8,"")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Remedy</t>
        </is>
      </c>
      <c r="B43" s="15" t="inlineStr">
        <is>
          <t>Remedy Kombucha</t>
        </is>
      </c>
      <c r="C43" s="15" t="inlineStr">
        <is>
          <t>3) Functional beverage (still/sparkling)</t>
        </is>
      </c>
      <c r="D43" s="19">
        <f>'M3 - Functional Beverage'!I9</f>
        <v/>
      </c>
      <c r="E43" s="20">
        <f>'M3 - Functional Beverage'!J9</f>
        <v/>
      </c>
      <c r="F43" s="18">
        <f>'M3 - Functional Beverage'!K9</f>
        <v/>
      </c>
      <c r="G43" s="17">
        <f>'M3 - Functional Beverage'!F9</f>
        <v/>
      </c>
      <c r="H43" s="18">
        <f>IF(AND(ISNUMBER('M3 - Functional Beverage'!F9),ISNUMBER('M3 - Functional Beverage'!K9)),'M3 - Functional Beverage'!F9-'M3 - Functional Beverage'!K9,"")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Recess</t>
        </is>
      </c>
      <c r="B44" s="15" t="inlineStr">
        <is>
          <t>Recess Mood</t>
        </is>
      </c>
      <c r="C44" s="15" t="inlineStr">
        <is>
          <t>3) Functional beverage (still/sparkling)</t>
        </is>
      </c>
      <c r="D44" s="19">
        <f>'M3 - Functional Beverage'!I10</f>
        <v/>
      </c>
      <c r="E44" s="20">
        <f>'M3 - Functional Beverage'!J10</f>
        <v/>
      </c>
      <c r="F44" s="18">
        <f>'M3 - Functional Beverage'!K10</f>
        <v/>
      </c>
      <c r="G44" s="17">
        <f>'M3 - Functional Beverage'!F10</f>
        <v/>
      </c>
      <c r="H44" s="18">
        <f>IF(AND(ISNUMBER('M3 - Functional Beverage'!F10),ISNUMBER('M3 - Functional Beverage'!K10)),'M3 - Functional Beverage'!F10-'M3 - Functional Beverage'!K10,"")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Protein2o</t>
        </is>
      </c>
      <c r="B45" s="15" t="inlineStr">
        <is>
          <t>Protein2o Protein Infused Water</t>
        </is>
      </c>
      <c r="C45" s="15" t="inlineStr">
        <is>
          <t>3) Functional beverage (still/sparkling)</t>
        </is>
      </c>
      <c r="D45" s="19">
        <f>'M3 - Functional Beverage'!I11</f>
        <v/>
      </c>
      <c r="E45" s="20">
        <f>'M3 - Functional Beverage'!J11</f>
        <v/>
      </c>
      <c r="F45" s="18">
        <f>'M3 - Functional Beverage'!K11</f>
        <v/>
      </c>
      <c r="G45" s="17">
        <f>'M3 - Functional Beverage'!F11</f>
        <v/>
      </c>
      <c r="H45" s="18">
        <f>IF(AND(ISNUMBER('M3 - Functional Beverage'!F11),ISNUMBER('M3 - Functional Beverage'!K11)),'M3 - Functional Beverage'!F11-'M3 - Functional Beverage'!K11,"")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vitaminwater</t>
        </is>
      </c>
      <c r="B46" s="15" t="inlineStr">
        <is>
          <t>vitaminwater (glaceau)</t>
        </is>
      </c>
      <c r="C46" s="15" t="inlineStr">
        <is>
          <t>3) Functional beverage (still/sparkling)</t>
        </is>
      </c>
      <c r="D46" s="19">
        <f>'M3 - Functional Beverage'!I12</f>
        <v/>
      </c>
      <c r="E46" s="20">
        <f>'M3 - Functional Beverage'!J12</f>
        <v/>
      </c>
      <c r="F46" s="18">
        <f>'M3 - Functional Beverage'!K12</f>
        <v/>
      </c>
      <c r="G46" s="17">
        <f>'M3 - Functional Beverage'!F12</f>
        <v/>
      </c>
      <c r="H46" s="18">
        <f>IF(AND(ISNUMBER('M3 - Functional Beverage'!F12),ISNUMBER('M3 - Functional Beverage'!K12)),'M3 - Functional Beverage'!F12-'M3 - Functional Beverage'!K12,"")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vitaminwater</t>
        </is>
      </c>
      <c r="B47" s="15" t="inlineStr">
        <is>
          <t>vitaminwater zero sugar</t>
        </is>
      </c>
      <c r="C47" s="15" t="inlineStr">
        <is>
          <t>3) Functional beverage (still/sparkling)</t>
        </is>
      </c>
      <c r="D47" s="19">
        <f>'M3 - Functional Beverage'!I13</f>
        <v/>
      </c>
      <c r="E47" s="20">
        <f>'M3 - Functional Beverage'!J13</f>
        <v/>
      </c>
      <c r="F47" s="18">
        <f>'M3 - Functional Beverage'!K13</f>
        <v/>
      </c>
      <c r="G47" s="17">
        <f>'M3 - Functional Beverage'!F13</f>
        <v/>
      </c>
      <c r="H47" s="18">
        <f>IF(AND(ISNUMBER('M3 - Functional Beverage'!F13),ISNUMBER('M3 - Functional Beverage'!K13)),'M3 - Functional Beverage'!F13-'M3 - Functional Beverage'!K13,"")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Bai</t>
        </is>
      </c>
      <c r="B48" s="15" t="inlineStr">
        <is>
          <t>Bai Antioxidant Infusion</t>
        </is>
      </c>
      <c r="C48" s="15" t="inlineStr">
        <is>
          <t>3) Functional beverage (still/sparkling)</t>
        </is>
      </c>
      <c r="D48" s="19">
        <f>'M3 - Functional Beverage'!I14</f>
        <v/>
      </c>
      <c r="E48" s="20">
        <f>'M3 - Functional Beverage'!J14</f>
        <v/>
      </c>
      <c r="F48" s="18">
        <f>'M3 - Functional Beverage'!K14</f>
        <v/>
      </c>
      <c r="G48" s="17">
        <f>'M3 - Functional Beverage'!F14</f>
        <v/>
      </c>
      <c r="H48" s="18">
        <f>IF(AND(ISNUMBER('M3 - Functional Beverage'!F14),ISNUMBER('M3 - Functional Beverage'!K14)),'M3 - Functional Beverage'!F14-'M3 - Functional Beverage'!K14,"")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Hint</t>
        </is>
      </c>
      <c r="B49" s="15" t="inlineStr">
        <is>
          <t>Hint Water (fruit-infused)</t>
        </is>
      </c>
      <c r="C49" s="15" t="inlineStr">
        <is>
          <t>3) Functional beverage (still/sparkling)</t>
        </is>
      </c>
      <c r="D49" s="19">
        <f>'M3 - Functional Beverage'!I15</f>
        <v/>
      </c>
      <c r="E49" s="20">
        <f>'M3 - Functional Beverage'!J15</f>
        <v/>
      </c>
      <c r="F49" s="18">
        <f>'M3 - Functional Beverage'!K15</f>
        <v/>
      </c>
      <c r="G49" s="17">
        <f>'M3 - Functional Beverage'!F15</f>
        <v/>
      </c>
      <c r="H49" s="18">
        <f>IF(AND(ISNUMBER('M3 - Functional Beverage'!F15),ISNUMBER('M3 - Functional Beverage'!K15)),'M3 - Functional Beverage'!F15-'M3 - Functional Beverage'!K15,"")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wildwonder</t>
        </is>
      </c>
      <c r="B50" s="15" t="inlineStr">
        <is>
          <t>wildwonder Sparkling Prebiotic+Probiotic</t>
        </is>
      </c>
      <c r="C50" s="15" t="inlineStr">
        <is>
          <t>3) Functional beverage (still/sparkling)</t>
        </is>
      </c>
      <c r="D50" s="19">
        <f>'M3 - Functional Beverage'!I16</f>
        <v/>
      </c>
      <c r="E50" s="20">
        <f>'M3 - Functional Beverage'!J16</f>
        <v/>
      </c>
      <c r="F50" s="18">
        <f>'M3 - Functional Beverage'!K16</f>
        <v/>
      </c>
      <c r="G50" s="17">
        <f>'M3 - Functional Beverage'!F16</f>
        <v/>
      </c>
      <c r="H50" s="18">
        <f>IF(AND(ISNUMBER('M3 - Functional Beverage'!F16),ISNUMBER('M3 - Functional Beverage'!K16)),'M3 - Functional Beverage'!F16-'M3 - Functional Beverage'!K16,"")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Lemon Perfect</t>
        </is>
      </c>
      <c r="B51" s="15" t="inlineStr">
        <is>
          <t>Lemon Perfect Cold-Pressed Lemon Water</t>
        </is>
      </c>
      <c r="C51" s="15" t="inlineStr">
        <is>
          <t>3) Functional beverage (still/sparkling)</t>
        </is>
      </c>
      <c r="D51" s="19">
        <f>'M3 - Functional Beverage'!I17</f>
        <v/>
      </c>
      <c r="E51" s="20">
        <f>'M3 - Functional Beverage'!J17</f>
        <v/>
      </c>
      <c r="F51" s="18">
        <f>'M3 - Functional Beverage'!K17</f>
        <v/>
      </c>
      <c r="G51" s="17">
        <f>'M3 - Functional Beverage'!F17</f>
        <v/>
      </c>
      <c r="H51" s="18">
        <f>IF(AND(ISNUMBER('M3 - Functional Beverage'!F17),ISNUMBER('M3 - Functional Beverage'!K17)),'M3 - Functional Beverage'!F17-'M3 - Functional Beverage'!K17,"")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Spindrift</t>
        </is>
      </c>
      <c r="B52" s="15" t="inlineStr">
        <is>
          <t>Spindrift Sparkling Water</t>
        </is>
      </c>
      <c r="C52" s="15" t="inlineStr">
        <is>
          <t>5) Sparkling water &amp; soda</t>
        </is>
      </c>
      <c r="D52" s="19">
        <f>'M5 - Sparkling Water &amp; Soda'!I2</f>
        <v/>
      </c>
      <c r="E52" s="20">
        <f>'M5 - Sparkling Water &amp; Soda'!J2</f>
        <v/>
      </c>
      <c r="F52" s="18">
        <f>'M5 - Sparkling Water &amp; Soda'!K2</f>
        <v/>
      </c>
      <c r="G52" s="17">
        <f>'M5 - Sparkling Water &amp; Soda'!F2</f>
        <v/>
      </c>
      <c r="H52" s="18">
        <f>IF(AND(ISNUMBER('M5 - Sparkling Water &amp; Soda'!F2),ISNUMBER('M5 - Sparkling Water &amp; Soda'!K2)),'M5 - Sparkling Water &amp; Soda'!F2-'M5 - Sparkling Water &amp; Soda'!K2,"")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LaCroix</t>
        </is>
      </c>
      <c r="B53" s="15" t="inlineStr">
        <is>
          <t>LaCroix Sparkling Water</t>
        </is>
      </c>
      <c r="C53" s="15" t="inlineStr">
        <is>
          <t>5) Sparkling water &amp; soda</t>
        </is>
      </c>
      <c r="D53" s="19">
        <f>'M5 - Sparkling Water &amp; Soda'!I3</f>
        <v/>
      </c>
      <c r="E53" s="20">
        <f>'M5 - Sparkling Water &amp; Soda'!J3</f>
        <v/>
      </c>
      <c r="F53" s="18">
        <f>'M5 - Sparkling Water &amp; Soda'!K3</f>
        <v/>
      </c>
      <c r="G53" s="17">
        <f>'M5 - Sparkling Water &amp; Soda'!F3</f>
        <v/>
      </c>
      <c r="H53" s="18">
        <f>IF(AND(ISNUMBER('M5 - Sparkling Water &amp; Soda'!F3),ISNUMBER('M5 - Sparkling Water &amp; Soda'!K3)),'M5 - Sparkling Water &amp; Soda'!F3-'M5 - Sparkling Water &amp; Soda'!K3,"")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bubly</t>
        </is>
      </c>
      <c r="B54" s="15" t="inlineStr">
        <is>
          <t>bubly Sparkling Water</t>
        </is>
      </c>
      <c r="C54" s="15" t="inlineStr">
        <is>
          <t>5) Sparkling water &amp; soda</t>
        </is>
      </c>
      <c r="D54" s="19">
        <f>'M5 - Sparkling Water &amp; Soda'!I4</f>
        <v/>
      </c>
      <c r="E54" s="20">
        <f>'M5 - Sparkling Water &amp; Soda'!J4</f>
        <v/>
      </c>
      <c r="F54" s="18">
        <f>'M5 - Sparkling Water &amp; Soda'!K4</f>
        <v/>
      </c>
      <c r="G54" s="17">
        <f>'M5 - Sparkling Water &amp; Soda'!F4</f>
        <v/>
      </c>
      <c r="H54" s="18">
        <f>IF(AND(ISNUMBER('M5 - Sparkling Water &amp; Soda'!F4),ISNUMBER('M5 - Sparkling Water &amp; Soda'!K4)),'M5 - Sparkling Water &amp; Soda'!F4-'M5 - Sparkling Water &amp; Soda'!K4,"")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Waterloo</t>
        </is>
      </c>
      <c r="B55" s="15" t="inlineStr">
        <is>
          <t>Waterloo Sparkling Water</t>
        </is>
      </c>
      <c r="C55" s="15" t="inlineStr">
        <is>
          <t>5) Sparkling water &amp; soda</t>
        </is>
      </c>
      <c r="D55" s="19">
        <f>'M5 - Sparkling Water &amp; Soda'!I5</f>
        <v/>
      </c>
      <c r="E55" s="20">
        <f>'M5 - Sparkling Water &amp; Soda'!J5</f>
        <v/>
      </c>
      <c r="F55" s="18">
        <f>'M5 - Sparkling Water &amp; Soda'!K5</f>
        <v/>
      </c>
      <c r="G55" s="17">
        <f>'M5 - Sparkling Water &amp; Soda'!F5</f>
        <v/>
      </c>
      <c r="H55" s="18">
        <f>IF(AND(ISNUMBER('M5 - Sparkling Water &amp; Soda'!F5),ISNUMBER('M5 - Sparkling Water &amp; Soda'!K5)),'M5 - Sparkling Water &amp; Soda'!F5-'M5 - Sparkling Water &amp; Soda'!K5,"")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Perrier</t>
        </is>
      </c>
      <c r="B56" s="15" t="inlineStr">
        <is>
          <t>Perrier Carbonated Mineral Water</t>
        </is>
      </c>
      <c r="C56" s="15" t="inlineStr">
        <is>
          <t>5) Sparkling water &amp; soda</t>
        </is>
      </c>
      <c r="D56" s="19">
        <f>'M5 - Sparkling Water &amp; Soda'!I6</f>
        <v/>
      </c>
      <c r="E56" s="20">
        <f>'M5 - Sparkling Water &amp; Soda'!J6</f>
        <v/>
      </c>
      <c r="F56" s="18">
        <f>'M5 - Sparkling Water &amp; Soda'!K6</f>
        <v/>
      </c>
      <c r="G56" s="17">
        <f>'M5 - Sparkling Water &amp; Soda'!F6</f>
        <v/>
      </c>
      <c r="H56" s="18">
        <f>IF(AND(ISNUMBER('M5 - Sparkling Water &amp; Soda'!F6),ISNUMBER('M5 - Sparkling Water &amp; Soda'!K6)),'M5 - Sparkling Water &amp; Soda'!F6-'M5 - Sparkling Water &amp; Soda'!K6,"")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San Pellegrino</t>
        </is>
      </c>
      <c r="B57" s="15" t="inlineStr">
        <is>
          <t>S.Pellegrino Sparkling Natural Mineral Water</t>
        </is>
      </c>
      <c r="C57" s="15" t="inlineStr">
        <is>
          <t>5) Sparkling water &amp; soda</t>
        </is>
      </c>
      <c r="D57" s="19">
        <f>'M5 - Sparkling Water &amp; Soda'!I7</f>
        <v/>
      </c>
      <c r="E57" s="20">
        <f>'M5 - Sparkling Water &amp; Soda'!J7</f>
        <v/>
      </c>
      <c r="F57" s="18">
        <f>'M5 - Sparkling Water &amp; Soda'!K7</f>
        <v/>
      </c>
      <c r="G57" s="17">
        <f>'M5 - Sparkling Water &amp; Soda'!F7</f>
        <v/>
      </c>
      <c r="H57" s="18">
        <f>IF(AND(ISNUMBER('M5 - Sparkling Water &amp; Soda'!F7),ISNUMBER('M5 - Sparkling Water &amp; Soda'!K7)),'M5 - Sparkling Water &amp; Soda'!F7-'M5 - Sparkling Water &amp; Soda'!K7,"")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San Pellegrino</t>
        </is>
      </c>
      <c r="B58" s="15" t="inlineStr">
        <is>
          <t>Sanpellegrino Aranciata (Italian Sparkling Drink)</t>
        </is>
      </c>
      <c r="C58" s="15" t="inlineStr">
        <is>
          <t>5) Sparkling water &amp; soda</t>
        </is>
      </c>
      <c r="D58" s="19">
        <f>'M5 - Sparkling Water &amp; Soda'!I8</f>
        <v/>
      </c>
      <c r="E58" s="20">
        <f>'M5 - Sparkling Water &amp; Soda'!J8</f>
        <v/>
      </c>
      <c r="F58" s="18">
        <f>'M5 - Sparkling Water &amp; Soda'!K8</f>
        <v/>
      </c>
      <c r="G58" s="17">
        <f>'M5 - Sparkling Water &amp; Soda'!F8</f>
        <v/>
      </c>
      <c r="H58" s="18">
        <f>IF(AND(ISNUMBER('M5 - Sparkling Water &amp; Soda'!F8),ISNUMBER('M5 - Sparkling Water &amp; Soda'!K8)),'M5 - Sparkling Water &amp; Soda'!F8-'M5 - Sparkling Water &amp; Soda'!K8,"")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Liquid Death</t>
        </is>
      </c>
      <c r="B59" s="15" t="inlineStr">
        <is>
          <t>Liquid Death Sparkling Water</t>
        </is>
      </c>
      <c r="C59" s="15" t="inlineStr">
        <is>
          <t>5) Sparkling water &amp; soda</t>
        </is>
      </c>
      <c r="D59" s="19">
        <f>'M5 - Sparkling Water &amp; Soda'!I9</f>
        <v/>
      </c>
      <c r="E59" s="20">
        <f>'M5 - Sparkling Water &amp; Soda'!J9</f>
        <v/>
      </c>
      <c r="F59" s="18">
        <f>'M5 - Sparkling Water &amp; Soda'!K9</f>
        <v/>
      </c>
      <c r="G59" s="17">
        <f>'M5 - Sparkling Water &amp; Soda'!F9</f>
        <v/>
      </c>
      <c r="H59" s="18">
        <f>IF(AND(ISNUMBER('M5 - Sparkling Water &amp; Soda'!F9),ISNUMBER('M5 - Sparkling Water &amp; Soda'!K9)),'M5 - Sparkling Water &amp; Soda'!F9-'M5 - Sparkling Water &amp; Soda'!K9,"")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Liquid Death</t>
        </is>
      </c>
      <c r="B60" s="15" t="inlineStr">
        <is>
          <t>Liquid Death Mountain Water (Still)</t>
        </is>
      </c>
      <c r="C60" s="15" t="inlineStr">
        <is>
          <t>5) Sparkling water &amp; soda</t>
        </is>
      </c>
      <c r="D60" s="19">
        <f>'M5 - Sparkling Water &amp; Soda'!I10</f>
        <v/>
      </c>
      <c r="E60" s="20">
        <f>'M5 - Sparkling Water &amp; Soda'!J10</f>
        <v/>
      </c>
      <c r="F60" s="18">
        <f>'M5 - Sparkling Water &amp; Soda'!K10</f>
        <v/>
      </c>
      <c r="G60" s="17">
        <f>'M5 - Sparkling Water &amp; Soda'!F10</f>
        <v/>
      </c>
      <c r="H60" s="18">
        <f>IF(AND(ISNUMBER('M5 - Sparkling Water &amp; Soda'!F10),ISNUMBER('M5 - Sparkling Water &amp; Soda'!K10)),'M5 - Sparkling Water &amp; Soda'!F10-'M5 - Sparkling Water &amp; Soda'!K10,"")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Topo Chico</t>
        </is>
      </c>
      <c r="B61" s="15" t="inlineStr">
        <is>
          <t>Topo Chico Mineral Water</t>
        </is>
      </c>
      <c r="C61" s="15" t="inlineStr">
        <is>
          <t>5) Sparkling water &amp; soda</t>
        </is>
      </c>
      <c r="D61" s="19">
        <f>'M5 - Sparkling Water &amp; Soda'!I11</f>
        <v/>
      </c>
      <c r="E61" s="20">
        <f>'M5 - Sparkling Water &amp; Soda'!J11</f>
        <v/>
      </c>
      <c r="F61" s="18">
        <f>'M5 - Sparkling Water &amp; Soda'!K11</f>
        <v/>
      </c>
      <c r="G61" s="17">
        <f>'M5 - Sparkling Water &amp; Soda'!F11</f>
        <v/>
      </c>
      <c r="H61" s="18">
        <f>IF(AND(ISNUMBER('M5 - Sparkling Water &amp; Soda'!F11),ISNUMBER('M5 - Sparkling Water &amp; Soda'!K11)),'M5 - Sparkling Water &amp; Soda'!F11-'M5 - Sparkling Water &amp; Soda'!K11,"")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Polar</t>
        </is>
      </c>
      <c r="B62" s="15" t="inlineStr">
        <is>
          <t>Polar Seltzer</t>
        </is>
      </c>
      <c r="C62" s="15" t="inlineStr">
        <is>
          <t>5) Sparkling water &amp; soda</t>
        </is>
      </c>
      <c r="D62" s="19">
        <f>'M5 - Sparkling Water &amp; Soda'!I12</f>
        <v/>
      </c>
      <c r="E62" s="20">
        <f>'M5 - Sparkling Water &amp; Soda'!J12</f>
        <v/>
      </c>
      <c r="F62" s="18">
        <f>'M5 - Sparkling Water &amp; Soda'!K12</f>
        <v/>
      </c>
      <c r="G62" s="17">
        <f>'M5 - Sparkling Water &amp; Soda'!F12</f>
        <v/>
      </c>
      <c r="H62" s="18">
        <f>IF(AND(ISNUMBER('M5 - Sparkling Water &amp; Soda'!F12),ISNUMBER('M5 - Sparkling Water &amp; Soda'!K12)),'M5 - Sparkling Water &amp; Soda'!F12-'M5 - Sparkling Water &amp; Soda'!K12,"")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AHA</t>
        </is>
      </c>
      <c r="B63" s="15" t="inlineStr">
        <is>
          <t>AHA Sparkling Water</t>
        </is>
      </c>
      <c r="C63" s="15" t="inlineStr">
        <is>
          <t>5) Sparkling water &amp; soda</t>
        </is>
      </c>
      <c r="D63" s="19">
        <f>'M5 - Sparkling Water &amp; Soda'!I13</f>
        <v/>
      </c>
      <c r="E63" s="20">
        <f>'M5 - Sparkling Water &amp; Soda'!J13</f>
        <v/>
      </c>
      <c r="F63" s="18">
        <f>'M5 - Sparkling Water &amp; Soda'!K13</f>
        <v/>
      </c>
      <c r="G63" s="17">
        <f>'M5 - Sparkling Water &amp; Soda'!F13</f>
        <v/>
      </c>
      <c r="H63" s="18">
        <f>IF(AND(ISNUMBER('M5 - Sparkling Water &amp; Soda'!F13),ISNUMBER('M5 - Sparkling Water &amp; Soda'!K13)),'M5 - Sparkling Water &amp; Soda'!F13-'M5 - Sparkling Water &amp; Soda'!K13,"")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Montellier</t>
        </is>
      </c>
      <c r="B64" s="15" t="inlineStr">
        <is>
          <t>Montellier Carbonated Natural Spring Water</t>
        </is>
      </c>
      <c r="C64" s="15" t="inlineStr">
        <is>
          <t>5) Sparkling water &amp; soda</t>
        </is>
      </c>
      <c r="D64" s="19">
        <f>'M5 - Sparkling Water &amp; Soda'!I14</f>
        <v/>
      </c>
      <c r="E64" s="20">
        <f>'M5 - Sparkling Water &amp; Soda'!J14</f>
        <v/>
      </c>
      <c r="F64" s="18">
        <f>'M5 - Sparkling Water &amp; Soda'!K14</f>
        <v/>
      </c>
      <c r="G64" s="17">
        <f>'M5 - Sparkling Water &amp; Soda'!F14</f>
        <v/>
      </c>
      <c r="H64" s="18">
        <f>IF(AND(ISNUMBER('M5 - Sparkling Water &amp; Soda'!F14),ISNUMBER('M5 - Sparkling Water &amp; Soda'!K14)),'M5 - Sparkling Water &amp; Soda'!F14-'M5 - Sparkling Water &amp; Soda'!K14,"")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Eska</t>
        </is>
      </c>
      <c r="B65" s="15" t="inlineStr">
        <is>
          <t>Eska Sparkling Spring Water</t>
        </is>
      </c>
      <c r="C65" s="15" t="inlineStr">
        <is>
          <t>5) Sparkling water &amp; soda</t>
        </is>
      </c>
      <c r="D65" s="19">
        <f>'M5 - Sparkling Water &amp; Soda'!I15</f>
        <v/>
      </c>
      <c r="E65" s="20">
        <f>'M5 - Sparkling Water &amp; Soda'!J15</f>
        <v/>
      </c>
      <c r="F65" s="18">
        <f>'M5 - Sparkling Water &amp; Soda'!K15</f>
        <v/>
      </c>
      <c r="G65" s="17">
        <f>'M5 - Sparkling Water &amp; Soda'!F15</f>
        <v/>
      </c>
      <c r="H65" s="18">
        <f>IF(AND(ISNUMBER('M5 - Sparkling Water &amp; Soda'!F15),ISNUMBER('M5 - Sparkling Water &amp; Soda'!K15)),'M5 - Sparkling Water &amp; Soda'!F15-'M5 - Sparkling Water &amp; Soda'!K15,"")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Coca-Cola</t>
        </is>
      </c>
      <c r="B66" s="15" t="inlineStr">
        <is>
          <t>Coca-Cola Classic</t>
        </is>
      </c>
      <c r="C66" s="15" t="inlineStr">
        <is>
          <t>5) Sparkling water &amp; soda</t>
        </is>
      </c>
      <c r="D66" s="19">
        <f>'M5 - Sparkling Water &amp; Soda'!I16</f>
        <v/>
      </c>
      <c r="E66" s="20">
        <f>'M5 - Sparkling Water &amp; Soda'!J16</f>
        <v/>
      </c>
      <c r="F66" s="18">
        <f>'M5 - Sparkling Water &amp; Soda'!K16</f>
        <v/>
      </c>
      <c r="G66" s="17">
        <f>'M5 - Sparkling Water &amp; Soda'!F16</f>
        <v/>
      </c>
      <c r="H66" s="18">
        <f>IF(AND(ISNUMBER('M5 - Sparkling Water &amp; Soda'!F16),ISNUMBER('M5 - Sparkling Water &amp; Soda'!K16)),'M5 - Sparkling Water &amp; Soda'!F16-'M5 - Sparkling Water &amp; Soda'!K16,"")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Zevia</t>
        </is>
      </c>
      <c r="B67" s="15" t="inlineStr">
        <is>
          <t>Zevia Zero Calorie Soda</t>
        </is>
      </c>
      <c r="C67" s="15" t="inlineStr">
        <is>
          <t>5) Sparkling water &amp; soda</t>
        </is>
      </c>
      <c r="D67" s="19">
        <f>'M5 - Sparkling Water &amp; Soda'!I17</f>
        <v/>
      </c>
      <c r="E67" s="20">
        <f>'M5 - Sparkling Water &amp; Soda'!J17</f>
        <v/>
      </c>
      <c r="F67" s="18">
        <f>'M5 - Sparkling Water &amp; Soda'!K17</f>
        <v/>
      </c>
      <c r="G67" s="17">
        <f>'M5 - Sparkling Water &amp; Soda'!F17</f>
        <v/>
      </c>
      <c r="H67" s="18">
        <f>IF(AND(ISNUMBER('M5 - Sparkling Water &amp; Soda'!F17),ISNUMBER('M5 - Sparkling Water &amp; Soda'!K17)),'M5 - Sparkling Water &amp; Soda'!F17-'M5 - Sparkling Water &amp; Soda'!K17,"")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Nixie</t>
        </is>
      </c>
      <c r="B68" s="15" t="inlineStr">
        <is>
          <t>Nixie Organic Sparkling Water</t>
        </is>
      </c>
      <c r="C68" s="15" t="inlineStr">
        <is>
          <t>5) Sparkling water &amp; soda</t>
        </is>
      </c>
      <c r="D68" s="19">
        <f>'M5 - Sparkling Water &amp; Soda'!I18</f>
        <v/>
      </c>
      <c r="E68" s="20">
        <f>'M5 - Sparkling Water &amp; Soda'!J18</f>
        <v/>
      </c>
      <c r="F68" s="18">
        <f>'M5 - Sparkling Water &amp; Soda'!K18</f>
        <v/>
      </c>
      <c r="G68" s="17">
        <f>'M5 - Sparkling Water &amp; Soda'!F18</f>
        <v/>
      </c>
      <c r="H68" s="18">
        <f>IF(AND(ISNUMBER('M5 - Sparkling Water &amp; Soda'!F18),ISNUMBER('M5 - Sparkling Water &amp; Soda'!K18)),'M5 - Sparkling Water &amp; Soda'!F18-'M5 - Sparkling Water &amp; Soda'!K18,"")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Sparkling Ice</t>
        </is>
      </c>
      <c r="B69" s="15" t="inlineStr">
        <is>
          <t>Sparkling Ice (+ Antioxidants &amp; Vitamins)</t>
        </is>
      </c>
      <c r="C69" s="15" t="inlineStr">
        <is>
          <t>1) Sparkling electrolyte / functional sparkling</t>
        </is>
      </c>
      <c r="D69" s="19">
        <f>'M1 - Sparkling Electrolyte'!I2</f>
        <v/>
      </c>
      <c r="E69" s="20">
        <f>'M1 - Sparkling Electrolyte'!J2</f>
        <v/>
      </c>
      <c r="F69" s="18">
        <f>'M1 - Sparkling Electrolyte'!K2</f>
        <v/>
      </c>
      <c r="G69" s="17">
        <f>'M1 - Sparkling Electrolyte'!F2</f>
        <v/>
      </c>
      <c r="H69" s="18">
        <f>IF(AND(ISNUMBER('M1 - Sparkling Electrolyte'!F2),ISNUMBER('M1 - Sparkling Electrolyte'!K2)),'M1 - Sparkling Electrolyte'!F2-'M1 - Sparkling Electrolyte'!K2,"")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BUBBL'R</t>
        </is>
      </c>
      <c r="B70" s="15" t="inlineStr">
        <is>
          <t>BUBBL'R Antioxidant Sparkling Water</t>
        </is>
      </c>
      <c r="C70" s="15" t="inlineStr">
        <is>
          <t>1) Sparkling electrolyte / functional sparkling</t>
        </is>
      </c>
      <c r="D70" s="19">
        <f>'M1 - Sparkling Electrolyte'!I3</f>
        <v/>
      </c>
      <c r="E70" s="20">
        <f>'M1 - Sparkling Electrolyte'!J3</f>
        <v/>
      </c>
      <c r="F70" s="18">
        <f>'M1 - Sparkling Electrolyte'!K3</f>
        <v/>
      </c>
      <c r="G70" s="17">
        <f>'M1 - Sparkling Electrolyte'!F3</f>
        <v/>
      </c>
      <c r="H70" s="18">
        <f>IF(AND(ISNUMBER('M1 - Sparkling Electrolyte'!F3),ISNUMBER('M1 - Sparkling Electrolyte'!K3)),'M1 - Sparkling Electrolyte'!F3-'M1 - Sparkling Electrolyte'!K3,"")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Phocus</t>
        </is>
      </c>
      <c r="B71" s="15" t="inlineStr">
        <is>
          <t>Phocus Caffeinated Sparkling Water</t>
        </is>
      </c>
      <c r="C71" s="15" t="inlineStr">
        <is>
          <t>1) Sparkling electrolyte / functional sparkling</t>
        </is>
      </c>
      <c r="D71" s="19">
        <f>'M1 - Sparkling Electrolyte'!I4</f>
        <v/>
      </c>
      <c r="E71" s="20">
        <f>'M1 - Sparkling Electrolyte'!J4</f>
        <v/>
      </c>
      <c r="F71" s="18">
        <f>'M1 - Sparkling Electrolyte'!K4</f>
        <v/>
      </c>
      <c r="G71" s="17">
        <f>'M1 - Sparkling Electrolyte'!F4</f>
        <v/>
      </c>
      <c r="H71" s="18">
        <f>IF(AND(ISNUMBER('M1 - Sparkling Electrolyte'!F4),ISNUMBER('M1 - Sparkling Electrolyte'!K4)),'M1 - Sparkling Electrolyte'!F4-'M1 - Sparkling Electrolyte'!K4,"")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Aura Bora</t>
        </is>
      </c>
      <c r="B72" s="15" t="inlineStr">
        <is>
          <t>Aura Bora Herbal Sparkling Water</t>
        </is>
      </c>
      <c r="C72" s="15" t="inlineStr">
        <is>
          <t>1) Sparkling electrolyte / functional sparkling</t>
        </is>
      </c>
      <c r="D72" s="19">
        <f>'M1 - Sparkling Electrolyte'!I5</f>
        <v/>
      </c>
      <c r="E72" s="20">
        <f>'M1 - Sparkling Electrolyte'!J5</f>
        <v/>
      </c>
      <c r="F72" s="18">
        <f>'M1 - Sparkling Electrolyte'!K5</f>
        <v/>
      </c>
      <c r="G72" s="17">
        <f>'M1 - Sparkling Electrolyte'!F5</f>
        <v/>
      </c>
      <c r="H72" s="18">
        <f>IF(AND(ISNUMBER('M1 - Sparkling Electrolyte'!F5),ISNUMBER('M1 - Sparkling Electrolyte'!K5)),'M1 - Sparkling Electrolyte'!F5-'M1 - Sparkling Electrolyte'!K5,"")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Sound</t>
        </is>
      </c>
      <c r="B73" s="15" t="inlineStr">
        <is>
          <t>Sound Sparkling Water (Tea/Botanical)</t>
        </is>
      </c>
      <c r="C73" s="15" t="inlineStr">
        <is>
          <t>1) Sparkling electrolyte / functional sparkling</t>
        </is>
      </c>
      <c r="D73" s="19">
        <f>'M1 - Sparkling Electrolyte'!I6</f>
        <v/>
      </c>
      <c r="E73" s="20">
        <f>'M1 - Sparkling Electrolyte'!J6</f>
        <v/>
      </c>
      <c r="F73" s="18">
        <f>'M1 - Sparkling Electrolyte'!K6</f>
        <v/>
      </c>
      <c r="G73" s="17">
        <f>'M1 - Sparkling Electrolyte'!F6</f>
        <v/>
      </c>
      <c r="H73" s="18">
        <f>IF(AND(ISNUMBER('M1 - Sparkling Electrolyte'!F6),ISNUMBER('M1 - Sparkling Electrolyte'!K6)),'M1 - Sparkling Electrolyte'!F6-'M1 - Sparkling Electrolyte'!K6,"")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Halo Sport</t>
        </is>
      </c>
      <c r="B74" s="15" t="inlineStr">
        <is>
          <t>Halo Sport Sparkling Electrolyte Water</t>
        </is>
      </c>
      <c r="C74" s="15" t="inlineStr">
        <is>
          <t>1) Sparkling electrolyte / functional sparkling</t>
        </is>
      </c>
      <c r="D74" s="19">
        <f>'M1 - Sparkling Electrolyte'!I7</f>
        <v/>
      </c>
      <c r="E74" s="20">
        <f>'M1 - Sparkling Electrolyte'!J7</f>
        <v/>
      </c>
      <c r="F74" s="18">
        <f>'M1 - Sparkling Electrolyte'!K7</f>
        <v/>
      </c>
      <c r="G74" s="17">
        <f>'M1 - Sparkling Electrolyte'!F7</f>
        <v/>
      </c>
      <c r="H74" s="18">
        <f>IF(AND(ISNUMBER('M1 - Sparkling Electrolyte'!F7),ISNUMBER('M1 - Sparkling Electrolyte'!K7)),'M1 - Sparkling Electrolyte'!F7-'M1 - Sparkling Electrolyte'!K7,"")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Gorgie</t>
        </is>
      </c>
      <c r="B75" s="15" t="inlineStr">
        <is>
          <t>Gorgie Energy Sparkling Water</t>
        </is>
      </c>
      <c r="C75" s="15" t="inlineStr">
        <is>
          <t>1) Sparkling electrolyte / functional sparkling</t>
        </is>
      </c>
      <c r="D75" s="19">
        <f>'M1 - Sparkling Electrolyte'!I8</f>
        <v/>
      </c>
      <c r="E75" s="20">
        <f>'M1 - Sparkling Electrolyte'!J8</f>
        <v/>
      </c>
      <c r="F75" s="18">
        <f>'M1 - Sparkling Electrolyte'!K8</f>
        <v/>
      </c>
      <c r="G75" s="17">
        <f>'M1 - Sparkling Electrolyte'!F8</f>
        <v/>
      </c>
      <c r="H75" s="18">
        <f>IF(AND(ISNUMBER('M1 - Sparkling Electrolyte'!F8),ISNUMBER('M1 - Sparkling Electrolyte'!K8)),'M1 - Sparkling Electrolyte'!F8-'M1 - Sparkling Electrolyte'!K8,"")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United Sodas</t>
        </is>
      </c>
      <c r="B76" s="15" t="inlineStr">
        <is>
          <t>United Sodas of America</t>
        </is>
      </c>
      <c r="C76" s="15" t="inlineStr">
        <is>
          <t>1) Sparkling electrolyte / functional sparkling</t>
        </is>
      </c>
      <c r="D76" s="19">
        <f>'M1 - Sparkling Electrolyte'!I9</f>
        <v/>
      </c>
      <c r="E76" s="20">
        <f>'M1 - Sparkling Electrolyte'!J9</f>
        <v/>
      </c>
      <c r="F76" s="18">
        <f>'M1 - Sparkling Electrolyte'!K9</f>
        <v/>
      </c>
      <c r="G76" s="17">
        <f>'M1 - Sparkling Electrolyte'!F9</f>
        <v/>
      </c>
      <c r="H76" s="18">
        <f>IF(AND(ISNUMBER('M1 - Sparkling Electrolyte'!F9),ISNUMBER('M1 - Sparkling Electrolyte'!K9)),'M1 - Sparkling Electrolyte'!F9-'M1 - Sparkling Electrolyte'!K9,"")</f>
        <v/>
      </c>
      <c r="I76" s="15" t="inlineStr">
        <is>
          <t>S&amp;S availability/depth vary by listing and time - confirm live.</t>
        </is>
      </c>
    </row>
    <row r="78">
      <c r="A78" s="26" t="inlineStr">
        <is>
          <t>S&amp;S availability is an Amazon listing fact not verifiable here. Once filled, filter column D = Yes for the true S&amp;S roster.</t>
        </is>
      </c>
      <c r="B78" s="27" t="n"/>
      <c r="C78" s="27" t="n"/>
      <c r="D78" s="27" t="n"/>
      <c r="E78" s="27" t="n"/>
      <c r="F78" s="27" t="n"/>
      <c r="G78" s="27" t="n"/>
      <c r="H78" s="27" t="n"/>
      <c r="I78" s="28" t="n"/>
    </row>
  </sheetData>
  <mergeCells count="1">
    <mergeCell ref="A78:I7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2EFDA"/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2) Electrolyte beverage (RTD)</t>
        </is>
      </c>
      <c r="B10" s="15" t="inlineStr">
        <is>
          <t>Gatorade</t>
        </is>
      </c>
      <c r="C10" s="15" t="inlineStr">
        <is>
          <t>Gatorade Thirst Quencher</t>
        </is>
      </c>
      <c r="D10" s="15" t="inlineStr">
        <is>
          <t>Sodium-led rehydration with unmatched brand trust.</t>
        </is>
      </c>
      <c r="E10" s="23" t="inlineStr">
        <is>
          <t>Brand trust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Zero Sugar</t>
        </is>
      </c>
      <c r="D11" s="15" t="inlineStr">
        <is>
          <t>Full electrolytes minus the sugar load.</t>
        </is>
      </c>
      <c r="E11" s="23" t="inlineStr">
        <is>
          <t>Electrolytes</t>
        </is>
      </c>
    </row>
    <row r="12" ht="30" customHeight="1">
      <c r="A12" s="29" t="inlineStr">
        <is>
          <t>2) Electrolyte beverage (RTD)</t>
        </is>
      </c>
      <c r="B12" s="15" t="inlineStr">
        <is>
          <t>Powerade</t>
        </is>
      </c>
      <c r="C12" s="15" t="inlineStr">
        <is>
          <t>Powerade Mountain Berry Blast</t>
        </is>
      </c>
      <c r="D12" s="15" t="inlineStr">
        <is>
          <t>Cheaper electrolyte alternative to Gatorade.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Zero</t>
        </is>
      </c>
      <c r="D13" s="15" t="inlineStr">
        <is>
          <t>Cheapest zero-sugar electrolyte option.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BODYARMOR</t>
        </is>
      </c>
      <c r="C14" s="15" t="inlineStr">
        <is>
          <t>BODYARMOR Sports Drink</t>
        </is>
      </c>
      <c r="D14" s="15" t="inlineStr">
        <is>
          <t>Coconut-water electrolytes and a cleaner label than legacy brands.</t>
        </is>
      </c>
      <c r="E14" s="23" t="inlineStr">
        <is>
          <t>Brand trust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LYTE</t>
        </is>
      </c>
      <c r="D15" s="15" t="inlineStr">
        <is>
          <t>High potassium with very little sugar.</t>
        </is>
      </c>
      <c r="E15" s="23" t="inlineStr">
        <is>
          <t>Electrolytes</t>
        </is>
      </c>
    </row>
    <row r="16" ht="30" customHeight="1">
      <c r="A16" s="29" t="inlineStr">
        <is>
          <t>2) Electrolyte beverage (RTD)</t>
        </is>
      </c>
      <c r="B16" s="15" t="inlineStr">
        <is>
          <t>Prime</t>
        </is>
      </c>
      <c r="C16" s="15" t="inlineStr">
        <is>
          <t>Prime Hydration</t>
        </is>
      </c>
      <c r="D16" s="15" t="inlineStr">
        <is>
          <t>Brand cachet plus zero sugar and added BCAAs.</t>
        </is>
      </c>
      <c r="E16" s="23" t="inlineStr">
        <is>
          <t>Brand trust</t>
        </is>
      </c>
    </row>
    <row r="17" ht="30" customHeight="1">
      <c r="A17" s="29" t="inlineStr">
        <is>
          <t>2) Electrolyte beverage (RTD)</t>
        </is>
      </c>
      <c r="B17" s="15" t="inlineStr">
        <is>
          <t>Roar Organic</t>
        </is>
      </c>
      <c r="C17" s="15" t="inlineStr">
        <is>
          <t>Roar Organic Electrolyte Infusions</t>
        </is>
      </c>
      <c r="D17" s="15" t="inlineStr">
        <is>
          <t>Organic and barely-sweetened for clean-label hydration seekers.</t>
        </is>
      </c>
      <c r="E17" s="23" t="inlineStr">
        <is>
          <t>No / low sugar</t>
        </is>
      </c>
    </row>
    <row r="18" ht="30" customHeight="1">
      <c r="A18" s="29" t="inlineStr">
        <is>
          <t>2) Electrolyte beverage (RTD)</t>
        </is>
      </c>
      <c r="B18" s="15" t="inlineStr">
        <is>
          <t>BioSteel</t>
        </is>
      </c>
      <c r="C18" s="15" t="inlineStr">
        <is>
          <t>BioSteel Sports Drink (RTD)</t>
        </is>
      </c>
      <c r="D18" s="15" t="inlineStr">
        <is>
          <t>Zero sugar plus pro-sports credibility, made in Canada.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CWENCH</t>
        </is>
      </c>
      <c r="C19" s="15" t="inlineStr">
        <is>
          <t>CWENCH Hydration</t>
        </is>
      </c>
      <c r="D19" s="15" t="inlineStr">
        <is>
          <t>Local challenger price and zero sugar.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Pedialyte</t>
        </is>
      </c>
      <c r="C20" s="15" t="inlineStr">
        <is>
          <t>Pedialyte Electrolyte Solution</t>
        </is>
      </c>
      <c r="D20" s="15" t="inlineStr">
        <is>
          <t>Medical-grade electrolyte ratio trusted for genuine dehydration.</t>
        </is>
      </c>
      <c r="E20" s="23" t="inlineStr">
        <is>
          <t>Brand trust</t>
        </is>
      </c>
    </row>
    <row r="21" ht="30" customHeight="1">
      <c r="A21" s="29" t="inlineStr">
        <is>
          <t>2) Electrolyte beverage (RTD)</t>
        </is>
      </c>
      <c r="B21" s="15" t="inlineStr">
        <is>
          <t>Gatorade</t>
        </is>
      </c>
      <c r="C21" s="15" t="inlineStr">
        <is>
          <t>Gatorlyte Rapid Rehydration</t>
        </is>
      </c>
      <c r="D21" s="15" t="inlineStr">
        <is>
          <t>Highest sodium/potassium load for serious rehydration.</t>
        </is>
      </c>
      <c r="E21" s="23" t="inlineStr">
        <is>
          <t>Electrolytes</t>
        </is>
      </c>
    </row>
    <row r="22" ht="30" customHeight="1">
      <c r="A22" s="29" t="inlineStr">
        <is>
          <t>2) Electrolyte beverage (RTD)</t>
        </is>
      </c>
      <c r="B22" s="15" t="inlineStr">
        <is>
          <t>Vita Coco</t>
        </is>
      </c>
      <c r="C22" s="15" t="inlineStr">
        <is>
          <t>Vita Coco Pure Coconut Water</t>
        </is>
      </c>
      <c r="D22" s="15" t="inlineStr">
        <is>
          <t>Naturally high potassium with no added sugar.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Electrolit</t>
        </is>
      </c>
      <c r="C23" s="15" t="inlineStr">
        <is>
          <t>Electrolit Hydration Beverage</t>
        </is>
      </c>
      <c r="D23" s="15" t="inlineStr">
        <is>
          <t>Broad mineral profile (incl. magnesium) for serious rehydration.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Gatorade</t>
        </is>
      </c>
      <c r="C24" s="15" t="inlineStr">
        <is>
          <t>Gatorade Fit Electrolyte Beverage</t>
        </is>
      </c>
      <c r="D24" s="15" t="inlineStr">
        <is>
          <t>Gatorade electrolytes with stevia and added vitamins.</t>
        </is>
      </c>
      <c r="E24" s="23" t="inlineStr">
        <is>
          <t>Functional benefit</t>
        </is>
      </c>
    </row>
    <row r="25" ht="30" customHeight="1">
      <c r="A25" s="29" t="inlineStr">
        <is>
          <t>3) Functional beverage (still/sparkling)</t>
        </is>
      </c>
      <c r="B25" s="15" t="inlineStr">
        <is>
          <t>OLIPOP</t>
        </is>
      </c>
      <c r="C25" s="15" t="inlineStr">
        <is>
          <t>OLIPOP Prebiotic Soda</t>
        </is>
      </c>
      <c r="D25" s="15" t="inlineStr">
        <is>
          <t>Classic soda taste with 9 g fiber and almost no sugar.</t>
        </is>
      </c>
      <c r="E25" s="23" t="inlineStr">
        <is>
          <t>Functional benefit</t>
        </is>
      </c>
    </row>
    <row r="26" ht="30" customHeight="1">
      <c r="A26" s="29" t="inlineStr">
        <is>
          <t>3) Functional beverage (still/sparkling)</t>
        </is>
      </c>
      <c r="B26" s="15" t="inlineStr">
        <is>
          <t>Poppi</t>
        </is>
      </c>
      <c r="C26" s="15" t="inlineStr">
        <is>
          <t>Poppi Prebiotic Soda</t>
        </is>
      </c>
      <c r="D26" s="15" t="inlineStr">
        <is>
          <t>Trendy aesthetic plus a gut-health ACV story at low sugar.</t>
        </is>
      </c>
      <c r="E26" s="23" t="inlineStr">
        <is>
          <t>Functional benefit</t>
        </is>
      </c>
    </row>
    <row r="27" ht="30" customHeight="1">
      <c r="A27" s="29" t="inlineStr">
        <is>
          <t>3) Functional beverage (still/sparkling)</t>
        </is>
      </c>
      <c r="B27" s="15" t="inlineStr">
        <is>
          <t>Culture Pop</t>
        </is>
      </c>
      <c r="C27" s="15" t="inlineStr">
        <is>
          <t>Culture Pop Probiotic Soda</t>
        </is>
      </c>
      <c r="D27" s="15" t="inlineStr">
        <is>
          <t>Real-juice taste and live probiotics without stevia.</t>
        </is>
      </c>
      <c r="E27" s="23" t="inlineStr">
        <is>
          <t>Functional benefit</t>
        </is>
      </c>
    </row>
    <row r="28" ht="30" customHeight="1">
      <c r="A28" s="29" t="inlineStr">
        <is>
          <t>3) Functional beverage (still/sparkling)</t>
        </is>
      </c>
      <c r="B28" s="15" t="inlineStr">
        <is>
          <t>Mayawell</t>
        </is>
      </c>
      <c r="C28" s="15" t="inlineStr">
        <is>
          <t>Mayawell Prebiotic Soda</t>
        </is>
      </c>
      <c r="D28" s="15" t="inlineStr">
        <is>
          <t>Distinctive agave-fiber prebiotic and adventurous flavours.</t>
        </is>
      </c>
      <c r="E28" s="23" t="inlineStr">
        <is>
          <t>Functional benefit</t>
        </is>
      </c>
    </row>
    <row r="29" ht="30" customHeight="1">
      <c r="A29" s="29" t="inlineStr">
        <is>
          <t>3) Functional beverage (still/sparkling)</t>
        </is>
      </c>
      <c r="B29" s="15" t="inlineStr">
        <is>
          <t>De La Calle</t>
        </is>
      </c>
      <c r="C29" s="15" t="inlineStr">
        <is>
          <t>De La Calle Tepache</t>
        </is>
      </c>
      <c r="D29" s="15" t="inlineStr">
        <is>
          <t>Authentic fermented tepache with a prebiotic angle.</t>
        </is>
      </c>
      <c r="E29" s="23" t="inlineStr">
        <is>
          <t>Mixed</t>
        </is>
      </c>
    </row>
    <row r="30" ht="30" customHeight="1">
      <c r="A30" s="29" t="inlineStr">
        <is>
          <t>3) Functional beverage (still/sparkling)</t>
        </is>
      </c>
      <c r="B30" s="15" t="inlineStr">
        <is>
          <t>GT's</t>
        </is>
      </c>
      <c r="C30" s="15" t="inlineStr">
        <is>
          <t>GT's Synergy Raw Kombucha</t>
        </is>
      </c>
      <c r="D30" s="15" t="inlineStr">
        <is>
          <t>Authentic raw kombucha from the category pioneer.</t>
        </is>
      </c>
      <c r="E30" s="23" t="inlineStr">
        <is>
          <t>Mixed</t>
        </is>
      </c>
    </row>
    <row r="31" ht="30" customHeight="1">
      <c r="A31" s="29" t="inlineStr">
        <is>
          <t>3) Functional beverage (still/sparkling)</t>
        </is>
      </c>
      <c r="B31" s="15" t="inlineStr">
        <is>
          <t>Health-Ade</t>
        </is>
      </c>
      <c r="C31" s="15" t="inlineStr">
        <is>
          <t>Health-Ade Kombucha</t>
        </is>
      </c>
      <c r="D31" s="15" t="inlineStr">
        <is>
          <t>Premium organic kombucha taste and quality cues.</t>
        </is>
      </c>
      <c r="E31" s="23" t="inlineStr">
        <is>
          <t>Clean label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Remedy</t>
        </is>
      </c>
      <c r="C32" s="15" t="inlineStr">
        <is>
          <t>Remedy Kombucha</t>
        </is>
      </c>
      <c r="D32" s="15" t="inlineStr">
        <is>
          <t>Live-culture kombucha at zero sugar.</t>
        </is>
      </c>
      <c r="E32" s="23" t="inlineStr">
        <is>
          <t>No / low sugar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Recess</t>
        </is>
      </c>
      <c r="C33" s="15" t="inlineStr">
        <is>
          <t>Recess Mood</t>
        </is>
      </c>
      <c r="D33" s="15" t="inlineStr">
        <is>
          <t>Adaptogens and L-theanine for relaxation, not energy.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Protein2o</t>
        </is>
      </c>
      <c r="C34" s="15" t="inlineStr">
        <is>
          <t>Protein2o Protein Infused Water</t>
        </is>
      </c>
      <c r="D34" s="15" t="inlineStr">
        <is>
          <t>Real protein dose without a heavy milkshake texture.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vitaminwater</t>
        </is>
      </c>
      <c r="C35" s="15" t="inlineStr">
        <is>
          <t>vitaminwater (glaceau)</t>
        </is>
      </c>
      <c r="D35" s="15" t="inlineStr">
        <is>
          <t>Familiar vitamin-enhanced water in many functional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vitaminwater</t>
        </is>
      </c>
      <c r="C36" s="15" t="inlineStr">
        <is>
          <t>vitaminwater zero sugar</t>
        </is>
      </c>
      <c r="D36" s="15" t="inlineStr">
        <is>
          <t>The vitamin story without the sugar.</t>
        </is>
      </c>
      <c r="E36" s="23" t="inlineStr">
        <is>
          <t>Functional benefit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Bai</t>
        </is>
      </c>
      <c r="C37" s="15" t="inlineStr">
        <is>
          <t>Bai Antioxidant Infusion</t>
        </is>
      </c>
      <c r="D37" s="15" t="inlineStr">
        <is>
          <t>Flavour with antioxidants and almost no sugar.</t>
        </is>
      </c>
      <c r="E37" s="23" t="inlineStr">
        <is>
          <t>Functional benefit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Hint</t>
        </is>
      </c>
      <c r="C38" s="15" t="inlineStr">
        <is>
          <t>Hint Water (fruit-infused)</t>
        </is>
      </c>
      <c r="D38" s="15" t="inlineStr">
        <is>
          <t>Real fruit essence with zero sweeteners of any kind.</t>
        </is>
      </c>
      <c r="E38" s="23" t="inlineStr">
        <is>
          <t>No / low sugar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wildwonder</t>
        </is>
      </c>
      <c r="C39" s="15" t="inlineStr">
        <is>
          <t>wildwonder Sparkling Prebiotic+Probiotic</t>
        </is>
      </c>
      <c r="D39" s="15" t="inlineStr">
        <is>
          <t>Both prebiotics and probiotics plus organic botanicals.</t>
        </is>
      </c>
      <c r="E39" s="23" t="inlineStr">
        <is>
          <t>Functional benefit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Lemon Perfect</t>
        </is>
      </c>
      <c r="C40" s="15" t="inlineStr">
        <is>
          <t>Lemon Perfect Cold-Pressed Lemon Water</t>
        </is>
      </c>
      <c r="D40" s="15" t="inlineStr">
        <is>
          <t>Clean lemon-water hydration with vitamin C, barely any sugar.</t>
        </is>
      </c>
      <c r="E40" s="23" t="inlineStr">
        <is>
          <t>Functional benefit</t>
        </is>
      </c>
    </row>
    <row r="41" ht="30" customHeight="1">
      <c r="A41" s="29" t="inlineStr">
        <is>
          <t>4) Caffeine &amp; energy beverage</t>
        </is>
      </c>
      <c r="B41" s="15" t="inlineStr">
        <is>
          <t>Red Bull</t>
        </is>
      </c>
      <c r="C41" s="15" t="inlineStr">
        <is>
          <t>Red Bull Energy Drink</t>
        </is>
      </c>
      <c r="D41" s="15" t="inlineStr">
        <is>
          <t>Brand trust and ubiquity - the default energy can people already know.</t>
        </is>
      </c>
      <c r="E41" s="23" t="inlineStr">
        <is>
          <t>Brand trust</t>
        </is>
      </c>
    </row>
    <row r="42" ht="30" customHeight="1">
      <c r="A42" s="29" t="inlineStr">
        <is>
          <t>4) Caffeine &amp; energy beverage</t>
        </is>
      </c>
      <c r="B42" s="15" t="inlineStr">
        <is>
          <t>Red Bull</t>
        </is>
      </c>
      <c r="C42" s="15" t="inlineStr">
        <is>
          <t>Red Bull Sugarfree</t>
        </is>
      </c>
      <c r="D42" s="15" t="inlineStr">
        <is>
          <t>No sugar without leaving the brand they trust.</t>
        </is>
      </c>
      <c r="E42" s="23" t="inlineStr">
        <is>
          <t>Brand trust</t>
        </is>
      </c>
    </row>
    <row r="43" ht="30" customHeight="1">
      <c r="A43" s="29" t="inlineStr">
        <is>
          <t>4) Caffeine &amp; energy beverage</t>
        </is>
      </c>
      <c r="B43" s="15" t="inlineStr">
        <is>
          <t>Monster</t>
        </is>
      </c>
      <c r="C43" s="15" t="inlineStr">
        <is>
          <t>Monster Energy Original (Green)</t>
        </is>
      </c>
      <c r="D43" s="15" t="inlineStr">
        <is>
          <t>Pack economics and high dose - more caffeine and volume per dollar.</t>
        </is>
      </c>
      <c r="E43" s="23" t="inlineStr">
        <is>
          <t>Caffeine level</t>
        </is>
      </c>
    </row>
    <row r="44" ht="30" customHeight="1">
      <c r="A44" s="29" t="inlineStr">
        <is>
          <t>4) Caffeine &amp; energy beverage</t>
        </is>
      </c>
      <c r="B44" s="15" t="inlineStr">
        <is>
          <t>Monster</t>
        </is>
      </c>
      <c r="C44" s="15" t="inlineStr">
        <is>
          <t>Monster Energy Ultra Zero (White)</t>
        </is>
      </c>
      <c r="D44" s="15" t="inlineStr">
        <is>
          <t>No sugar plus a lighter flavour than the green can.</t>
        </is>
      </c>
      <c r="E44" s="23" t="inlineStr">
        <is>
          <t>No / low sugar</t>
        </is>
      </c>
    </row>
    <row r="45" ht="30" customHeight="1">
      <c r="A45" s="29" t="inlineStr">
        <is>
          <t>4) Caffeine &amp; energy beverage</t>
        </is>
      </c>
      <c r="B45" s="15" t="inlineStr">
        <is>
          <t>Celsius</t>
        </is>
      </c>
      <c r="C45" s="15" t="inlineStr">
        <is>
          <t>Celsius Original Sparkling</t>
        </is>
      </c>
      <c r="D45" s="15" t="inlineStr">
        <is>
          <t>No sugar plus a fitness/metabolism story, not just caffeine.</t>
        </is>
      </c>
      <c r="E45" s="23" t="inlineStr">
        <is>
          <t>Functional benefit</t>
        </is>
      </c>
    </row>
    <row r="46" ht="30" customHeight="1">
      <c r="A46" s="29" t="inlineStr">
        <is>
          <t>4) Caffeine &amp; energy beverage</t>
        </is>
      </c>
      <c r="B46" s="15" t="inlineStr">
        <is>
          <t>Celsius</t>
        </is>
      </c>
      <c r="C46" s="15" t="inlineStr">
        <is>
          <t>Celsius Essentials</t>
        </is>
      </c>
      <c r="D46" s="15" t="inlineStr">
        <is>
          <t>Highest caffeine dose in the Celsius family.</t>
        </is>
      </c>
      <c r="E46" s="23" t="inlineStr">
        <is>
          <t>Caffeine level</t>
        </is>
      </c>
    </row>
    <row r="47" ht="30" customHeight="1">
      <c r="A47" s="29" t="inlineStr">
        <is>
          <t>4) Caffeine &amp; energy beverage</t>
        </is>
      </c>
      <c r="B47" s="15" t="inlineStr">
        <is>
          <t>Prime</t>
        </is>
      </c>
      <c r="C47" s="15" t="inlineStr">
        <is>
          <t>Prime Energy</t>
        </is>
      </c>
      <c r="D47" s="15" t="inlineStr">
        <is>
          <t>Social-media brand cachet with a zero-sugar profile.</t>
        </is>
      </c>
      <c r="E47" s="23" t="inlineStr">
        <is>
          <t>Brand trust</t>
        </is>
      </c>
    </row>
    <row r="48" ht="30" customHeight="1">
      <c r="A48" s="29" t="inlineStr">
        <is>
          <t>4) Caffeine &amp; energy beverage</t>
        </is>
      </c>
      <c r="B48" s="15" t="inlineStr">
        <is>
          <t>C4</t>
        </is>
      </c>
      <c r="C48" s="15" t="inlineStr">
        <is>
          <t>C4 Energy (Performance)</t>
        </is>
      </c>
      <c r="D48" s="15" t="inlineStr">
        <is>
          <t>Performance/pre-workout positioning with beta-alanine.</t>
        </is>
      </c>
      <c r="E48" s="23" t="inlineStr">
        <is>
          <t>Mixed</t>
        </is>
      </c>
    </row>
    <row r="49" ht="30" customHeight="1">
      <c r="A49" s="29" t="inlineStr">
        <is>
          <t>4) Caffeine &amp; energy beverage</t>
        </is>
      </c>
      <c r="B49" s="15" t="inlineStr">
        <is>
          <t>Reign</t>
        </is>
      </c>
      <c r="C49" s="15" t="inlineStr">
        <is>
          <t>Reign Total Body Fuel</t>
        </is>
      </c>
      <c r="D49" s="15" t="inlineStr">
        <is>
          <t>Highest mainstream caffeine dose plus workout aminos.</t>
        </is>
      </c>
      <c r="E49" s="23" t="inlineStr">
        <is>
          <t>Caffeine level</t>
        </is>
      </c>
    </row>
    <row r="50" ht="30" customHeight="1">
      <c r="A50" s="29" t="inlineStr">
        <is>
          <t>4) Caffeine &amp; energy beverage</t>
        </is>
      </c>
      <c r="B50" s="15" t="inlineStr">
        <is>
          <t>Alani Nu</t>
        </is>
      </c>
      <c r="C50" s="15" t="inlineStr">
        <is>
          <t>Alani Nu Energy</t>
        </is>
      </c>
      <c r="D50" s="15" t="inlineStr">
        <is>
          <t>On-trend flavours and aesthetic plus zero sugar.</t>
        </is>
      </c>
      <c r="E50" s="23" t="inlineStr">
        <is>
          <t>No / low sugar</t>
        </is>
      </c>
    </row>
    <row r="51" ht="30" customHeight="1">
      <c r="A51" s="29" t="inlineStr">
        <is>
          <t>4) Caffeine &amp; energy beverage</t>
        </is>
      </c>
      <c r="B51" s="15" t="inlineStr">
        <is>
          <t>Bang</t>
        </is>
      </c>
      <c r="C51" s="15" t="inlineStr">
        <is>
          <t>Bang Energy</t>
        </is>
      </c>
      <c r="D51" s="15" t="inlineStr">
        <is>
          <t>High caffeine at zero calories with aminos.</t>
        </is>
      </c>
      <c r="E51" s="23" t="inlineStr">
        <is>
          <t>Caffeine level</t>
        </is>
      </c>
    </row>
    <row r="52" ht="30" customHeight="1">
      <c r="A52" s="29" t="inlineStr">
        <is>
          <t>4) Caffeine &amp; energy beverage</t>
        </is>
      </c>
      <c r="B52" s="15" t="inlineStr">
        <is>
          <t>Rockstar</t>
        </is>
      </c>
      <c r="C52" s="15" t="inlineStr">
        <is>
          <t>Rockstar Energy</t>
        </is>
      </c>
      <c r="D52" s="15" t="inlineStr">
        <is>
          <t>Familiar legacy brand, usually a lower price point.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GURU</t>
        </is>
      </c>
      <c r="C53" s="15" t="inlineStr">
        <is>
          <t>GURU Organic Energy</t>
        </is>
      </c>
      <c r="D53" s="15" t="inlineStr">
        <is>
          <t>Organic, natural-caffeine alternative - a clean-label choice.</t>
        </is>
      </c>
      <c r="E53" s="23" t="inlineStr">
        <is>
          <t>Caffeine level</t>
        </is>
      </c>
    </row>
    <row r="54" ht="30" customHeight="1">
      <c r="A54" s="29" t="inlineStr">
        <is>
          <t>4) Caffeine &amp; energy beverage</t>
        </is>
      </c>
      <c r="B54" s="15" t="inlineStr">
        <is>
          <t>Guayaki</t>
        </is>
      </c>
      <c r="C54" s="15" t="inlineStr">
        <is>
          <t>Guayaki Yerba Mate</t>
        </is>
      </c>
      <c r="D54" s="15" t="inlineStr">
        <is>
          <t>Natural yerba-mate caffeine plus organic/Fair-Trade ethics.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NOS</t>
        </is>
      </c>
      <c r="C55" s="15" t="inlineStr">
        <is>
          <t>NOS Energy Drink</t>
        </is>
      </c>
      <c r="D55" s="15" t="inlineStr">
        <is>
          <t>Legacy enthusiast brand at a value price.</t>
        </is>
      </c>
      <c r="E55" s="23" t="inlineStr">
        <is>
          <t>Brand trust</t>
        </is>
      </c>
    </row>
    <row r="56" ht="30" customHeight="1">
      <c r="A56" s="29" t="inlineStr">
        <is>
          <t>4) Caffeine &amp; energy beverage</t>
        </is>
      </c>
      <c r="B56" s="15" t="inlineStr">
        <is>
          <t>Starbucks</t>
        </is>
      </c>
      <c r="C56" s="15" t="inlineStr">
        <is>
          <t>Starbucks Doubleshot Espresso</t>
        </is>
      </c>
      <c r="D56" s="15" t="inlineStr">
        <is>
          <t>Trusted coffee taste rather than a synthetic energy flavour.</t>
        </is>
      </c>
      <c r="E56" s="23" t="inlineStr">
        <is>
          <t>Brand trust</t>
        </is>
      </c>
    </row>
    <row r="57" ht="30" customHeight="1">
      <c r="A57" s="29" t="inlineStr">
        <is>
          <t>4) Caffeine &amp; energy beverage</t>
        </is>
      </c>
      <c r="B57" s="15" t="inlineStr">
        <is>
          <t>Ghost</t>
        </is>
      </c>
      <c r="C57" s="15" t="inlineStr">
        <is>
          <t>Ghost Energy</t>
        </is>
      </c>
      <c r="D57" s="15" t="inlineStr">
        <is>
          <t>Novel licensed-candy flavours plus zero sugar.</t>
        </is>
      </c>
      <c r="E57" s="23" t="inlineStr">
        <is>
          <t>No / low sugar</t>
        </is>
      </c>
    </row>
    <row r="58" ht="30" customHeight="1">
      <c r="A58" s="29" t="inlineStr">
        <is>
          <t>4) Caffeine &amp; energy beverage</t>
        </is>
      </c>
      <c r="B58" s="15" t="inlineStr">
        <is>
          <t>ZOA</t>
        </is>
      </c>
      <c r="C58" s="15" t="inlineStr">
        <is>
          <t>ZOA Zero Sugar Energy</t>
        </is>
      </c>
      <c r="D58" s="15" t="inlineStr">
        <is>
          <t>Energy plus added electrolytes/vitamins and a celebrity halo.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Zevia</t>
        </is>
      </c>
      <c r="C59" s="15" t="inlineStr">
        <is>
          <t>Zevia Energy</t>
        </is>
      </c>
      <c r="D59" s="15" t="inlineStr">
        <is>
          <t>Caffeine with stevia and no artificial sweeteners.</t>
        </is>
      </c>
      <c r="E59" s="23" t="inlineStr">
        <is>
          <t>Caffeine level</t>
        </is>
      </c>
    </row>
    <row r="60" ht="30" customHeight="1">
      <c r="A60" s="29" t="inlineStr">
        <is>
          <t>5) Sparkling water &amp; soda</t>
        </is>
      </c>
      <c r="B60" s="15" t="inlineStr">
        <is>
          <t>Spindrift</t>
        </is>
      </c>
      <c r="C60" s="15" t="inlineStr">
        <is>
          <t>Spindrift Sparkling Water</t>
        </is>
      </c>
      <c r="D60" s="15" t="inlineStr">
        <is>
          <t>Tastes like real fruit because it is - not flavour essence.</t>
        </is>
      </c>
      <c r="E60" s="23" t="inlineStr">
        <is>
          <t>Taste reputation</t>
        </is>
      </c>
    </row>
    <row r="61" ht="30" customHeight="1">
      <c r="A61" s="29" t="inlineStr">
        <is>
          <t>5) Sparkling water &amp; soda</t>
        </is>
      </c>
      <c r="B61" s="15" t="inlineStr">
        <is>
          <t>LaCroix</t>
        </is>
      </c>
      <c r="C61" s="15" t="inlineStr">
        <is>
          <t>LaCroix Sparkling Water</t>
        </is>
      </c>
      <c r="D61" s="15" t="inlineStr">
        <is>
          <t>Zero calories/sugar with cult brand status and price.</t>
        </is>
      </c>
      <c r="E61" s="23" t="inlineStr">
        <is>
          <t>Brand trust</t>
        </is>
      </c>
    </row>
    <row r="62" ht="30" customHeight="1">
      <c r="A62" s="29" t="inlineStr">
        <is>
          <t>5) Sparkling water &amp; soda</t>
        </is>
      </c>
      <c r="B62" s="15" t="inlineStr">
        <is>
          <t>bubly</t>
        </is>
      </c>
      <c r="C62" s="15" t="inlineStr">
        <is>
          <t>bubly Sparkling Water</t>
        </is>
      </c>
      <c r="D62" s="15" t="inlineStr">
        <is>
          <t>Mainstream zero-everything seltzer, usually well priced.</t>
        </is>
      </c>
      <c r="E62" s="23" t="inlineStr">
        <is>
          <t>Price / pack economics</t>
        </is>
      </c>
    </row>
    <row r="63" ht="30" customHeight="1">
      <c r="A63" s="29" t="inlineStr">
        <is>
          <t>5) Sparkling water &amp; soda</t>
        </is>
      </c>
      <c r="B63" s="15" t="inlineStr">
        <is>
          <t>Waterloo</t>
        </is>
      </c>
      <c r="C63" s="15" t="inlineStr">
        <is>
          <t>Waterloo Sparkling Water</t>
        </is>
      </c>
      <c r="D63" s="15" t="inlineStr">
        <is>
          <t>Stronger, more realistic flavour than the big seltzers.</t>
        </is>
      </c>
      <c r="E63" s="23" t="inlineStr">
        <is>
          <t>Taste reputation</t>
        </is>
      </c>
    </row>
    <row r="64" ht="30" customHeight="1">
      <c r="A64" s="29" t="inlineStr">
        <is>
          <t>5) Sparkling water &amp; soda</t>
        </is>
      </c>
      <c r="B64" s="15" t="inlineStr">
        <is>
          <t>Perrier</t>
        </is>
      </c>
      <c r="C64" s="15" t="inlineStr">
        <is>
          <t>Perrier Carbonated Mineral Water</t>
        </is>
      </c>
      <c r="D64" s="15" t="inlineStr">
        <is>
          <t>Premium imported mineral-water cachet and crisp bubbles.</t>
        </is>
      </c>
      <c r="E64" s="23" t="inlineStr">
        <is>
          <t>Brand trust</t>
        </is>
      </c>
    </row>
    <row r="65" ht="30" customHeight="1">
      <c r="A65" s="29" t="inlineStr">
        <is>
          <t>5) Sparkling water &amp; soda</t>
        </is>
      </c>
      <c r="B65" s="15" t="inlineStr">
        <is>
          <t>San Pellegrino</t>
        </is>
      </c>
      <c r="C65" s="15" t="inlineStr">
        <is>
          <t>S.Pellegrino Sparkling Natural Mineral Water</t>
        </is>
      </c>
      <c r="D65" s="15" t="inlineStr">
        <is>
          <t>Premium mineral profile and table-water prestige.</t>
        </is>
      </c>
      <c r="E65" s="23" t="inlineStr">
        <is>
          <t>Electrolytes</t>
        </is>
      </c>
    </row>
    <row r="66" ht="30" customHeight="1">
      <c r="A66" s="29" t="inlineStr">
        <is>
          <t>5) Sparkling water &amp; soda</t>
        </is>
      </c>
      <c r="B66" s="15" t="inlineStr">
        <is>
          <t>San Pellegrino</t>
        </is>
      </c>
      <c r="C66" s="15" t="inlineStr">
        <is>
          <t>Sanpellegrino Aranciata (Italian Sparkling Drink)</t>
        </is>
      </c>
      <c r="D66" s="15" t="inlineStr">
        <is>
          <t>Premium imported fruit-soda taste with real juice.</t>
        </is>
      </c>
      <c r="E66" s="23" t="inlineStr">
        <is>
          <t>Taste reputation</t>
        </is>
      </c>
    </row>
    <row r="67" ht="30" customHeight="1">
      <c r="A67" s="29" t="inlineStr">
        <is>
          <t>5) Sparkling water &amp; soda</t>
        </is>
      </c>
      <c r="B67" s="15" t="inlineStr">
        <is>
          <t>Liquid Death</t>
        </is>
      </c>
      <c r="C67" s="15" t="inlineStr">
        <is>
          <t>Liquid Death Sparkling Water</t>
        </is>
      </c>
      <c r="D67" s="15" t="inlineStr">
        <is>
          <t>Brand attitude and packaging as much as the water itself.</t>
        </is>
      </c>
      <c r="E67" s="23" t="inlineStr">
        <is>
          <t>Brand trust</t>
        </is>
      </c>
    </row>
    <row r="68" ht="30" customHeight="1">
      <c r="A68" s="29" t="inlineStr">
        <is>
          <t>5) Sparkling water &amp; soda</t>
        </is>
      </c>
      <c r="B68" s="15" t="inlineStr">
        <is>
          <t>Liquid Death</t>
        </is>
      </c>
      <c r="C68" s="15" t="inlineStr">
        <is>
          <t>Liquid Death Mountain Water (Still)</t>
        </is>
      </c>
      <c r="D68" s="15" t="inlineStr">
        <is>
          <t>Buys the brand and the can, not just hydration.</t>
        </is>
      </c>
      <c r="E68" s="23" t="inlineStr">
        <is>
          <t>Brand trust</t>
        </is>
      </c>
    </row>
    <row r="69" ht="30" customHeight="1">
      <c r="A69" s="29" t="inlineStr">
        <is>
          <t>5) Sparkling water &amp; soda</t>
        </is>
      </c>
      <c r="B69" s="15" t="inlineStr">
        <is>
          <t>Topo Chico</t>
        </is>
      </c>
      <c r="C69" s="15" t="inlineStr">
        <is>
          <t>Topo Chico Mineral Water</t>
        </is>
      </c>
      <c r="D69" s="15" t="inlineStr">
        <is>
          <t>Hard carbonation and mixer credibility.</t>
        </is>
      </c>
      <c r="E69" s="23" t="inlineStr">
        <is>
          <t>Mixed</t>
        </is>
      </c>
    </row>
    <row r="70" ht="30" customHeight="1">
      <c r="A70" s="29" t="inlineStr">
        <is>
          <t>5) Sparkling water &amp; soda</t>
        </is>
      </c>
      <c r="B70" s="15" t="inlineStr">
        <is>
          <t>Polar</t>
        </is>
      </c>
      <c r="C70" s="15" t="inlineStr">
        <is>
          <t>Polar Seltzer</t>
        </is>
      </c>
      <c r="D70" s="15" t="inlineStr">
        <is>
          <t>Lots of flavours at a value price.</t>
        </is>
      </c>
      <c r="E70" s="23" t="inlineStr">
        <is>
          <t>Price / pack economics</t>
        </is>
      </c>
    </row>
    <row r="71" ht="30" customHeight="1">
      <c r="A71" s="29" t="inlineStr">
        <is>
          <t>5) Sparkling water &amp; soda</t>
        </is>
      </c>
      <c r="B71" s="15" t="inlineStr">
        <is>
          <t>AHA</t>
        </is>
      </c>
      <c r="C71" s="15" t="inlineStr">
        <is>
          <t>AHA Sparkling Water</t>
        </is>
      </c>
      <c r="D71" s="15" t="inlineStr">
        <is>
          <t>Unusual flavour pairings (and optional caffeine) at value price.</t>
        </is>
      </c>
      <c r="E71" s="23" t="inlineStr">
        <is>
          <t>Caffeine level</t>
        </is>
      </c>
    </row>
    <row r="72" ht="30" customHeight="1">
      <c r="A72" s="29" t="inlineStr">
        <is>
          <t>5) Sparkling water &amp; soda</t>
        </is>
      </c>
      <c r="B72" s="15" t="inlineStr">
        <is>
          <t>Montellier</t>
        </is>
      </c>
      <c r="C72" s="15" t="inlineStr">
        <is>
          <t>Montellier Carbonated Natural Spring Water</t>
        </is>
      </c>
      <c r="D72" s="15" t="inlineStr">
        <is>
          <t>Local Canadian sparkling water, often value priced.</t>
        </is>
      </c>
      <c r="E72" s="23" t="inlineStr">
        <is>
          <t>Price / pack economics</t>
        </is>
      </c>
    </row>
    <row r="73" ht="30" customHeight="1">
      <c r="A73" s="29" t="inlineStr">
        <is>
          <t>5) Sparkling water &amp; soda</t>
        </is>
      </c>
      <c r="B73" s="15" t="inlineStr">
        <is>
          <t>Eska</t>
        </is>
      </c>
      <c r="C73" s="15" t="inlineStr">
        <is>
          <t>Eska Sparkling Spring Water</t>
        </is>
      </c>
      <c r="D73" s="15" t="inlineStr">
        <is>
          <t>Canadian-sourced purity story.</t>
        </is>
      </c>
      <c r="E73" s="23" t="inlineStr">
        <is>
          <t>Mixed</t>
        </is>
      </c>
    </row>
    <row r="74" ht="30" customHeight="1">
      <c r="A74" s="29" t="inlineStr">
        <is>
          <t>5) Sparkling water &amp; soda</t>
        </is>
      </c>
      <c r="B74" s="15" t="inlineStr">
        <is>
          <t>Coca-Cola</t>
        </is>
      </c>
      <c r="C74" s="15" t="inlineStr">
        <is>
          <t>Coca-Cola Classic</t>
        </is>
      </c>
      <c r="D74" s="15" t="inlineStr">
        <is>
          <t>Universal taste and brand - the soda baseline.</t>
        </is>
      </c>
      <c r="E74" s="23" t="inlineStr">
        <is>
          <t>Brand trust</t>
        </is>
      </c>
    </row>
    <row r="75" ht="30" customHeight="1">
      <c r="A75" s="29" t="inlineStr">
        <is>
          <t>5) Sparkling water &amp; soda</t>
        </is>
      </c>
      <c r="B75" s="15" t="inlineStr">
        <is>
          <t>Zevia</t>
        </is>
      </c>
      <c r="C75" s="15" t="inlineStr">
        <is>
          <t>Zevia Zero Calorie Soda</t>
        </is>
      </c>
      <c r="D75" s="15" t="inlineStr">
        <is>
          <t>Full soda flavour, zero sugar, no artificial sweeteners.</t>
        </is>
      </c>
      <c r="E75" s="23" t="inlineStr">
        <is>
          <t>No / low sugar</t>
        </is>
      </c>
    </row>
    <row r="76" ht="30" customHeight="1">
      <c r="A76" s="29" t="inlineStr">
        <is>
          <t>5) Sparkling water &amp; soda</t>
        </is>
      </c>
      <c r="B76" s="15" t="inlineStr">
        <is>
          <t>Nixie</t>
        </is>
      </c>
      <c r="C76" s="15" t="inlineStr">
        <is>
          <t>Nixie Organic Sparkling Water</t>
        </is>
      </c>
      <c r="D76" s="15" t="inlineStr">
        <is>
          <t>Organic certification in a plain-seltzer field that mostly isn't.</t>
        </is>
      </c>
      <c r="E76" s="23" t="inlineStr">
        <is>
          <t>Clean label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1" t="inlineStr">
        <is>
          <t>High</t>
        </is>
      </c>
      <c r="B13" s="15" t="inlineStr">
        <is>
          <t>Red Bull</t>
        </is>
      </c>
      <c r="C13" s="15" t="inlineStr">
        <is>
          <t>Red Bull Sugarfree</t>
        </is>
      </c>
      <c r="D13" s="15" t="inlineStr">
        <is>
          <t>4) Caffeine &amp; energy beverage</t>
        </is>
      </c>
      <c r="E13" s="15" t="inlineStr">
        <is>
          <t>Strong line extension of #1 brand</t>
        </is>
      </c>
    </row>
    <row r="14" ht="26" customHeight="1">
      <c r="A14" s="31" t="inlineStr">
        <is>
          <t>High</t>
        </is>
      </c>
      <c r="B14" s="15" t="inlineStr">
        <is>
          <t>Celsius</t>
        </is>
      </c>
      <c r="C14" s="15" t="inlineStr">
        <is>
          <t>Celsius Essentials</t>
        </is>
      </c>
      <c r="D14" s="15" t="inlineStr">
        <is>
          <t>4) Caffeine &amp; energy beverage</t>
        </is>
      </c>
      <c r="E14" s="15" t="inlineStr">
        <is>
          <t>Higher-dose line riding Celsius momentum</t>
        </is>
      </c>
    </row>
    <row r="15" ht="26" customHeight="1">
      <c r="A15" s="31" t="inlineStr">
        <is>
          <t>High</t>
        </is>
      </c>
      <c r="B15" s="15" t="inlineStr">
        <is>
          <t>Prime</t>
        </is>
      </c>
      <c r="C15" s="15" t="inlineStr">
        <is>
          <t>Prime Energy</t>
        </is>
      </c>
      <c r="D15" s="15" t="inlineStr">
        <is>
          <t>4) Caffeine &amp; energy beverage</t>
        </is>
      </c>
      <c r="E15" s="15" t="inlineStr">
        <is>
          <t>Influencer-driven (Logan Paul/KSI); youth pull</t>
        </is>
      </c>
    </row>
    <row r="16" ht="26" customHeight="1">
      <c r="A16" s="31" t="inlineStr">
        <is>
          <t>High</t>
        </is>
      </c>
      <c r="B16" s="15" t="inlineStr">
        <is>
          <t>Alani Nu</t>
        </is>
      </c>
      <c r="C16" s="15" t="inlineStr">
        <is>
          <t>Alani Nu Energy</t>
        </is>
      </c>
      <c r="D16" s="15" t="inlineStr">
        <is>
          <t>4) Caffeine &amp; energy beverage</t>
        </is>
      </c>
      <c r="E16" s="15" t="inlineStr">
        <is>
          <t>Fast-growing; strong female demographic &amp; flavours</t>
        </is>
      </c>
    </row>
    <row r="17" ht="26" customHeight="1">
      <c r="A17" s="31" t="inlineStr">
        <is>
          <t>High</t>
        </is>
      </c>
      <c r="B17" s="15" t="inlineStr">
        <is>
          <t>Starbucks</t>
        </is>
      </c>
      <c r="C17" s="15" t="inlineStr">
        <is>
          <t>Starbucks Doubleshot Espresso</t>
        </is>
      </c>
      <c r="D17" s="15" t="inlineStr">
        <is>
          <t>4) Caffeine &amp; energy beverage</t>
        </is>
      </c>
      <c r="E17" s="15" t="inlineStr">
        <is>
          <t>Coffee-energy crossover; broad mainstream appeal</t>
        </is>
      </c>
    </row>
    <row r="18" ht="26" customHeight="1">
      <c r="A18" s="31" t="inlineStr">
        <is>
          <t>High</t>
        </is>
      </c>
      <c r="B18" s="15" t="inlineStr">
        <is>
          <t>Ghost</t>
        </is>
      </c>
      <c r="C18" s="15" t="inlineStr">
        <is>
          <t>Ghost Energy</t>
        </is>
      </c>
      <c r="D18" s="15" t="inlineStr">
        <is>
          <t>4) Caffeine &amp; energy beverage</t>
        </is>
      </c>
      <c r="E18" s="15" t="inlineStr">
        <is>
          <t>Fast-growing lifestyle brand; strong flavour licensing</t>
        </is>
      </c>
    </row>
    <row r="19" ht="26" customHeight="1">
      <c r="A19" s="31" t="inlineStr">
        <is>
          <t>High</t>
        </is>
      </c>
      <c r="B19" s="15" t="inlineStr">
        <is>
          <t>Powerade</t>
        </is>
      </c>
      <c r="C19" s="15" t="inlineStr">
        <is>
          <t>Powerade Mountain Berry Blast</t>
        </is>
      </c>
      <c r="D19" s="15" t="inlineStr">
        <is>
          <t>2) Electrolyte beverage (RTD)</t>
        </is>
      </c>
      <c r="E19" s="15" t="inlineStr">
        <is>
          <t>Strong #2; Coca-Cola distribution &amp; price</t>
        </is>
      </c>
    </row>
    <row r="20" ht="26" customHeight="1">
      <c r="A20" s="31" t="inlineStr">
        <is>
          <t>High</t>
        </is>
      </c>
      <c r="B20" s="15" t="inlineStr">
        <is>
          <t>Powerade</t>
        </is>
      </c>
      <c r="C20" s="15" t="inlineStr">
        <is>
          <t>Powerade Zero</t>
        </is>
      </c>
      <c r="D20" s="15" t="inlineStr">
        <is>
          <t>2) Electrolyte beverage (RTD)</t>
        </is>
      </c>
      <c r="E20" s="15" t="inlineStr">
        <is>
          <t>Popular zero-sugar value option</t>
        </is>
      </c>
    </row>
    <row r="21" ht="26" customHeight="1">
      <c r="A21" s="31" t="inlineStr">
        <is>
          <t>High</t>
        </is>
      </c>
      <c r="B21" s="15" t="inlineStr">
        <is>
          <t>BODYARMOR</t>
        </is>
      </c>
      <c r="C21" s="15" t="inlineStr">
        <is>
          <t>BODYARMOR Sports Drink</t>
        </is>
      </c>
      <c r="D21" s="15" t="inlineStr">
        <is>
          <t>2) Electrolyte beverage (RTD)</t>
        </is>
      </c>
      <c r="E21" s="15" t="inlineStr">
        <is>
          <t>Fast-growing premium sports drink (Coca-Cola owned)</t>
        </is>
      </c>
    </row>
    <row r="22" ht="26" customHeight="1">
      <c r="A22" s="31" t="inlineStr">
        <is>
          <t>High</t>
        </is>
      </c>
      <c r="B22" s="15" t="inlineStr">
        <is>
          <t>Prime</t>
        </is>
      </c>
      <c r="C22" s="15" t="inlineStr">
        <is>
          <t>Prime Hydration</t>
        </is>
      </c>
      <c r="D22" s="15" t="inlineStr">
        <is>
          <t>2) Electrolyte beverage (RTD)</t>
        </is>
      </c>
      <c r="E22" s="15" t="inlineStr">
        <is>
          <t>Influencer hype; strong youth pull</t>
        </is>
      </c>
    </row>
    <row r="23" ht="26" customHeight="1">
      <c r="A23" s="31" t="inlineStr">
        <is>
          <t>High</t>
        </is>
      </c>
      <c r="B23" s="15" t="inlineStr">
        <is>
          <t>Pedialyte</t>
        </is>
      </c>
      <c r="C23" s="15" t="inlineStr">
        <is>
          <t>Pedialyte Electrolyte Solution</t>
        </is>
      </c>
      <c r="D23" s="15" t="inlineStr">
        <is>
          <t>2) Electrolyte beverage (RTD)</t>
        </is>
      </c>
      <c r="E23" s="15" t="inlineStr">
        <is>
          <t>Trusted clinical rehydration; year-round + flu-season spikes</t>
        </is>
      </c>
    </row>
    <row r="24" ht="26" customHeight="1">
      <c r="A24" s="31" t="inlineStr">
        <is>
          <t>High</t>
        </is>
      </c>
      <c r="B24" s="15" t="inlineStr">
        <is>
          <t>Vita Coco</t>
        </is>
      </c>
      <c r="C24" s="15" t="inlineStr">
        <is>
          <t>Vita Coco Pure Coconut Water</t>
        </is>
      </c>
      <c r="D24" s="15" t="inlineStr">
        <is>
          <t>2) Electrolyte beverage (RTD)</t>
        </is>
      </c>
      <c r="E24" s="15" t="inlineStr">
        <is>
          <t>Market-leading coconut water; mainstream</t>
        </is>
      </c>
    </row>
    <row r="25" ht="26" customHeight="1">
      <c r="A25" s="31" t="inlineStr">
        <is>
          <t>High</t>
        </is>
      </c>
      <c r="B25" s="15" t="inlineStr">
        <is>
          <t>Electrolit</t>
        </is>
      </c>
      <c r="C25" s="15" t="inlineStr">
        <is>
          <t>Electrolit Hydration Beverage</t>
        </is>
      </c>
      <c r="D25" s="15" t="inlineStr">
        <is>
          <t>2) Electrolyte beverage (RTD)</t>
        </is>
      </c>
      <c r="E25" s="15" t="inlineStr">
        <is>
          <t>Fast-growing Mexican import; strong Amazon momentum</t>
        </is>
      </c>
    </row>
    <row r="26" ht="26" customHeight="1">
      <c r="A26" s="31" t="inlineStr">
        <is>
          <t>High</t>
        </is>
      </c>
      <c r="B26" s="15" t="inlineStr">
        <is>
          <t>GT's</t>
        </is>
      </c>
      <c r="C26" s="15" t="inlineStr">
        <is>
          <t>GT's Synergy Raw Kombucha</t>
        </is>
      </c>
      <c r="D26" s="15" t="inlineStr">
        <is>
          <t>3) Functional beverage (still/sparkling)</t>
        </is>
      </c>
      <c r="E26" s="15" t="inlineStr">
        <is>
          <t>Kombucha category leader</t>
        </is>
      </c>
    </row>
    <row r="27" ht="26" customHeight="1">
      <c r="A27" s="31" t="inlineStr">
        <is>
          <t>High</t>
        </is>
      </c>
      <c r="B27" s="15" t="inlineStr">
        <is>
          <t>vitaminwater</t>
        </is>
      </c>
      <c r="C27" s="15" t="inlineStr">
        <is>
          <t>vitaminwater (glaceau)</t>
        </is>
      </c>
      <c r="D27" s="15" t="inlineStr">
        <is>
          <t>3) Functional beverage (still/sparkling)</t>
        </is>
      </c>
      <c r="E27" s="15" t="inlineStr">
        <is>
          <t>Established functional water; mass distribution</t>
        </is>
      </c>
    </row>
    <row r="28" ht="26" customHeight="1">
      <c r="A28" s="31" t="inlineStr">
        <is>
          <t>High</t>
        </is>
      </c>
      <c r="B28" s="15" t="inlineStr">
        <is>
          <t>vitaminwater</t>
        </is>
      </c>
      <c r="C28" s="15" t="inlineStr">
        <is>
          <t>vitaminwater zero sugar</t>
        </is>
      </c>
      <c r="D28" s="15" t="inlineStr">
        <is>
          <t>3) Functional beverage (still/sparkling)</t>
        </is>
      </c>
      <c r="E28" s="15" t="inlineStr">
        <is>
          <t>Strong zero-sugar variant</t>
        </is>
      </c>
    </row>
    <row r="29" ht="26" customHeight="1">
      <c r="A29" s="31" t="inlineStr">
        <is>
          <t>High</t>
        </is>
      </c>
      <c r="B29" s="15" t="inlineStr">
        <is>
          <t>Spindrift</t>
        </is>
      </c>
      <c r="C29" s="15" t="inlineStr">
        <is>
          <t>Spindrift Sparkling Water</t>
        </is>
      </c>
      <c r="D29" s="15" t="inlineStr">
        <is>
          <t>5) Sparkling water &amp; soda</t>
        </is>
      </c>
      <c r="E29" s="15" t="inlineStr">
        <is>
          <t>Premium real-fruit seltzer; strong loyalty</t>
        </is>
      </c>
    </row>
    <row r="30" ht="26" customHeight="1">
      <c r="A30" s="31" t="inlineStr">
        <is>
          <t>High</t>
        </is>
      </c>
      <c r="B30" s="15" t="inlineStr">
        <is>
          <t>Perrier</t>
        </is>
      </c>
      <c r="C30" s="15" t="inlineStr">
        <is>
          <t>Perrier Carbonated Mineral Water</t>
        </is>
      </c>
      <c r="D30" s="15" t="inlineStr">
        <is>
          <t>5) Sparkling water &amp; soda</t>
        </is>
      </c>
      <c r="E30" s="15" t="inlineStr">
        <is>
          <t>Iconic premium mineral water; mainstream + horeca</t>
        </is>
      </c>
    </row>
    <row r="31" ht="26" customHeight="1">
      <c r="A31" s="31" t="inlineStr">
        <is>
          <t>High</t>
        </is>
      </c>
      <c r="B31" s="15" t="inlineStr">
        <is>
          <t>San Pellegrino</t>
        </is>
      </c>
      <c r="C31" s="15" t="inlineStr">
        <is>
          <t>S.Pellegrino Sparkling Natural Mineral Water</t>
        </is>
      </c>
      <c r="D31" s="15" t="inlineStr">
        <is>
          <t>5) Sparkling water &amp; soda</t>
        </is>
      </c>
      <c r="E31" s="15" t="inlineStr">
        <is>
          <t>Premium mineral water; dining staple</t>
        </is>
      </c>
    </row>
    <row r="32" ht="26" customHeight="1">
      <c r="A32" s="31" t="inlineStr">
        <is>
          <t>High</t>
        </is>
      </c>
      <c r="B32" s="15" t="inlineStr">
        <is>
          <t>Liquid Death</t>
        </is>
      </c>
      <c r="C32" s="15" t="inlineStr">
        <is>
          <t>Liquid Death Sparkling Water</t>
        </is>
      </c>
      <c r="D32" s="15" t="inlineStr">
        <is>
          <t>5) Sparkling water &amp; soda</t>
        </is>
      </c>
      <c r="E32" s="15" t="inlineStr">
        <is>
          <t>Viral brand; huge cultural pull beyond product</t>
        </is>
      </c>
    </row>
    <row r="33" ht="26" customHeight="1">
      <c r="A33" s="31" t="inlineStr">
        <is>
          <t>High</t>
        </is>
      </c>
      <c r="B33" s="15" t="inlineStr">
        <is>
          <t>Liquid Death</t>
        </is>
      </c>
      <c r="C33" s="15" t="inlineStr">
        <is>
          <t>Liquid Death Mountain Water (Still)</t>
        </is>
      </c>
      <c r="D33" s="15" t="inlineStr">
        <is>
          <t>5) Sparkling water &amp; soda</t>
        </is>
      </c>
      <c r="E33" s="15" t="inlineStr">
        <is>
          <t>Viral brand halo on plain water</t>
        </is>
      </c>
    </row>
    <row r="34" ht="26" customHeight="1">
      <c r="A34" s="31" t="inlineStr">
        <is>
          <t>High</t>
        </is>
      </c>
      <c r="B34" s="15" t="inlineStr">
        <is>
          <t>Sparkling Ice</t>
        </is>
      </c>
      <c r="C34" s="15" t="inlineStr">
        <is>
          <t>Sparkling Ice (+ Antioxidants &amp; Vitamins)</t>
        </is>
      </c>
      <c r="D34" s="15" t="inlineStr">
        <is>
          <t>1) Sparkling electrolyte / functional sparkling</t>
        </is>
      </c>
      <c r="E34" s="15" t="inlineStr">
        <is>
          <t>Mass-market functional sparkling; strong shelf share</t>
        </is>
      </c>
    </row>
    <row r="35" ht="26" customHeight="1">
      <c r="A35" s="32" t="inlineStr">
        <is>
          <t>Medium</t>
        </is>
      </c>
      <c r="B35" s="15" t="inlineStr">
        <is>
          <t>C4</t>
        </is>
      </c>
      <c r="C35" s="15" t="inlineStr">
        <is>
          <t>C4 Energy (Performance)</t>
        </is>
      </c>
      <c r="D35" s="15" t="inlineStr">
        <is>
          <t>4) Caffeine &amp; energy beverage</t>
        </is>
      </c>
      <c r="E35" s="15" t="inlineStr">
        <is>
          <t>Strong in fitness/pre-workout niche</t>
        </is>
      </c>
    </row>
    <row r="36" ht="26" customHeight="1">
      <c r="A36" s="32" t="inlineStr">
        <is>
          <t>Medium</t>
        </is>
      </c>
      <c r="B36" s="15" t="inlineStr">
        <is>
          <t>Reign</t>
        </is>
      </c>
      <c r="C36" s="15" t="inlineStr">
        <is>
          <t>Reign Total Body Fuel</t>
        </is>
      </c>
      <c r="D36" s="15" t="inlineStr">
        <is>
          <t>4) Caffeine &amp; energy beverage</t>
        </is>
      </c>
      <c r="E36" s="15" t="inlineStr">
        <is>
          <t>Performance line under Monster umbrella</t>
        </is>
      </c>
    </row>
    <row r="37" ht="26" customHeight="1">
      <c r="A37" s="32" t="inlineStr">
        <is>
          <t>Medium</t>
        </is>
      </c>
      <c r="B37" s="15" t="inlineStr">
        <is>
          <t>Bang</t>
        </is>
      </c>
      <c r="C37" s="15" t="inlineStr">
        <is>
          <t>Bang Energy</t>
        </is>
      </c>
      <c r="D37" s="15" t="inlineStr">
        <is>
          <t>4) Caffeine &amp; energy beverage</t>
        </is>
      </c>
      <c r="E37" s="15" t="inlineStr">
        <is>
          <t>Declining vs peak but still high volume</t>
        </is>
      </c>
    </row>
    <row r="38" ht="26" customHeight="1">
      <c r="A38" s="32" t="inlineStr">
        <is>
          <t>Medium</t>
        </is>
      </c>
      <c r="B38" s="15" t="inlineStr">
        <is>
          <t>Rockstar</t>
        </is>
      </c>
      <c r="C38" s="15" t="inlineStr">
        <is>
          <t>Rockstar Energy</t>
        </is>
      </c>
      <c r="D38" s="15" t="inlineStr">
        <is>
          <t>4) Caffeine &amp; energy beverage</t>
        </is>
      </c>
      <c r="E38" s="15" t="inlineStr">
        <is>
          <t>Legacy brand; PepsiCo distribution</t>
        </is>
      </c>
    </row>
    <row r="39" ht="26" customHeight="1">
      <c r="A39" s="32" t="inlineStr">
        <is>
          <t>Medium</t>
        </is>
      </c>
      <c r="B39" s="15" t="inlineStr">
        <is>
          <t>GURU</t>
        </is>
      </c>
      <c r="C39" s="15" t="inlineStr">
        <is>
          <t>GURU Organic Energy</t>
        </is>
      </c>
      <c r="D39" s="15" t="inlineStr">
        <is>
          <t>4) Caffeine &amp; energy beverage</t>
        </is>
      </c>
      <c r="E39" s="15" t="inlineStr">
        <is>
          <t>Canadian brand; natural/organic niche leader at home</t>
        </is>
      </c>
    </row>
    <row r="40" ht="26" customHeight="1">
      <c r="A40" s="32" t="inlineStr">
        <is>
          <t>Medium</t>
        </is>
      </c>
      <c r="B40" s="15" t="inlineStr">
        <is>
          <t>Guayaki</t>
        </is>
      </c>
      <c r="C40" s="15" t="inlineStr">
        <is>
          <t>Guayaki Yerba Mate</t>
        </is>
      </c>
      <c r="D40" s="15" t="inlineStr">
        <is>
          <t>4) Caffeine &amp; energy beverage</t>
        </is>
      </c>
      <c r="E40" s="15" t="inlineStr">
        <is>
          <t>Strong natural-channel following</t>
        </is>
      </c>
    </row>
    <row r="41" ht="26" customHeight="1">
      <c r="A41" s="32" t="inlineStr">
        <is>
          <t>Medium</t>
        </is>
      </c>
      <c r="B41" s="15" t="inlineStr">
        <is>
          <t>ZOA</t>
        </is>
      </c>
      <c r="C41" s="15" t="inlineStr">
        <is>
          <t>ZOA Zero Sugar Energy</t>
        </is>
      </c>
      <c r="D41" s="15" t="inlineStr">
        <is>
          <t>4) Caffeine &amp; energy beverage</t>
        </is>
      </c>
      <c r="E41" s="15" t="inlineStr">
        <is>
          <t>Celebrity-founded; wellness-energy positioning</t>
        </is>
      </c>
    </row>
    <row r="42" ht="26" customHeight="1">
      <c r="A42" s="32" t="inlineStr">
        <is>
          <t>Medium</t>
        </is>
      </c>
      <c r="B42" s="15" t="inlineStr">
        <is>
          <t>BODYARMOR</t>
        </is>
      </c>
      <c r="C42" s="15" t="inlineStr">
        <is>
          <t>BODYARMOR LYTE</t>
        </is>
      </c>
      <c r="D42" s="15" t="inlineStr">
        <is>
          <t>2) Electrolyte beverage (RTD)</t>
        </is>
      </c>
      <c r="E42" s="15" t="inlineStr">
        <is>
          <t>Low-sugar variant of fast-grower</t>
        </is>
      </c>
    </row>
    <row r="43" ht="26" customHeight="1">
      <c r="A43" s="32" t="inlineStr">
        <is>
          <t>Medium</t>
        </is>
      </c>
      <c r="B43" s="15" t="inlineStr">
        <is>
          <t>BioSteel</t>
        </is>
      </c>
      <c r="C43" s="15" t="inlineStr">
        <is>
          <t>BioSteel Sports Drink (RTD)</t>
        </is>
      </c>
      <c r="D43" s="15" t="inlineStr">
        <is>
          <t>2) Electrolyte beverage (RTD)</t>
        </is>
      </c>
      <c r="E43" s="15" t="inlineStr">
        <is>
          <t>Canadian brand; strong domestic hockey/sports tie-ins</t>
        </is>
      </c>
    </row>
    <row r="44" ht="26" customHeight="1">
      <c r="A44" s="32" t="inlineStr">
        <is>
          <t>Medium</t>
        </is>
      </c>
      <c r="B44" s="15" t="inlineStr">
        <is>
          <t>Gatorade</t>
        </is>
      </c>
      <c r="C44" s="15" t="inlineStr">
        <is>
          <t>Gatorlyte Rapid Rehydration</t>
        </is>
      </c>
      <c r="D44" s="15" t="inlineStr">
        <is>
          <t>2) Electrolyte beverage (RTD)</t>
        </is>
      </c>
      <c r="E44" s="15" t="inlineStr">
        <is>
          <t>Premium rapid-rehydration line</t>
        </is>
      </c>
    </row>
    <row r="45" ht="26" customHeight="1">
      <c r="A45" s="32" t="inlineStr">
        <is>
          <t>Medium</t>
        </is>
      </c>
      <c r="B45" s="15" t="inlineStr">
        <is>
          <t>Gatorade</t>
        </is>
      </c>
      <c r="C45" s="15" t="inlineStr">
        <is>
          <t>Gatorade Fit Electrolyte Beverage</t>
        </is>
      </c>
      <c r="D45" s="15" t="inlineStr">
        <is>
          <t>2) Electrolyte beverage (RTD)</t>
        </is>
      </c>
      <c r="E45" s="15" t="inlineStr">
        <is>
          <t>Clean-label line targeting wellness shoppers</t>
        </is>
      </c>
    </row>
    <row r="46" ht="26" customHeight="1">
      <c r="A46" s="32" t="inlineStr">
        <is>
          <t>Medium</t>
        </is>
      </c>
      <c r="B46" s="15" t="inlineStr">
        <is>
          <t>Culture Pop</t>
        </is>
      </c>
      <c r="C46" s="15" t="inlineStr">
        <is>
          <t>Culture Pop Probiotic Soda</t>
        </is>
      </c>
      <c r="D46" s="15" t="inlineStr">
        <is>
          <t>3) Functional beverage (still/sparkling)</t>
        </is>
      </c>
      <c r="E46" s="15" t="inlineStr">
        <is>
          <t>Emerging; differentiates on real-juice/no-stevia</t>
        </is>
      </c>
    </row>
    <row r="47" ht="26" customHeight="1">
      <c r="A47" s="32" t="inlineStr">
        <is>
          <t>Medium</t>
        </is>
      </c>
      <c r="B47" s="15" t="inlineStr">
        <is>
          <t>Health-Ade</t>
        </is>
      </c>
      <c r="C47" s="15" t="inlineStr">
        <is>
          <t>Health-Ade Kombucha</t>
        </is>
      </c>
      <c r="D47" s="15" t="inlineStr">
        <is>
          <t>3) Functional beverage (still/sparkling)</t>
        </is>
      </c>
      <c r="E47" s="15" t="inlineStr">
        <is>
          <t>Premium kombucha; strong natural channel</t>
        </is>
      </c>
    </row>
    <row r="48" ht="26" customHeight="1">
      <c r="A48" s="32" t="inlineStr">
        <is>
          <t>Medium</t>
        </is>
      </c>
      <c r="B48" s="15" t="inlineStr">
        <is>
          <t>Remedy</t>
        </is>
      </c>
      <c r="C48" s="15" t="inlineStr">
        <is>
          <t>Remedy Kombucha</t>
        </is>
      </c>
      <c r="D48" s="15" t="inlineStr">
        <is>
          <t>3) Functional beverage (still/sparkling)</t>
        </is>
      </c>
      <c r="E48" s="15" t="inlineStr">
        <is>
          <t>Sugar-free kombucha differentiator</t>
        </is>
      </c>
    </row>
    <row r="49" ht="26" customHeight="1">
      <c r="A49" s="32" t="inlineStr">
        <is>
          <t>Medium</t>
        </is>
      </c>
      <c r="B49" s="15" t="inlineStr">
        <is>
          <t>Recess</t>
        </is>
      </c>
      <c r="C49" s="15" t="inlineStr">
        <is>
          <t>Recess Mood</t>
        </is>
      </c>
      <c r="D49" s="15" t="inlineStr">
        <is>
          <t>3) Functional beverage (still/sparkling)</t>
        </is>
      </c>
      <c r="E49" s="15" t="inlineStr">
        <is>
          <t>Leading calming/adaptogen sparkling brand</t>
        </is>
      </c>
    </row>
    <row r="50" ht="26" customHeight="1">
      <c r="A50" s="32" t="inlineStr">
        <is>
          <t>Medium</t>
        </is>
      </c>
      <c r="B50" s="15" t="inlineStr">
        <is>
          <t>Protein2o</t>
        </is>
      </c>
      <c r="C50" s="15" t="inlineStr">
        <is>
          <t>Protein2o Protein Infused Water</t>
        </is>
      </c>
      <c r="D50" s="15" t="inlineStr">
        <is>
          <t>3) Functional beverage (still/sparkling)</t>
        </is>
      </c>
      <c r="E50" s="15" t="inlineStr">
        <is>
          <t>Leading protein-water; fitness shoppers</t>
        </is>
      </c>
    </row>
    <row r="51" ht="26" customHeight="1">
      <c r="A51" s="32" t="inlineStr">
        <is>
          <t>Medium</t>
        </is>
      </c>
      <c r="B51" s="15" t="inlineStr">
        <is>
          <t>Bai</t>
        </is>
      </c>
      <c r="C51" s="15" t="inlineStr">
        <is>
          <t>Bai Antioxidant Infusion</t>
        </is>
      </c>
      <c r="D51" s="15" t="inlineStr">
        <is>
          <t>3) Functional beverage (still/sparkling)</t>
        </is>
      </c>
      <c r="E51" s="15" t="inlineStr">
        <is>
          <t>Established low-sugar functional flavoured water</t>
        </is>
      </c>
    </row>
    <row r="52" ht="26" customHeight="1">
      <c r="A52" s="32" t="inlineStr">
        <is>
          <t>Medium</t>
        </is>
      </c>
      <c r="B52" s="15" t="inlineStr">
        <is>
          <t>Hint</t>
        </is>
      </c>
      <c r="C52" s="15" t="inlineStr">
        <is>
          <t>Hint Water (fruit-infused)</t>
        </is>
      </c>
      <c r="D52" s="15" t="inlineStr">
        <is>
          <t>3) Functional beverage (still/sparkling)</t>
        </is>
      </c>
      <c r="E52" s="15" t="inlineStr">
        <is>
          <t>Leading unsweetened flavoured water</t>
        </is>
      </c>
    </row>
    <row r="53" ht="26" customHeight="1">
      <c r="A53" s="32" t="inlineStr">
        <is>
          <t>Medium</t>
        </is>
      </c>
      <c r="B53" s="15" t="inlineStr">
        <is>
          <t>Waterloo</t>
        </is>
      </c>
      <c r="C53" s="15" t="inlineStr">
        <is>
          <t>Waterloo Sparkling Water</t>
        </is>
      </c>
      <c r="D53" s="15" t="inlineStr">
        <is>
          <t>5) Sparkling water &amp; soda</t>
        </is>
      </c>
      <c r="E53" s="15" t="inlineStr">
        <is>
          <t>Flavour-forward challenger; growing</t>
        </is>
      </c>
    </row>
    <row r="54" ht="26" customHeight="1">
      <c r="A54" s="32" t="inlineStr">
        <is>
          <t>Medium</t>
        </is>
      </c>
      <c r="B54" s="15" t="inlineStr">
        <is>
          <t>San Pellegrino</t>
        </is>
      </c>
      <c r="C54" s="15" t="inlineStr">
        <is>
          <t>Sanpellegrino Aranciata (Italian Sparkling Drink)</t>
        </is>
      </c>
      <c r="D54" s="15" t="inlineStr">
        <is>
          <t>5) Sparkling water &amp; soda</t>
        </is>
      </c>
      <c r="E54" s="15" t="inlineStr">
        <is>
          <t>Premium imported fruit soda; recognizable</t>
        </is>
      </c>
    </row>
    <row r="55" ht="26" customHeight="1">
      <c r="A55" s="32" t="inlineStr">
        <is>
          <t>Medium</t>
        </is>
      </c>
      <c r="B55" s="15" t="inlineStr">
        <is>
          <t>Topo Chico</t>
        </is>
      </c>
      <c r="C55" s="15" t="inlineStr">
        <is>
          <t>Topo Chico Mineral Water</t>
        </is>
      </c>
      <c r="D55" s="15" t="inlineStr">
        <is>
          <t>5) Sparkling water &amp; soda</t>
        </is>
      </c>
      <c r="E55" s="15" t="inlineStr">
        <is>
          <t>Cult mineral water; cocktail mixer crossover</t>
        </is>
      </c>
    </row>
    <row r="56" ht="26" customHeight="1">
      <c r="A56" s="32" t="inlineStr">
        <is>
          <t>Medium</t>
        </is>
      </c>
      <c r="B56" s="15" t="inlineStr">
        <is>
          <t>Polar</t>
        </is>
      </c>
      <c r="C56" s="15" t="inlineStr">
        <is>
          <t>Polar Seltzer</t>
        </is>
      </c>
      <c r="D56" s="15" t="inlineStr">
        <is>
          <t>5) Sparkling water &amp; soda</t>
        </is>
      </c>
      <c r="E56" s="15" t="inlineStr">
        <is>
          <t>Value seltzer with broad flavour range</t>
        </is>
      </c>
    </row>
    <row r="57" ht="26" customHeight="1">
      <c r="A57" s="32" t="inlineStr">
        <is>
          <t>Medium</t>
        </is>
      </c>
      <c r="B57" s="15" t="inlineStr">
        <is>
          <t>AHA</t>
        </is>
      </c>
      <c r="C57" s="15" t="inlineStr">
        <is>
          <t>AHA Sparkling Water</t>
        </is>
      </c>
      <c r="D57" s="15" t="inlineStr">
        <is>
          <t>5) Sparkling water &amp; soda</t>
        </is>
      </c>
      <c r="E57" s="15" t="inlineStr">
        <is>
          <t>Coca-Cola seltzer entry; broad distribution</t>
        </is>
      </c>
    </row>
    <row r="58" ht="26" customHeight="1">
      <c r="A58" s="32" t="inlineStr">
        <is>
          <t>Medium</t>
        </is>
      </c>
      <c r="B58" s="15" t="inlineStr">
        <is>
          <t>Montellier</t>
        </is>
      </c>
      <c r="C58" s="15" t="inlineStr">
        <is>
          <t>Montellier Carbonated Natural Spring Water</t>
        </is>
      </c>
      <c r="D58" s="15" t="inlineStr">
        <is>
          <t>5) Sparkling water &amp; soda</t>
        </is>
      </c>
      <c r="E58" s="15" t="inlineStr">
        <is>
          <t>Established Canadian sparkling brand (domestic strength)</t>
        </is>
      </c>
    </row>
    <row r="59" ht="26" customHeight="1">
      <c r="A59" s="32" t="inlineStr">
        <is>
          <t>Medium</t>
        </is>
      </c>
      <c r="B59" s="15" t="inlineStr">
        <is>
          <t>Zevia</t>
        </is>
      </c>
      <c r="C59" s="15" t="inlineStr">
        <is>
          <t>Zevia Zero Calorie Soda</t>
        </is>
      </c>
      <c r="D59" s="15" t="inlineStr">
        <is>
          <t>5) Sparkling water &amp; soda</t>
        </is>
      </c>
      <c r="E59" s="15" t="inlineStr">
        <is>
          <t>Leading naturally-sweetened diet soda</t>
        </is>
      </c>
    </row>
    <row r="60" ht="26" customHeight="1">
      <c r="A60" s="32" t="inlineStr">
        <is>
          <t>Medium</t>
        </is>
      </c>
      <c r="B60" s="15" t="inlineStr">
        <is>
          <t>BUBBL'R</t>
        </is>
      </c>
      <c r="C60" s="15" t="inlineStr">
        <is>
          <t>BUBBL'R Antioxidant Sparkling Water</t>
        </is>
      </c>
      <c r="D60" s="15" t="inlineStr">
        <is>
          <t>1) Sparkling electrolyte / functional sparkling</t>
        </is>
      </c>
      <c r="E60" s="15" t="inlineStr">
        <is>
          <t>Mid-caffeine functional sparkling; growing</t>
        </is>
      </c>
    </row>
    <row r="61" ht="26" customHeight="1">
      <c r="A61" s="32" t="inlineStr">
        <is>
          <t>Medium</t>
        </is>
      </c>
      <c r="B61" s="15" t="inlineStr">
        <is>
          <t>Phocus</t>
        </is>
      </c>
      <c r="C61" s="15" t="inlineStr">
        <is>
          <t>Phocus Caffeinated Sparkling Water</t>
        </is>
      </c>
      <c r="D61" s="15" t="inlineStr">
        <is>
          <t>1) Sparkling electrolyte / functional sparkling</t>
        </is>
      </c>
      <c r="E61" s="15" t="inlineStr">
        <is>
          <t>Niche caffeinated sparkling; focus positioning</t>
        </is>
      </c>
    </row>
    <row r="62" ht="26" customHeight="1">
      <c r="A62" s="33" t="inlineStr">
        <is>
          <t>Low</t>
        </is>
      </c>
      <c r="B62" s="15" t="inlineStr">
        <is>
          <t>NOS</t>
        </is>
      </c>
      <c r="C62" s="15" t="inlineStr">
        <is>
          <t>NOS Energy Drink</t>
        </is>
      </c>
      <c r="D62" s="15" t="inlineStr">
        <is>
          <t>4) Caffeine &amp; energy beverage</t>
        </is>
      </c>
      <c r="E62" s="15" t="inlineStr">
        <is>
          <t>Niche legacy brand, limited shelf share</t>
        </is>
      </c>
    </row>
    <row r="63" ht="26" customHeight="1">
      <c r="A63" s="33" t="inlineStr">
        <is>
          <t>Low</t>
        </is>
      </c>
      <c r="B63" s="15" t="inlineStr">
        <is>
          <t>Zevia</t>
        </is>
      </c>
      <c r="C63" s="15" t="inlineStr">
        <is>
          <t>Zevia Energy</t>
        </is>
      </c>
      <c r="D63" s="15" t="inlineStr">
        <is>
          <t>4) Caffeine &amp; energy beverage</t>
        </is>
      </c>
      <c r="E63" s="15" t="inlineStr">
        <is>
          <t>Niche clean-label energy; stevia differentiator</t>
        </is>
      </c>
    </row>
    <row r="64" ht="26" customHeight="1">
      <c r="A64" s="33" t="inlineStr">
        <is>
          <t>Low</t>
        </is>
      </c>
      <c r="B64" s="15" t="inlineStr">
        <is>
          <t>Roar Organic</t>
        </is>
      </c>
      <c r="C64" s="15" t="inlineStr">
        <is>
          <t>Roar Organic Electrolyte Infusions</t>
        </is>
      </c>
      <c r="D64" s="15" t="inlineStr">
        <is>
          <t>2) Electrolyte beverage (RTD)</t>
        </is>
      </c>
      <c r="E64" s="15" t="inlineStr">
        <is>
          <t>Emerging organic niche; modest shelf share</t>
        </is>
      </c>
    </row>
    <row r="65" ht="26" customHeight="1">
      <c r="A65" s="33" t="inlineStr">
        <is>
          <t>Low</t>
        </is>
      </c>
      <c r="B65" s="15" t="inlineStr">
        <is>
          <t>CWENCH</t>
        </is>
      </c>
      <c r="C65" s="15" t="inlineStr">
        <is>
          <t>CWENCH Hydration</t>
        </is>
      </c>
      <c r="D65" s="15" t="inlineStr">
        <is>
          <t>2) Electrolyte beverage (RTD)</t>
        </is>
      </c>
      <c r="E65" s="15" t="inlineStr">
        <is>
          <t>New Canadian entrant; limited reviews/footprint</t>
        </is>
      </c>
    </row>
    <row r="66" ht="26" customHeight="1">
      <c r="A66" s="33" t="inlineStr">
        <is>
          <t>Low</t>
        </is>
      </c>
      <c r="B66" s="15" t="inlineStr">
        <is>
          <t>Mayawell</t>
        </is>
      </c>
      <c r="C66" s="15" t="inlineStr">
        <is>
          <t>Mayawell Prebiotic Soda</t>
        </is>
      </c>
      <c r="D66" s="15" t="inlineStr">
        <is>
          <t>3) Functional beverage (still/sparkling)</t>
        </is>
      </c>
      <c r="E66" s="15" t="inlineStr">
        <is>
          <t>Small emerging brand; limited footprint</t>
        </is>
      </c>
    </row>
    <row r="67" ht="26" customHeight="1">
      <c r="A67" s="33" t="inlineStr">
        <is>
          <t>Low</t>
        </is>
      </c>
      <c r="B67" s="15" t="inlineStr">
        <is>
          <t>De La Calle</t>
        </is>
      </c>
      <c r="C67" s="15" t="inlineStr">
        <is>
          <t>De La Calle Tepache</t>
        </is>
      </c>
      <c r="D67" s="15" t="inlineStr">
        <is>
          <t>3) Functional beverage (still/sparkling)</t>
        </is>
      </c>
      <c r="E67" s="15" t="inlineStr">
        <is>
          <t>Niche fermented-soda entrant</t>
        </is>
      </c>
    </row>
    <row r="68" ht="26" customHeight="1">
      <c r="A68" s="33" t="inlineStr">
        <is>
          <t>Low</t>
        </is>
      </c>
      <c r="B68" s="15" t="inlineStr">
        <is>
          <t>wildwonder</t>
        </is>
      </c>
      <c r="C68" s="15" t="inlineStr">
        <is>
          <t>wildwonder Sparkling Prebiotic+Probiotic</t>
        </is>
      </c>
      <c r="D68" s="15" t="inlineStr">
        <is>
          <t>3) Functional beverage (still/sparkling)</t>
        </is>
      </c>
      <c r="E68" s="15" t="inlineStr">
        <is>
          <t>Emerging female/AAPI-founded gut-health brand</t>
        </is>
      </c>
    </row>
    <row r="69" ht="26" customHeight="1">
      <c r="A69" s="33" t="inlineStr">
        <is>
          <t>Low</t>
        </is>
      </c>
      <c r="B69" s="15" t="inlineStr">
        <is>
          <t>Lemon Perfect</t>
        </is>
      </c>
      <c r="C69" s="15" t="inlineStr">
        <is>
          <t>Lemon Perfect Cold-Pressed Lemon Water</t>
        </is>
      </c>
      <c r="D69" s="15" t="inlineStr">
        <is>
          <t>3) Functional beverage (still/sparkling)</t>
        </is>
      </c>
      <c r="E69" s="15" t="inlineStr">
        <is>
          <t>Emerging functional lemon-water entrant</t>
        </is>
      </c>
    </row>
    <row r="70" ht="26" customHeight="1">
      <c r="A70" s="33" t="inlineStr">
        <is>
          <t>Low</t>
        </is>
      </c>
      <c r="B70" s="15" t="inlineStr">
        <is>
          <t>Eska</t>
        </is>
      </c>
      <c r="C70" s="15" t="inlineStr">
        <is>
          <t>Eska Sparkling Spring Water</t>
        </is>
      </c>
      <c r="D70" s="15" t="inlineStr">
        <is>
          <t>5) Sparkling water &amp; soda</t>
        </is>
      </c>
      <c r="E70" s="15" t="inlineStr">
        <is>
          <t>Canadian regional brand; modest reach</t>
        </is>
      </c>
    </row>
    <row r="71" ht="26" customHeight="1">
      <c r="A71" s="33" t="inlineStr">
        <is>
          <t>Low</t>
        </is>
      </c>
      <c r="B71" s="15" t="inlineStr">
        <is>
          <t>Nixie</t>
        </is>
      </c>
      <c r="C71" s="15" t="inlineStr">
        <is>
          <t>Nixie Organic Sparkling Water</t>
        </is>
      </c>
      <c r="D71" s="15" t="inlineStr">
        <is>
          <t>5) Sparkling water &amp; soda</t>
        </is>
      </c>
      <c r="E71" s="15" t="inlineStr">
        <is>
          <t>Small organic-certified seltzer niche</t>
        </is>
      </c>
    </row>
    <row r="72" ht="26" customHeight="1">
      <c r="A72" s="33" t="inlineStr">
        <is>
          <t>Low</t>
        </is>
      </c>
      <c r="B72" s="15" t="inlineStr">
        <is>
          <t>Aura Bora</t>
        </is>
      </c>
      <c r="C72" s="15" t="inlineStr">
        <is>
          <t>Aura Bora Herbal Sparkling Water</t>
        </is>
      </c>
      <c r="D72" s="15" t="inlineStr">
        <is>
          <t>1) Sparkling electrolyte / functional sparkling</t>
        </is>
      </c>
      <c r="E72" s="15" t="inlineStr">
        <is>
          <t>Emerging craft brand; small but loyal</t>
        </is>
      </c>
    </row>
    <row r="73" ht="26" customHeight="1">
      <c r="A73" s="33" t="inlineStr">
        <is>
          <t>Low</t>
        </is>
      </c>
      <c r="B73" s="15" t="inlineStr">
        <is>
          <t>Sound</t>
        </is>
      </c>
      <c r="C73" s="15" t="inlineStr">
        <is>
          <t>Sound Sparkling Water (Tea/Botanical)</t>
        </is>
      </c>
      <c r="D73" s="15" t="inlineStr">
        <is>
          <t>1) Sparkling electrolyte / functional sparkling</t>
        </is>
      </c>
      <c r="E73" s="15" t="inlineStr">
        <is>
          <t>Emerging unsweetened-botanical niche</t>
        </is>
      </c>
    </row>
    <row r="74" ht="26" customHeight="1">
      <c r="A74" s="33" t="inlineStr">
        <is>
          <t>Low</t>
        </is>
      </c>
      <c r="B74" s="15" t="inlineStr">
        <is>
          <t>Halo Sport</t>
        </is>
      </c>
      <c r="C74" s="15" t="inlineStr">
        <is>
          <t>Halo Sport Sparkling Electrolyte Water</t>
        </is>
      </c>
      <c r="D74" s="15" t="inlineStr">
        <is>
          <t>1) Sparkling electrolyte / functional sparkling</t>
        </is>
      </c>
      <c r="E74" s="15" t="inlineStr">
        <is>
          <t>Small emerging sparkling-electrolyte entrant</t>
        </is>
      </c>
    </row>
    <row r="75" ht="26" customHeight="1">
      <c r="A75" s="33" t="inlineStr">
        <is>
          <t>Low</t>
        </is>
      </c>
      <c r="B75" s="15" t="inlineStr">
        <is>
          <t>Gorgie</t>
        </is>
      </c>
      <c r="C75" s="15" t="inlineStr">
        <is>
          <t>Gorgie Energy Sparkling Water</t>
        </is>
      </c>
      <c r="D75" s="15" t="inlineStr">
        <is>
          <t>1) Sparkling electrolyte / functional sparkling</t>
        </is>
      </c>
      <c r="E75" s="15" t="inlineStr">
        <is>
          <t>New social-driven entrant; small footprint</t>
        </is>
      </c>
    </row>
    <row r="76" ht="26" customHeight="1">
      <c r="A76" s="33" t="inlineStr">
        <is>
          <t>Low</t>
        </is>
      </c>
      <c r="B76" s="15" t="inlineStr">
        <is>
          <t>United Sodas</t>
        </is>
      </c>
      <c r="C76" s="15" t="inlineStr">
        <is>
          <t>United Sodas of America</t>
        </is>
      </c>
      <c r="D76" s="15" t="inlineStr">
        <is>
          <t>1) Sparkling electrolyte / functional sparkling</t>
        </is>
      </c>
      <c r="E76" s="15" t="inlineStr">
        <is>
          <t>Niche premium soda; design-led</t>
        </is>
      </c>
    </row>
    <row r="78">
      <c r="A78" s="26" t="inlineStr">
        <is>
          <t>ESTIMATE ONLY. Bands inferred from brand prominence/category position (live review counts &amp; BSR not accessible). Re-derive from real #Ratings + BSR. Not a unit count.</t>
        </is>
      </c>
      <c r="B78" s="27" t="n"/>
      <c r="C78" s="27" t="n"/>
      <c r="D78" s="27" t="n"/>
      <c r="E78" s="28" t="n"/>
    </row>
  </sheetData>
  <mergeCells count="1">
    <mergeCell ref="A78:E7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P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AHA</t>
        </is>
      </c>
      <c r="B2" s="34" t="inlineStr"/>
      <c r="C2" s="35" t="inlineStr">
        <is>
          <t>X</t>
        </is>
      </c>
      <c r="D2" s="34" t="inlineStr"/>
      <c r="E2" s="34" t="inlineStr"/>
      <c r="F2" s="35" t="inlineStr">
        <is>
          <t>X</t>
        </is>
      </c>
      <c r="G2" s="34" t="inlineStr"/>
      <c r="H2" s="35" t="inlineStr">
        <is>
          <t>X</t>
        </is>
      </c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Alani Nu</t>
        </is>
      </c>
      <c r="B3" s="34" t="inlineStr"/>
      <c r="C3" s="34" t="inlineStr"/>
      <c r="D3" s="34" t="inlineStr"/>
      <c r="E3" s="35" t="inlineStr">
        <is>
          <t>X</t>
        </is>
      </c>
      <c r="F3" s="34" t="inlineStr"/>
      <c r="G3" s="34" t="inlineStr"/>
      <c r="H3" s="35" t="inlineStr">
        <is>
          <t>X</t>
        </is>
      </c>
      <c r="I3" s="34" t="inlineStr"/>
      <c r="J3" s="35" t="inlineStr">
        <is>
          <t>X</t>
        </is>
      </c>
      <c r="K3" s="34" t="inlineStr"/>
      <c r="L3" s="34" t="inlineStr"/>
      <c r="M3" s="34" t="inlineStr"/>
      <c r="N3" s="34" t="inlineStr"/>
      <c r="O3" s="34" t="inlineStr"/>
      <c r="P3" s="24" t="n">
        <v>3</v>
      </c>
    </row>
    <row r="4" ht="20" customHeight="1">
      <c r="A4" s="23" t="inlineStr">
        <is>
          <t>Aura Bora</t>
        </is>
      </c>
      <c r="B4" s="34" t="inlineStr"/>
      <c r="C4" s="35" t="inlineStr">
        <is>
          <t>X</t>
        </is>
      </c>
      <c r="D4" s="34" t="inlineStr"/>
      <c r="E4" s="35" t="inlineStr">
        <is>
          <t>X</t>
        </is>
      </c>
      <c r="F4" s="34" t="inlineStr"/>
      <c r="G4" s="34" t="inlineStr"/>
      <c r="H4" s="35" t="inlineStr">
        <is>
          <t>X</t>
        </is>
      </c>
      <c r="I4" s="34" t="inlineStr"/>
      <c r="J4" s="34" t="inlineStr"/>
      <c r="K4" s="34" t="inlineStr"/>
      <c r="L4" s="35" t="inlineStr">
        <is>
          <t>X</t>
        </is>
      </c>
      <c r="M4" s="34" t="inlineStr"/>
      <c r="N4" s="35" t="inlineStr">
        <is>
          <t>X</t>
        </is>
      </c>
      <c r="O4" s="34" t="inlineStr"/>
      <c r="P4" s="24" t="n">
        <v>5</v>
      </c>
    </row>
    <row r="5" ht="20" customHeight="1">
      <c r="A5" s="23" t="inlineStr">
        <is>
          <t>BODYARMOR</t>
        </is>
      </c>
      <c r="B5" s="34" t="inlineStr"/>
      <c r="C5" s="34" t="inlineStr"/>
      <c r="D5" s="35" t="inlineStr">
        <is>
          <t>X</t>
        </is>
      </c>
      <c r="E5" s="35" t="inlineStr">
        <is>
          <t>X</t>
        </is>
      </c>
      <c r="F5" s="34" t="inlineStr"/>
      <c r="G5" s="34" t="inlineStr"/>
      <c r="H5" s="34" t="inlineStr"/>
      <c r="I5" s="35" t="inlineStr">
        <is>
          <t>X</t>
        </is>
      </c>
      <c r="J5" s="35" t="inlineStr">
        <is>
          <t>X</t>
        </is>
      </c>
      <c r="K5" s="34" t="inlineStr"/>
      <c r="L5" s="35" t="inlineStr">
        <is>
          <t>X</t>
        </is>
      </c>
      <c r="M5" s="34" t="inlineStr"/>
      <c r="N5" s="34" t="inlineStr"/>
      <c r="O5" s="34" t="inlineStr"/>
      <c r="P5" s="24" t="n">
        <v>5</v>
      </c>
    </row>
    <row r="6" ht="20" customHeight="1">
      <c r="A6" s="23" t="inlineStr">
        <is>
          <t>BUBBL'R</t>
        </is>
      </c>
      <c r="B6" s="34" t="inlineStr"/>
      <c r="C6" s="35" t="inlineStr">
        <is>
          <t>X</t>
        </is>
      </c>
      <c r="D6" s="34" t="inlineStr"/>
      <c r="E6" s="35" t="inlineStr">
        <is>
          <t>X</t>
        </is>
      </c>
      <c r="F6" s="34" t="inlineStr"/>
      <c r="G6" s="34" t="inlineStr"/>
      <c r="H6" s="34" t="inlineStr"/>
      <c r="I6" s="34" t="inlineStr"/>
      <c r="J6" s="34" t="inlineStr"/>
      <c r="K6" s="34" t="inlineStr"/>
      <c r="L6" s="34" t="inlineStr"/>
      <c r="M6" s="34" t="inlineStr"/>
      <c r="N6" s="34" t="inlineStr"/>
      <c r="O6" s="34" t="inlineStr"/>
      <c r="P6" s="24" t="n">
        <v>2</v>
      </c>
    </row>
    <row r="7" ht="20" customHeight="1">
      <c r="A7" s="23" t="inlineStr">
        <is>
          <t>Bai</t>
        </is>
      </c>
      <c r="B7" s="34" t="inlineStr"/>
      <c r="C7" s="34" t="inlineStr"/>
      <c r="D7" s="35" t="inlineStr">
        <is>
          <t>X</t>
        </is>
      </c>
      <c r="E7" s="35" t="inlineStr">
        <is>
          <t>X</t>
        </is>
      </c>
      <c r="F7" s="34" t="inlineStr"/>
      <c r="G7" s="34" t="inlineStr"/>
      <c r="H7" s="34" t="inlineStr"/>
      <c r="I7" s="34" t="inlineStr"/>
      <c r="J7" s="34" t="inlineStr"/>
      <c r="K7" s="34" t="inlineStr"/>
      <c r="L7" s="35" t="inlineStr">
        <is>
          <t>X</t>
        </is>
      </c>
      <c r="M7" s="34" t="inlineStr"/>
      <c r="N7" s="34" t="inlineStr"/>
      <c r="O7" s="34" t="inlineStr"/>
      <c r="P7" s="24" t="n">
        <v>3</v>
      </c>
    </row>
    <row r="8" ht="20" customHeight="1">
      <c r="A8" s="23" t="inlineStr">
        <is>
          <t>Bang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BioSteel</t>
        </is>
      </c>
      <c r="B9" s="34" t="inlineStr"/>
      <c r="C9" s="34" t="inlineStr"/>
      <c r="D9" s="35" t="inlineStr">
        <is>
          <t>X</t>
        </is>
      </c>
      <c r="E9" s="35" t="inlineStr">
        <is>
          <t>X</t>
        </is>
      </c>
      <c r="F9" s="34" t="inlineStr"/>
      <c r="G9" s="34" t="inlineStr"/>
      <c r="H9" s="34" t="inlineStr"/>
      <c r="I9" s="35" t="inlineStr">
        <is>
          <t>X</t>
        </is>
      </c>
      <c r="J9" s="34" t="inlineStr"/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C4</t>
        </is>
      </c>
      <c r="B10" s="34" t="inlineStr"/>
      <c r="C10" s="34" t="inlineStr"/>
      <c r="D10" s="35" t="inlineStr">
        <is>
          <t>X</t>
        </is>
      </c>
      <c r="E10" s="35" t="inlineStr">
        <is>
          <t>X</t>
        </is>
      </c>
      <c r="F10" s="34" t="inlineStr"/>
      <c r="G10" s="34" t="inlineStr"/>
      <c r="H10" s="35" t="inlineStr">
        <is>
          <t>X</t>
        </is>
      </c>
      <c r="I10" s="34" t="inlineStr"/>
      <c r="J10" s="35" t="inlineStr">
        <is>
          <t>X</t>
        </is>
      </c>
      <c r="K10" s="34" t="inlineStr"/>
      <c r="L10" s="34" t="inlineStr"/>
      <c r="M10" s="34" t="inlineStr"/>
      <c r="N10" s="34" t="inlineStr"/>
      <c r="O10" s="34" t="inlineStr"/>
      <c r="P10" s="24" t="n">
        <v>4</v>
      </c>
    </row>
    <row r="11" ht="20" customHeight="1">
      <c r="A11" s="23" t="inlineStr">
        <is>
          <t>CWENCH</t>
        </is>
      </c>
      <c r="B11" s="34" t="inlineStr"/>
      <c r="C11" s="34" t="inlineStr"/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5" t="inlineStr">
        <is>
          <t>X</t>
        </is>
      </c>
      <c r="J11" s="34" t="inlineStr"/>
      <c r="K11" s="34" t="inlineStr"/>
      <c r="L11" s="34" t="inlineStr"/>
      <c r="M11" s="34" t="inlineStr"/>
      <c r="N11" s="34" t="inlineStr"/>
      <c r="O11" s="34" t="inlineStr"/>
      <c r="P11" s="24" t="n">
        <v>3</v>
      </c>
    </row>
    <row r="12" ht="20" customHeight="1">
      <c r="A12" s="23" t="inlineStr">
        <is>
          <t>Celsius</t>
        </is>
      </c>
      <c r="B12" s="35" t="inlineStr">
        <is>
          <t>X</t>
        </is>
      </c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4" t="inlineStr"/>
      <c r="J12" s="35" t="inlineStr">
        <is>
          <t>X</t>
        </is>
      </c>
      <c r="K12" s="34" t="inlineStr"/>
      <c r="L12" s="34" t="inlineStr"/>
      <c r="M12" s="34" t="inlineStr"/>
      <c r="N12" s="34" t="inlineStr"/>
      <c r="O12" s="34" t="inlineStr"/>
      <c r="P12" s="24" t="n">
        <v>4</v>
      </c>
    </row>
    <row r="13" ht="20" customHeight="1">
      <c r="A13" s="23" t="inlineStr">
        <is>
          <t>Coca-Cola</t>
        </is>
      </c>
      <c r="B13" s="34" t="inlineStr"/>
      <c r="C13" s="34" t="inlineStr"/>
      <c r="D13" s="34" t="inlineStr"/>
      <c r="E13" s="34" t="inlineStr"/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5" t="inlineStr">
        <is>
          <t>X</t>
        </is>
      </c>
      <c r="P13" s="24" t="n">
        <v>1</v>
      </c>
    </row>
    <row r="14" ht="20" customHeight="1">
      <c r="A14" s="23" t="inlineStr">
        <is>
          <t>Culture Pop</t>
        </is>
      </c>
      <c r="B14" s="34" t="inlineStr"/>
      <c r="C14" s="35" t="inlineStr">
        <is>
          <t>X</t>
        </is>
      </c>
      <c r="D14" s="35" t="inlineStr">
        <is>
          <t>X</t>
        </is>
      </c>
      <c r="E14" s="35" t="inlineStr">
        <is>
          <t>X</t>
        </is>
      </c>
      <c r="F14" s="35" t="inlineStr">
        <is>
          <t>X</t>
        </is>
      </c>
      <c r="G14" s="34" t="inlineStr"/>
      <c r="H14" s="35" t="inlineStr">
        <is>
          <t>X</t>
        </is>
      </c>
      <c r="I14" s="34" t="inlineStr"/>
      <c r="J14" s="34" t="inlineStr"/>
      <c r="K14" s="34" t="inlineStr"/>
      <c r="L14" s="34" t="inlineStr"/>
      <c r="M14" s="35" t="inlineStr">
        <is>
          <t>X</t>
        </is>
      </c>
      <c r="N14" s="34" t="inlineStr"/>
      <c r="O14" s="34" t="inlineStr"/>
      <c r="P14" s="24" t="n">
        <v>6</v>
      </c>
    </row>
    <row r="15" ht="20" customHeight="1">
      <c r="A15" s="23" t="inlineStr">
        <is>
          <t>De La Calle</t>
        </is>
      </c>
      <c r="B15" s="34" t="inlineStr"/>
      <c r="C15" s="34" t="inlineStr"/>
      <c r="D15" s="35" t="inlineStr">
        <is>
          <t>X</t>
        </is>
      </c>
      <c r="E15" s="34" t="inlineStr"/>
      <c r="F15" s="34" t="inlineStr"/>
      <c r="G15" s="34" t="inlineStr"/>
      <c r="H15" s="34" t="inlineStr"/>
      <c r="I15" s="34" t="inlineStr"/>
      <c r="J15" s="35" t="inlineStr">
        <is>
          <t>X</t>
        </is>
      </c>
      <c r="K15" s="34" t="inlineStr"/>
      <c r="L15" s="34" t="inlineStr"/>
      <c r="M15" s="34" t="inlineStr"/>
      <c r="N15" s="34" t="inlineStr"/>
      <c r="O15" s="35" t="inlineStr">
        <is>
          <t>X</t>
        </is>
      </c>
      <c r="P15" s="24" t="n">
        <v>3</v>
      </c>
    </row>
    <row r="16" ht="20" customHeight="1">
      <c r="A16" s="23" t="inlineStr">
        <is>
          <t>Electrolit</t>
        </is>
      </c>
      <c r="B16" s="34" t="inlineStr"/>
      <c r="C16" s="34" t="inlineStr"/>
      <c r="D16" s="34" t="inlineStr"/>
      <c r="E16" s="35" t="inlineStr">
        <is>
          <t>X</t>
        </is>
      </c>
      <c r="F16" s="34" t="inlineStr"/>
      <c r="G16" s="35" t="inlineStr">
        <is>
          <t>X</t>
        </is>
      </c>
      <c r="H16" s="35" t="inlineStr">
        <is>
          <t>X</t>
        </is>
      </c>
      <c r="I16" s="34" t="inlineStr"/>
      <c r="J16" s="34" t="inlineStr"/>
      <c r="K16" s="34" t="inlineStr"/>
      <c r="L16" s="35" t="inlineStr">
        <is>
          <t>X</t>
        </is>
      </c>
      <c r="M16" s="34" t="inlineStr"/>
      <c r="N16" s="34" t="inlineStr"/>
      <c r="O16" s="34" t="inlineStr"/>
      <c r="P16" s="24" t="n">
        <v>4</v>
      </c>
    </row>
    <row r="17" ht="20" customHeight="1">
      <c r="A17" s="23" t="inlineStr">
        <is>
          <t>Eska</t>
        </is>
      </c>
      <c r="B17" s="34" t="inlineStr"/>
      <c r="C17" s="35" t="inlineStr">
        <is>
          <t>X</t>
        </is>
      </c>
      <c r="D17" s="34" t="inlineStr"/>
      <c r="E17" s="34" t="inlineStr"/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4" t="inlineStr"/>
      <c r="N17" s="34" t="inlineStr"/>
      <c r="O17" s="35" t="inlineStr">
        <is>
          <t>X</t>
        </is>
      </c>
      <c r="P17" s="24" t="n">
        <v>2</v>
      </c>
    </row>
    <row r="18" ht="20" customHeight="1">
      <c r="A18" s="23" t="inlineStr">
        <is>
          <t>GT's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5" t="inlineStr">
        <is>
          <t>X</t>
        </is>
      </c>
      <c r="N18" s="34" t="inlineStr"/>
      <c r="O18" s="34" t="inlineStr"/>
      <c r="P18" s="24" t="n">
        <v>3</v>
      </c>
    </row>
    <row r="19" ht="20" customHeight="1">
      <c r="A19" s="23" t="inlineStr">
        <is>
          <t>GURU</t>
        </is>
      </c>
      <c r="B19" s="34" t="inlineStr"/>
      <c r="C19" s="34" t="inlineStr"/>
      <c r="D19" s="34" t="inlineStr"/>
      <c r="E19" s="34" t="inlineStr"/>
      <c r="F19" s="34" t="inlineStr"/>
      <c r="G19" s="34" t="inlineStr"/>
      <c r="H19" s="34" t="inlineStr"/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5" t="inlineStr">
        <is>
          <t>X</t>
        </is>
      </c>
      <c r="P19" s="24" t="n">
        <v>2</v>
      </c>
    </row>
    <row r="20" ht="20" customHeight="1">
      <c r="A20" s="23" t="inlineStr">
        <is>
          <t>Gatorade</t>
        </is>
      </c>
      <c r="B20" s="34" t="inlineStr"/>
      <c r="C20" s="35" t="inlineStr">
        <is>
          <t>X</t>
        </is>
      </c>
      <c r="D20" s="35" t="inlineStr">
        <is>
          <t>X</t>
        </is>
      </c>
      <c r="E20" s="35" t="inlineStr">
        <is>
          <t>X</t>
        </is>
      </c>
      <c r="F20" s="35" t="inlineStr">
        <is>
          <t>X</t>
        </is>
      </c>
      <c r="G20" s="34" t="inlineStr"/>
      <c r="H20" s="35" t="inlineStr">
        <is>
          <t>X</t>
        </is>
      </c>
      <c r="I20" s="34" t="inlineStr"/>
      <c r="J20" s="35" t="inlineStr">
        <is>
          <t>X</t>
        </is>
      </c>
      <c r="K20" s="34" t="inlineStr"/>
      <c r="L20" s="34" t="inlineStr"/>
      <c r="M20" s="34" t="inlineStr"/>
      <c r="N20" s="34" t="inlineStr"/>
      <c r="O20" s="34" t="inlineStr"/>
      <c r="P20" s="24" t="n">
        <v>6</v>
      </c>
    </row>
    <row r="21" ht="20" customHeight="1">
      <c r="A21" s="23" t="inlineStr">
        <is>
          <t>Ghost</t>
        </is>
      </c>
      <c r="B21" s="34" t="inlineStr"/>
      <c r="C21" s="34" t="inlineStr"/>
      <c r="D21" s="35" t="inlineStr">
        <is>
          <t>X</t>
        </is>
      </c>
      <c r="E21" s="35" t="inlineStr">
        <is>
          <t>X</t>
        </is>
      </c>
      <c r="F21" s="34" t="inlineStr"/>
      <c r="G21" s="34" t="inlineStr"/>
      <c r="H21" s="35" t="inlineStr">
        <is>
          <t>X</t>
        </is>
      </c>
      <c r="I21" s="34" t="inlineStr"/>
      <c r="J21" s="35" t="inlineStr">
        <is>
          <t>X</t>
        </is>
      </c>
      <c r="K21" s="34" t="inlineStr"/>
      <c r="L21" s="34" t="inlineStr"/>
      <c r="M21" s="34" t="inlineStr"/>
      <c r="N21" s="34" t="inlineStr"/>
      <c r="O21" s="34" t="inlineStr"/>
      <c r="P21" s="24" t="n">
        <v>4</v>
      </c>
    </row>
    <row r="22" ht="20" customHeight="1">
      <c r="A22" s="23" t="inlineStr">
        <is>
          <t>Gorgie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5" t="inlineStr">
        <is>
          <t>X</t>
        </is>
      </c>
      <c r="G22" s="34" t="inlineStr"/>
      <c r="H22" s="35" t="inlineStr">
        <is>
          <t>X</t>
        </is>
      </c>
      <c r="I22" s="34" t="inlineStr"/>
      <c r="J22" s="35" t="inlineStr">
        <is>
          <t>X</t>
        </is>
      </c>
      <c r="K22" s="34" t="inlineStr"/>
      <c r="L22" s="34" t="inlineStr"/>
      <c r="M22" s="34" t="inlineStr"/>
      <c r="N22" s="34" t="inlineStr"/>
      <c r="O22" s="34" t="inlineStr"/>
      <c r="P22" s="24" t="n">
        <v>5</v>
      </c>
    </row>
    <row r="23" ht="20" customHeight="1">
      <c r="A23" s="23" t="inlineStr">
        <is>
          <t>Guayaki</t>
        </is>
      </c>
      <c r="B23" s="34" t="inlineStr"/>
      <c r="C23" s="35" t="inlineStr">
        <is>
          <t>X</t>
        </is>
      </c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4" t="inlineStr"/>
      <c r="K23" s="34" t="inlineStr"/>
      <c r="L23" s="34" t="inlineStr"/>
      <c r="M23" s="34" t="inlineStr"/>
      <c r="N23" s="35" t="inlineStr">
        <is>
          <t>X</t>
        </is>
      </c>
      <c r="O23" s="34" t="inlineStr"/>
      <c r="P23" s="24" t="n">
        <v>4</v>
      </c>
    </row>
    <row r="24" ht="20" customHeight="1">
      <c r="A24" s="23" t="inlineStr">
        <is>
          <t>Halo Sport</t>
        </is>
      </c>
      <c r="B24" s="34" t="inlineStr"/>
      <c r="C24" s="35" t="inlineStr">
        <is>
          <t>X</t>
        </is>
      </c>
      <c r="D24" s="35" t="inlineStr">
        <is>
          <t>X</t>
        </is>
      </c>
      <c r="E24" s="35" t="inlineStr">
        <is>
          <t>X</t>
        </is>
      </c>
      <c r="F24" s="34" t="inlineStr"/>
      <c r="G24" s="35" t="inlineStr">
        <is>
          <t>X</t>
        </is>
      </c>
      <c r="H24" s="34" t="inlineStr"/>
      <c r="I24" s="34" t="inlineStr"/>
      <c r="J24" s="34" t="inlineStr"/>
      <c r="K24" s="35" t="inlineStr">
        <is>
          <t>X</t>
        </is>
      </c>
      <c r="L24" s="34" t="inlineStr"/>
      <c r="M24" s="34" t="inlineStr"/>
      <c r="N24" s="34" t="inlineStr"/>
      <c r="O24" s="34" t="inlineStr"/>
      <c r="P24" s="24" t="n">
        <v>5</v>
      </c>
    </row>
    <row r="25" ht="20" customHeight="1">
      <c r="A25" s="23" t="inlineStr">
        <is>
          <t>Health-Ade</t>
        </is>
      </c>
      <c r="B25" s="34" t="inlineStr"/>
      <c r="C25" s="35" t="inlineStr">
        <is>
          <t>X</t>
        </is>
      </c>
      <c r="D25" s="34" t="inlineStr"/>
      <c r="E25" s="35" t="inlineStr">
        <is>
          <t>X</t>
        </is>
      </c>
      <c r="F25" s="34" t="inlineStr"/>
      <c r="G25" s="35" t="inlineStr">
        <is>
          <t>X</t>
        </is>
      </c>
      <c r="H25" s="34" t="inlineStr"/>
      <c r="I25" s="34" t="inlineStr"/>
      <c r="J25" s="34" t="inlineStr"/>
      <c r="K25" s="34" t="inlineStr"/>
      <c r="L25" s="34" t="inlineStr"/>
      <c r="M25" s="35" t="inlineStr">
        <is>
          <t>X</t>
        </is>
      </c>
      <c r="N25" s="35" t="inlineStr">
        <is>
          <t>X</t>
        </is>
      </c>
      <c r="O25" s="34" t="inlineStr"/>
      <c r="P25" s="24" t="n">
        <v>5</v>
      </c>
    </row>
    <row r="26" ht="20" customHeight="1">
      <c r="A26" s="23" t="inlineStr">
        <is>
          <t>Hint</t>
        </is>
      </c>
      <c r="B26" s="34" t="inlineStr"/>
      <c r="C26" s="34" t="inlineStr"/>
      <c r="D26" s="34" t="inlineStr"/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5" t="inlineStr">
        <is>
          <t>X</t>
        </is>
      </c>
      <c r="J26" s="35" t="inlineStr">
        <is>
          <t>X</t>
        </is>
      </c>
      <c r="K26" s="34" t="inlineStr"/>
      <c r="L26" s="34" t="inlineStr"/>
      <c r="M26" s="34" t="inlineStr"/>
      <c r="N26" s="34" t="inlineStr"/>
      <c r="O26" s="34" t="inlineStr"/>
      <c r="P26" s="24" t="n">
        <v>5</v>
      </c>
    </row>
    <row r="27" ht="20" customHeight="1">
      <c r="A27" s="23" t="inlineStr">
        <is>
          <t>LaCroix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4" t="inlineStr"/>
      <c r="G27" s="34" t="inlineStr"/>
      <c r="H27" s="34" t="inlineStr"/>
      <c r="I27" s="34" t="inlineStr"/>
      <c r="J27" s="35" t="inlineStr">
        <is>
          <t>X</t>
        </is>
      </c>
      <c r="K27" s="35" t="inlineStr">
        <is>
          <t>X</t>
        </is>
      </c>
      <c r="L27" s="35" t="inlineStr">
        <is>
          <t>X</t>
        </is>
      </c>
      <c r="M27" s="34" t="inlineStr"/>
      <c r="N27" s="34" t="inlineStr"/>
      <c r="O27" s="35" t="inlineStr">
        <is>
          <t>X</t>
        </is>
      </c>
      <c r="P27" s="24" t="n">
        <v>6</v>
      </c>
    </row>
    <row r="28" ht="20" customHeight="1">
      <c r="A28" s="23" t="inlineStr">
        <is>
          <t>Lemon Perfect</t>
        </is>
      </c>
      <c r="B28" s="34" t="inlineStr"/>
      <c r="C28" s="35" t="inlineStr">
        <is>
          <t>X</t>
        </is>
      </c>
      <c r="D28" s="35" t="inlineStr">
        <is>
          <t>X</t>
        </is>
      </c>
      <c r="E28" s="35" t="inlineStr">
        <is>
          <t>X</t>
        </is>
      </c>
      <c r="F28" s="34" t="inlineStr"/>
      <c r="G28" s="34" t="inlineStr"/>
      <c r="H28" s="34" t="inlineStr"/>
      <c r="I28" s="35" t="inlineStr">
        <is>
          <t>X</t>
        </is>
      </c>
      <c r="J28" s="35" t="inlineStr">
        <is>
          <t>X</t>
        </is>
      </c>
      <c r="K28" s="34" t="inlineStr"/>
      <c r="L28" s="34" t="inlineStr"/>
      <c r="M28" s="34" t="inlineStr"/>
      <c r="N28" s="34" t="inlineStr"/>
      <c r="O28" s="34" t="inlineStr"/>
      <c r="P28" s="24" t="n">
        <v>5</v>
      </c>
    </row>
    <row r="29" ht="20" customHeight="1">
      <c r="A29" s="23" t="inlineStr">
        <is>
          <t>Liquid Death</t>
        </is>
      </c>
      <c r="B29" s="34" t="inlineStr"/>
      <c r="C29" s="35" t="inlineStr">
        <is>
          <t>X</t>
        </is>
      </c>
      <c r="D29" s="35" t="inlineStr">
        <is>
          <t>X</t>
        </is>
      </c>
      <c r="E29" s="35" t="inlineStr">
        <is>
          <t>X</t>
        </is>
      </c>
      <c r="F29" s="34" t="inlineStr"/>
      <c r="G29" s="35" t="inlineStr">
        <is>
          <t>X</t>
        </is>
      </c>
      <c r="H29" s="34" t="inlineStr"/>
      <c r="I29" s="34" t="inlineStr"/>
      <c r="J29" s="34" t="inlineStr"/>
      <c r="K29" s="34" t="inlineStr"/>
      <c r="L29" s="34" t="inlineStr"/>
      <c r="M29" s="34" t="inlineStr"/>
      <c r="N29" s="35" t="inlineStr">
        <is>
          <t>X</t>
        </is>
      </c>
      <c r="O29" s="35" t="inlineStr">
        <is>
          <t>X</t>
        </is>
      </c>
      <c r="P29" s="24" t="n">
        <v>6</v>
      </c>
    </row>
    <row r="30" ht="20" customHeight="1">
      <c r="A30" s="23" t="inlineStr">
        <is>
          <t>Mayawell</t>
        </is>
      </c>
      <c r="B30" s="34" t="inlineStr"/>
      <c r="C30" s="34" t="inlineStr"/>
      <c r="D30" s="35" t="inlineStr">
        <is>
          <t>X</t>
        </is>
      </c>
      <c r="E30" s="35" t="inlineStr">
        <is>
          <t>X</t>
        </is>
      </c>
      <c r="F30" s="34" t="inlineStr"/>
      <c r="G30" s="35" t="inlineStr">
        <is>
          <t>X</t>
        </is>
      </c>
      <c r="H30" s="34" t="inlineStr"/>
      <c r="I30" s="34" t="inlineStr"/>
      <c r="J30" s="34" t="inlineStr"/>
      <c r="K30" s="35" t="inlineStr">
        <is>
          <t>X</t>
        </is>
      </c>
      <c r="L30" s="34" t="inlineStr"/>
      <c r="M30" s="34" t="inlineStr"/>
      <c r="N30" s="35" t="inlineStr">
        <is>
          <t>X</t>
        </is>
      </c>
      <c r="O30" s="34" t="inlineStr"/>
      <c r="P30" s="24" t="n">
        <v>5</v>
      </c>
    </row>
    <row r="31" ht="20" customHeight="1">
      <c r="A31" s="23" t="inlineStr">
        <is>
          <t>Monster</t>
        </is>
      </c>
      <c r="B31" s="34" t="inlineStr"/>
      <c r="C31" s="34" t="inlineStr"/>
      <c r="D31" s="34" t="inlineStr"/>
      <c r="E31" s="34" t="inlineStr"/>
      <c r="F31" s="34" t="inlineStr"/>
      <c r="G31" s="34" t="inlineStr"/>
      <c r="H31" s="35" t="inlineStr">
        <is>
          <t>X</t>
        </is>
      </c>
      <c r="I31" s="34" t="inlineStr"/>
      <c r="J31" s="35" t="inlineStr">
        <is>
          <t>X</t>
        </is>
      </c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3</v>
      </c>
    </row>
    <row r="32" ht="20" customHeight="1">
      <c r="A32" s="23" t="inlineStr">
        <is>
          <t>Montellier</t>
        </is>
      </c>
      <c r="B32" s="34" t="inlineStr"/>
      <c r="C32" s="35" t="inlineStr">
        <is>
          <t>X</t>
        </is>
      </c>
      <c r="D32" s="35" t="inlineStr">
        <is>
          <t>X</t>
        </is>
      </c>
      <c r="E32" s="35" t="inlineStr">
        <is>
          <t>X</t>
        </is>
      </c>
      <c r="F32" s="34" t="inlineStr"/>
      <c r="G32" s="34" t="inlineStr"/>
      <c r="H32" s="34" t="inlineStr"/>
      <c r="I32" s="34" t="inlineStr"/>
      <c r="J32" s="34" t="inlineStr"/>
      <c r="K32" s="34" t="inlineStr"/>
      <c r="L32" s="34" t="inlineStr"/>
      <c r="M32" s="34" t="inlineStr"/>
      <c r="N32" s="34" t="inlineStr"/>
      <c r="O32" s="35" t="inlineStr">
        <is>
          <t>X</t>
        </is>
      </c>
      <c r="P32" s="24" t="n">
        <v>4</v>
      </c>
    </row>
    <row r="33" ht="20" customHeight="1">
      <c r="A33" s="23" t="inlineStr">
        <is>
          <t>NOS</t>
        </is>
      </c>
      <c r="B33" s="34" t="inlineStr"/>
      <c r="C33" s="34" t="inlineStr"/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1</v>
      </c>
    </row>
    <row r="34" ht="20" customHeight="1">
      <c r="A34" s="23" t="inlineStr">
        <is>
          <t>Nixie</t>
        </is>
      </c>
      <c r="B34" s="34" t="inlineStr"/>
      <c r="C34" s="35" t="inlineStr">
        <is>
          <t>X</t>
        </is>
      </c>
      <c r="D34" s="34" t="inlineStr"/>
      <c r="E34" s="35" t="inlineStr">
        <is>
          <t>X</t>
        </is>
      </c>
      <c r="F34" s="35" t="inlineStr">
        <is>
          <t>X</t>
        </is>
      </c>
      <c r="G34" s="35" t="inlineStr">
        <is>
          <t>X</t>
        </is>
      </c>
      <c r="H34" s="35" t="inlineStr">
        <is>
          <t>X</t>
        </is>
      </c>
      <c r="I34" s="34" t="inlineStr"/>
      <c r="J34" s="34" t="inlineStr"/>
      <c r="K34" s="35" t="inlineStr">
        <is>
          <t>X</t>
        </is>
      </c>
      <c r="L34" s="34" t="inlineStr"/>
      <c r="M34" s="34" t="inlineStr"/>
      <c r="N34" s="35" t="inlineStr">
        <is>
          <t>X</t>
        </is>
      </c>
      <c r="O34" s="34" t="inlineStr"/>
      <c r="P34" s="24" t="n">
        <v>7</v>
      </c>
    </row>
    <row r="35" ht="20" customHeight="1">
      <c r="A35" s="23" t="inlineStr">
        <is>
          <t>OLIPOP</t>
        </is>
      </c>
      <c r="B35" s="35" t="inlineStr">
        <is>
          <t>X</t>
        </is>
      </c>
      <c r="C35" s="35" t="inlineStr">
        <is>
          <t>X</t>
        </is>
      </c>
      <c r="D35" s="35" t="inlineStr">
        <is>
          <t>X</t>
        </is>
      </c>
      <c r="E35" s="35" t="inlineStr">
        <is>
          <t>X</t>
        </is>
      </c>
      <c r="F35" s="35" t="inlineStr">
        <is>
          <t>X</t>
        </is>
      </c>
      <c r="G35" s="34" t="inlineStr"/>
      <c r="H35" s="35" t="inlineStr">
        <is>
          <t>X</t>
        </is>
      </c>
      <c r="I35" s="34" t="inlineStr"/>
      <c r="J35" s="34" t="inlineStr"/>
      <c r="K35" s="34" t="inlineStr"/>
      <c r="L35" s="34" t="inlineStr"/>
      <c r="M35" s="35" t="inlineStr">
        <is>
          <t>X</t>
        </is>
      </c>
      <c r="N35" s="34" t="inlineStr"/>
      <c r="O35" s="35" t="inlineStr">
        <is>
          <t>X</t>
        </is>
      </c>
      <c r="P35" s="24" t="n">
        <v>8</v>
      </c>
    </row>
    <row r="36" ht="20" customHeight="1">
      <c r="A36" s="23" t="inlineStr">
        <is>
          <t>Pedialyte</t>
        </is>
      </c>
      <c r="B36" s="34" t="inlineStr"/>
      <c r="C36" s="34" t="inlineStr"/>
      <c r="D36" s="34" t="inlineStr"/>
      <c r="E36" s="35" t="inlineStr">
        <is>
          <t>X</t>
        </is>
      </c>
      <c r="F36" s="34" t="inlineStr"/>
      <c r="G36" s="35" t="inlineStr">
        <is>
          <t>X</t>
        </is>
      </c>
      <c r="H36" s="34" t="inlineStr"/>
      <c r="I36" s="34" t="inlineStr"/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3</v>
      </c>
    </row>
    <row r="37" ht="20" customHeight="1">
      <c r="A37" s="23" t="inlineStr">
        <is>
          <t>Perrier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5" t="inlineStr">
        <is>
          <t>X</t>
        </is>
      </c>
      <c r="H37" s="34" t="inlineStr"/>
      <c r="I37" s="35" t="inlineStr">
        <is>
          <t>X</t>
        </is>
      </c>
      <c r="J37" s="34" t="inlineStr"/>
      <c r="K37" s="35" t="inlineStr">
        <is>
          <t>X</t>
        </is>
      </c>
      <c r="L37" s="34" t="inlineStr"/>
      <c r="M37" s="34" t="inlineStr"/>
      <c r="N37" s="34" t="inlineStr"/>
      <c r="O37" s="35" t="inlineStr">
        <is>
          <t>X</t>
        </is>
      </c>
      <c r="P37" s="24" t="n">
        <v>6</v>
      </c>
    </row>
    <row r="38" ht="20" customHeight="1">
      <c r="A38" s="23" t="inlineStr">
        <is>
          <t>Phocus</t>
        </is>
      </c>
      <c r="B38" s="34" t="inlineStr"/>
      <c r="C38" s="35" t="inlineStr">
        <is>
          <t>X</t>
        </is>
      </c>
      <c r="D38" s="34" t="inlineStr"/>
      <c r="E38" s="34" t="inlineStr"/>
      <c r="F38" s="35" t="inlineStr">
        <is>
          <t>X</t>
        </is>
      </c>
      <c r="G38" s="35" t="inlineStr">
        <is>
          <t>X</t>
        </is>
      </c>
      <c r="H38" s="34" t="inlineStr"/>
      <c r="I38" s="34" t="inlineStr"/>
      <c r="J38" s="34" t="inlineStr"/>
      <c r="K38" s="35" t="inlineStr">
        <is>
          <t>X</t>
        </is>
      </c>
      <c r="L38" s="34" t="inlineStr"/>
      <c r="M38" s="34" t="inlineStr"/>
      <c r="N38" s="34" t="inlineStr"/>
      <c r="O38" s="35" t="inlineStr">
        <is>
          <t>X</t>
        </is>
      </c>
      <c r="P38" s="24" t="n">
        <v>5</v>
      </c>
    </row>
    <row r="39" ht="20" customHeight="1">
      <c r="A39" s="23" t="inlineStr">
        <is>
          <t>Polar</t>
        </is>
      </c>
      <c r="B39" s="34" t="inlineStr"/>
      <c r="C39" s="35" t="inlineStr">
        <is>
          <t>X</t>
        </is>
      </c>
      <c r="D39" s="35" t="inlineStr">
        <is>
          <t>X</t>
        </is>
      </c>
      <c r="E39" s="35" t="inlineStr">
        <is>
          <t>X</t>
        </is>
      </c>
      <c r="F39" s="35" t="inlineStr">
        <is>
          <t>X</t>
        </is>
      </c>
      <c r="G39" s="35" t="inlineStr">
        <is>
          <t>X</t>
        </is>
      </c>
      <c r="H39" s="34" t="inlineStr"/>
      <c r="I39" s="34" t="inlineStr"/>
      <c r="J39" s="34" t="inlineStr"/>
      <c r="K39" s="35" t="inlineStr">
        <is>
          <t>X</t>
        </is>
      </c>
      <c r="L39" s="34" t="inlineStr"/>
      <c r="M39" s="34" t="inlineStr"/>
      <c r="N39" s="34" t="inlineStr"/>
      <c r="O39" s="34" t="inlineStr"/>
      <c r="P39" s="24" t="n">
        <v>6</v>
      </c>
    </row>
    <row r="40" ht="20" customHeight="1">
      <c r="A40" s="23" t="inlineStr">
        <is>
          <t>Poppi</t>
        </is>
      </c>
      <c r="B40" s="35" t="inlineStr">
        <is>
          <t>X</t>
        </is>
      </c>
      <c r="C40" s="35" t="inlineStr">
        <is>
          <t>X</t>
        </is>
      </c>
      <c r="D40" s="35" t="inlineStr">
        <is>
          <t>X</t>
        </is>
      </c>
      <c r="E40" s="35" t="inlineStr">
        <is>
          <t>X</t>
        </is>
      </c>
      <c r="F40" s="35" t="inlineStr">
        <is>
          <t>X</t>
        </is>
      </c>
      <c r="G40" s="35" t="inlineStr">
        <is>
          <t>X</t>
        </is>
      </c>
      <c r="H40" s="35" t="inlineStr">
        <is>
          <t>X</t>
        </is>
      </c>
      <c r="I40" s="34" t="inlineStr"/>
      <c r="J40" s="34" t="inlineStr"/>
      <c r="K40" s="34" t="inlineStr"/>
      <c r="L40" s="34" t="inlineStr"/>
      <c r="M40" s="35" t="inlineStr">
        <is>
          <t>X</t>
        </is>
      </c>
      <c r="N40" s="35" t="inlineStr">
        <is>
          <t>X</t>
        </is>
      </c>
      <c r="O40" s="35" t="inlineStr">
        <is>
          <t>X</t>
        </is>
      </c>
      <c r="P40" s="24" t="n">
        <v>10</v>
      </c>
    </row>
    <row r="41" ht="20" customHeight="1">
      <c r="A41" s="23" t="inlineStr">
        <is>
          <t>Powerade</t>
        </is>
      </c>
      <c r="B41" s="34" t="inlineStr"/>
      <c r="C41" s="35" t="inlineStr">
        <is>
          <t>X</t>
        </is>
      </c>
      <c r="D41" s="34" t="inlineStr"/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4" t="inlineStr"/>
      <c r="I41" s="34" t="inlineStr"/>
      <c r="J41" s="34" t="inlineStr"/>
      <c r="K41" s="34" t="inlineStr"/>
      <c r="L41" s="34" t="inlineStr"/>
      <c r="M41" s="34" t="inlineStr"/>
      <c r="N41" s="34" t="inlineStr"/>
      <c r="O41" s="34" t="inlineStr"/>
      <c r="P41" s="24" t="n">
        <v>4</v>
      </c>
    </row>
    <row r="42" ht="20" customHeight="1">
      <c r="A42" s="23" t="inlineStr">
        <is>
          <t>Prime</t>
        </is>
      </c>
      <c r="B42" s="34" t="inlineStr"/>
      <c r="C42" s="35" t="inlineStr">
        <is>
          <t>X</t>
        </is>
      </c>
      <c r="D42" s="34" t="inlineStr"/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Protein2o</t>
        </is>
      </c>
      <c r="B43" s="34" t="inlineStr"/>
      <c r="C43" s="34" t="inlineStr"/>
      <c r="D43" s="35" t="inlineStr">
        <is>
          <t>X</t>
        </is>
      </c>
      <c r="E43" s="35" t="inlineStr">
        <is>
          <t>X</t>
        </is>
      </c>
      <c r="F43" s="35" t="inlineStr">
        <is>
          <t>X</t>
        </is>
      </c>
      <c r="G43" s="34" t="inlineStr"/>
      <c r="H43" s="34" t="inlineStr"/>
      <c r="I43" s="35" t="inlineStr">
        <is>
          <t>X</t>
        </is>
      </c>
      <c r="J43" s="35" t="inlineStr">
        <is>
          <t>X</t>
        </is>
      </c>
      <c r="K43" s="34" t="inlineStr"/>
      <c r="L43" s="35" t="inlineStr">
        <is>
          <t>X</t>
        </is>
      </c>
      <c r="M43" s="34" t="inlineStr"/>
      <c r="N43" s="34" t="inlineStr"/>
      <c r="O43" s="34" t="inlineStr"/>
      <c r="P43" s="24" t="n">
        <v>6</v>
      </c>
    </row>
    <row r="44" ht="20" customHeight="1">
      <c r="A44" s="23" t="inlineStr">
        <is>
          <t>Recess</t>
        </is>
      </c>
      <c r="B44" s="34" t="inlineStr"/>
      <c r="C44" s="35" t="inlineStr">
        <is>
          <t>X</t>
        </is>
      </c>
      <c r="D44" s="35" t="inlineStr">
        <is>
          <t>X</t>
        </is>
      </c>
      <c r="E44" s="35" t="inlineStr">
        <is>
          <t>X</t>
        </is>
      </c>
      <c r="F44" s="35" t="inlineStr">
        <is>
          <t>X</t>
        </is>
      </c>
      <c r="G44" s="34" t="inlineStr"/>
      <c r="H44" s="34" t="inlineStr"/>
      <c r="I44" s="34" t="inlineStr"/>
      <c r="J44" s="34" t="inlineStr"/>
      <c r="K44" s="34" t="inlineStr"/>
      <c r="L44" s="35" t="inlineStr">
        <is>
          <t>X</t>
        </is>
      </c>
      <c r="M44" s="34" t="inlineStr"/>
      <c r="N44" s="35" t="inlineStr">
        <is>
          <t>X</t>
        </is>
      </c>
      <c r="O44" s="34" t="inlineStr"/>
      <c r="P44" s="24" t="n">
        <v>6</v>
      </c>
    </row>
    <row r="45" ht="20" customHeight="1">
      <c r="A45" s="23" t="inlineStr">
        <is>
          <t>Red Bull</t>
        </is>
      </c>
      <c r="B45" s="34" t="inlineStr"/>
      <c r="C45" s="34" t="inlineStr"/>
      <c r="D45" s="34" t="inlineStr"/>
      <c r="E45" s="34" t="inlineStr"/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4" t="inlineStr"/>
      <c r="O45" s="35" t="inlineStr">
        <is>
          <t>X</t>
        </is>
      </c>
      <c r="P45" s="24" t="n">
        <v>1</v>
      </c>
    </row>
    <row r="46" ht="20" customHeight="1">
      <c r="A46" s="23" t="inlineStr">
        <is>
          <t>Reign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4" t="inlineStr"/>
      <c r="H46" s="34" t="inlineStr"/>
      <c r="I46" s="34" t="inlineStr"/>
      <c r="J46" s="34" t="inlineStr"/>
      <c r="K46" s="34" t="inlineStr"/>
      <c r="L46" s="34" t="inlineStr"/>
      <c r="M46" s="34" t="inlineStr"/>
      <c r="N46" s="34" t="inlineStr"/>
      <c r="O46" s="34" t="inlineStr"/>
      <c r="P46" s="24" t="n">
        <v>3</v>
      </c>
    </row>
    <row r="47" ht="20" customHeight="1">
      <c r="A47" s="23" t="inlineStr">
        <is>
          <t>Remedy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5" t="inlineStr">
        <is>
          <t>X</t>
        </is>
      </c>
      <c r="G47" s="34" t="inlineStr"/>
      <c r="H47" s="34" t="inlineStr"/>
      <c r="I47" s="35" t="inlineStr">
        <is>
          <t>X</t>
        </is>
      </c>
      <c r="J47" s="35" t="inlineStr">
        <is>
          <t>X</t>
        </is>
      </c>
      <c r="K47" s="34" t="inlineStr"/>
      <c r="L47" s="34" t="inlineStr"/>
      <c r="M47" s="35" t="inlineStr">
        <is>
          <t>X</t>
        </is>
      </c>
      <c r="N47" s="34" t="inlineStr"/>
      <c r="O47" s="34" t="inlineStr"/>
      <c r="P47" s="24" t="n">
        <v>6</v>
      </c>
    </row>
    <row r="48" ht="20" customHeight="1">
      <c r="A48" s="23" t="inlineStr">
        <is>
          <t>Roar Organic</t>
        </is>
      </c>
      <c r="B48" s="34" t="inlineStr"/>
      <c r="C48" s="34" t="inlineStr"/>
      <c r="D48" s="35" t="inlineStr">
        <is>
          <t>X</t>
        </is>
      </c>
      <c r="E48" s="35" t="inlineStr">
        <is>
          <t>X</t>
        </is>
      </c>
      <c r="F48" s="34" t="inlineStr"/>
      <c r="G48" s="34" t="inlineStr"/>
      <c r="H48" s="35" t="inlineStr">
        <is>
          <t>X</t>
        </is>
      </c>
      <c r="I48" s="35" t="inlineStr">
        <is>
          <t>X</t>
        </is>
      </c>
      <c r="J48" s="34" t="inlineStr"/>
      <c r="K48" s="34" t="inlineStr"/>
      <c r="L48" s="34" t="inlineStr"/>
      <c r="M48" s="34" t="inlineStr"/>
      <c r="N48" s="34" t="inlineStr"/>
      <c r="O48" s="34" t="inlineStr"/>
      <c r="P48" s="24" t="n">
        <v>4</v>
      </c>
    </row>
    <row r="49" ht="20" customHeight="1">
      <c r="A49" s="23" t="inlineStr">
        <is>
          <t>Rockstar</t>
        </is>
      </c>
      <c r="B49" s="34" t="inlineStr"/>
      <c r="C49" s="34" t="inlineStr"/>
      <c r="D49" s="34" t="inlineStr"/>
      <c r="E49" s="34" t="inlineStr"/>
      <c r="F49" s="34" t="inlineStr"/>
      <c r="G49" s="34" t="inlineStr"/>
      <c r="H49" s="34" t="inlineStr"/>
      <c r="I49" s="34" t="inlineStr"/>
      <c r="J49" s="34" t="inlineStr"/>
      <c r="K49" s="34" t="inlineStr"/>
      <c r="L49" s="34" t="inlineStr"/>
      <c r="M49" s="34" t="inlineStr"/>
      <c r="N49" s="34" t="inlineStr"/>
      <c r="O49" s="35" t="inlineStr">
        <is>
          <t>X</t>
        </is>
      </c>
      <c r="P49" s="24" t="n">
        <v>1</v>
      </c>
    </row>
    <row r="50" ht="20" customHeight="1">
      <c r="A50" s="23" t="inlineStr">
        <is>
          <t>San Pellegrino</t>
        </is>
      </c>
      <c r="B50" s="34" t="inlineStr"/>
      <c r="C50" s="35" t="inlineStr">
        <is>
          <t>X</t>
        </is>
      </c>
      <c r="D50" s="35" t="inlineStr">
        <is>
          <t>X</t>
        </is>
      </c>
      <c r="E50" s="34" t="inlineStr"/>
      <c r="F50" s="34" t="inlineStr"/>
      <c r="G50" s="34" t="inlineStr"/>
      <c r="H50" s="34" t="inlineStr"/>
      <c r="I50" s="34" t="inlineStr"/>
      <c r="J50" s="34" t="inlineStr"/>
      <c r="K50" s="35" t="inlineStr">
        <is>
          <t>X</t>
        </is>
      </c>
      <c r="L50" s="34" t="inlineStr"/>
      <c r="M50" s="34" t="inlineStr"/>
      <c r="N50" s="34" t="inlineStr"/>
      <c r="O50" s="35" t="inlineStr">
        <is>
          <t>X</t>
        </is>
      </c>
      <c r="P50" s="24" t="n">
        <v>4</v>
      </c>
    </row>
    <row r="51" ht="20" customHeight="1">
      <c r="A51" s="23" t="inlineStr">
        <is>
          <t>Sound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5" t="inlineStr">
        <is>
          <t>X</t>
        </is>
      </c>
      <c r="H51" s="34" t="inlineStr"/>
      <c r="I51" s="34" t="inlineStr"/>
      <c r="J51" s="34" t="inlineStr"/>
      <c r="K51" s="35" t="inlineStr">
        <is>
          <t>X</t>
        </is>
      </c>
      <c r="L51" s="34" t="inlineStr"/>
      <c r="M51" s="35" t="inlineStr">
        <is>
          <t>X</t>
        </is>
      </c>
      <c r="N51" s="35" t="inlineStr">
        <is>
          <t>X</t>
        </is>
      </c>
      <c r="O51" s="34" t="inlineStr"/>
      <c r="P51" s="24" t="n">
        <v>6</v>
      </c>
    </row>
    <row r="52" ht="20" customHeight="1">
      <c r="A52" s="23" t="inlineStr">
        <is>
          <t>Sparkling Ice</t>
        </is>
      </c>
      <c r="B52" s="34" t="inlineStr"/>
      <c r="C52" s="35" t="inlineStr">
        <is>
          <t>X</t>
        </is>
      </c>
      <c r="D52" s="35" t="inlineStr">
        <is>
          <t>X</t>
        </is>
      </c>
      <c r="E52" s="35" t="inlineStr">
        <is>
          <t>X</t>
        </is>
      </c>
      <c r="F52" s="35" t="inlineStr">
        <is>
          <t>X</t>
        </is>
      </c>
      <c r="G52" s="34" t="inlineStr"/>
      <c r="H52" s="34" t="inlineStr"/>
      <c r="I52" s="34" t="inlineStr"/>
      <c r="J52" s="35" t="inlineStr">
        <is>
          <t>X</t>
        </is>
      </c>
      <c r="K52" s="34" t="inlineStr"/>
      <c r="L52" s="35" t="inlineStr">
        <is>
          <t>X</t>
        </is>
      </c>
      <c r="M52" s="34" t="inlineStr"/>
      <c r="N52" s="34" t="inlineStr"/>
      <c r="O52" s="35" t="inlineStr">
        <is>
          <t>X</t>
        </is>
      </c>
      <c r="P52" s="24" t="n">
        <v>7</v>
      </c>
    </row>
    <row r="53" ht="20" customHeight="1">
      <c r="A53" s="23" t="inlineStr">
        <is>
          <t>Spindrift</t>
        </is>
      </c>
      <c r="B53" s="34" t="inlineStr"/>
      <c r="C53" s="35" t="inlineStr">
        <is>
          <t>X</t>
        </is>
      </c>
      <c r="D53" s="35" t="inlineStr">
        <is>
          <t>X</t>
        </is>
      </c>
      <c r="E53" s="35" t="inlineStr">
        <is>
          <t>X</t>
        </is>
      </c>
      <c r="F53" s="34" t="inlineStr"/>
      <c r="G53" s="35" t="inlineStr">
        <is>
          <t>X</t>
        </is>
      </c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4" t="inlineStr"/>
      <c r="M53" s="34" t="inlineStr"/>
      <c r="N53" s="34" t="inlineStr"/>
      <c r="O53" s="34" t="inlineStr"/>
      <c r="P53" s="24" t="n">
        <v>6</v>
      </c>
    </row>
    <row r="54" ht="20" customHeight="1">
      <c r="A54" s="23" t="inlineStr">
        <is>
          <t>Starbucks</t>
        </is>
      </c>
      <c r="B54" s="35" t="inlineStr">
        <is>
          <t>X</t>
        </is>
      </c>
      <c r="C54" s="34" t="inlineStr"/>
      <c r="D54" s="34" t="inlineStr"/>
      <c r="E54" s="34" t="inlineStr"/>
      <c r="F54" s="34" t="inlineStr"/>
      <c r="G54" s="34" t="inlineStr"/>
      <c r="H54" s="34" t="inlineStr"/>
      <c r="I54" s="34" t="inlineStr"/>
      <c r="J54" s="34" t="inlineStr"/>
      <c r="K54" s="34" t="inlineStr"/>
      <c r="L54" s="34" t="inlineStr"/>
      <c r="M54" s="34" t="inlineStr"/>
      <c r="N54" s="34" t="inlineStr"/>
      <c r="O54" s="35" t="inlineStr">
        <is>
          <t>X</t>
        </is>
      </c>
      <c r="P54" s="24" t="n">
        <v>2</v>
      </c>
    </row>
    <row r="55" ht="20" customHeight="1">
      <c r="A55" s="23" t="inlineStr">
        <is>
          <t>Topo Chico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4" t="inlineStr"/>
      <c r="F55" s="34" t="inlineStr"/>
      <c r="G55" s="35" t="inlineStr">
        <is>
          <t>X</t>
        </is>
      </c>
      <c r="H55" s="34" t="inlineStr"/>
      <c r="I55" s="34" t="inlineStr"/>
      <c r="J55" s="34" t="inlineStr"/>
      <c r="K55" s="35" t="inlineStr">
        <is>
          <t>X</t>
        </is>
      </c>
      <c r="L55" s="34" t="inlineStr"/>
      <c r="M55" s="34" t="inlineStr"/>
      <c r="N55" s="34" t="inlineStr"/>
      <c r="O55" s="35" t="inlineStr">
        <is>
          <t>X</t>
        </is>
      </c>
      <c r="P55" s="24" t="n">
        <v>5</v>
      </c>
    </row>
    <row r="56" ht="20" customHeight="1">
      <c r="A56" s="23" t="inlineStr">
        <is>
          <t>United Sodas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5" t="inlineStr">
        <is>
          <t>X</t>
        </is>
      </c>
      <c r="G56" s="34" t="inlineStr"/>
      <c r="H56" s="34" t="inlineStr"/>
      <c r="I56" s="35" t="inlineStr">
        <is>
          <t>X</t>
        </is>
      </c>
      <c r="J56" s="34" t="inlineStr"/>
      <c r="K56" s="34" t="inlineStr"/>
      <c r="L56" s="34" t="inlineStr"/>
      <c r="M56" s="34" t="inlineStr"/>
      <c r="N56" s="34" t="inlineStr"/>
      <c r="O56" s="34" t="inlineStr"/>
      <c r="P56" s="24" t="n">
        <v>5</v>
      </c>
    </row>
    <row r="57" ht="20" customHeight="1">
      <c r="A57" s="23" t="inlineStr">
        <is>
          <t>Vita Coco</t>
        </is>
      </c>
      <c r="B57" s="34" t="inlineStr"/>
      <c r="C57" s="34" t="inlineStr"/>
      <c r="D57" s="35" t="inlineStr">
        <is>
          <t>X</t>
        </is>
      </c>
      <c r="E57" s="34" t="inlineStr"/>
      <c r="F57" s="34" t="inlineStr"/>
      <c r="G57" s="34" t="inlineStr"/>
      <c r="H57" s="34" t="inlineStr"/>
      <c r="I57" s="35" t="inlineStr">
        <is>
          <t>X</t>
        </is>
      </c>
      <c r="J57" s="35" t="inlineStr">
        <is>
          <t>X</t>
        </is>
      </c>
      <c r="K57" s="34" t="inlineStr"/>
      <c r="L57" s="34" t="inlineStr"/>
      <c r="M57" s="34" t="inlineStr"/>
      <c r="N57" s="34" t="inlineStr"/>
      <c r="O57" s="35" t="inlineStr">
        <is>
          <t>X</t>
        </is>
      </c>
      <c r="P57" s="24" t="n">
        <v>4</v>
      </c>
    </row>
    <row r="58" ht="20" customHeight="1">
      <c r="A58" s="23" t="inlineStr">
        <is>
          <t>Waterloo</t>
        </is>
      </c>
      <c r="B58" s="34" t="inlineStr"/>
      <c r="C58" s="35" t="inlineStr">
        <is>
          <t>X</t>
        </is>
      </c>
      <c r="D58" s="35" t="inlineStr">
        <is>
          <t>X</t>
        </is>
      </c>
      <c r="E58" s="35" t="inlineStr">
        <is>
          <t>X</t>
        </is>
      </c>
      <c r="F58" s="35" t="inlineStr">
        <is>
          <t>X</t>
        </is>
      </c>
      <c r="G58" s="35" t="inlineStr">
        <is>
          <t>X</t>
        </is>
      </c>
      <c r="H58" s="35" t="inlineStr">
        <is>
          <t>X</t>
        </is>
      </c>
      <c r="I58" s="35" t="inlineStr">
        <is>
          <t>X</t>
        </is>
      </c>
      <c r="J58" s="34" t="inlineStr"/>
      <c r="K58" s="34" t="inlineStr"/>
      <c r="L58" s="34" t="inlineStr"/>
      <c r="M58" s="34" t="inlineStr"/>
      <c r="N58" s="34" t="inlineStr"/>
      <c r="O58" s="34" t="inlineStr"/>
      <c r="P58" s="24" t="n">
        <v>7</v>
      </c>
    </row>
    <row r="59" ht="20" customHeight="1">
      <c r="A59" s="23" t="inlineStr">
        <is>
          <t>ZOA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5" t="inlineStr">
        <is>
          <t>X</t>
        </is>
      </c>
      <c r="J59" s="35" t="inlineStr">
        <is>
          <t>X</t>
        </is>
      </c>
      <c r="K59" s="34" t="inlineStr"/>
      <c r="L59" s="34" t="inlineStr"/>
      <c r="M59" s="34" t="inlineStr"/>
      <c r="N59" s="34" t="inlineStr"/>
      <c r="O59" s="34" t="inlineStr"/>
      <c r="P59" s="24" t="n">
        <v>5</v>
      </c>
    </row>
    <row r="60" ht="20" customHeight="1">
      <c r="A60" s="23" t="inlineStr">
        <is>
          <t>Zevia</t>
        </is>
      </c>
      <c r="B60" s="35" t="inlineStr">
        <is>
          <t>X</t>
        </is>
      </c>
      <c r="C60" s="35" t="inlineStr">
        <is>
          <t>X</t>
        </is>
      </c>
      <c r="D60" s="35" t="inlineStr">
        <is>
          <t>X</t>
        </is>
      </c>
      <c r="E60" s="35" t="inlineStr">
        <is>
          <t>X</t>
        </is>
      </c>
      <c r="F60" s="35" t="inlineStr">
        <is>
          <t>X</t>
        </is>
      </c>
      <c r="G60" s="35" t="inlineStr">
        <is>
          <t>X</t>
        </is>
      </c>
      <c r="H60" s="34" t="inlineStr"/>
      <c r="I60" s="34" t="inlineStr"/>
      <c r="J60" s="34" t="inlineStr"/>
      <c r="K60" s="35" t="inlineStr">
        <is>
          <t>X</t>
        </is>
      </c>
      <c r="L60" s="34" t="inlineStr"/>
      <c r="M60" s="35" t="inlineStr">
        <is>
          <t>X</t>
        </is>
      </c>
      <c r="N60" s="34" t="inlineStr"/>
      <c r="O60" s="34" t="inlineStr"/>
      <c r="P60" s="24" t="n">
        <v>8</v>
      </c>
    </row>
    <row r="61" ht="20" customHeight="1">
      <c r="A61" s="23" t="inlineStr">
        <is>
          <t>bubly</t>
        </is>
      </c>
      <c r="B61" s="34" t="inlineStr"/>
      <c r="C61" s="35" t="inlineStr">
        <is>
          <t>X</t>
        </is>
      </c>
      <c r="D61" s="35" t="inlineStr">
        <is>
          <t>X</t>
        </is>
      </c>
      <c r="E61" s="35" t="inlineStr">
        <is>
          <t>X</t>
        </is>
      </c>
      <c r="F61" s="35" t="inlineStr">
        <is>
          <t>X</t>
        </is>
      </c>
      <c r="G61" s="35" t="inlineStr">
        <is>
          <t>X</t>
        </is>
      </c>
      <c r="H61" s="35" t="inlineStr">
        <is>
          <t>X</t>
        </is>
      </c>
      <c r="I61" s="34" t="inlineStr"/>
      <c r="J61" s="34" t="inlineStr"/>
      <c r="K61" s="35" t="inlineStr">
        <is>
          <t>X</t>
        </is>
      </c>
      <c r="L61" s="34" t="inlineStr"/>
      <c r="M61" s="34" t="inlineStr"/>
      <c r="N61" s="34" t="inlineStr"/>
      <c r="O61" s="34" t="inlineStr"/>
      <c r="P61" s="24" t="n">
        <v>7</v>
      </c>
    </row>
    <row r="62" ht="20" customHeight="1">
      <c r="A62" s="23" t="inlineStr">
        <is>
          <t>vitaminwater</t>
        </is>
      </c>
      <c r="B62" s="34" t="inlineStr"/>
      <c r="C62" s="35" t="inlineStr">
        <is>
          <t>X</t>
        </is>
      </c>
      <c r="D62" s="35" t="inlineStr">
        <is>
          <t>X</t>
        </is>
      </c>
      <c r="E62" s="35" t="inlineStr">
        <is>
          <t>X</t>
        </is>
      </c>
      <c r="F62" s="34" t="inlineStr"/>
      <c r="G62" s="34" t="inlineStr"/>
      <c r="H62" s="34" t="inlineStr"/>
      <c r="I62" s="34" t="inlineStr"/>
      <c r="J62" s="35" t="inlineStr">
        <is>
          <t>X</t>
        </is>
      </c>
      <c r="K62" s="34" t="inlineStr"/>
      <c r="L62" s="34" t="inlineStr"/>
      <c r="M62" s="34" t="inlineStr"/>
      <c r="N62" s="34" t="inlineStr"/>
      <c r="O62" s="34" t="inlineStr"/>
      <c r="P62" s="24" t="n">
        <v>4</v>
      </c>
    </row>
    <row r="63" ht="20" customHeight="1">
      <c r="A63" s="23" t="inlineStr">
        <is>
          <t>wildwonder</t>
        </is>
      </c>
      <c r="B63" s="34" t="inlineStr"/>
      <c r="C63" s="35" t="inlineStr">
        <is>
          <t>X</t>
        </is>
      </c>
      <c r="D63" s="35" t="inlineStr">
        <is>
          <t>X</t>
        </is>
      </c>
      <c r="E63" s="35" t="inlineStr">
        <is>
          <t>X</t>
        </is>
      </c>
      <c r="F63" s="34" t="inlineStr"/>
      <c r="G63" s="34" t="inlineStr"/>
      <c r="H63" s="34" t="inlineStr"/>
      <c r="I63" s="35" t="inlineStr">
        <is>
          <t>X</t>
        </is>
      </c>
      <c r="J63" s="35" t="inlineStr">
        <is>
          <t>X</t>
        </is>
      </c>
      <c r="K63" s="34" t="inlineStr"/>
      <c r="L63" s="34" t="inlineStr"/>
      <c r="M63" s="35" t="inlineStr">
        <is>
          <t>X</t>
        </is>
      </c>
      <c r="N63" s="35" t="inlineStr">
        <is>
          <t>X</t>
        </is>
      </c>
      <c r="O63" s="34" t="inlineStr"/>
      <c r="P63" s="24" t="n">
        <v>7</v>
      </c>
    </row>
    <row r="64">
      <c r="A64" s="36" t="inlineStr">
        <is>
          <t>TOTAL brands w/ flavour</t>
        </is>
      </c>
      <c r="B64" s="37">
        <f>COUNTIF(B2:B63,"X")</f>
        <v/>
      </c>
      <c r="C64" s="37">
        <f>COUNTIF(C2:C63,"X")</f>
        <v/>
      </c>
      <c r="D64" s="37">
        <f>COUNTIF(D2:D63,"X")</f>
        <v/>
      </c>
      <c r="E64" s="37">
        <f>COUNTIF(E2:E63,"X")</f>
        <v/>
      </c>
      <c r="F64" s="37">
        <f>COUNTIF(F2:F63,"X")</f>
        <v/>
      </c>
      <c r="G64" s="37">
        <f>COUNTIF(G2:G63,"X")</f>
        <v/>
      </c>
      <c r="H64" s="37">
        <f>COUNTIF(H2:H63,"X")</f>
        <v/>
      </c>
      <c r="I64" s="37">
        <f>COUNTIF(I2:I63,"X")</f>
        <v/>
      </c>
      <c r="J64" s="37">
        <f>COUNTIF(J2:J63,"X")</f>
        <v/>
      </c>
      <c r="K64" s="37">
        <f>COUNTIF(K2:K63,"X")</f>
        <v/>
      </c>
      <c r="L64" s="37">
        <f>COUNTIF(L2:L63,"X")</f>
        <v/>
      </c>
      <c r="M64" s="37">
        <f>COUNTIF(M2:M63,"X")</f>
        <v/>
      </c>
      <c r="N64" s="37">
        <f>COUNTIF(N2:N63,"X")</f>
        <v/>
      </c>
      <c r="O64" s="37">
        <f>COUNTIF(O2:O63,"X")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8</v>
      </c>
      <c r="C2" s="11">
        <f>COUNTBLANK('M1 - Sparkling Electrolyte'!F2:F9)</f>
        <v/>
      </c>
      <c r="D2" s="11">
        <f>COUNTBLANK('M1 - Sparkling Electrolyte'!J2:J9)</f>
        <v/>
      </c>
      <c r="E2" s="11">
        <f>COUNTBLANK('M1 - Sparkling Electrolyte'!W2:W9)</f>
        <v/>
      </c>
      <c r="F2" s="11">
        <f>COUNTBLANK('M1 - Sparkling Electrolyte'!AE2:AE9)</f>
        <v/>
      </c>
      <c r="G2" s="11">
        <f>COUNTBLANK('M1 - Sparkling Electrolyte'!Y2:Y9)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15</v>
      </c>
      <c r="C3" s="11">
        <f>COUNTBLANK('M2 - Electrolyte RTD'!F2:F16)</f>
        <v/>
      </c>
      <c r="D3" s="11">
        <f>COUNTBLANK('M2 - Electrolyte RTD'!J2:J16)</f>
        <v/>
      </c>
      <c r="E3" s="11">
        <f>COUNTBLANK('M2 - Electrolyte RTD'!W2:W16)</f>
        <v/>
      </c>
      <c r="F3" s="11">
        <f>COUNTBLANK('M2 - Electrolyte RTD'!AE2:AE16)</f>
        <v/>
      </c>
      <c r="G3" s="11">
        <f>COUNTBLANK('M2 - Electrolyte RTD'!Y2:Y16)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16</v>
      </c>
      <c r="C4" s="11">
        <f>COUNTBLANK('M3 - Functional Beverage'!F2:F17)</f>
        <v/>
      </c>
      <c r="D4" s="11">
        <f>COUNTBLANK('M3 - Functional Beverage'!J2:J17)</f>
        <v/>
      </c>
      <c r="E4" s="11">
        <f>COUNTBLANK('M3 - Functional Beverage'!W2:W17)</f>
        <v/>
      </c>
      <c r="F4" s="11">
        <f>COUNTBLANK('M3 - Functional Beverage'!AE2:AE17)</f>
        <v/>
      </c>
      <c r="G4" s="11">
        <f>COUNTBLANK('M3 - Functional Beverage'!Y2:Y17)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19</v>
      </c>
      <c r="C5" s="11">
        <f>COUNTBLANK('M4 - Caffeine &amp; Energy'!F2:F20)</f>
        <v/>
      </c>
      <c r="D5" s="11">
        <f>COUNTBLANK('M4 - Caffeine &amp; Energy'!J2:J20)</f>
        <v/>
      </c>
      <c r="E5" s="11">
        <f>COUNTBLANK('M4 - Caffeine &amp; Energy'!W2:W20)</f>
        <v/>
      </c>
      <c r="F5" s="11">
        <f>COUNTBLANK('M4 - Caffeine &amp; Energy'!AE2:AE20)</f>
        <v/>
      </c>
      <c r="G5" s="11">
        <f>COUNTBLANK('M4 - Caffeine &amp; Energy'!Y2:Y20)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17</v>
      </c>
      <c r="C6" s="11">
        <f>COUNTBLANK('M5 - Sparkling Water &amp; Soda'!F2:F18)</f>
        <v/>
      </c>
      <c r="D6" s="11">
        <f>COUNTBLANK('M5 - Sparkling Water &amp; Soda'!J2:J18)</f>
        <v/>
      </c>
      <c r="E6" s="11">
        <f>COUNTBLANK('M5 - Sparkling Water &amp; Soda'!W2:W18)</f>
        <v/>
      </c>
      <c r="F6" s="11">
        <f>COUNTBLANK('M5 - Sparkling Water &amp; Soda'!AE2:AE18)</f>
        <v/>
      </c>
      <c r="G6" s="11">
        <f>COUNTBLANK('M5 - Sparkling Water &amp; Soda'!Y2:Y18)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2026-06-06T04:09:46Z</dcterms:created>
  <dcterms:modified xsi:type="dcterms:W3CDTF">2026-06-06T04:09:46Z</dcterms:modified>
</cp:coreProperties>
</file>