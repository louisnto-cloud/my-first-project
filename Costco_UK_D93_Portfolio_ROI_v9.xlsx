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Inputs" sheetId="2" state="visible" r:id="rId2"/>
    <sheet name="Forecast" sheetId="3" state="visible" r:id="rId3"/>
    <sheet name="Cumulative" sheetId="4" state="visible" r:id="rId4"/>
    <sheet name="Sensitivity" sheetId="5" state="visible" r:id="rId5"/>
    <sheet name="Summary" sheetId="6" state="visible" r:id="rId6"/>
    <sheet name="Portfolio" sheetId="7" state="visible" r:id="rId7"/>
    <sheet name="Pitch Memo" sheetId="8" state="visible" r:id="rId8"/>
  </sheets>
  <definedNames>
    <definedName name="StartDate">Inputs!$C$21</definedName>
    <definedName name="WHs">Inputs!$C$22</definedName>
    <definedName name="Period">26</definedName>
    <definedName name="Price">Inputs!$C$25</definedName>
    <definedName name="Cost">Inputs!$C$26</definedName>
    <definedName name="BaseUnits">Inputs!$C$31</definedName>
    <definedName name="DemoCost">Inputs!$C$34</definedName>
    <definedName name="EndCapCost">Inputs!$C$35</definedName>
    <definedName name="TPDPct">Inputs!$C$36</definedName>
    <definedName name="MdPct">Inputs!$C$37</definedName>
    <definedName name="PBest">Inputs!$C$40</definedName>
    <definedName name="PIdeal">Inputs!$C$41</definedName>
    <definedName name="PWorst">Inputs!$C$42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0.0000"/>
    <numFmt numFmtId="165" formatCode="yyyy-mm-dd"/>
    <numFmt numFmtId="166" formatCode="dd-mmm-yyyy"/>
    <numFmt numFmtId="167" formatCode="_-£* #,##0.00_-;[Red]-£* #,##0.00_-;_-£* &quot;-&quot;??_-;_-@_-"/>
    <numFmt numFmtId="168" formatCode="0.0%"/>
    <numFmt numFmtId="169" formatCode="_-£* #,##0_-;[Red]-£* #,##0_-;_-£* &quot;-&quot;??_-;_-@_-"/>
    <numFmt numFmtId="170" formatCode="dd-mmm"/>
    <numFmt numFmtId="171" formatCode="0;;;@"/>
    <numFmt numFmtId="172" formatCode="0.0&quot;x&quot;"/>
    <numFmt numFmtId="173" formatCode="_-* #,##0_-;[Red]_-* (#,##0)_-;_-* &quot;-&quot;??_-;_-@_-"/>
    <numFmt numFmtId="174" formatCode="&quot;W&quot;0;;&quot;&quot;"/>
    <numFmt numFmtId="175" formatCode="_-* #,##0.00_-;[Red]_-* (#,##0.00)_-;_-* &quot;-&quot;??_-;_-@_-"/>
  </numFmts>
  <fonts count="16">
    <font>
      <name val="Calibri"/>
      <family val="2"/>
      <color theme="1"/>
      <sz val="11"/>
      <scheme val="minor"/>
    </font>
    <font>
      <name val="Calibri"/>
      <b val="1"/>
      <color rgb="001F4E78"/>
      <sz val="20"/>
    </font>
    <font>
      <name val="Calibri"/>
      <i val="1"/>
      <color rgb="00595959"/>
      <sz val="12"/>
    </font>
    <font>
      <name val="Calibri"/>
      <b val="1"/>
      <color rgb="00FFFFFF"/>
      <sz val="13"/>
    </font>
    <font>
      <name val="Calibri"/>
      <sz val="11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0070C0"/>
      <sz val="11"/>
    </font>
    <font>
      <name val="Calibri"/>
      <i val="1"/>
      <color rgb="00595959"/>
      <sz val="10"/>
    </font>
    <font>
      <name val="Calibri"/>
      <b val="1"/>
      <color rgb="001F4E78"/>
      <sz val="11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i val="1"/>
      <color rgb="00595959"/>
      <sz val="11"/>
    </font>
    <font>
      <name val="Calibri"/>
      <color rgb="00000000"/>
      <sz val="11"/>
    </font>
    <font>
      <name val="Calibri"/>
      <b val="1"/>
      <color rgb="001F4E78"/>
      <sz val="14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right" vertical="center"/>
    </xf>
    <xf numFmtId="166" fontId="8" fillId="3" borderId="1" applyAlignment="1" pivotButton="0" quotePrefix="0" xfId="0">
      <alignment horizontal="right" vertical="center"/>
    </xf>
    <xf numFmtId="3" fontId="8" fillId="3" borderId="1" applyAlignment="1" pivotButton="0" quotePrefix="0" xfId="0">
      <alignment horizontal="right" vertical="center"/>
    </xf>
    <xf numFmtId="167" fontId="8" fillId="3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8" fontId="4" fillId="3" borderId="1" applyAlignment="1" pivotButton="0" quotePrefix="0" xfId="0">
      <alignment horizontal="right" vertical="center"/>
    </xf>
    <xf numFmtId="169" fontId="8" fillId="3" borderId="1" applyAlignment="1" pivotButton="0" quotePrefix="0" xfId="0">
      <alignment horizontal="right" vertical="center"/>
    </xf>
    <xf numFmtId="168" fontId="8" fillId="3" borderId="1" applyAlignment="1" pivotButton="0" quotePrefix="0" xfId="0">
      <alignment horizontal="right" vertical="center"/>
    </xf>
    <xf numFmtId="168" fontId="4" fillId="5" borderId="1" applyAlignment="1" pivotButton="0" quotePrefix="0" xfId="0">
      <alignment horizontal="right" vertical="center"/>
    </xf>
    <xf numFmtId="0" fontId="11" fillId="7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170" fontId="12" fillId="5" borderId="1" applyAlignment="1" pivotButton="0" quotePrefix="0" xfId="0">
      <alignment horizontal="center" vertical="center" wrapText="1"/>
    </xf>
    <xf numFmtId="171" fontId="8" fillId="3" borderId="1" applyAlignment="1" pivotButton="0" quotePrefix="0" xfId="0">
      <alignment horizontal="center" vertical="center" wrapText="1"/>
    </xf>
    <xf numFmtId="172" fontId="8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164" fontId="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5" borderId="1" pivotButton="0" quotePrefix="0" xfId="0"/>
    <xf numFmtId="3" fontId="4" fillId="5" borderId="1" applyAlignment="1" pivotButton="0" quotePrefix="0" xfId="0">
      <alignment horizontal="right" vertical="center"/>
    </xf>
    <xf numFmtId="3" fontId="10" fillId="4" borderId="1" applyAlignment="1" pivotButton="0" quotePrefix="0" xfId="0">
      <alignment horizontal="right" vertical="center"/>
    </xf>
    <xf numFmtId="173" fontId="4" fillId="5" borderId="1" applyAlignment="1" pivotButton="0" quotePrefix="0" xfId="0">
      <alignment horizontal="right" vertical="center"/>
    </xf>
    <xf numFmtId="173" fontId="10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2" borderId="1" applyAlignment="1" pivotButton="0" quotePrefix="0" xfId="0">
      <alignment horizontal="right" vertical="center"/>
    </xf>
    <xf numFmtId="174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top" wrapText="1"/>
    </xf>
    <xf numFmtId="169" fontId="11" fillId="2" borderId="1" applyAlignment="1" pivotButton="0" quotePrefix="0" xfId="0">
      <alignment horizontal="center" vertical="center" wrapText="1"/>
    </xf>
    <xf numFmtId="172" fontId="7" fillId="2" borderId="1" applyAlignment="1" pivotButton="0" quotePrefix="0" xfId="0">
      <alignment horizontal="center" vertical="center" wrapText="1"/>
    </xf>
    <xf numFmtId="169" fontId="4" fillId="5" borderId="1" applyAlignment="1" pivotButton="0" quotePrefix="0" xfId="0">
      <alignment horizontal="right" vertical="center"/>
    </xf>
    <xf numFmtId="169" fontId="10" fillId="4" borderId="1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8" fontId="9" fillId="5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73" fontId="4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 wrapText="1"/>
    </xf>
    <xf numFmtId="173" fontId="15" fillId="4" borderId="1" applyAlignment="1" pivotButton="0" quotePrefix="0" xfId="0">
      <alignment horizontal="right" vertical="center"/>
    </xf>
    <xf numFmtId="168" fontId="15" fillId="4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top" wrapText="1"/>
    </xf>
    <xf numFmtId="3" fontId="7" fillId="5" borderId="1" applyAlignment="1" pivotButton="0" quotePrefix="0" xfId="0">
      <alignment horizontal="center" vertical="center" wrapText="1"/>
    </xf>
    <xf numFmtId="175" fontId="8" fillId="3" borderId="1" applyAlignment="1" pivotButton="0" quotePrefix="0" xfId="0">
      <alignment horizontal="right" vertical="center"/>
    </xf>
    <xf numFmtId="173" fontId="8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11" fillId="7" borderId="1" applyAlignment="1" pivotButton="0" quotePrefix="0" xfId="0">
      <alignment horizontal="left" vertical="center" wrapText="1"/>
    </xf>
    <xf numFmtId="168" fontId="11" fillId="7" borderId="1" applyAlignment="1" pivotButton="0" quotePrefix="0" xfId="0">
      <alignment horizontal="right" vertical="center"/>
    </xf>
    <xf numFmtId="3" fontId="11" fillId="7" borderId="1" applyAlignment="1" pivotButton="0" quotePrefix="0" xfId="0">
      <alignment horizontal="right" vertical="center"/>
    </xf>
    <xf numFmtId="173" fontId="11" fillId="7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b val="1"/>
        <color rgb="009C5700"/>
      </font>
      <fill>
        <patternFill patternType="solid">
          <fgColor rgb="00FFE699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Cumulative Net Profit by Scenario</a:t>
            </a:r>
          </a:p>
        </rich>
      </tx>
    </title>
    <plotArea>
      <lineChart>
        <grouping val="standard"/>
        <ser>
          <idx val="0"/>
          <order val="0"/>
          <tx>
            <v>BEST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'Cumulative'!$F$5:$AE$5</f>
            </numRef>
          </cat>
          <val>
            <numRef>
              <f>'Cumulative'!$F$7:$AE$7</f>
            </numRef>
          </val>
        </ser>
        <ser>
          <idx val="1"/>
          <order val="1"/>
          <tx>
            <v>IDEAL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'Cumulative'!$F$5:$AE$5</f>
            </numRef>
          </cat>
          <val>
            <numRef>
              <f>'Cumulative'!$F$8:$AE$8</f>
            </numRef>
          </val>
        </ser>
        <ser>
          <idx val="2"/>
          <order val="2"/>
          <tx>
            <v>WORST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'Cumulative'!$F$5:$AE$5</f>
            </numRef>
          </cat>
          <val>
            <numRef>
              <f>'Cumulative'!$F$9:$AE$9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Net Profit by Scenario (+ Expected Value)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'Summary'!$C$6:$F$6</f>
            </numRef>
          </cat>
          <val>
            <numRef>
              <f>'Summary'!$C$13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'Summary'!$C$6:$F$6</f>
            </numRef>
          </cat>
          <val>
            <numRef>
              <f>'Summary'!$D$13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'Summary'!$C$6:$F$6</f>
            </numRef>
          </cat>
          <val>
            <numRef>
              <f>'Summary'!$E$13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'Summary'!$C$6:$F$6</f>
            </numRef>
          </cat>
          <val>
            <numRef>
              <f>'Summary'!$F$13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5" customWidth="1" min="2" max="2"/>
  </cols>
  <sheetData>
    <row r="2">
      <c r="B2" s="1" t="inlineStr">
        <is>
          <t>Costco UK — D93 Portfolio ROI Model</t>
        </is>
      </c>
    </row>
    <row r="3">
      <c r="B3" s="2" t="inlineStr">
        <is>
          <t>v9 enterprise · 8 tabs · scenario-weighted, multi-year, multi-currency</t>
        </is>
      </c>
    </row>
    <row r="5">
      <c r="B5" s="3" t="inlineStr">
        <is>
          <t>WHAT THIS MODEL DOES</t>
        </is>
      </c>
    </row>
    <row r="6" ht="18" customHeight="1">
      <c r="B6" s="4" t="inlineStr"/>
    </row>
    <row r="7" ht="18" customHeight="1">
      <c r="B7" s="4" t="inlineStr">
        <is>
          <t>Costs out the Bee Propolis Spray Costco UK market test under three scenarios (BEST / IDEAL / WORST), rolls those into Y1 numbers, then blends Bee Propolis with the other six D93 pitch SKUs into a 3-year portfolio view with blended margin and ROI.</t>
        </is>
      </c>
    </row>
    <row r="8" ht="18" customHeight="1">
      <c r="B8" s="4" t="inlineStr"/>
    </row>
    <row r="9">
      <c r="B9" s="3" t="inlineStr">
        <is>
          <t>HOW TO USE</t>
        </is>
      </c>
    </row>
    <row r="10" ht="18" customHeight="1">
      <c r="B10" s="4" t="inlineStr"/>
    </row>
    <row r="11" ht="18" customHeight="1">
      <c r="B11" s="4" t="inlineStr">
        <is>
          <t>1.  Open the Inputs tab. Change any YELLOW cell. Grey cells calculate themselves.</t>
        </is>
      </c>
    </row>
    <row r="12" ht="18" customHeight="1">
      <c r="B12" s="4" t="inlineStr">
        <is>
          <t>2.  Pick a Display Currency at the top of any output tab (Forecast, Cumulative, Summary, Portfolio, Pitch Memo).</t>
        </is>
      </c>
    </row>
    <row r="13" ht="18" customHeight="1">
      <c r="B13" s="4" t="inlineStr">
        <is>
          <t>3.  Forecast = 26-week weekly P&amp;L per scenario.</t>
        </is>
      </c>
    </row>
    <row r="14" ht="18" customHeight="1">
      <c r="B14" s="4" t="inlineStr">
        <is>
          <t>4.  Cumulative = running Net Profit per scenario + break-even week (line chart).</t>
        </is>
      </c>
    </row>
    <row r="15" ht="18" customHeight="1">
      <c r="B15" s="4" t="inlineStr">
        <is>
          <t>5.  Sensitivity = Lift × Demo Cost grid showing Net Profit (where the model breaks).</t>
        </is>
      </c>
    </row>
    <row r="16" ht="18" customHeight="1">
      <c r="B16" s="4" t="inlineStr">
        <is>
          <t>6.  Summary = scenario KPI comparison + probability-weighted Expected Value + bar chart.</t>
        </is>
      </c>
    </row>
    <row r="17" ht="18" customHeight="1">
      <c r="B17" s="4" t="inlineStr">
        <is>
          <t>7.  Portfolio = 3-year roll-up across all seven SKUs with blended margin/ROI.</t>
        </is>
      </c>
    </row>
    <row r="18" ht="18" customHeight="1">
      <c r="B18" s="4" t="inlineStr">
        <is>
          <t>8.  Pitch Memo = exec-ready 1-pager. Numbers update live.</t>
        </is>
      </c>
    </row>
    <row r="19" ht="18" customHeight="1">
      <c r="B19" s="4" t="inlineStr"/>
    </row>
    <row r="20">
      <c r="B20" s="3" t="inlineStr">
        <is>
          <t>COLOUR KEY</t>
        </is>
      </c>
    </row>
    <row r="21" ht="18" customHeight="1">
      <c r="B21" s="4" t="inlineStr"/>
    </row>
    <row r="22">
      <c r="B22" s="5" t="inlineStr">
        <is>
          <t xml:space="preserve">   Yellow: Editable input</t>
        </is>
      </c>
    </row>
    <row r="23">
      <c r="B23" s="6" t="inlineStr">
        <is>
          <t xml:space="preserve">   Light Blue: Summary KPI</t>
        </is>
      </c>
    </row>
    <row r="24">
      <c r="B24" s="7" t="inlineStr">
        <is>
          <t xml:space="preserve">   Grey: Calculated</t>
        </is>
      </c>
    </row>
    <row r="25">
      <c r="B25" s="8" t="inlineStr">
        <is>
          <t xml:space="preserve">   Amber: Warning / sanity-check</t>
        </is>
      </c>
    </row>
    <row r="26" ht="18" customHeight="1">
      <c r="B26" s="4" t="inlineStr"/>
    </row>
    <row r="27">
      <c r="B27" s="3" t="inlineStr">
        <is>
          <t>KEY ASSUMPTIONS</t>
        </is>
      </c>
    </row>
    <row r="28" ht="18" customHeight="1">
      <c r="B28" s="4" t="inlineStr"/>
    </row>
    <row r="29" ht="18" customHeight="1">
      <c r="B29" s="4" t="inlineStr">
        <is>
          <t>·  Base demand = 276 units / week across 20 warehouses (~13.8 units/wh/week). From the prior 30ml SKU run-rate.</t>
        </is>
      </c>
    </row>
    <row r="30" ht="18" customHeight="1">
      <c r="B30" s="4" t="inlineStr">
        <is>
          <t>·  Demo lift = 3.0x base. End cap stacked on demo = 3.6x. Industry benchmark for Costco UK supplements.</t>
        </is>
      </c>
    </row>
    <row r="31" ht="18" customHeight="1">
      <c r="B31" s="4" t="inlineStr">
        <is>
          <t>·  TPD discount = 25% off net (20% off MSRP × 1/0.8 retail margin gross-up).</t>
        </is>
      </c>
    </row>
    <row r="32" ht="18" customHeight="1">
      <c r="B32" s="4" t="inlineStr">
        <is>
          <t>·  Markdown discount = 50% of net (clearance).</t>
        </is>
      </c>
    </row>
    <row r="33" ht="18" customHeight="1">
      <c r="B33" s="4" t="inlineStr">
        <is>
          <t>·  Default scenario probabilities: BEST 30%, IDEAL 50%, WORST 20%. Editable on Inputs.</t>
        </is>
      </c>
    </row>
    <row r="34" ht="18" customHeight="1">
      <c r="B34" s="4" t="inlineStr">
        <is>
          <t>·  Y2 / Y3 growth = 10% per SKU. Editable per SKU on Portfolio.</t>
        </is>
      </c>
    </row>
    <row r="35" ht="18" customHeight="1">
      <c r="B35" s="4" t="inlineStr">
        <is>
          <t>·  FX rates current as of model build date — refresh on the Inputs FX Rate Table.</t>
        </is>
      </c>
    </row>
    <row r="36" ht="18" customHeight="1">
      <c r="B36" s="4" t="inlineStr"/>
    </row>
    <row r="37">
      <c r="B37" s="3" t="inlineStr">
        <is>
          <t>MODEL LIMITATIONS</t>
        </is>
      </c>
    </row>
    <row r="38" ht="18" customHeight="1">
      <c r="B38" s="4" t="inlineStr"/>
    </row>
    <row r="39" ht="18" customHeight="1">
      <c r="B39" s="4" t="inlineStr">
        <is>
          <t>·  Demand lift is the same in every promo week — no week-2 fatigue modelled.</t>
        </is>
      </c>
    </row>
    <row r="40" ht="18" customHeight="1">
      <c r="B40" s="4" t="inlineStr">
        <is>
          <t>·  No seasonality (Q4 retail spike, summer dip).</t>
        </is>
      </c>
    </row>
    <row r="41" ht="18" customHeight="1">
      <c r="B41" s="4" t="inlineStr">
        <is>
          <t>·  Single FX snapshot — no hedge cost modelled.</t>
        </is>
      </c>
    </row>
    <row r="42" ht="18" customHeight="1">
      <c r="B42" s="4" t="inlineStr">
        <is>
          <t>·  Portfolio SP / Cost stored in GBP. Switching the display currency converts but does NOT re-quote prices in the new market.</t>
        </is>
      </c>
    </row>
    <row r="43" ht="18" customHeight="1">
      <c r="B43" s="4" t="inlineStr">
        <is>
          <t>·  Markdown only triggers in the WORST scenario weeks 18-20 (hard-wired in scenario activity grid; edit grid to change).</t>
        </is>
      </c>
    </row>
    <row r="44" ht="18" customHeight="1">
      <c r="B44" s="4" t="inlineStr"/>
    </row>
    <row r="45">
      <c r="B45" s="3" t="inlineStr">
        <is>
          <t>CHANGE LOG</t>
        </is>
      </c>
    </row>
    <row r="46" ht="18" customHeight="1">
      <c r="B46" s="4" t="inlineStr"/>
    </row>
    <row r="47" ht="18" customHeight="1">
      <c r="B47" s="4" t="inlineStr">
        <is>
          <t>v9  enterprise pass: Cumulative, Sensitivity, Pitch Memo tabs; scenario weighting; 3-year Portfolio; charts; validation.</t>
        </is>
      </c>
    </row>
    <row r="48" ht="18" customHeight="1">
      <c r="B48" s="4" t="inlineStr">
        <is>
          <t>v8  simplified Inputs / Forecast / Summary / Portfolio.</t>
        </is>
      </c>
    </row>
    <row r="49" ht="18" customHeight="1">
      <c r="B49" s="4" t="inlineStr">
        <is>
          <t>v7  per-tab currency dropdowns.</t>
        </is>
      </c>
    </row>
    <row r="50" ht="18" customHeight="1">
      <c r="B50" s="4" t="inlineStr">
        <is>
          <t>v6  currency selection added on Inputs.</t>
        </is>
      </c>
    </row>
    <row r="51" ht="18" customHeight="1">
      <c r="B51" s="4" t="inlineStr">
        <is>
          <t>v5  removed override column; single yellow column for all inputs.</t>
        </is>
      </c>
    </row>
    <row r="52" ht="18" customHeight="1">
      <c r="B52" s="4" t="inlineStr">
        <is>
          <t>v4-v2  iterations on layout &amp; style.</t>
        </is>
      </c>
    </row>
    <row r="53" ht="18" customHeight="1">
      <c r="B53" s="4" t="inlineStr">
        <is>
          <t>v1  original George spreadsheet (rebuilt from scratch).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E75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6" customWidth="1" min="3" max="3"/>
    <col width="78" customWidth="1" min="4" max="4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</cols>
  <sheetData>
    <row r="2" ht="32" customHeight="1">
      <c r="B2" s="9" t="inlineStr">
        <is>
          <t>INPUTS — change any yellow cell</t>
        </is>
      </c>
    </row>
    <row r="4" ht="22" customHeight="1">
      <c r="B4" s="10" t="inlineStr">
        <is>
          <t>1.  Display Currency  (master copy — each tab has its own)</t>
        </is>
      </c>
    </row>
    <row r="5" ht="22" customHeight="1">
      <c r="B5" s="11" t="inlineStr">
        <is>
          <t>Display Currency</t>
        </is>
      </c>
      <c r="C5" s="12" t="inlineStr">
        <is>
          <t>GBP</t>
        </is>
      </c>
      <c r="D5" s="13" t="inlineStr">
        <is>
          <t>Reference only. Each display tab has its own dropdown.</t>
        </is>
      </c>
    </row>
    <row r="7">
      <c r="B7" s="14" t="inlineStr">
        <is>
          <t>FX Rate Table — edit rates (rate is per 1 GBP)</t>
        </is>
      </c>
    </row>
    <row r="12">
      <c r="B12" s="15" t="inlineStr">
        <is>
          <t>Code</t>
        </is>
      </c>
      <c r="C12" s="15" t="inlineStr">
        <is>
          <t>Symbol</t>
        </is>
      </c>
      <c r="D12" s="16" t="inlineStr">
        <is>
          <t>Rate (× GBP)</t>
        </is>
      </c>
    </row>
    <row r="13" ht="18" customHeight="1">
      <c r="B13" s="17" t="inlineStr">
        <is>
          <t>GBP</t>
        </is>
      </c>
      <c r="C13" s="12" t="inlineStr">
        <is>
          <t>£</t>
        </is>
      </c>
      <c r="D13" s="18" t="n">
        <v>1</v>
      </c>
    </row>
    <row r="14" ht="18" customHeight="1">
      <c r="B14" s="17" t="inlineStr">
        <is>
          <t>USD</t>
        </is>
      </c>
      <c r="C14" s="12" t="inlineStr">
        <is>
          <t>$</t>
        </is>
      </c>
      <c r="D14" s="18" t="n">
        <v>1.27</v>
      </c>
    </row>
    <row r="15" ht="18" customHeight="1">
      <c r="B15" s="17" t="inlineStr">
        <is>
          <t>CAD</t>
        </is>
      </c>
      <c r="C15" s="12" t="inlineStr">
        <is>
          <t>C$</t>
        </is>
      </c>
      <c r="D15" s="18" t="n">
        <v>1.71</v>
      </c>
    </row>
    <row r="16" ht="18" customHeight="1">
      <c r="B16" s="17" t="inlineStr">
        <is>
          <t>EUR</t>
        </is>
      </c>
      <c r="C16" s="12" t="inlineStr">
        <is>
          <t>€</t>
        </is>
      </c>
      <c r="D16" s="18" t="n">
        <v>1.17</v>
      </c>
    </row>
    <row r="19" ht="22" customHeight="1">
      <c r="B19" s="10" t="inlineStr">
        <is>
          <t>2.  Product &amp; Distribution</t>
        </is>
      </c>
    </row>
    <row r="20" ht="22" customHeight="1">
      <c r="B20" s="11" t="inlineStr">
        <is>
          <t>SKU</t>
        </is>
      </c>
      <c r="C20" s="19" t="inlineStr">
        <is>
          <t>Bee Propolis Spray 30ml x 2</t>
        </is>
      </c>
      <c r="D20" s="13" t="inlineStr">
        <is>
          <t>Costco UK market test SKU.</t>
        </is>
      </c>
    </row>
    <row r="21" ht="22" customHeight="1">
      <c r="B21" s="11" t="inlineStr">
        <is>
          <t>Test Start Date (W1)</t>
        </is>
      </c>
      <c r="C21" s="20" t="n">
        <v>46034</v>
      </c>
      <c r="D21" s="13" t="inlineStr">
        <is>
          <t>Week-commencing date for W1.</t>
        </is>
      </c>
    </row>
    <row r="22" ht="22" customHeight="1">
      <c r="B22" s="11" t="inlineStr">
        <is>
          <t>Warehouses in test</t>
        </is>
      </c>
      <c r="C22" s="21" t="n">
        <v>20</v>
      </c>
      <c r="D22" s="13" t="inlineStr">
        <is>
          <t>Number of Costco UK warehouses.</t>
        </is>
      </c>
    </row>
    <row r="24" ht="22" customHeight="1">
      <c r="B24" s="10" t="inlineStr">
        <is>
          <t>3.  Pricing (GBP)</t>
        </is>
      </c>
    </row>
    <row r="25" ht="22" customHeight="1">
      <c r="B25" s="11" t="inlineStr">
        <is>
          <t>Selling Price (MSRP)</t>
        </is>
      </c>
      <c r="C25" s="22" t="n">
        <v>15.99</v>
      </c>
      <c r="D25" s="13" t="inlineStr">
        <is>
          <t>Retail per pack.</t>
        </is>
      </c>
    </row>
    <row r="26" ht="22" customHeight="1">
      <c r="B26" s="11" t="inlineStr">
        <is>
          <t>Cost Price (landed)</t>
        </is>
      </c>
      <c r="C26" s="22" t="n">
        <v>7.29</v>
      </c>
      <c r="D26" s="13" t="inlineStr">
        <is>
          <t>Brand cost delivered.</t>
        </is>
      </c>
    </row>
    <row r="27" ht="22" customHeight="1">
      <c r="B27" s="11" t="inlineStr">
        <is>
          <t>Gross Margin per unit</t>
        </is>
      </c>
      <c r="C27" s="23">
        <f>C25-C26</f>
        <v/>
      </c>
      <c r="D27" s="13" t="inlineStr">
        <is>
          <t>SP − Cost (auto).</t>
        </is>
      </c>
    </row>
    <row r="28" ht="22" customHeight="1">
      <c r="B28" s="11" t="inlineStr">
        <is>
          <t>Gross Margin %</t>
        </is>
      </c>
      <c r="C28" s="24">
        <f>IFERROR((C25-C26)/C25,0)</f>
        <v/>
      </c>
      <c r="D28" s="13" t="inlineStr">
        <is>
          <t>GP ÷ SP (auto).</t>
        </is>
      </c>
    </row>
    <row r="30" ht="22" customHeight="1">
      <c r="B30" s="10" t="inlineStr">
        <is>
          <t>4.  Base Demand</t>
        </is>
      </c>
    </row>
    <row r="31" ht="22" customHeight="1">
      <c r="B31" s="11" t="inlineStr">
        <is>
          <t>Base Units / Week (all warehouses)</t>
        </is>
      </c>
      <c r="C31" s="21" t="n">
        <v>276</v>
      </c>
      <c r="D31" s="13" t="inlineStr">
        <is>
          <t>Organic weekly units across test warehouses, no promo.</t>
        </is>
      </c>
    </row>
    <row r="33" ht="22" customHeight="1">
      <c r="B33" s="10" t="inlineStr">
        <is>
          <t>5.  Promo Economics (GBP)</t>
        </is>
      </c>
    </row>
    <row r="34" ht="22" customHeight="1">
      <c r="B34" s="11" t="inlineStr">
        <is>
          <t>Demo Total £ / week</t>
        </is>
      </c>
      <c r="C34" s="25" t="n">
        <v>7403</v>
      </c>
      <c r="D34" s="13" t="inlineStr">
        <is>
          <t>All-warehouse demo cost in a demo week. ~£199/wh × 20 wh × 1.86 factor.</t>
        </is>
      </c>
    </row>
    <row r="35" ht="22" customHeight="1">
      <c r="B35" s="11" t="inlineStr">
        <is>
          <t>End Cap Total £ / week</t>
        </is>
      </c>
      <c r="C35" s="25" t="n">
        <v>15810</v>
      </c>
      <c r="D35" s="13" t="inlineStr">
        <is>
          <t>All-warehouse end cap. ~£850/wh × 20 wh × 1.86 ÷ 2-week cycle.</t>
        </is>
      </c>
    </row>
    <row r="36" ht="22" customHeight="1">
      <c r="B36" s="11" t="inlineStr">
        <is>
          <t>TPD discount % (of net)</t>
        </is>
      </c>
      <c r="C36" s="26" t="n">
        <v>0.25</v>
      </c>
      <c r="D36" s="13" t="inlineStr">
        <is>
          <t>20% off MSRP ≈ 25% off net.</t>
        </is>
      </c>
    </row>
    <row r="37" ht="22" customHeight="1">
      <c r="B37" s="11" t="inlineStr">
        <is>
          <t>Markdown discount %</t>
        </is>
      </c>
      <c r="C37" s="26" t="n">
        <v>0.5</v>
      </c>
      <c r="D37" s="13" t="inlineStr">
        <is>
          <t>Clearance pricing.</t>
        </is>
      </c>
    </row>
    <row r="39" ht="22" customHeight="1">
      <c r="B39" s="10" t="inlineStr">
        <is>
          <t>6.  Scenario Probability Weights  (must sum to 100%)</t>
        </is>
      </c>
    </row>
    <row r="40" ht="22" customHeight="1">
      <c r="B40" s="11" t="inlineStr">
        <is>
          <t>P(BEST)</t>
        </is>
      </c>
      <c r="C40" s="26" t="n">
        <v>0.3</v>
      </c>
      <c r="D40" s="13" t="inlineStr">
        <is>
          <t>Demo + TPD only. ~3x lift in-promo. No end cap, no clearance.</t>
        </is>
      </c>
    </row>
    <row r="41" ht="22" customHeight="1">
      <c r="B41" s="11" t="inlineStr">
        <is>
          <t>P(IDEAL)</t>
        </is>
      </c>
      <c r="C41" s="26" t="n">
        <v>0.5</v>
      </c>
      <c r="D41" s="13" t="inlineStr">
        <is>
          <t>Demo + end cap + TPD stacked. ~3.6x lift.</t>
        </is>
      </c>
    </row>
    <row r="42" ht="22" customHeight="1">
      <c r="B42" s="11" t="inlineStr">
        <is>
          <t>P(WORST)</t>
        </is>
      </c>
      <c r="C42" s="26" t="n">
        <v>0.2</v>
      </c>
      <c r="D42" s="13" t="inlineStr">
        <is>
          <t>Launch as IDEAL; 50% markdown to clear residual stock Wks 18-20.</t>
        </is>
      </c>
    </row>
    <row r="43">
      <c r="B43" s="11" t="inlineStr">
        <is>
          <t>Sum of weights</t>
        </is>
      </c>
      <c r="C43" s="27">
        <f>SUM(C40:C42)</f>
        <v/>
      </c>
      <c r="D43" s="13">
        <f>"(should be 100%)"</f>
        <v/>
      </c>
    </row>
    <row r="45" ht="22" customHeight="1">
      <c r="B45" s="10" t="inlineStr">
        <is>
          <t>7.  Scenario activity (1 = on / 0 = off per week) and demand lift</t>
        </is>
      </c>
    </row>
    <row r="47" ht="22" customHeight="1">
      <c r="B47" s="28" t="inlineStr">
        <is>
          <t>BEST · Demo + TPD (Wks 5-6)</t>
        </is>
      </c>
    </row>
    <row r="48" ht="24" customHeight="1">
      <c r="B48" s="13" t="inlineStr">
        <is>
          <t>Rationale: Demo + TPD only. ~3x lift in-promo. No end cap, no clearance.</t>
        </is>
      </c>
    </row>
    <row r="49">
      <c r="B49" s="29" t="inlineStr">
        <is>
          <t>Week</t>
        </is>
      </c>
      <c r="F49" s="15" t="inlineStr">
        <is>
          <t>W1</t>
        </is>
      </c>
      <c r="G49" s="15" t="inlineStr">
        <is>
          <t>W2</t>
        </is>
      </c>
      <c r="H49" s="15" t="inlineStr">
        <is>
          <t>W3</t>
        </is>
      </c>
      <c r="I49" s="15" t="inlineStr">
        <is>
          <t>W4</t>
        </is>
      </c>
      <c r="J49" s="15" t="inlineStr">
        <is>
          <t>W5</t>
        </is>
      </c>
      <c r="K49" s="15" t="inlineStr">
        <is>
          <t>W6</t>
        </is>
      </c>
      <c r="L49" s="15" t="inlineStr">
        <is>
          <t>W7</t>
        </is>
      </c>
      <c r="M49" s="15" t="inlineStr">
        <is>
          <t>W8</t>
        </is>
      </c>
      <c r="N49" s="15" t="inlineStr">
        <is>
          <t>W9</t>
        </is>
      </c>
      <c r="O49" s="15" t="inlineStr">
        <is>
          <t>W10</t>
        </is>
      </c>
      <c r="P49" s="15" t="inlineStr">
        <is>
          <t>W11</t>
        </is>
      </c>
      <c r="Q49" s="15" t="inlineStr">
        <is>
          <t>W12</t>
        </is>
      </c>
      <c r="R49" s="15" t="inlineStr">
        <is>
          <t>W13</t>
        </is>
      </c>
      <c r="S49" s="15" t="inlineStr">
        <is>
          <t>W14</t>
        </is>
      </c>
      <c r="T49" s="15" t="inlineStr">
        <is>
          <t>W15</t>
        </is>
      </c>
      <c r="U49" s="15" t="inlineStr">
        <is>
          <t>W16</t>
        </is>
      </c>
      <c r="V49" s="15" t="inlineStr">
        <is>
          <t>W17</t>
        </is>
      </c>
      <c r="W49" s="15" t="inlineStr">
        <is>
          <t>W18</t>
        </is>
      </c>
      <c r="X49" s="15" t="inlineStr">
        <is>
          <t>W19</t>
        </is>
      </c>
      <c r="Y49" s="15" t="inlineStr">
        <is>
          <t>W20</t>
        </is>
      </c>
      <c r="Z49" s="15" t="inlineStr">
        <is>
          <t>W21</t>
        </is>
      </c>
      <c r="AA49" s="15" t="inlineStr">
        <is>
          <t>W22</t>
        </is>
      </c>
      <c r="AB49" s="15" t="inlineStr">
        <is>
          <t>W23</t>
        </is>
      </c>
      <c r="AC49" s="15" t="inlineStr">
        <is>
          <t>W24</t>
        </is>
      </c>
      <c r="AD49" s="15" t="inlineStr">
        <is>
          <t>W25</t>
        </is>
      </c>
      <c r="AE49" s="15" t="inlineStr">
        <is>
          <t>W26</t>
        </is>
      </c>
    </row>
    <row r="50">
      <c r="B50" s="29" t="inlineStr">
        <is>
          <t>Wk-commencing</t>
        </is>
      </c>
      <c r="F50" s="30">
        <f>StartDate+7*0</f>
        <v/>
      </c>
      <c r="G50" s="30">
        <f>StartDate+7*1</f>
        <v/>
      </c>
      <c r="H50" s="30">
        <f>StartDate+7*2</f>
        <v/>
      </c>
      <c r="I50" s="30">
        <f>StartDate+7*3</f>
        <v/>
      </c>
      <c r="J50" s="30">
        <f>StartDate+7*4</f>
        <v/>
      </c>
      <c r="K50" s="30">
        <f>StartDate+7*5</f>
        <v/>
      </c>
      <c r="L50" s="30">
        <f>StartDate+7*6</f>
        <v/>
      </c>
      <c r="M50" s="30">
        <f>StartDate+7*7</f>
        <v/>
      </c>
      <c r="N50" s="30">
        <f>StartDate+7*8</f>
        <v/>
      </c>
      <c r="O50" s="30">
        <f>StartDate+7*9</f>
        <v/>
      </c>
      <c r="P50" s="30">
        <f>StartDate+7*10</f>
        <v/>
      </c>
      <c r="Q50" s="30">
        <f>StartDate+7*11</f>
        <v/>
      </c>
      <c r="R50" s="30">
        <f>StartDate+7*12</f>
        <v/>
      </c>
      <c r="S50" s="30">
        <f>StartDate+7*13</f>
        <v/>
      </c>
      <c r="T50" s="30">
        <f>StartDate+7*14</f>
        <v/>
      </c>
      <c r="U50" s="30">
        <f>StartDate+7*15</f>
        <v/>
      </c>
      <c r="V50" s="30">
        <f>StartDate+7*16</f>
        <v/>
      </c>
      <c r="W50" s="30">
        <f>StartDate+7*17</f>
        <v/>
      </c>
      <c r="X50" s="30">
        <f>StartDate+7*18</f>
        <v/>
      </c>
      <c r="Y50" s="30">
        <f>StartDate+7*19</f>
        <v/>
      </c>
      <c r="Z50" s="30">
        <f>StartDate+7*20</f>
        <v/>
      </c>
      <c r="AA50" s="30">
        <f>StartDate+7*21</f>
        <v/>
      </c>
      <c r="AB50" s="30">
        <f>StartDate+7*22</f>
        <v/>
      </c>
      <c r="AC50" s="30">
        <f>StartDate+7*23</f>
        <v/>
      </c>
      <c r="AD50" s="30">
        <f>StartDate+7*24</f>
        <v/>
      </c>
      <c r="AE50" s="30">
        <f>StartDate+7*25</f>
        <v/>
      </c>
    </row>
    <row r="51">
      <c r="B51" s="11" t="inlineStr">
        <is>
          <t>Demo</t>
        </is>
      </c>
      <c r="F51" s="31" t="n">
        <v>0</v>
      </c>
      <c r="G51" s="31" t="n">
        <v>0</v>
      </c>
      <c r="H51" s="31" t="n">
        <v>0</v>
      </c>
      <c r="I51" s="31" t="n">
        <v>0</v>
      </c>
      <c r="J51" s="31" t="n">
        <v>1</v>
      </c>
      <c r="K51" s="31" t="n">
        <v>1</v>
      </c>
      <c r="L51" s="31" t="n">
        <v>0</v>
      </c>
      <c r="M51" s="31" t="n">
        <v>0</v>
      </c>
      <c r="N51" s="31" t="n">
        <v>0</v>
      </c>
      <c r="O51" s="31" t="n">
        <v>0</v>
      </c>
      <c r="P51" s="31" t="n">
        <v>0</v>
      </c>
      <c r="Q51" s="31" t="n">
        <v>0</v>
      </c>
      <c r="R51" s="31" t="n">
        <v>0</v>
      </c>
      <c r="S51" s="31" t="n">
        <v>0</v>
      </c>
      <c r="T51" s="31" t="n">
        <v>0</v>
      </c>
      <c r="U51" s="31" t="n">
        <v>0</v>
      </c>
      <c r="V51" s="31" t="n">
        <v>0</v>
      </c>
      <c r="W51" s="31" t="n">
        <v>0</v>
      </c>
      <c r="X51" s="31" t="n">
        <v>0</v>
      </c>
      <c r="Y51" s="31" t="n">
        <v>0</v>
      </c>
      <c r="Z51" s="31" t="n">
        <v>0</v>
      </c>
      <c r="AA51" s="31" t="n">
        <v>0</v>
      </c>
      <c r="AB51" s="31" t="n">
        <v>0</v>
      </c>
      <c r="AC51" s="31" t="n">
        <v>0</v>
      </c>
      <c r="AD51" s="31" t="n">
        <v>0</v>
      </c>
      <c r="AE51" s="31" t="n">
        <v>0</v>
      </c>
    </row>
    <row r="52">
      <c r="B52" s="11" t="inlineStr">
        <is>
          <t>End Cap</t>
        </is>
      </c>
      <c r="F52" s="31" t="n">
        <v>0</v>
      </c>
      <c r="G52" s="31" t="n">
        <v>0</v>
      </c>
      <c r="H52" s="31" t="n">
        <v>0</v>
      </c>
      <c r="I52" s="31" t="n">
        <v>0</v>
      </c>
      <c r="J52" s="31" t="n">
        <v>0</v>
      </c>
      <c r="K52" s="31" t="n">
        <v>0</v>
      </c>
      <c r="L52" s="31" t="n">
        <v>0</v>
      </c>
      <c r="M52" s="31" t="n">
        <v>0</v>
      </c>
      <c r="N52" s="31" t="n">
        <v>0</v>
      </c>
      <c r="O52" s="31" t="n">
        <v>0</v>
      </c>
      <c r="P52" s="31" t="n">
        <v>0</v>
      </c>
      <c r="Q52" s="31" t="n">
        <v>0</v>
      </c>
      <c r="R52" s="31" t="n">
        <v>0</v>
      </c>
      <c r="S52" s="31" t="n">
        <v>0</v>
      </c>
      <c r="T52" s="31" t="n">
        <v>0</v>
      </c>
      <c r="U52" s="31" t="n">
        <v>0</v>
      </c>
      <c r="V52" s="31" t="n">
        <v>0</v>
      </c>
      <c r="W52" s="31" t="n">
        <v>0</v>
      </c>
      <c r="X52" s="31" t="n">
        <v>0</v>
      </c>
      <c r="Y52" s="31" t="n">
        <v>0</v>
      </c>
      <c r="Z52" s="31" t="n">
        <v>0</v>
      </c>
      <c r="AA52" s="31" t="n">
        <v>0</v>
      </c>
      <c r="AB52" s="31" t="n">
        <v>0</v>
      </c>
      <c r="AC52" s="31" t="n">
        <v>0</v>
      </c>
      <c r="AD52" s="31" t="n">
        <v>0</v>
      </c>
      <c r="AE52" s="31" t="n">
        <v>0</v>
      </c>
    </row>
    <row r="53">
      <c r="B53" s="11" t="inlineStr">
        <is>
          <t>TPD</t>
        </is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1</v>
      </c>
      <c r="K53" s="31" t="n">
        <v>1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  <c r="X53" s="31" t="n">
        <v>0</v>
      </c>
      <c r="Y53" s="31" t="n">
        <v>0</v>
      </c>
      <c r="Z53" s="31" t="n">
        <v>0</v>
      </c>
      <c r="AA53" s="31" t="n">
        <v>0</v>
      </c>
      <c r="AB53" s="31" t="n">
        <v>0</v>
      </c>
      <c r="AC53" s="31" t="n">
        <v>0</v>
      </c>
      <c r="AD53" s="31" t="n">
        <v>0</v>
      </c>
      <c r="AE53" s="31" t="n">
        <v>0</v>
      </c>
    </row>
    <row r="54">
      <c r="B54" s="11" t="inlineStr">
        <is>
          <t>Markdown</t>
        </is>
      </c>
      <c r="F54" s="31" t="n">
        <v>0</v>
      </c>
      <c r="G54" s="31" t="n">
        <v>0</v>
      </c>
      <c r="H54" s="31" t="n">
        <v>0</v>
      </c>
      <c r="I54" s="31" t="n">
        <v>0</v>
      </c>
      <c r="J54" s="31" t="n">
        <v>0</v>
      </c>
      <c r="K54" s="31" t="n">
        <v>0</v>
      </c>
      <c r="L54" s="31" t="n">
        <v>0</v>
      </c>
      <c r="M54" s="31" t="n">
        <v>0</v>
      </c>
      <c r="N54" s="31" t="n">
        <v>0</v>
      </c>
      <c r="O54" s="31" t="n">
        <v>0</v>
      </c>
      <c r="P54" s="31" t="n">
        <v>0</v>
      </c>
      <c r="Q54" s="31" t="n">
        <v>0</v>
      </c>
      <c r="R54" s="31" t="n">
        <v>0</v>
      </c>
      <c r="S54" s="31" t="n">
        <v>0</v>
      </c>
      <c r="T54" s="31" t="n">
        <v>0</v>
      </c>
      <c r="U54" s="31" t="n">
        <v>0</v>
      </c>
      <c r="V54" s="31" t="n">
        <v>0</v>
      </c>
      <c r="W54" s="31" t="n">
        <v>0</v>
      </c>
      <c r="X54" s="31" t="n">
        <v>0</v>
      </c>
      <c r="Y54" s="31" t="n">
        <v>0</v>
      </c>
      <c r="Z54" s="31" t="n">
        <v>0</v>
      </c>
      <c r="AA54" s="31" t="n">
        <v>0</v>
      </c>
      <c r="AB54" s="31" t="n">
        <v>0</v>
      </c>
      <c r="AC54" s="31" t="n">
        <v>0</v>
      </c>
      <c r="AD54" s="31" t="n">
        <v>0</v>
      </c>
      <c r="AE54" s="31" t="n">
        <v>0</v>
      </c>
    </row>
    <row r="55">
      <c r="B55" s="11" t="inlineStr">
        <is>
          <t>Lift Multiplier (x base)</t>
        </is>
      </c>
      <c r="F55" s="32" t="n">
        <v>1</v>
      </c>
      <c r="G55" s="32" t="n">
        <v>1</v>
      </c>
      <c r="H55" s="32" t="n">
        <v>1</v>
      </c>
      <c r="I55" s="32" t="n">
        <v>1</v>
      </c>
      <c r="J55" s="32" t="n">
        <v>3</v>
      </c>
      <c r="K55" s="32" t="n">
        <v>3</v>
      </c>
      <c r="L55" s="32" t="n">
        <v>1</v>
      </c>
      <c r="M55" s="32" t="n">
        <v>1</v>
      </c>
      <c r="N55" s="32" t="n">
        <v>1</v>
      </c>
      <c r="O55" s="32" t="n">
        <v>1</v>
      </c>
      <c r="P55" s="32" t="n">
        <v>1</v>
      </c>
      <c r="Q55" s="32" t="n">
        <v>1</v>
      </c>
      <c r="R55" s="32" t="n">
        <v>1</v>
      </c>
      <c r="S55" s="32" t="n">
        <v>1</v>
      </c>
      <c r="T55" s="32" t="n">
        <v>1</v>
      </c>
      <c r="U55" s="32" t="n">
        <v>1</v>
      </c>
      <c r="V55" s="32" t="n">
        <v>1</v>
      </c>
      <c r="W55" s="32" t="n">
        <v>1</v>
      </c>
      <c r="X55" s="32" t="n">
        <v>1</v>
      </c>
      <c r="Y55" s="32" t="n">
        <v>1</v>
      </c>
      <c r="Z55" s="32" t="n">
        <v>1</v>
      </c>
      <c r="AA55" s="32" t="n">
        <v>1</v>
      </c>
      <c r="AB55" s="32" t="n">
        <v>1</v>
      </c>
      <c r="AC55" s="32" t="n">
        <v>1</v>
      </c>
      <c r="AD55" s="32" t="n">
        <v>1</v>
      </c>
      <c r="AE55" s="32" t="n">
        <v>1</v>
      </c>
    </row>
    <row r="57" ht="22" customHeight="1">
      <c r="B57" s="28" t="inlineStr">
        <is>
          <t>IDEAL · Demo + End Cap + TPD (Wks 5-6)</t>
        </is>
      </c>
    </row>
    <row r="58" ht="24" customHeight="1">
      <c r="B58" s="13" t="inlineStr">
        <is>
          <t>Rationale: Demo + end cap + TPD stacked. ~3.6x lift.</t>
        </is>
      </c>
    </row>
    <row r="59">
      <c r="B59" s="29" t="inlineStr">
        <is>
          <t>Week</t>
        </is>
      </c>
      <c r="F59" s="15" t="inlineStr">
        <is>
          <t>W1</t>
        </is>
      </c>
      <c r="G59" s="15" t="inlineStr">
        <is>
          <t>W2</t>
        </is>
      </c>
      <c r="H59" s="15" t="inlineStr">
        <is>
          <t>W3</t>
        </is>
      </c>
      <c r="I59" s="15" t="inlineStr">
        <is>
          <t>W4</t>
        </is>
      </c>
      <c r="J59" s="15" t="inlineStr">
        <is>
          <t>W5</t>
        </is>
      </c>
      <c r="K59" s="15" t="inlineStr">
        <is>
          <t>W6</t>
        </is>
      </c>
      <c r="L59" s="15" t="inlineStr">
        <is>
          <t>W7</t>
        </is>
      </c>
      <c r="M59" s="15" t="inlineStr">
        <is>
          <t>W8</t>
        </is>
      </c>
      <c r="N59" s="15" t="inlineStr">
        <is>
          <t>W9</t>
        </is>
      </c>
      <c r="O59" s="15" t="inlineStr">
        <is>
          <t>W10</t>
        </is>
      </c>
      <c r="P59" s="15" t="inlineStr">
        <is>
          <t>W11</t>
        </is>
      </c>
      <c r="Q59" s="15" t="inlineStr">
        <is>
          <t>W12</t>
        </is>
      </c>
      <c r="R59" s="15" t="inlineStr">
        <is>
          <t>W13</t>
        </is>
      </c>
      <c r="S59" s="15" t="inlineStr">
        <is>
          <t>W14</t>
        </is>
      </c>
      <c r="T59" s="15" t="inlineStr">
        <is>
          <t>W15</t>
        </is>
      </c>
      <c r="U59" s="15" t="inlineStr">
        <is>
          <t>W16</t>
        </is>
      </c>
      <c r="V59" s="15" t="inlineStr">
        <is>
          <t>W17</t>
        </is>
      </c>
      <c r="W59" s="15" t="inlineStr">
        <is>
          <t>W18</t>
        </is>
      </c>
      <c r="X59" s="15" t="inlineStr">
        <is>
          <t>W19</t>
        </is>
      </c>
      <c r="Y59" s="15" t="inlineStr">
        <is>
          <t>W20</t>
        </is>
      </c>
      <c r="Z59" s="15" t="inlineStr">
        <is>
          <t>W21</t>
        </is>
      </c>
      <c r="AA59" s="15" t="inlineStr">
        <is>
          <t>W22</t>
        </is>
      </c>
      <c r="AB59" s="15" t="inlineStr">
        <is>
          <t>W23</t>
        </is>
      </c>
      <c r="AC59" s="15" t="inlineStr">
        <is>
          <t>W24</t>
        </is>
      </c>
      <c r="AD59" s="15" t="inlineStr">
        <is>
          <t>W25</t>
        </is>
      </c>
      <c r="AE59" s="15" t="inlineStr">
        <is>
          <t>W26</t>
        </is>
      </c>
    </row>
    <row r="60">
      <c r="B60" s="29" t="inlineStr">
        <is>
          <t>Wk-commencing</t>
        </is>
      </c>
      <c r="F60" s="30">
        <f>StartDate+7*0</f>
        <v/>
      </c>
      <c r="G60" s="30">
        <f>StartDate+7*1</f>
        <v/>
      </c>
      <c r="H60" s="30">
        <f>StartDate+7*2</f>
        <v/>
      </c>
      <c r="I60" s="30">
        <f>StartDate+7*3</f>
        <v/>
      </c>
      <c r="J60" s="30">
        <f>StartDate+7*4</f>
        <v/>
      </c>
      <c r="K60" s="30">
        <f>StartDate+7*5</f>
        <v/>
      </c>
      <c r="L60" s="30">
        <f>StartDate+7*6</f>
        <v/>
      </c>
      <c r="M60" s="30">
        <f>StartDate+7*7</f>
        <v/>
      </c>
      <c r="N60" s="30">
        <f>StartDate+7*8</f>
        <v/>
      </c>
      <c r="O60" s="30">
        <f>StartDate+7*9</f>
        <v/>
      </c>
      <c r="P60" s="30">
        <f>StartDate+7*10</f>
        <v/>
      </c>
      <c r="Q60" s="30">
        <f>StartDate+7*11</f>
        <v/>
      </c>
      <c r="R60" s="30">
        <f>StartDate+7*12</f>
        <v/>
      </c>
      <c r="S60" s="30">
        <f>StartDate+7*13</f>
        <v/>
      </c>
      <c r="T60" s="30">
        <f>StartDate+7*14</f>
        <v/>
      </c>
      <c r="U60" s="30">
        <f>StartDate+7*15</f>
        <v/>
      </c>
      <c r="V60" s="30">
        <f>StartDate+7*16</f>
        <v/>
      </c>
      <c r="W60" s="30">
        <f>StartDate+7*17</f>
        <v/>
      </c>
      <c r="X60" s="30">
        <f>StartDate+7*18</f>
        <v/>
      </c>
      <c r="Y60" s="30">
        <f>StartDate+7*19</f>
        <v/>
      </c>
      <c r="Z60" s="30">
        <f>StartDate+7*20</f>
        <v/>
      </c>
      <c r="AA60" s="30">
        <f>StartDate+7*21</f>
        <v/>
      </c>
      <c r="AB60" s="30">
        <f>StartDate+7*22</f>
        <v/>
      </c>
      <c r="AC60" s="30">
        <f>StartDate+7*23</f>
        <v/>
      </c>
      <c r="AD60" s="30">
        <f>StartDate+7*24</f>
        <v/>
      </c>
      <c r="AE60" s="30">
        <f>StartDate+7*25</f>
        <v/>
      </c>
    </row>
    <row r="61">
      <c r="B61" s="11" t="inlineStr">
        <is>
          <t>Demo</t>
        </is>
      </c>
      <c r="F61" s="31" t="n">
        <v>0</v>
      </c>
      <c r="G61" s="31" t="n">
        <v>0</v>
      </c>
      <c r="H61" s="31" t="n">
        <v>0</v>
      </c>
      <c r="I61" s="31" t="n">
        <v>0</v>
      </c>
      <c r="J61" s="31" t="n">
        <v>1</v>
      </c>
      <c r="K61" s="31" t="n">
        <v>1</v>
      </c>
      <c r="L61" s="31" t="n">
        <v>0</v>
      </c>
      <c r="M61" s="31" t="n">
        <v>0</v>
      </c>
      <c r="N61" s="31" t="n">
        <v>0</v>
      </c>
      <c r="O61" s="31" t="n">
        <v>0</v>
      </c>
      <c r="P61" s="31" t="n">
        <v>0</v>
      </c>
      <c r="Q61" s="31" t="n">
        <v>0</v>
      </c>
      <c r="R61" s="31" t="n">
        <v>0</v>
      </c>
      <c r="S61" s="31" t="n">
        <v>0</v>
      </c>
      <c r="T61" s="31" t="n">
        <v>0</v>
      </c>
      <c r="U61" s="31" t="n">
        <v>0</v>
      </c>
      <c r="V61" s="31" t="n">
        <v>0</v>
      </c>
      <c r="W61" s="31" t="n">
        <v>0</v>
      </c>
      <c r="X61" s="31" t="n">
        <v>0</v>
      </c>
      <c r="Y61" s="31" t="n">
        <v>0</v>
      </c>
      <c r="Z61" s="31" t="n">
        <v>0</v>
      </c>
      <c r="AA61" s="31" t="n">
        <v>0</v>
      </c>
      <c r="AB61" s="31" t="n">
        <v>0</v>
      </c>
      <c r="AC61" s="31" t="n">
        <v>0</v>
      </c>
      <c r="AD61" s="31" t="n">
        <v>0</v>
      </c>
      <c r="AE61" s="31" t="n">
        <v>0</v>
      </c>
    </row>
    <row r="62">
      <c r="B62" s="11" t="inlineStr">
        <is>
          <t>End Cap</t>
        </is>
      </c>
      <c r="F62" s="31" t="n">
        <v>0</v>
      </c>
      <c r="G62" s="31" t="n">
        <v>0</v>
      </c>
      <c r="H62" s="31" t="n">
        <v>0</v>
      </c>
      <c r="I62" s="31" t="n">
        <v>0</v>
      </c>
      <c r="J62" s="31" t="n">
        <v>1</v>
      </c>
      <c r="K62" s="31" t="n">
        <v>1</v>
      </c>
      <c r="L62" s="31" t="n">
        <v>0</v>
      </c>
      <c r="M62" s="31" t="n">
        <v>0</v>
      </c>
      <c r="N62" s="31" t="n">
        <v>0</v>
      </c>
      <c r="O62" s="31" t="n">
        <v>0</v>
      </c>
      <c r="P62" s="31" t="n">
        <v>0</v>
      </c>
      <c r="Q62" s="31" t="n">
        <v>0</v>
      </c>
      <c r="R62" s="31" t="n">
        <v>0</v>
      </c>
      <c r="S62" s="31" t="n">
        <v>0</v>
      </c>
      <c r="T62" s="31" t="n">
        <v>0</v>
      </c>
      <c r="U62" s="31" t="n">
        <v>0</v>
      </c>
      <c r="V62" s="31" t="n">
        <v>0</v>
      </c>
      <c r="W62" s="31" t="n">
        <v>0</v>
      </c>
      <c r="X62" s="31" t="n">
        <v>0</v>
      </c>
      <c r="Y62" s="31" t="n">
        <v>0</v>
      </c>
      <c r="Z62" s="31" t="n">
        <v>0</v>
      </c>
      <c r="AA62" s="31" t="n">
        <v>0</v>
      </c>
      <c r="AB62" s="31" t="n">
        <v>0</v>
      </c>
      <c r="AC62" s="31" t="n">
        <v>0</v>
      </c>
      <c r="AD62" s="31" t="n">
        <v>0</v>
      </c>
      <c r="AE62" s="31" t="n">
        <v>0</v>
      </c>
    </row>
    <row r="63">
      <c r="B63" s="11" t="inlineStr">
        <is>
          <t>TPD</t>
        </is>
      </c>
      <c r="F63" s="31" t="n">
        <v>0</v>
      </c>
      <c r="G63" s="31" t="n">
        <v>0</v>
      </c>
      <c r="H63" s="31" t="n">
        <v>0</v>
      </c>
      <c r="I63" s="31" t="n">
        <v>0</v>
      </c>
      <c r="J63" s="31" t="n">
        <v>1</v>
      </c>
      <c r="K63" s="31" t="n">
        <v>1</v>
      </c>
      <c r="L63" s="31" t="n">
        <v>0</v>
      </c>
      <c r="M63" s="31" t="n">
        <v>0</v>
      </c>
      <c r="N63" s="31" t="n">
        <v>0</v>
      </c>
      <c r="O63" s="31" t="n">
        <v>0</v>
      </c>
      <c r="P63" s="31" t="n">
        <v>0</v>
      </c>
      <c r="Q63" s="31" t="n">
        <v>0</v>
      </c>
      <c r="R63" s="31" t="n">
        <v>0</v>
      </c>
      <c r="S63" s="31" t="n">
        <v>0</v>
      </c>
      <c r="T63" s="31" t="n">
        <v>0</v>
      </c>
      <c r="U63" s="31" t="n">
        <v>0</v>
      </c>
      <c r="V63" s="31" t="n">
        <v>0</v>
      </c>
      <c r="W63" s="31" t="n">
        <v>0</v>
      </c>
      <c r="X63" s="31" t="n">
        <v>0</v>
      </c>
      <c r="Y63" s="31" t="n">
        <v>0</v>
      </c>
      <c r="Z63" s="31" t="n">
        <v>0</v>
      </c>
      <c r="AA63" s="31" t="n">
        <v>0</v>
      </c>
      <c r="AB63" s="31" t="n">
        <v>0</v>
      </c>
      <c r="AC63" s="31" t="n">
        <v>0</v>
      </c>
      <c r="AD63" s="31" t="n">
        <v>0</v>
      </c>
      <c r="AE63" s="31" t="n">
        <v>0</v>
      </c>
    </row>
    <row r="64">
      <c r="B64" s="11" t="inlineStr">
        <is>
          <t>Markdown</t>
        </is>
      </c>
      <c r="F64" s="31" t="n">
        <v>0</v>
      </c>
      <c r="G64" s="31" t="n">
        <v>0</v>
      </c>
      <c r="H64" s="31" t="n">
        <v>0</v>
      </c>
      <c r="I64" s="31" t="n">
        <v>0</v>
      </c>
      <c r="J64" s="31" t="n">
        <v>0</v>
      </c>
      <c r="K64" s="31" t="n">
        <v>0</v>
      </c>
      <c r="L64" s="31" t="n">
        <v>0</v>
      </c>
      <c r="M64" s="31" t="n">
        <v>0</v>
      </c>
      <c r="N64" s="31" t="n">
        <v>0</v>
      </c>
      <c r="O64" s="31" t="n">
        <v>0</v>
      </c>
      <c r="P64" s="31" t="n">
        <v>0</v>
      </c>
      <c r="Q64" s="31" t="n">
        <v>0</v>
      </c>
      <c r="R64" s="31" t="n">
        <v>0</v>
      </c>
      <c r="S64" s="31" t="n">
        <v>0</v>
      </c>
      <c r="T64" s="31" t="n">
        <v>0</v>
      </c>
      <c r="U64" s="31" t="n">
        <v>0</v>
      </c>
      <c r="V64" s="31" t="n">
        <v>0</v>
      </c>
      <c r="W64" s="31" t="n">
        <v>0</v>
      </c>
      <c r="X64" s="31" t="n">
        <v>0</v>
      </c>
      <c r="Y64" s="31" t="n">
        <v>0</v>
      </c>
      <c r="Z64" s="31" t="n">
        <v>0</v>
      </c>
      <c r="AA64" s="31" t="n">
        <v>0</v>
      </c>
      <c r="AB64" s="31" t="n">
        <v>0</v>
      </c>
      <c r="AC64" s="31" t="n">
        <v>0</v>
      </c>
      <c r="AD64" s="31" t="n">
        <v>0</v>
      </c>
      <c r="AE64" s="31" t="n">
        <v>0</v>
      </c>
    </row>
    <row r="65">
      <c r="B65" s="11" t="inlineStr">
        <is>
          <t>Lift Multiplier (x base)</t>
        </is>
      </c>
      <c r="F65" s="32" t="n">
        <v>1</v>
      </c>
      <c r="G65" s="32" t="n">
        <v>1</v>
      </c>
      <c r="H65" s="32" t="n">
        <v>1</v>
      </c>
      <c r="I65" s="32" t="n">
        <v>1</v>
      </c>
      <c r="J65" s="32" t="n">
        <v>3.6</v>
      </c>
      <c r="K65" s="32" t="n">
        <v>3.6</v>
      </c>
      <c r="L65" s="32" t="n">
        <v>1</v>
      </c>
      <c r="M65" s="32" t="n">
        <v>1</v>
      </c>
      <c r="N65" s="32" t="n">
        <v>1</v>
      </c>
      <c r="O65" s="32" t="n">
        <v>1</v>
      </c>
      <c r="P65" s="32" t="n">
        <v>1</v>
      </c>
      <c r="Q65" s="32" t="n">
        <v>1</v>
      </c>
      <c r="R65" s="32" t="n">
        <v>1</v>
      </c>
      <c r="S65" s="32" t="n">
        <v>1</v>
      </c>
      <c r="T65" s="32" t="n">
        <v>1</v>
      </c>
      <c r="U65" s="32" t="n">
        <v>1</v>
      </c>
      <c r="V65" s="32" t="n">
        <v>1</v>
      </c>
      <c r="W65" s="32" t="n">
        <v>1</v>
      </c>
      <c r="X65" s="32" t="n">
        <v>1</v>
      </c>
      <c r="Y65" s="32" t="n">
        <v>1</v>
      </c>
      <c r="Z65" s="32" t="n">
        <v>1</v>
      </c>
      <c r="AA65" s="32" t="n">
        <v>1</v>
      </c>
      <c r="AB65" s="32" t="n">
        <v>1</v>
      </c>
      <c r="AC65" s="32" t="n">
        <v>1</v>
      </c>
      <c r="AD65" s="32" t="n">
        <v>1</v>
      </c>
      <c r="AE65" s="32" t="n">
        <v>1</v>
      </c>
    </row>
    <row r="67" ht="22" customHeight="1">
      <c r="B67" s="28" t="inlineStr">
        <is>
          <t>WORST · Launch then markdown clearance</t>
        </is>
      </c>
    </row>
    <row r="68" ht="24" customHeight="1">
      <c r="B68" s="13" t="inlineStr">
        <is>
          <t>Rationale: Launch as IDEAL; 50% markdown to clear residual stock Wks 18-20.</t>
        </is>
      </c>
    </row>
    <row r="69">
      <c r="B69" s="29" t="inlineStr">
        <is>
          <t>Week</t>
        </is>
      </c>
      <c r="F69" s="15" t="inlineStr">
        <is>
          <t>W1</t>
        </is>
      </c>
      <c r="G69" s="15" t="inlineStr">
        <is>
          <t>W2</t>
        </is>
      </c>
      <c r="H69" s="15" t="inlineStr">
        <is>
          <t>W3</t>
        </is>
      </c>
      <c r="I69" s="15" t="inlineStr">
        <is>
          <t>W4</t>
        </is>
      </c>
      <c r="J69" s="15" t="inlineStr">
        <is>
          <t>W5</t>
        </is>
      </c>
      <c r="K69" s="15" t="inlineStr">
        <is>
          <t>W6</t>
        </is>
      </c>
      <c r="L69" s="15" t="inlineStr">
        <is>
          <t>W7</t>
        </is>
      </c>
      <c r="M69" s="15" t="inlineStr">
        <is>
          <t>W8</t>
        </is>
      </c>
      <c r="N69" s="15" t="inlineStr">
        <is>
          <t>W9</t>
        </is>
      </c>
      <c r="O69" s="15" t="inlineStr">
        <is>
          <t>W10</t>
        </is>
      </c>
      <c r="P69" s="15" t="inlineStr">
        <is>
          <t>W11</t>
        </is>
      </c>
      <c r="Q69" s="15" t="inlineStr">
        <is>
          <t>W12</t>
        </is>
      </c>
      <c r="R69" s="15" t="inlineStr">
        <is>
          <t>W13</t>
        </is>
      </c>
      <c r="S69" s="15" t="inlineStr">
        <is>
          <t>W14</t>
        </is>
      </c>
      <c r="T69" s="15" t="inlineStr">
        <is>
          <t>W15</t>
        </is>
      </c>
      <c r="U69" s="15" t="inlineStr">
        <is>
          <t>W16</t>
        </is>
      </c>
      <c r="V69" s="15" t="inlineStr">
        <is>
          <t>W17</t>
        </is>
      </c>
      <c r="W69" s="15" t="inlineStr">
        <is>
          <t>W18</t>
        </is>
      </c>
      <c r="X69" s="15" t="inlineStr">
        <is>
          <t>W19</t>
        </is>
      </c>
      <c r="Y69" s="15" t="inlineStr">
        <is>
          <t>W20</t>
        </is>
      </c>
      <c r="Z69" s="15" t="inlineStr">
        <is>
          <t>W21</t>
        </is>
      </c>
      <c r="AA69" s="15" t="inlineStr">
        <is>
          <t>W22</t>
        </is>
      </c>
      <c r="AB69" s="15" t="inlineStr">
        <is>
          <t>W23</t>
        </is>
      </c>
      <c r="AC69" s="15" t="inlineStr">
        <is>
          <t>W24</t>
        </is>
      </c>
      <c r="AD69" s="15" t="inlineStr">
        <is>
          <t>W25</t>
        </is>
      </c>
      <c r="AE69" s="15" t="inlineStr">
        <is>
          <t>W26</t>
        </is>
      </c>
    </row>
    <row r="70">
      <c r="B70" s="29" t="inlineStr">
        <is>
          <t>Wk-commencing</t>
        </is>
      </c>
      <c r="F70" s="30">
        <f>StartDate+7*0</f>
        <v/>
      </c>
      <c r="G70" s="30">
        <f>StartDate+7*1</f>
        <v/>
      </c>
      <c r="H70" s="30">
        <f>StartDate+7*2</f>
        <v/>
      </c>
      <c r="I70" s="30">
        <f>StartDate+7*3</f>
        <v/>
      </c>
      <c r="J70" s="30">
        <f>StartDate+7*4</f>
        <v/>
      </c>
      <c r="K70" s="30">
        <f>StartDate+7*5</f>
        <v/>
      </c>
      <c r="L70" s="30">
        <f>StartDate+7*6</f>
        <v/>
      </c>
      <c r="M70" s="30">
        <f>StartDate+7*7</f>
        <v/>
      </c>
      <c r="N70" s="30">
        <f>StartDate+7*8</f>
        <v/>
      </c>
      <c r="O70" s="30">
        <f>StartDate+7*9</f>
        <v/>
      </c>
      <c r="P70" s="30">
        <f>StartDate+7*10</f>
        <v/>
      </c>
      <c r="Q70" s="30">
        <f>StartDate+7*11</f>
        <v/>
      </c>
      <c r="R70" s="30">
        <f>StartDate+7*12</f>
        <v/>
      </c>
      <c r="S70" s="30">
        <f>StartDate+7*13</f>
        <v/>
      </c>
      <c r="T70" s="30">
        <f>StartDate+7*14</f>
        <v/>
      </c>
      <c r="U70" s="30">
        <f>StartDate+7*15</f>
        <v/>
      </c>
      <c r="V70" s="30">
        <f>StartDate+7*16</f>
        <v/>
      </c>
      <c r="W70" s="30">
        <f>StartDate+7*17</f>
        <v/>
      </c>
      <c r="X70" s="30">
        <f>StartDate+7*18</f>
        <v/>
      </c>
      <c r="Y70" s="30">
        <f>StartDate+7*19</f>
        <v/>
      </c>
      <c r="Z70" s="30">
        <f>StartDate+7*20</f>
        <v/>
      </c>
      <c r="AA70" s="30">
        <f>StartDate+7*21</f>
        <v/>
      </c>
      <c r="AB70" s="30">
        <f>StartDate+7*22</f>
        <v/>
      </c>
      <c r="AC70" s="30">
        <f>StartDate+7*23</f>
        <v/>
      </c>
      <c r="AD70" s="30">
        <f>StartDate+7*24</f>
        <v/>
      </c>
      <c r="AE70" s="30">
        <f>StartDate+7*25</f>
        <v/>
      </c>
    </row>
    <row r="71">
      <c r="B71" s="11" t="inlineStr">
        <is>
          <t>Demo</t>
        </is>
      </c>
      <c r="F71" s="31" t="n">
        <v>0</v>
      </c>
      <c r="G71" s="31" t="n">
        <v>0</v>
      </c>
      <c r="H71" s="31" t="n">
        <v>0</v>
      </c>
      <c r="I71" s="31" t="n">
        <v>0</v>
      </c>
      <c r="J71" s="31" t="n">
        <v>1</v>
      </c>
      <c r="K71" s="31" t="n">
        <v>1</v>
      </c>
      <c r="L71" s="31" t="n">
        <v>0</v>
      </c>
      <c r="M71" s="31" t="n">
        <v>0</v>
      </c>
      <c r="N71" s="31" t="n">
        <v>0</v>
      </c>
      <c r="O71" s="31" t="n">
        <v>0</v>
      </c>
      <c r="P71" s="31" t="n">
        <v>0</v>
      </c>
      <c r="Q71" s="31" t="n">
        <v>0</v>
      </c>
      <c r="R71" s="31" t="n">
        <v>0</v>
      </c>
      <c r="S71" s="31" t="n">
        <v>0</v>
      </c>
      <c r="T71" s="31" t="n">
        <v>0</v>
      </c>
      <c r="U71" s="31" t="n">
        <v>0</v>
      </c>
      <c r="V71" s="31" t="n">
        <v>0</v>
      </c>
      <c r="W71" s="31" t="n">
        <v>0</v>
      </c>
      <c r="X71" s="31" t="n">
        <v>0</v>
      </c>
      <c r="Y71" s="31" t="n">
        <v>0</v>
      </c>
      <c r="Z71" s="31" t="n">
        <v>0</v>
      </c>
      <c r="AA71" s="31" t="n">
        <v>0</v>
      </c>
      <c r="AB71" s="31" t="n">
        <v>0</v>
      </c>
      <c r="AC71" s="31" t="n">
        <v>0</v>
      </c>
      <c r="AD71" s="31" t="n">
        <v>0</v>
      </c>
      <c r="AE71" s="31" t="n">
        <v>0</v>
      </c>
    </row>
    <row r="72">
      <c r="B72" s="11" t="inlineStr">
        <is>
          <t>End Cap</t>
        </is>
      </c>
      <c r="F72" s="31" t="n">
        <v>0</v>
      </c>
      <c r="G72" s="31" t="n">
        <v>0</v>
      </c>
      <c r="H72" s="31" t="n">
        <v>0</v>
      </c>
      <c r="I72" s="31" t="n">
        <v>0</v>
      </c>
      <c r="J72" s="31" t="n">
        <v>1</v>
      </c>
      <c r="K72" s="31" t="n">
        <v>1</v>
      </c>
      <c r="L72" s="31" t="n">
        <v>0</v>
      </c>
      <c r="M72" s="31" t="n">
        <v>0</v>
      </c>
      <c r="N72" s="31" t="n">
        <v>0</v>
      </c>
      <c r="O72" s="31" t="n">
        <v>0</v>
      </c>
      <c r="P72" s="31" t="n">
        <v>0</v>
      </c>
      <c r="Q72" s="31" t="n">
        <v>0</v>
      </c>
      <c r="R72" s="31" t="n">
        <v>0</v>
      </c>
      <c r="S72" s="31" t="n">
        <v>0</v>
      </c>
      <c r="T72" s="31" t="n">
        <v>0</v>
      </c>
      <c r="U72" s="31" t="n">
        <v>0</v>
      </c>
      <c r="V72" s="31" t="n">
        <v>0</v>
      </c>
      <c r="W72" s="31" t="n">
        <v>0</v>
      </c>
      <c r="X72" s="31" t="n">
        <v>0</v>
      </c>
      <c r="Y72" s="31" t="n">
        <v>0</v>
      </c>
      <c r="Z72" s="31" t="n">
        <v>0</v>
      </c>
      <c r="AA72" s="31" t="n">
        <v>0</v>
      </c>
      <c r="AB72" s="31" t="n">
        <v>0</v>
      </c>
      <c r="AC72" s="31" t="n">
        <v>0</v>
      </c>
      <c r="AD72" s="31" t="n">
        <v>0</v>
      </c>
      <c r="AE72" s="31" t="n">
        <v>0</v>
      </c>
    </row>
    <row r="73">
      <c r="B73" s="11" t="inlineStr">
        <is>
          <t>TPD</t>
        </is>
      </c>
      <c r="F73" s="31" t="n">
        <v>0</v>
      </c>
      <c r="G73" s="31" t="n">
        <v>0</v>
      </c>
      <c r="H73" s="31" t="n">
        <v>0</v>
      </c>
      <c r="I73" s="31" t="n">
        <v>0</v>
      </c>
      <c r="J73" s="31" t="n">
        <v>1</v>
      </c>
      <c r="K73" s="31" t="n">
        <v>1</v>
      </c>
      <c r="L73" s="31" t="n">
        <v>0</v>
      </c>
      <c r="M73" s="31" t="n">
        <v>0</v>
      </c>
      <c r="N73" s="31" t="n">
        <v>0</v>
      </c>
      <c r="O73" s="31" t="n">
        <v>0</v>
      </c>
      <c r="P73" s="31" t="n">
        <v>0</v>
      </c>
      <c r="Q73" s="31" t="n">
        <v>0</v>
      </c>
      <c r="R73" s="31" t="n">
        <v>0</v>
      </c>
      <c r="S73" s="31" t="n">
        <v>0</v>
      </c>
      <c r="T73" s="31" t="n">
        <v>0</v>
      </c>
      <c r="U73" s="31" t="n">
        <v>0</v>
      </c>
      <c r="V73" s="31" t="n">
        <v>0</v>
      </c>
      <c r="W73" s="31" t="n">
        <v>0</v>
      </c>
      <c r="X73" s="31" t="n">
        <v>0</v>
      </c>
      <c r="Y73" s="31" t="n">
        <v>0</v>
      </c>
      <c r="Z73" s="31" t="n">
        <v>0</v>
      </c>
      <c r="AA73" s="31" t="n">
        <v>0</v>
      </c>
      <c r="AB73" s="31" t="n">
        <v>0</v>
      </c>
      <c r="AC73" s="31" t="n">
        <v>0</v>
      </c>
      <c r="AD73" s="31" t="n">
        <v>0</v>
      </c>
      <c r="AE73" s="31" t="n">
        <v>0</v>
      </c>
    </row>
    <row r="74">
      <c r="B74" s="11" t="inlineStr">
        <is>
          <t>Markdown</t>
        </is>
      </c>
      <c r="F74" s="31" t="n">
        <v>0</v>
      </c>
      <c r="G74" s="31" t="n">
        <v>0</v>
      </c>
      <c r="H74" s="31" t="n">
        <v>0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  <c r="O74" s="31" t="n">
        <v>0</v>
      </c>
      <c r="P74" s="31" t="n">
        <v>0</v>
      </c>
      <c r="Q74" s="31" t="n">
        <v>0</v>
      </c>
      <c r="R74" s="31" t="n">
        <v>0</v>
      </c>
      <c r="S74" s="31" t="n">
        <v>0</v>
      </c>
      <c r="T74" s="31" t="n">
        <v>0</v>
      </c>
      <c r="U74" s="31" t="n">
        <v>0</v>
      </c>
      <c r="V74" s="31" t="n">
        <v>0</v>
      </c>
      <c r="W74" s="31" t="n">
        <v>1</v>
      </c>
      <c r="X74" s="31" t="n">
        <v>1</v>
      </c>
      <c r="Y74" s="31" t="n">
        <v>1</v>
      </c>
      <c r="Z74" s="31" t="n">
        <v>0</v>
      </c>
      <c r="AA74" s="31" t="n">
        <v>0</v>
      </c>
      <c r="AB74" s="31" t="n">
        <v>0</v>
      </c>
      <c r="AC74" s="31" t="n">
        <v>0</v>
      </c>
      <c r="AD74" s="31" t="n">
        <v>0</v>
      </c>
      <c r="AE74" s="31" t="n">
        <v>0</v>
      </c>
    </row>
    <row r="75">
      <c r="B75" s="11" t="inlineStr">
        <is>
          <t>Lift Multiplier (x base)</t>
        </is>
      </c>
      <c r="F75" s="32" t="n">
        <v>1</v>
      </c>
      <c r="G75" s="32" t="n">
        <v>1</v>
      </c>
      <c r="H75" s="32" t="n">
        <v>1</v>
      </c>
      <c r="I75" s="32" t="n">
        <v>1</v>
      </c>
      <c r="J75" s="32" t="n">
        <v>3</v>
      </c>
      <c r="K75" s="32" t="n">
        <v>3</v>
      </c>
      <c r="L75" s="32" t="n">
        <v>1</v>
      </c>
      <c r="M75" s="32" t="n">
        <v>1</v>
      </c>
      <c r="N75" s="32" t="n">
        <v>1</v>
      </c>
      <c r="O75" s="32" t="n">
        <v>1</v>
      </c>
      <c r="P75" s="32" t="n">
        <v>1</v>
      </c>
      <c r="Q75" s="32" t="n">
        <v>1</v>
      </c>
      <c r="R75" s="32" t="n">
        <v>1</v>
      </c>
      <c r="S75" s="32" t="n">
        <v>1</v>
      </c>
      <c r="T75" s="32" t="n">
        <v>1</v>
      </c>
      <c r="U75" s="32" t="n">
        <v>1</v>
      </c>
      <c r="V75" s="32" t="n">
        <v>1</v>
      </c>
      <c r="W75" s="32" t="n">
        <v>1</v>
      </c>
      <c r="X75" s="32" t="n">
        <v>0.3</v>
      </c>
      <c r="Y75" s="32" t="n">
        <v>8.699999999999999</v>
      </c>
      <c r="Z75" s="32" t="n">
        <v>1</v>
      </c>
      <c r="AA75" s="32" t="n">
        <v>1</v>
      </c>
      <c r="AB75" s="32" t="n">
        <v>1</v>
      </c>
      <c r="AC75" s="32" t="n">
        <v>1</v>
      </c>
      <c r="AD75" s="32" t="n">
        <v>1</v>
      </c>
      <c r="AE75" s="32" t="n">
        <v>1</v>
      </c>
    </row>
  </sheetData>
  <mergeCells count="15">
    <mergeCell ref="B33:D33"/>
    <mergeCell ref="B57:AE57"/>
    <mergeCell ref="B67:AE67"/>
    <mergeCell ref="B19:D19"/>
    <mergeCell ref="B58:AE58"/>
    <mergeCell ref="B45:D45"/>
    <mergeCell ref="B68:AE68"/>
    <mergeCell ref="B48:AE48"/>
    <mergeCell ref="B4:D4"/>
    <mergeCell ref="B47:AE47"/>
    <mergeCell ref="B30:D30"/>
    <mergeCell ref="B39:D39"/>
    <mergeCell ref="B7:D7"/>
    <mergeCell ref="B24:D24"/>
    <mergeCell ref="B2:D2"/>
  </mergeCells>
  <conditionalFormatting sqref="C28">
    <cfRule type="cellIs" priority="1" operator="lessThan" dxfId="0">
      <formula>0.3</formula>
    </cfRule>
  </conditionalFormatting>
  <conditionalFormatting sqref="C43">
    <cfRule type="expression" priority="2" dxfId="0">
      <formula>ROUND(C43,4)&lt;&gt;1</formula>
    </cfRule>
  </conditionalFormatting>
  <dataValidations count="1">
    <dataValidation sqref="C5" showDropDown="0" showInputMessage="0" showErrorMessage="0" allowBlank="0" type="list">
      <formula1>"GBP,USD,CAD,EUR"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F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4" customWidth="1" min="32" max="32"/>
  </cols>
  <sheetData>
    <row r="2" ht="32" customHeight="1">
      <c r="B2" s="9">
        <f>"FORECAST — Weekly P&amp;L  (Display: "&amp;$Z$3&amp;" "&amp;$C$3&amp;")"</f>
        <v/>
      </c>
    </row>
    <row r="3" ht="22" customHeight="1">
      <c r="B3" s="33" t="inlineStr">
        <is>
          <t>Display Currency</t>
        </is>
      </c>
      <c r="C3" s="12" t="inlineStr">
        <is>
          <t>GBP</t>
        </is>
      </c>
      <c r="D3" s="34">
        <f>"("&amp;VLOOKUP(C3,Inputs!$B$13:$D$16,2,FALSE)&amp;"  ·  rate "&amp;TEXT(VLOOKUP(C3,Inputs!$B$13:$D$16,3,FALSE),"0.0000")&amp;")"</f>
        <v/>
      </c>
      <c r="Y3" s="35">
        <f>VLOOKUP(C3,Inputs!$B$13:$D$16,3,FALSE)</f>
        <v/>
      </c>
      <c r="Z3">
        <f>VLOOKUP(C3,Inputs!$B$13:$D$16,2,FALSE)</f>
        <v/>
      </c>
    </row>
    <row r="5" ht="22" customHeight="1">
      <c r="B5" s="28" t="inlineStr">
        <is>
          <t>BEST · Demo + TPD (Wks 5-6)</t>
        </is>
      </c>
    </row>
    <row r="6">
      <c r="B6" s="29" t="inlineStr">
        <is>
          <t>Week</t>
        </is>
      </c>
      <c r="F6" s="15" t="inlineStr">
        <is>
          <t>W1</t>
        </is>
      </c>
      <c r="G6" s="15" t="inlineStr">
        <is>
          <t>W2</t>
        </is>
      </c>
      <c r="H6" s="15" t="inlineStr">
        <is>
          <t>W3</t>
        </is>
      </c>
      <c r="I6" s="15" t="inlineStr">
        <is>
          <t>W4</t>
        </is>
      </c>
      <c r="J6" s="15" t="inlineStr">
        <is>
          <t>W5</t>
        </is>
      </c>
      <c r="K6" s="15" t="inlineStr">
        <is>
          <t>W6</t>
        </is>
      </c>
      <c r="L6" s="15" t="inlineStr">
        <is>
          <t>W7</t>
        </is>
      </c>
      <c r="M6" s="15" t="inlineStr">
        <is>
          <t>W8</t>
        </is>
      </c>
      <c r="N6" s="15" t="inlineStr">
        <is>
          <t>W9</t>
        </is>
      </c>
      <c r="O6" s="15" t="inlineStr">
        <is>
          <t>W10</t>
        </is>
      </c>
      <c r="P6" s="15" t="inlineStr">
        <is>
          <t>W11</t>
        </is>
      </c>
      <c r="Q6" s="15" t="inlineStr">
        <is>
          <t>W12</t>
        </is>
      </c>
      <c r="R6" s="15" t="inlineStr">
        <is>
          <t>W13</t>
        </is>
      </c>
      <c r="S6" s="15" t="inlineStr">
        <is>
          <t>W14</t>
        </is>
      </c>
      <c r="T6" s="15" t="inlineStr">
        <is>
          <t>W15</t>
        </is>
      </c>
      <c r="U6" s="15" t="inlineStr">
        <is>
          <t>W16</t>
        </is>
      </c>
      <c r="V6" s="15" t="inlineStr">
        <is>
          <t>W17</t>
        </is>
      </c>
      <c r="W6" s="15" t="inlineStr">
        <is>
          <t>W18</t>
        </is>
      </c>
      <c r="X6" s="15" t="inlineStr">
        <is>
          <t>W19</t>
        </is>
      </c>
      <c r="Y6" s="15" t="inlineStr">
        <is>
          <t>W20</t>
        </is>
      </c>
      <c r="Z6" s="15" t="inlineStr">
        <is>
          <t>W21</t>
        </is>
      </c>
      <c r="AA6" s="15" t="inlineStr">
        <is>
          <t>W22</t>
        </is>
      </c>
      <c r="AB6" s="15" t="inlineStr">
        <is>
          <t>W23</t>
        </is>
      </c>
      <c r="AC6" s="15" t="inlineStr">
        <is>
          <t>W24</t>
        </is>
      </c>
      <c r="AD6" s="15" t="inlineStr">
        <is>
          <t>W25</t>
        </is>
      </c>
      <c r="AE6" s="15" t="inlineStr">
        <is>
          <t>W26</t>
        </is>
      </c>
      <c r="AF6" s="36" t="inlineStr">
        <is>
          <t>TOTAL</t>
        </is>
      </c>
    </row>
    <row r="7">
      <c r="B7" s="29" t="inlineStr">
        <is>
          <t>Wk-commencing</t>
        </is>
      </c>
      <c r="F7" s="30">
        <f>StartDate+7*0</f>
        <v/>
      </c>
      <c r="G7" s="30">
        <f>StartDate+7*1</f>
        <v/>
      </c>
      <c r="H7" s="30">
        <f>StartDate+7*2</f>
        <v/>
      </c>
      <c r="I7" s="30">
        <f>StartDate+7*3</f>
        <v/>
      </c>
      <c r="J7" s="30">
        <f>StartDate+7*4</f>
        <v/>
      </c>
      <c r="K7" s="30">
        <f>StartDate+7*5</f>
        <v/>
      </c>
      <c r="L7" s="30">
        <f>StartDate+7*6</f>
        <v/>
      </c>
      <c r="M7" s="30">
        <f>StartDate+7*7</f>
        <v/>
      </c>
      <c r="N7" s="30">
        <f>StartDate+7*8</f>
        <v/>
      </c>
      <c r="O7" s="30">
        <f>StartDate+7*9</f>
        <v/>
      </c>
      <c r="P7" s="30">
        <f>StartDate+7*10</f>
        <v/>
      </c>
      <c r="Q7" s="30">
        <f>StartDate+7*11</f>
        <v/>
      </c>
      <c r="R7" s="30">
        <f>StartDate+7*12</f>
        <v/>
      </c>
      <c r="S7" s="30">
        <f>StartDate+7*13</f>
        <v/>
      </c>
      <c r="T7" s="30">
        <f>StartDate+7*14</f>
        <v/>
      </c>
      <c r="U7" s="30">
        <f>StartDate+7*15</f>
        <v/>
      </c>
      <c r="V7" s="30">
        <f>StartDate+7*16</f>
        <v/>
      </c>
      <c r="W7" s="30">
        <f>StartDate+7*17</f>
        <v/>
      </c>
      <c r="X7" s="30">
        <f>StartDate+7*18</f>
        <v/>
      </c>
      <c r="Y7" s="30">
        <f>StartDate+7*19</f>
        <v/>
      </c>
      <c r="Z7" s="30">
        <f>StartDate+7*20</f>
        <v/>
      </c>
      <c r="AA7" s="30">
        <f>StartDate+7*21</f>
        <v/>
      </c>
      <c r="AB7" s="30">
        <f>StartDate+7*22</f>
        <v/>
      </c>
      <c r="AC7" s="30">
        <f>StartDate+7*23</f>
        <v/>
      </c>
      <c r="AD7" s="30">
        <f>StartDate+7*24</f>
        <v/>
      </c>
      <c r="AE7" s="30">
        <f>StartDate+7*25</f>
        <v/>
      </c>
      <c r="AF7" s="37" t="inlineStr"/>
    </row>
    <row r="8">
      <c r="B8" s="11" t="inlineStr">
        <is>
          <t>POS Units</t>
        </is>
      </c>
      <c r="F8" s="38">
        <f>ROUND(BaseUnits*Inputs!F55,0)</f>
        <v/>
      </c>
      <c r="G8" s="38">
        <f>ROUND(BaseUnits*Inputs!G55,0)</f>
        <v/>
      </c>
      <c r="H8" s="38">
        <f>ROUND(BaseUnits*Inputs!H55,0)</f>
        <v/>
      </c>
      <c r="I8" s="38">
        <f>ROUND(BaseUnits*Inputs!I55,0)</f>
        <v/>
      </c>
      <c r="J8" s="38">
        <f>ROUND(BaseUnits*Inputs!J55,0)</f>
        <v/>
      </c>
      <c r="K8" s="38">
        <f>ROUND(BaseUnits*Inputs!K55,0)</f>
        <v/>
      </c>
      <c r="L8" s="38">
        <f>ROUND(BaseUnits*Inputs!L55,0)</f>
        <v/>
      </c>
      <c r="M8" s="38">
        <f>ROUND(BaseUnits*Inputs!M55,0)</f>
        <v/>
      </c>
      <c r="N8" s="38">
        <f>ROUND(BaseUnits*Inputs!N55,0)</f>
        <v/>
      </c>
      <c r="O8" s="38">
        <f>ROUND(BaseUnits*Inputs!O55,0)</f>
        <v/>
      </c>
      <c r="P8" s="38">
        <f>ROUND(BaseUnits*Inputs!P55,0)</f>
        <v/>
      </c>
      <c r="Q8" s="38">
        <f>ROUND(BaseUnits*Inputs!Q55,0)</f>
        <v/>
      </c>
      <c r="R8" s="38">
        <f>ROUND(BaseUnits*Inputs!R55,0)</f>
        <v/>
      </c>
      <c r="S8" s="38">
        <f>ROUND(BaseUnits*Inputs!S55,0)</f>
        <v/>
      </c>
      <c r="T8" s="38">
        <f>ROUND(BaseUnits*Inputs!T55,0)</f>
        <v/>
      </c>
      <c r="U8" s="38">
        <f>ROUND(BaseUnits*Inputs!U55,0)</f>
        <v/>
      </c>
      <c r="V8" s="38">
        <f>ROUND(BaseUnits*Inputs!V55,0)</f>
        <v/>
      </c>
      <c r="W8" s="38">
        <f>ROUND(BaseUnits*Inputs!W55,0)</f>
        <v/>
      </c>
      <c r="X8" s="38">
        <f>ROUND(BaseUnits*Inputs!X55,0)</f>
        <v/>
      </c>
      <c r="Y8" s="38">
        <f>ROUND(BaseUnits*Inputs!Y55,0)</f>
        <v/>
      </c>
      <c r="Z8" s="38">
        <f>ROUND(BaseUnits*Inputs!Z55,0)</f>
        <v/>
      </c>
      <c r="AA8" s="38">
        <f>ROUND(BaseUnits*Inputs!AA55,0)</f>
        <v/>
      </c>
      <c r="AB8" s="38">
        <f>ROUND(BaseUnits*Inputs!AB55,0)</f>
        <v/>
      </c>
      <c r="AC8" s="38">
        <f>ROUND(BaseUnits*Inputs!AC55,0)</f>
        <v/>
      </c>
      <c r="AD8" s="38">
        <f>ROUND(BaseUnits*Inputs!AD55,0)</f>
        <v/>
      </c>
      <c r="AE8" s="38">
        <f>ROUND(BaseUnits*Inputs!AE55,0)</f>
        <v/>
      </c>
      <c r="AF8" s="39">
        <f>SUM(F8:AE8)</f>
        <v/>
      </c>
    </row>
    <row r="9">
      <c r="B9" s="11">
        <f>"Revenue ("&amp;$Z$3&amp;")"</f>
        <v/>
      </c>
      <c r="F9" s="40">
        <f>F8*Price*$Y$3</f>
        <v/>
      </c>
      <c r="G9" s="40">
        <f>G8*Price*$Y$3</f>
        <v/>
      </c>
      <c r="H9" s="40">
        <f>H8*Price*$Y$3</f>
        <v/>
      </c>
      <c r="I9" s="40">
        <f>I8*Price*$Y$3</f>
        <v/>
      </c>
      <c r="J9" s="40">
        <f>J8*Price*$Y$3</f>
        <v/>
      </c>
      <c r="K9" s="40">
        <f>K8*Price*$Y$3</f>
        <v/>
      </c>
      <c r="L9" s="40">
        <f>L8*Price*$Y$3</f>
        <v/>
      </c>
      <c r="M9" s="40">
        <f>M8*Price*$Y$3</f>
        <v/>
      </c>
      <c r="N9" s="40">
        <f>N8*Price*$Y$3</f>
        <v/>
      </c>
      <c r="O9" s="40">
        <f>O8*Price*$Y$3</f>
        <v/>
      </c>
      <c r="P9" s="40">
        <f>P8*Price*$Y$3</f>
        <v/>
      </c>
      <c r="Q9" s="40">
        <f>Q8*Price*$Y$3</f>
        <v/>
      </c>
      <c r="R9" s="40">
        <f>R8*Price*$Y$3</f>
        <v/>
      </c>
      <c r="S9" s="40">
        <f>S8*Price*$Y$3</f>
        <v/>
      </c>
      <c r="T9" s="40">
        <f>T8*Price*$Y$3</f>
        <v/>
      </c>
      <c r="U9" s="40">
        <f>U8*Price*$Y$3</f>
        <v/>
      </c>
      <c r="V9" s="40">
        <f>V8*Price*$Y$3</f>
        <v/>
      </c>
      <c r="W9" s="40">
        <f>W8*Price*$Y$3</f>
        <v/>
      </c>
      <c r="X9" s="40">
        <f>X8*Price*$Y$3</f>
        <v/>
      </c>
      <c r="Y9" s="40">
        <f>Y8*Price*$Y$3</f>
        <v/>
      </c>
      <c r="Z9" s="40">
        <f>Z8*Price*$Y$3</f>
        <v/>
      </c>
      <c r="AA9" s="40">
        <f>AA8*Price*$Y$3</f>
        <v/>
      </c>
      <c r="AB9" s="40">
        <f>AB8*Price*$Y$3</f>
        <v/>
      </c>
      <c r="AC9" s="40">
        <f>AC8*Price*$Y$3</f>
        <v/>
      </c>
      <c r="AD9" s="40">
        <f>AD8*Price*$Y$3</f>
        <v/>
      </c>
      <c r="AE9" s="40">
        <f>AE8*Price*$Y$3</f>
        <v/>
      </c>
      <c r="AF9" s="41">
        <f>SUM(F9:AE9)</f>
        <v/>
      </c>
    </row>
    <row r="10">
      <c r="B10" s="11">
        <f>"Raw COGS ("&amp;$Z$3&amp;")"</f>
        <v/>
      </c>
      <c r="F10" s="40">
        <f>F8*Cost*$Y$3</f>
        <v/>
      </c>
      <c r="G10" s="40">
        <f>G8*Cost*$Y$3</f>
        <v/>
      </c>
      <c r="H10" s="40">
        <f>H8*Cost*$Y$3</f>
        <v/>
      </c>
      <c r="I10" s="40">
        <f>I8*Cost*$Y$3</f>
        <v/>
      </c>
      <c r="J10" s="40">
        <f>J8*Cost*$Y$3</f>
        <v/>
      </c>
      <c r="K10" s="40">
        <f>K8*Cost*$Y$3</f>
        <v/>
      </c>
      <c r="L10" s="40">
        <f>L8*Cost*$Y$3</f>
        <v/>
      </c>
      <c r="M10" s="40">
        <f>M8*Cost*$Y$3</f>
        <v/>
      </c>
      <c r="N10" s="40">
        <f>N8*Cost*$Y$3</f>
        <v/>
      </c>
      <c r="O10" s="40">
        <f>O8*Cost*$Y$3</f>
        <v/>
      </c>
      <c r="P10" s="40">
        <f>P8*Cost*$Y$3</f>
        <v/>
      </c>
      <c r="Q10" s="40">
        <f>Q8*Cost*$Y$3</f>
        <v/>
      </c>
      <c r="R10" s="40">
        <f>R8*Cost*$Y$3</f>
        <v/>
      </c>
      <c r="S10" s="40">
        <f>S8*Cost*$Y$3</f>
        <v/>
      </c>
      <c r="T10" s="40">
        <f>T8*Cost*$Y$3</f>
        <v/>
      </c>
      <c r="U10" s="40">
        <f>U8*Cost*$Y$3</f>
        <v/>
      </c>
      <c r="V10" s="40">
        <f>V8*Cost*$Y$3</f>
        <v/>
      </c>
      <c r="W10" s="40">
        <f>W8*Cost*$Y$3</f>
        <v/>
      </c>
      <c r="X10" s="40">
        <f>X8*Cost*$Y$3</f>
        <v/>
      </c>
      <c r="Y10" s="40">
        <f>Y8*Cost*$Y$3</f>
        <v/>
      </c>
      <c r="Z10" s="40">
        <f>Z8*Cost*$Y$3</f>
        <v/>
      </c>
      <c r="AA10" s="40">
        <f>AA8*Cost*$Y$3</f>
        <v/>
      </c>
      <c r="AB10" s="40">
        <f>AB8*Cost*$Y$3</f>
        <v/>
      </c>
      <c r="AC10" s="40">
        <f>AC8*Cost*$Y$3</f>
        <v/>
      </c>
      <c r="AD10" s="40">
        <f>AD8*Cost*$Y$3</f>
        <v/>
      </c>
      <c r="AE10" s="40">
        <f>AE8*Cost*$Y$3</f>
        <v/>
      </c>
      <c r="AF10" s="41">
        <f>SUM(F10:AE10)</f>
        <v/>
      </c>
    </row>
    <row r="11">
      <c r="B11" s="14">
        <f>"Gross Profit ("&amp;$Z$3&amp;")"</f>
        <v/>
      </c>
      <c r="F11" s="40">
        <f>F9-F10</f>
        <v/>
      </c>
      <c r="G11" s="40">
        <f>G9-G10</f>
        <v/>
      </c>
      <c r="H11" s="40">
        <f>H9-H10</f>
        <v/>
      </c>
      <c r="I11" s="40">
        <f>I9-I10</f>
        <v/>
      </c>
      <c r="J11" s="40">
        <f>J9-J10</f>
        <v/>
      </c>
      <c r="K11" s="40">
        <f>K9-K10</f>
        <v/>
      </c>
      <c r="L11" s="40">
        <f>L9-L10</f>
        <v/>
      </c>
      <c r="M11" s="40">
        <f>M9-M10</f>
        <v/>
      </c>
      <c r="N11" s="40">
        <f>N9-N10</f>
        <v/>
      </c>
      <c r="O11" s="40">
        <f>O9-O10</f>
        <v/>
      </c>
      <c r="P11" s="40">
        <f>P9-P10</f>
        <v/>
      </c>
      <c r="Q11" s="40">
        <f>Q9-Q10</f>
        <v/>
      </c>
      <c r="R11" s="40">
        <f>R9-R10</f>
        <v/>
      </c>
      <c r="S11" s="40">
        <f>S9-S10</f>
        <v/>
      </c>
      <c r="T11" s="40">
        <f>T9-T10</f>
        <v/>
      </c>
      <c r="U11" s="40">
        <f>U9-U10</f>
        <v/>
      </c>
      <c r="V11" s="40">
        <f>V9-V10</f>
        <v/>
      </c>
      <c r="W11" s="40">
        <f>W9-W10</f>
        <v/>
      </c>
      <c r="X11" s="40">
        <f>X9-X10</f>
        <v/>
      </c>
      <c r="Y11" s="40">
        <f>Y9-Y10</f>
        <v/>
      </c>
      <c r="Z11" s="40">
        <f>Z9-Z10</f>
        <v/>
      </c>
      <c r="AA11" s="40">
        <f>AA9-AA10</f>
        <v/>
      </c>
      <c r="AB11" s="40">
        <f>AB9-AB10</f>
        <v/>
      </c>
      <c r="AC11" s="40">
        <f>AC9-AC10</f>
        <v/>
      </c>
      <c r="AD11" s="40">
        <f>AD9-AD10</f>
        <v/>
      </c>
      <c r="AE11" s="40">
        <f>AE9-AE10</f>
        <v/>
      </c>
      <c r="AF11" s="41">
        <f>SUM(F11:AE11)</f>
        <v/>
      </c>
    </row>
    <row r="12">
      <c r="B12" s="11">
        <f>"Promo Spend ("&amp;$Z$3&amp;")"</f>
        <v/>
      </c>
      <c r="F12" s="40">
        <f>(Inputs!F51*DemoCost+Inputs!F52*EndCapCost+Inputs!F53*F8*Price*TPDPct+Inputs!F54*F8*Price*MdPct)*$Y$3</f>
        <v/>
      </c>
      <c r="G12" s="40">
        <f>(Inputs!G51*DemoCost+Inputs!G52*EndCapCost+Inputs!G53*G8*Price*TPDPct+Inputs!G54*G8*Price*MdPct)*$Y$3</f>
        <v/>
      </c>
      <c r="H12" s="40">
        <f>(Inputs!H51*DemoCost+Inputs!H52*EndCapCost+Inputs!H53*H8*Price*TPDPct+Inputs!H54*H8*Price*MdPct)*$Y$3</f>
        <v/>
      </c>
      <c r="I12" s="40">
        <f>(Inputs!I51*DemoCost+Inputs!I52*EndCapCost+Inputs!I53*I8*Price*TPDPct+Inputs!I54*I8*Price*MdPct)*$Y$3</f>
        <v/>
      </c>
      <c r="J12" s="40">
        <f>(Inputs!J51*DemoCost+Inputs!J52*EndCapCost+Inputs!J53*J8*Price*TPDPct+Inputs!J54*J8*Price*MdPct)*$Y$3</f>
        <v/>
      </c>
      <c r="K12" s="40">
        <f>(Inputs!K51*DemoCost+Inputs!K52*EndCapCost+Inputs!K53*K8*Price*TPDPct+Inputs!K54*K8*Price*MdPct)*$Y$3</f>
        <v/>
      </c>
      <c r="L12" s="40">
        <f>(Inputs!L51*DemoCost+Inputs!L52*EndCapCost+Inputs!L53*L8*Price*TPDPct+Inputs!L54*L8*Price*MdPct)*$Y$3</f>
        <v/>
      </c>
      <c r="M12" s="40">
        <f>(Inputs!M51*DemoCost+Inputs!M52*EndCapCost+Inputs!M53*M8*Price*TPDPct+Inputs!M54*M8*Price*MdPct)*$Y$3</f>
        <v/>
      </c>
      <c r="N12" s="40">
        <f>(Inputs!N51*DemoCost+Inputs!N52*EndCapCost+Inputs!N53*N8*Price*TPDPct+Inputs!N54*N8*Price*MdPct)*$Y$3</f>
        <v/>
      </c>
      <c r="O12" s="40">
        <f>(Inputs!O51*DemoCost+Inputs!O52*EndCapCost+Inputs!O53*O8*Price*TPDPct+Inputs!O54*O8*Price*MdPct)*$Y$3</f>
        <v/>
      </c>
      <c r="P12" s="40">
        <f>(Inputs!P51*DemoCost+Inputs!P52*EndCapCost+Inputs!P53*P8*Price*TPDPct+Inputs!P54*P8*Price*MdPct)*$Y$3</f>
        <v/>
      </c>
      <c r="Q12" s="40">
        <f>(Inputs!Q51*DemoCost+Inputs!Q52*EndCapCost+Inputs!Q53*Q8*Price*TPDPct+Inputs!Q54*Q8*Price*MdPct)*$Y$3</f>
        <v/>
      </c>
      <c r="R12" s="40">
        <f>(Inputs!R51*DemoCost+Inputs!R52*EndCapCost+Inputs!R53*R8*Price*TPDPct+Inputs!R54*R8*Price*MdPct)*$Y$3</f>
        <v/>
      </c>
      <c r="S12" s="40">
        <f>(Inputs!S51*DemoCost+Inputs!S52*EndCapCost+Inputs!S53*S8*Price*TPDPct+Inputs!S54*S8*Price*MdPct)*$Y$3</f>
        <v/>
      </c>
      <c r="T12" s="40">
        <f>(Inputs!T51*DemoCost+Inputs!T52*EndCapCost+Inputs!T53*T8*Price*TPDPct+Inputs!T54*T8*Price*MdPct)*$Y$3</f>
        <v/>
      </c>
      <c r="U12" s="40">
        <f>(Inputs!U51*DemoCost+Inputs!U52*EndCapCost+Inputs!U53*U8*Price*TPDPct+Inputs!U54*U8*Price*MdPct)*$Y$3</f>
        <v/>
      </c>
      <c r="V12" s="40">
        <f>(Inputs!V51*DemoCost+Inputs!V52*EndCapCost+Inputs!V53*V8*Price*TPDPct+Inputs!V54*V8*Price*MdPct)*$Y$3</f>
        <v/>
      </c>
      <c r="W12" s="40">
        <f>(Inputs!W51*DemoCost+Inputs!W52*EndCapCost+Inputs!W53*W8*Price*TPDPct+Inputs!W54*W8*Price*MdPct)*$Y$3</f>
        <v/>
      </c>
      <c r="X12" s="40">
        <f>(Inputs!X51*DemoCost+Inputs!X52*EndCapCost+Inputs!X53*X8*Price*TPDPct+Inputs!X54*X8*Price*MdPct)*$Y$3</f>
        <v/>
      </c>
      <c r="Y12" s="40">
        <f>(Inputs!Y51*DemoCost+Inputs!Y52*EndCapCost+Inputs!Y53*Y8*Price*TPDPct+Inputs!Y54*Y8*Price*MdPct)*$Y$3</f>
        <v/>
      </c>
      <c r="Z12" s="40">
        <f>(Inputs!Z51*DemoCost+Inputs!Z52*EndCapCost+Inputs!Z53*Z8*Price*TPDPct+Inputs!Z54*Z8*Price*MdPct)*$Y$3</f>
        <v/>
      </c>
      <c r="AA12" s="40">
        <f>(Inputs!AA51*DemoCost+Inputs!AA52*EndCapCost+Inputs!AA53*AA8*Price*TPDPct+Inputs!AA54*AA8*Price*MdPct)*$Y$3</f>
        <v/>
      </c>
      <c r="AB12" s="40">
        <f>(Inputs!AB51*DemoCost+Inputs!AB52*EndCapCost+Inputs!AB53*AB8*Price*TPDPct+Inputs!AB54*AB8*Price*MdPct)*$Y$3</f>
        <v/>
      </c>
      <c r="AC12" s="40">
        <f>(Inputs!AC51*DemoCost+Inputs!AC52*EndCapCost+Inputs!AC53*AC8*Price*TPDPct+Inputs!AC54*AC8*Price*MdPct)*$Y$3</f>
        <v/>
      </c>
      <c r="AD12" s="40">
        <f>(Inputs!AD51*DemoCost+Inputs!AD52*EndCapCost+Inputs!AD53*AD8*Price*TPDPct+Inputs!AD54*AD8*Price*MdPct)*$Y$3</f>
        <v/>
      </c>
      <c r="AE12" s="40">
        <f>(Inputs!AE51*DemoCost+Inputs!AE52*EndCapCost+Inputs!AE53*AE8*Price*TPDPct+Inputs!AE54*AE8*Price*MdPct)*$Y$3</f>
        <v/>
      </c>
      <c r="AF12" s="41">
        <f>SUM(F12:AE12)</f>
        <v/>
      </c>
    </row>
    <row r="13">
      <c r="B13" s="14">
        <f>"Net Profit ("&amp;$Z$3&amp;")"</f>
        <v/>
      </c>
      <c r="F13" s="40">
        <f>F11-F12</f>
        <v/>
      </c>
      <c r="G13" s="40">
        <f>G11-G12</f>
        <v/>
      </c>
      <c r="H13" s="40">
        <f>H11-H12</f>
        <v/>
      </c>
      <c r="I13" s="40">
        <f>I11-I12</f>
        <v/>
      </c>
      <c r="J13" s="40">
        <f>J11-J12</f>
        <v/>
      </c>
      <c r="K13" s="40">
        <f>K11-K12</f>
        <v/>
      </c>
      <c r="L13" s="40">
        <f>L11-L12</f>
        <v/>
      </c>
      <c r="M13" s="40">
        <f>M11-M12</f>
        <v/>
      </c>
      <c r="N13" s="40">
        <f>N11-N12</f>
        <v/>
      </c>
      <c r="O13" s="40">
        <f>O11-O12</f>
        <v/>
      </c>
      <c r="P13" s="40">
        <f>P11-P12</f>
        <v/>
      </c>
      <c r="Q13" s="40">
        <f>Q11-Q12</f>
        <v/>
      </c>
      <c r="R13" s="40">
        <f>R11-R12</f>
        <v/>
      </c>
      <c r="S13" s="40">
        <f>S11-S12</f>
        <v/>
      </c>
      <c r="T13" s="40">
        <f>T11-T12</f>
        <v/>
      </c>
      <c r="U13" s="40">
        <f>U11-U12</f>
        <v/>
      </c>
      <c r="V13" s="40">
        <f>V11-V12</f>
        <v/>
      </c>
      <c r="W13" s="40">
        <f>W11-W12</f>
        <v/>
      </c>
      <c r="X13" s="40">
        <f>X11-X12</f>
        <v/>
      </c>
      <c r="Y13" s="40">
        <f>Y11-Y12</f>
        <v/>
      </c>
      <c r="Z13" s="40">
        <f>Z11-Z12</f>
        <v/>
      </c>
      <c r="AA13" s="40">
        <f>AA11-AA12</f>
        <v/>
      </c>
      <c r="AB13" s="40">
        <f>AB11-AB12</f>
        <v/>
      </c>
      <c r="AC13" s="40">
        <f>AC11-AC12</f>
        <v/>
      </c>
      <c r="AD13" s="40">
        <f>AD11-AD12</f>
        <v/>
      </c>
      <c r="AE13" s="40">
        <f>AE11-AE12</f>
        <v/>
      </c>
      <c r="AF13" s="41">
        <f>SUM(F13:AE13)</f>
        <v/>
      </c>
    </row>
    <row r="16" ht="22" customHeight="1">
      <c r="B16" s="28" t="inlineStr">
        <is>
          <t>IDEAL · Demo + End Cap + TPD (Wks 5-6)</t>
        </is>
      </c>
    </row>
    <row r="17">
      <c r="B17" s="29" t="inlineStr">
        <is>
          <t>Week</t>
        </is>
      </c>
      <c r="F17" s="15" t="inlineStr">
        <is>
          <t>W1</t>
        </is>
      </c>
      <c r="G17" s="15" t="inlineStr">
        <is>
          <t>W2</t>
        </is>
      </c>
      <c r="H17" s="15" t="inlineStr">
        <is>
          <t>W3</t>
        </is>
      </c>
      <c r="I17" s="15" t="inlineStr">
        <is>
          <t>W4</t>
        </is>
      </c>
      <c r="J17" s="15" t="inlineStr">
        <is>
          <t>W5</t>
        </is>
      </c>
      <c r="K17" s="15" t="inlineStr">
        <is>
          <t>W6</t>
        </is>
      </c>
      <c r="L17" s="15" t="inlineStr">
        <is>
          <t>W7</t>
        </is>
      </c>
      <c r="M17" s="15" t="inlineStr">
        <is>
          <t>W8</t>
        </is>
      </c>
      <c r="N17" s="15" t="inlineStr">
        <is>
          <t>W9</t>
        </is>
      </c>
      <c r="O17" s="15" t="inlineStr">
        <is>
          <t>W10</t>
        </is>
      </c>
      <c r="P17" s="15" t="inlineStr">
        <is>
          <t>W11</t>
        </is>
      </c>
      <c r="Q17" s="15" t="inlineStr">
        <is>
          <t>W12</t>
        </is>
      </c>
      <c r="R17" s="15" t="inlineStr">
        <is>
          <t>W13</t>
        </is>
      </c>
      <c r="S17" s="15" t="inlineStr">
        <is>
          <t>W14</t>
        </is>
      </c>
      <c r="T17" s="15" t="inlineStr">
        <is>
          <t>W15</t>
        </is>
      </c>
      <c r="U17" s="15" t="inlineStr">
        <is>
          <t>W16</t>
        </is>
      </c>
      <c r="V17" s="15" t="inlineStr">
        <is>
          <t>W17</t>
        </is>
      </c>
      <c r="W17" s="15" t="inlineStr">
        <is>
          <t>W18</t>
        </is>
      </c>
      <c r="X17" s="15" t="inlineStr">
        <is>
          <t>W19</t>
        </is>
      </c>
      <c r="Y17" s="15" t="inlineStr">
        <is>
          <t>W20</t>
        </is>
      </c>
      <c r="Z17" s="15" t="inlineStr">
        <is>
          <t>W21</t>
        </is>
      </c>
      <c r="AA17" s="15" t="inlineStr">
        <is>
          <t>W22</t>
        </is>
      </c>
      <c r="AB17" s="15" t="inlineStr">
        <is>
          <t>W23</t>
        </is>
      </c>
      <c r="AC17" s="15" t="inlineStr">
        <is>
          <t>W24</t>
        </is>
      </c>
      <c r="AD17" s="15" t="inlineStr">
        <is>
          <t>W25</t>
        </is>
      </c>
      <c r="AE17" s="15" t="inlineStr">
        <is>
          <t>W26</t>
        </is>
      </c>
      <c r="AF17" s="36" t="inlineStr">
        <is>
          <t>TOTAL</t>
        </is>
      </c>
    </row>
    <row r="18">
      <c r="B18" s="29" t="inlineStr">
        <is>
          <t>Wk-commencing</t>
        </is>
      </c>
      <c r="F18" s="30">
        <f>StartDate+7*0</f>
        <v/>
      </c>
      <c r="G18" s="30">
        <f>StartDate+7*1</f>
        <v/>
      </c>
      <c r="H18" s="30">
        <f>StartDate+7*2</f>
        <v/>
      </c>
      <c r="I18" s="30">
        <f>StartDate+7*3</f>
        <v/>
      </c>
      <c r="J18" s="30">
        <f>StartDate+7*4</f>
        <v/>
      </c>
      <c r="K18" s="30">
        <f>StartDate+7*5</f>
        <v/>
      </c>
      <c r="L18" s="30">
        <f>StartDate+7*6</f>
        <v/>
      </c>
      <c r="M18" s="30">
        <f>StartDate+7*7</f>
        <v/>
      </c>
      <c r="N18" s="30">
        <f>StartDate+7*8</f>
        <v/>
      </c>
      <c r="O18" s="30">
        <f>StartDate+7*9</f>
        <v/>
      </c>
      <c r="P18" s="30">
        <f>StartDate+7*10</f>
        <v/>
      </c>
      <c r="Q18" s="30">
        <f>StartDate+7*11</f>
        <v/>
      </c>
      <c r="R18" s="30">
        <f>StartDate+7*12</f>
        <v/>
      </c>
      <c r="S18" s="30">
        <f>StartDate+7*13</f>
        <v/>
      </c>
      <c r="T18" s="30">
        <f>StartDate+7*14</f>
        <v/>
      </c>
      <c r="U18" s="30">
        <f>StartDate+7*15</f>
        <v/>
      </c>
      <c r="V18" s="30">
        <f>StartDate+7*16</f>
        <v/>
      </c>
      <c r="W18" s="30">
        <f>StartDate+7*17</f>
        <v/>
      </c>
      <c r="X18" s="30">
        <f>StartDate+7*18</f>
        <v/>
      </c>
      <c r="Y18" s="30">
        <f>StartDate+7*19</f>
        <v/>
      </c>
      <c r="Z18" s="30">
        <f>StartDate+7*20</f>
        <v/>
      </c>
      <c r="AA18" s="30">
        <f>StartDate+7*21</f>
        <v/>
      </c>
      <c r="AB18" s="30">
        <f>StartDate+7*22</f>
        <v/>
      </c>
      <c r="AC18" s="30">
        <f>StartDate+7*23</f>
        <v/>
      </c>
      <c r="AD18" s="30">
        <f>StartDate+7*24</f>
        <v/>
      </c>
      <c r="AE18" s="30">
        <f>StartDate+7*25</f>
        <v/>
      </c>
      <c r="AF18" s="37" t="inlineStr"/>
    </row>
    <row r="19">
      <c r="B19" s="11" t="inlineStr">
        <is>
          <t>POS Units</t>
        </is>
      </c>
      <c r="F19" s="38">
        <f>ROUND(BaseUnits*Inputs!F65,0)</f>
        <v/>
      </c>
      <c r="G19" s="38">
        <f>ROUND(BaseUnits*Inputs!G65,0)</f>
        <v/>
      </c>
      <c r="H19" s="38">
        <f>ROUND(BaseUnits*Inputs!H65,0)</f>
        <v/>
      </c>
      <c r="I19" s="38">
        <f>ROUND(BaseUnits*Inputs!I65,0)</f>
        <v/>
      </c>
      <c r="J19" s="38">
        <f>ROUND(BaseUnits*Inputs!J65,0)</f>
        <v/>
      </c>
      <c r="K19" s="38">
        <f>ROUND(BaseUnits*Inputs!K65,0)</f>
        <v/>
      </c>
      <c r="L19" s="38">
        <f>ROUND(BaseUnits*Inputs!L65,0)</f>
        <v/>
      </c>
      <c r="M19" s="38">
        <f>ROUND(BaseUnits*Inputs!M65,0)</f>
        <v/>
      </c>
      <c r="N19" s="38">
        <f>ROUND(BaseUnits*Inputs!N65,0)</f>
        <v/>
      </c>
      <c r="O19" s="38">
        <f>ROUND(BaseUnits*Inputs!O65,0)</f>
        <v/>
      </c>
      <c r="P19" s="38">
        <f>ROUND(BaseUnits*Inputs!P65,0)</f>
        <v/>
      </c>
      <c r="Q19" s="38">
        <f>ROUND(BaseUnits*Inputs!Q65,0)</f>
        <v/>
      </c>
      <c r="R19" s="38">
        <f>ROUND(BaseUnits*Inputs!R65,0)</f>
        <v/>
      </c>
      <c r="S19" s="38">
        <f>ROUND(BaseUnits*Inputs!S65,0)</f>
        <v/>
      </c>
      <c r="T19" s="38">
        <f>ROUND(BaseUnits*Inputs!T65,0)</f>
        <v/>
      </c>
      <c r="U19" s="38">
        <f>ROUND(BaseUnits*Inputs!U65,0)</f>
        <v/>
      </c>
      <c r="V19" s="38">
        <f>ROUND(BaseUnits*Inputs!V65,0)</f>
        <v/>
      </c>
      <c r="W19" s="38">
        <f>ROUND(BaseUnits*Inputs!W65,0)</f>
        <v/>
      </c>
      <c r="X19" s="38">
        <f>ROUND(BaseUnits*Inputs!X65,0)</f>
        <v/>
      </c>
      <c r="Y19" s="38">
        <f>ROUND(BaseUnits*Inputs!Y65,0)</f>
        <v/>
      </c>
      <c r="Z19" s="38">
        <f>ROUND(BaseUnits*Inputs!Z65,0)</f>
        <v/>
      </c>
      <c r="AA19" s="38">
        <f>ROUND(BaseUnits*Inputs!AA65,0)</f>
        <v/>
      </c>
      <c r="AB19" s="38">
        <f>ROUND(BaseUnits*Inputs!AB65,0)</f>
        <v/>
      </c>
      <c r="AC19" s="38">
        <f>ROUND(BaseUnits*Inputs!AC65,0)</f>
        <v/>
      </c>
      <c r="AD19" s="38">
        <f>ROUND(BaseUnits*Inputs!AD65,0)</f>
        <v/>
      </c>
      <c r="AE19" s="38">
        <f>ROUND(BaseUnits*Inputs!AE65,0)</f>
        <v/>
      </c>
      <c r="AF19" s="39">
        <f>SUM(F19:AE19)</f>
        <v/>
      </c>
    </row>
    <row r="20">
      <c r="B20" s="11">
        <f>"Revenue ("&amp;$Z$3&amp;")"</f>
        <v/>
      </c>
      <c r="F20" s="40">
        <f>F19*Price*$Y$3</f>
        <v/>
      </c>
      <c r="G20" s="40">
        <f>G19*Price*$Y$3</f>
        <v/>
      </c>
      <c r="H20" s="40">
        <f>H19*Price*$Y$3</f>
        <v/>
      </c>
      <c r="I20" s="40">
        <f>I19*Price*$Y$3</f>
        <v/>
      </c>
      <c r="J20" s="40">
        <f>J19*Price*$Y$3</f>
        <v/>
      </c>
      <c r="K20" s="40">
        <f>K19*Price*$Y$3</f>
        <v/>
      </c>
      <c r="L20" s="40">
        <f>L19*Price*$Y$3</f>
        <v/>
      </c>
      <c r="M20" s="40">
        <f>M19*Price*$Y$3</f>
        <v/>
      </c>
      <c r="N20" s="40">
        <f>N19*Price*$Y$3</f>
        <v/>
      </c>
      <c r="O20" s="40">
        <f>O19*Price*$Y$3</f>
        <v/>
      </c>
      <c r="P20" s="40">
        <f>P19*Price*$Y$3</f>
        <v/>
      </c>
      <c r="Q20" s="40">
        <f>Q19*Price*$Y$3</f>
        <v/>
      </c>
      <c r="R20" s="40">
        <f>R19*Price*$Y$3</f>
        <v/>
      </c>
      <c r="S20" s="40">
        <f>S19*Price*$Y$3</f>
        <v/>
      </c>
      <c r="T20" s="40">
        <f>T19*Price*$Y$3</f>
        <v/>
      </c>
      <c r="U20" s="40">
        <f>U19*Price*$Y$3</f>
        <v/>
      </c>
      <c r="V20" s="40">
        <f>V19*Price*$Y$3</f>
        <v/>
      </c>
      <c r="W20" s="40">
        <f>W19*Price*$Y$3</f>
        <v/>
      </c>
      <c r="X20" s="40">
        <f>X19*Price*$Y$3</f>
        <v/>
      </c>
      <c r="Y20" s="40">
        <f>Y19*Price*$Y$3</f>
        <v/>
      </c>
      <c r="Z20" s="40">
        <f>Z19*Price*$Y$3</f>
        <v/>
      </c>
      <c r="AA20" s="40">
        <f>AA19*Price*$Y$3</f>
        <v/>
      </c>
      <c r="AB20" s="40">
        <f>AB19*Price*$Y$3</f>
        <v/>
      </c>
      <c r="AC20" s="40">
        <f>AC19*Price*$Y$3</f>
        <v/>
      </c>
      <c r="AD20" s="40">
        <f>AD19*Price*$Y$3</f>
        <v/>
      </c>
      <c r="AE20" s="40">
        <f>AE19*Price*$Y$3</f>
        <v/>
      </c>
      <c r="AF20" s="41">
        <f>SUM(F20:AE20)</f>
        <v/>
      </c>
    </row>
    <row r="21">
      <c r="B21" s="11">
        <f>"Raw COGS ("&amp;$Z$3&amp;")"</f>
        <v/>
      </c>
      <c r="F21" s="40">
        <f>F19*Cost*$Y$3</f>
        <v/>
      </c>
      <c r="G21" s="40">
        <f>G19*Cost*$Y$3</f>
        <v/>
      </c>
      <c r="H21" s="40">
        <f>H19*Cost*$Y$3</f>
        <v/>
      </c>
      <c r="I21" s="40">
        <f>I19*Cost*$Y$3</f>
        <v/>
      </c>
      <c r="J21" s="40">
        <f>J19*Cost*$Y$3</f>
        <v/>
      </c>
      <c r="K21" s="40">
        <f>K19*Cost*$Y$3</f>
        <v/>
      </c>
      <c r="L21" s="40">
        <f>L19*Cost*$Y$3</f>
        <v/>
      </c>
      <c r="M21" s="40">
        <f>M19*Cost*$Y$3</f>
        <v/>
      </c>
      <c r="N21" s="40">
        <f>N19*Cost*$Y$3</f>
        <v/>
      </c>
      <c r="O21" s="40">
        <f>O19*Cost*$Y$3</f>
        <v/>
      </c>
      <c r="P21" s="40">
        <f>P19*Cost*$Y$3</f>
        <v/>
      </c>
      <c r="Q21" s="40">
        <f>Q19*Cost*$Y$3</f>
        <v/>
      </c>
      <c r="R21" s="40">
        <f>R19*Cost*$Y$3</f>
        <v/>
      </c>
      <c r="S21" s="40">
        <f>S19*Cost*$Y$3</f>
        <v/>
      </c>
      <c r="T21" s="40">
        <f>T19*Cost*$Y$3</f>
        <v/>
      </c>
      <c r="U21" s="40">
        <f>U19*Cost*$Y$3</f>
        <v/>
      </c>
      <c r="V21" s="40">
        <f>V19*Cost*$Y$3</f>
        <v/>
      </c>
      <c r="W21" s="40">
        <f>W19*Cost*$Y$3</f>
        <v/>
      </c>
      <c r="X21" s="40">
        <f>X19*Cost*$Y$3</f>
        <v/>
      </c>
      <c r="Y21" s="40">
        <f>Y19*Cost*$Y$3</f>
        <v/>
      </c>
      <c r="Z21" s="40">
        <f>Z19*Cost*$Y$3</f>
        <v/>
      </c>
      <c r="AA21" s="40">
        <f>AA19*Cost*$Y$3</f>
        <v/>
      </c>
      <c r="AB21" s="40">
        <f>AB19*Cost*$Y$3</f>
        <v/>
      </c>
      <c r="AC21" s="40">
        <f>AC19*Cost*$Y$3</f>
        <v/>
      </c>
      <c r="AD21" s="40">
        <f>AD19*Cost*$Y$3</f>
        <v/>
      </c>
      <c r="AE21" s="40">
        <f>AE19*Cost*$Y$3</f>
        <v/>
      </c>
      <c r="AF21" s="41">
        <f>SUM(F21:AE21)</f>
        <v/>
      </c>
    </row>
    <row r="22">
      <c r="B22" s="14">
        <f>"Gross Profit ("&amp;$Z$3&amp;")"</f>
        <v/>
      </c>
      <c r="F22" s="40">
        <f>F20-F21</f>
        <v/>
      </c>
      <c r="G22" s="40">
        <f>G20-G21</f>
        <v/>
      </c>
      <c r="H22" s="40">
        <f>H20-H21</f>
        <v/>
      </c>
      <c r="I22" s="40">
        <f>I20-I21</f>
        <v/>
      </c>
      <c r="J22" s="40">
        <f>J20-J21</f>
        <v/>
      </c>
      <c r="K22" s="40">
        <f>K20-K21</f>
        <v/>
      </c>
      <c r="L22" s="40">
        <f>L20-L21</f>
        <v/>
      </c>
      <c r="M22" s="40">
        <f>M20-M21</f>
        <v/>
      </c>
      <c r="N22" s="40">
        <f>N20-N21</f>
        <v/>
      </c>
      <c r="O22" s="40">
        <f>O20-O21</f>
        <v/>
      </c>
      <c r="P22" s="40">
        <f>P20-P21</f>
        <v/>
      </c>
      <c r="Q22" s="40">
        <f>Q20-Q21</f>
        <v/>
      </c>
      <c r="R22" s="40">
        <f>R20-R21</f>
        <v/>
      </c>
      <c r="S22" s="40">
        <f>S20-S21</f>
        <v/>
      </c>
      <c r="T22" s="40">
        <f>T20-T21</f>
        <v/>
      </c>
      <c r="U22" s="40">
        <f>U20-U21</f>
        <v/>
      </c>
      <c r="V22" s="40">
        <f>V20-V21</f>
        <v/>
      </c>
      <c r="W22" s="40">
        <f>W20-W21</f>
        <v/>
      </c>
      <c r="X22" s="40">
        <f>X20-X21</f>
        <v/>
      </c>
      <c r="Y22" s="40">
        <f>Y20-Y21</f>
        <v/>
      </c>
      <c r="Z22" s="40">
        <f>Z20-Z21</f>
        <v/>
      </c>
      <c r="AA22" s="40">
        <f>AA20-AA21</f>
        <v/>
      </c>
      <c r="AB22" s="40">
        <f>AB20-AB21</f>
        <v/>
      </c>
      <c r="AC22" s="40">
        <f>AC20-AC21</f>
        <v/>
      </c>
      <c r="AD22" s="40">
        <f>AD20-AD21</f>
        <v/>
      </c>
      <c r="AE22" s="40">
        <f>AE20-AE21</f>
        <v/>
      </c>
      <c r="AF22" s="41">
        <f>SUM(F22:AE22)</f>
        <v/>
      </c>
    </row>
    <row r="23">
      <c r="B23" s="11">
        <f>"Promo Spend ("&amp;$Z$3&amp;")"</f>
        <v/>
      </c>
      <c r="F23" s="40">
        <f>(Inputs!F61*DemoCost+Inputs!F62*EndCapCost+Inputs!F63*F19*Price*TPDPct+Inputs!F64*F19*Price*MdPct)*$Y$3</f>
        <v/>
      </c>
      <c r="G23" s="40">
        <f>(Inputs!G61*DemoCost+Inputs!G62*EndCapCost+Inputs!G63*G19*Price*TPDPct+Inputs!G64*G19*Price*MdPct)*$Y$3</f>
        <v/>
      </c>
      <c r="H23" s="40">
        <f>(Inputs!H61*DemoCost+Inputs!H62*EndCapCost+Inputs!H63*H19*Price*TPDPct+Inputs!H64*H19*Price*MdPct)*$Y$3</f>
        <v/>
      </c>
      <c r="I23" s="40">
        <f>(Inputs!I61*DemoCost+Inputs!I62*EndCapCost+Inputs!I63*I19*Price*TPDPct+Inputs!I64*I19*Price*MdPct)*$Y$3</f>
        <v/>
      </c>
      <c r="J23" s="40">
        <f>(Inputs!J61*DemoCost+Inputs!J62*EndCapCost+Inputs!J63*J19*Price*TPDPct+Inputs!J64*J19*Price*MdPct)*$Y$3</f>
        <v/>
      </c>
      <c r="K23" s="40">
        <f>(Inputs!K61*DemoCost+Inputs!K62*EndCapCost+Inputs!K63*K19*Price*TPDPct+Inputs!K64*K19*Price*MdPct)*$Y$3</f>
        <v/>
      </c>
      <c r="L23" s="40">
        <f>(Inputs!L61*DemoCost+Inputs!L62*EndCapCost+Inputs!L63*L19*Price*TPDPct+Inputs!L64*L19*Price*MdPct)*$Y$3</f>
        <v/>
      </c>
      <c r="M23" s="40">
        <f>(Inputs!M61*DemoCost+Inputs!M62*EndCapCost+Inputs!M63*M19*Price*TPDPct+Inputs!M64*M19*Price*MdPct)*$Y$3</f>
        <v/>
      </c>
      <c r="N23" s="40">
        <f>(Inputs!N61*DemoCost+Inputs!N62*EndCapCost+Inputs!N63*N19*Price*TPDPct+Inputs!N64*N19*Price*MdPct)*$Y$3</f>
        <v/>
      </c>
      <c r="O23" s="40">
        <f>(Inputs!O61*DemoCost+Inputs!O62*EndCapCost+Inputs!O63*O19*Price*TPDPct+Inputs!O64*O19*Price*MdPct)*$Y$3</f>
        <v/>
      </c>
      <c r="P23" s="40">
        <f>(Inputs!P61*DemoCost+Inputs!P62*EndCapCost+Inputs!P63*P19*Price*TPDPct+Inputs!P64*P19*Price*MdPct)*$Y$3</f>
        <v/>
      </c>
      <c r="Q23" s="40">
        <f>(Inputs!Q61*DemoCost+Inputs!Q62*EndCapCost+Inputs!Q63*Q19*Price*TPDPct+Inputs!Q64*Q19*Price*MdPct)*$Y$3</f>
        <v/>
      </c>
      <c r="R23" s="40">
        <f>(Inputs!R61*DemoCost+Inputs!R62*EndCapCost+Inputs!R63*R19*Price*TPDPct+Inputs!R64*R19*Price*MdPct)*$Y$3</f>
        <v/>
      </c>
      <c r="S23" s="40">
        <f>(Inputs!S61*DemoCost+Inputs!S62*EndCapCost+Inputs!S63*S19*Price*TPDPct+Inputs!S64*S19*Price*MdPct)*$Y$3</f>
        <v/>
      </c>
      <c r="T23" s="40">
        <f>(Inputs!T61*DemoCost+Inputs!T62*EndCapCost+Inputs!T63*T19*Price*TPDPct+Inputs!T64*T19*Price*MdPct)*$Y$3</f>
        <v/>
      </c>
      <c r="U23" s="40">
        <f>(Inputs!U61*DemoCost+Inputs!U62*EndCapCost+Inputs!U63*U19*Price*TPDPct+Inputs!U64*U19*Price*MdPct)*$Y$3</f>
        <v/>
      </c>
      <c r="V23" s="40">
        <f>(Inputs!V61*DemoCost+Inputs!V62*EndCapCost+Inputs!V63*V19*Price*TPDPct+Inputs!V64*V19*Price*MdPct)*$Y$3</f>
        <v/>
      </c>
      <c r="W23" s="40">
        <f>(Inputs!W61*DemoCost+Inputs!W62*EndCapCost+Inputs!W63*W19*Price*TPDPct+Inputs!W64*W19*Price*MdPct)*$Y$3</f>
        <v/>
      </c>
      <c r="X23" s="40">
        <f>(Inputs!X61*DemoCost+Inputs!X62*EndCapCost+Inputs!X63*X19*Price*TPDPct+Inputs!X64*X19*Price*MdPct)*$Y$3</f>
        <v/>
      </c>
      <c r="Y23" s="40">
        <f>(Inputs!Y61*DemoCost+Inputs!Y62*EndCapCost+Inputs!Y63*Y19*Price*TPDPct+Inputs!Y64*Y19*Price*MdPct)*$Y$3</f>
        <v/>
      </c>
      <c r="Z23" s="40">
        <f>(Inputs!Z61*DemoCost+Inputs!Z62*EndCapCost+Inputs!Z63*Z19*Price*TPDPct+Inputs!Z64*Z19*Price*MdPct)*$Y$3</f>
        <v/>
      </c>
      <c r="AA23" s="40">
        <f>(Inputs!AA61*DemoCost+Inputs!AA62*EndCapCost+Inputs!AA63*AA19*Price*TPDPct+Inputs!AA64*AA19*Price*MdPct)*$Y$3</f>
        <v/>
      </c>
      <c r="AB23" s="40">
        <f>(Inputs!AB61*DemoCost+Inputs!AB62*EndCapCost+Inputs!AB63*AB19*Price*TPDPct+Inputs!AB64*AB19*Price*MdPct)*$Y$3</f>
        <v/>
      </c>
      <c r="AC23" s="40">
        <f>(Inputs!AC61*DemoCost+Inputs!AC62*EndCapCost+Inputs!AC63*AC19*Price*TPDPct+Inputs!AC64*AC19*Price*MdPct)*$Y$3</f>
        <v/>
      </c>
      <c r="AD23" s="40">
        <f>(Inputs!AD61*DemoCost+Inputs!AD62*EndCapCost+Inputs!AD63*AD19*Price*TPDPct+Inputs!AD64*AD19*Price*MdPct)*$Y$3</f>
        <v/>
      </c>
      <c r="AE23" s="40">
        <f>(Inputs!AE61*DemoCost+Inputs!AE62*EndCapCost+Inputs!AE63*AE19*Price*TPDPct+Inputs!AE64*AE19*Price*MdPct)*$Y$3</f>
        <v/>
      </c>
      <c r="AF23" s="41">
        <f>SUM(F23:AE23)</f>
        <v/>
      </c>
    </row>
    <row r="24">
      <c r="B24" s="14">
        <f>"Net Profit ("&amp;$Z$3&amp;")"</f>
        <v/>
      </c>
      <c r="F24" s="40">
        <f>F22-F23</f>
        <v/>
      </c>
      <c r="G24" s="40">
        <f>G22-G23</f>
        <v/>
      </c>
      <c r="H24" s="40">
        <f>H22-H23</f>
        <v/>
      </c>
      <c r="I24" s="40">
        <f>I22-I23</f>
        <v/>
      </c>
      <c r="J24" s="40">
        <f>J22-J23</f>
        <v/>
      </c>
      <c r="K24" s="40">
        <f>K22-K23</f>
        <v/>
      </c>
      <c r="L24" s="40">
        <f>L22-L23</f>
        <v/>
      </c>
      <c r="M24" s="40">
        <f>M22-M23</f>
        <v/>
      </c>
      <c r="N24" s="40">
        <f>N22-N23</f>
        <v/>
      </c>
      <c r="O24" s="40">
        <f>O22-O23</f>
        <v/>
      </c>
      <c r="P24" s="40">
        <f>P22-P23</f>
        <v/>
      </c>
      <c r="Q24" s="40">
        <f>Q22-Q23</f>
        <v/>
      </c>
      <c r="R24" s="40">
        <f>R22-R23</f>
        <v/>
      </c>
      <c r="S24" s="40">
        <f>S22-S23</f>
        <v/>
      </c>
      <c r="T24" s="40">
        <f>T22-T23</f>
        <v/>
      </c>
      <c r="U24" s="40">
        <f>U22-U23</f>
        <v/>
      </c>
      <c r="V24" s="40">
        <f>V22-V23</f>
        <v/>
      </c>
      <c r="W24" s="40">
        <f>W22-W23</f>
        <v/>
      </c>
      <c r="X24" s="40">
        <f>X22-X23</f>
        <v/>
      </c>
      <c r="Y24" s="40">
        <f>Y22-Y23</f>
        <v/>
      </c>
      <c r="Z24" s="40">
        <f>Z22-Z23</f>
        <v/>
      </c>
      <c r="AA24" s="40">
        <f>AA22-AA23</f>
        <v/>
      </c>
      <c r="AB24" s="40">
        <f>AB22-AB23</f>
        <v/>
      </c>
      <c r="AC24" s="40">
        <f>AC22-AC23</f>
        <v/>
      </c>
      <c r="AD24" s="40">
        <f>AD22-AD23</f>
        <v/>
      </c>
      <c r="AE24" s="40">
        <f>AE22-AE23</f>
        <v/>
      </c>
      <c r="AF24" s="41">
        <f>SUM(F24:AE24)</f>
        <v/>
      </c>
    </row>
    <row r="27" ht="22" customHeight="1">
      <c r="B27" s="28" t="inlineStr">
        <is>
          <t>WORST · Launch then markdown clearance</t>
        </is>
      </c>
    </row>
    <row r="28">
      <c r="B28" s="29" t="inlineStr">
        <is>
          <t>Week</t>
        </is>
      </c>
      <c r="F28" s="15" t="inlineStr">
        <is>
          <t>W1</t>
        </is>
      </c>
      <c r="G28" s="15" t="inlineStr">
        <is>
          <t>W2</t>
        </is>
      </c>
      <c r="H28" s="15" t="inlineStr">
        <is>
          <t>W3</t>
        </is>
      </c>
      <c r="I28" s="15" t="inlineStr">
        <is>
          <t>W4</t>
        </is>
      </c>
      <c r="J28" s="15" t="inlineStr">
        <is>
          <t>W5</t>
        </is>
      </c>
      <c r="K28" s="15" t="inlineStr">
        <is>
          <t>W6</t>
        </is>
      </c>
      <c r="L28" s="15" t="inlineStr">
        <is>
          <t>W7</t>
        </is>
      </c>
      <c r="M28" s="15" t="inlineStr">
        <is>
          <t>W8</t>
        </is>
      </c>
      <c r="N28" s="15" t="inlineStr">
        <is>
          <t>W9</t>
        </is>
      </c>
      <c r="O28" s="15" t="inlineStr">
        <is>
          <t>W10</t>
        </is>
      </c>
      <c r="P28" s="15" t="inlineStr">
        <is>
          <t>W11</t>
        </is>
      </c>
      <c r="Q28" s="15" t="inlineStr">
        <is>
          <t>W12</t>
        </is>
      </c>
      <c r="R28" s="15" t="inlineStr">
        <is>
          <t>W13</t>
        </is>
      </c>
      <c r="S28" s="15" t="inlineStr">
        <is>
          <t>W14</t>
        </is>
      </c>
      <c r="T28" s="15" t="inlineStr">
        <is>
          <t>W15</t>
        </is>
      </c>
      <c r="U28" s="15" t="inlineStr">
        <is>
          <t>W16</t>
        </is>
      </c>
      <c r="V28" s="15" t="inlineStr">
        <is>
          <t>W17</t>
        </is>
      </c>
      <c r="W28" s="15" t="inlineStr">
        <is>
          <t>W18</t>
        </is>
      </c>
      <c r="X28" s="15" t="inlineStr">
        <is>
          <t>W19</t>
        </is>
      </c>
      <c r="Y28" s="15" t="inlineStr">
        <is>
          <t>W20</t>
        </is>
      </c>
      <c r="Z28" s="15" t="inlineStr">
        <is>
          <t>W21</t>
        </is>
      </c>
      <c r="AA28" s="15" t="inlineStr">
        <is>
          <t>W22</t>
        </is>
      </c>
      <c r="AB28" s="15" t="inlineStr">
        <is>
          <t>W23</t>
        </is>
      </c>
      <c r="AC28" s="15" t="inlineStr">
        <is>
          <t>W24</t>
        </is>
      </c>
      <c r="AD28" s="15" t="inlineStr">
        <is>
          <t>W25</t>
        </is>
      </c>
      <c r="AE28" s="15" t="inlineStr">
        <is>
          <t>W26</t>
        </is>
      </c>
      <c r="AF28" s="36" t="inlineStr">
        <is>
          <t>TOTAL</t>
        </is>
      </c>
    </row>
    <row r="29">
      <c r="B29" s="29" t="inlineStr">
        <is>
          <t>Wk-commencing</t>
        </is>
      </c>
      <c r="F29" s="30">
        <f>StartDate+7*0</f>
        <v/>
      </c>
      <c r="G29" s="30">
        <f>StartDate+7*1</f>
        <v/>
      </c>
      <c r="H29" s="30">
        <f>StartDate+7*2</f>
        <v/>
      </c>
      <c r="I29" s="30">
        <f>StartDate+7*3</f>
        <v/>
      </c>
      <c r="J29" s="30">
        <f>StartDate+7*4</f>
        <v/>
      </c>
      <c r="K29" s="30">
        <f>StartDate+7*5</f>
        <v/>
      </c>
      <c r="L29" s="30">
        <f>StartDate+7*6</f>
        <v/>
      </c>
      <c r="M29" s="30">
        <f>StartDate+7*7</f>
        <v/>
      </c>
      <c r="N29" s="30">
        <f>StartDate+7*8</f>
        <v/>
      </c>
      <c r="O29" s="30">
        <f>StartDate+7*9</f>
        <v/>
      </c>
      <c r="P29" s="30">
        <f>StartDate+7*10</f>
        <v/>
      </c>
      <c r="Q29" s="30">
        <f>StartDate+7*11</f>
        <v/>
      </c>
      <c r="R29" s="30">
        <f>StartDate+7*12</f>
        <v/>
      </c>
      <c r="S29" s="30">
        <f>StartDate+7*13</f>
        <v/>
      </c>
      <c r="T29" s="30">
        <f>StartDate+7*14</f>
        <v/>
      </c>
      <c r="U29" s="30">
        <f>StartDate+7*15</f>
        <v/>
      </c>
      <c r="V29" s="30">
        <f>StartDate+7*16</f>
        <v/>
      </c>
      <c r="W29" s="30">
        <f>StartDate+7*17</f>
        <v/>
      </c>
      <c r="X29" s="30">
        <f>StartDate+7*18</f>
        <v/>
      </c>
      <c r="Y29" s="30">
        <f>StartDate+7*19</f>
        <v/>
      </c>
      <c r="Z29" s="30">
        <f>StartDate+7*20</f>
        <v/>
      </c>
      <c r="AA29" s="30">
        <f>StartDate+7*21</f>
        <v/>
      </c>
      <c r="AB29" s="30">
        <f>StartDate+7*22</f>
        <v/>
      </c>
      <c r="AC29" s="30">
        <f>StartDate+7*23</f>
        <v/>
      </c>
      <c r="AD29" s="30">
        <f>StartDate+7*24</f>
        <v/>
      </c>
      <c r="AE29" s="30">
        <f>StartDate+7*25</f>
        <v/>
      </c>
      <c r="AF29" s="37" t="inlineStr"/>
    </row>
    <row r="30">
      <c r="B30" s="11" t="inlineStr">
        <is>
          <t>POS Units</t>
        </is>
      </c>
      <c r="F30" s="38">
        <f>ROUND(BaseUnits*Inputs!F75,0)</f>
        <v/>
      </c>
      <c r="G30" s="38">
        <f>ROUND(BaseUnits*Inputs!G75,0)</f>
        <v/>
      </c>
      <c r="H30" s="38">
        <f>ROUND(BaseUnits*Inputs!H75,0)</f>
        <v/>
      </c>
      <c r="I30" s="38">
        <f>ROUND(BaseUnits*Inputs!I75,0)</f>
        <v/>
      </c>
      <c r="J30" s="38">
        <f>ROUND(BaseUnits*Inputs!J75,0)</f>
        <v/>
      </c>
      <c r="K30" s="38">
        <f>ROUND(BaseUnits*Inputs!K75,0)</f>
        <v/>
      </c>
      <c r="L30" s="38">
        <f>ROUND(BaseUnits*Inputs!L75,0)</f>
        <v/>
      </c>
      <c r="M30" s="38">
        <f>ROUND(BaseUnits*Inputs!M75,0)</f>
        <v/>
      </c>
      <c r="N30" s="38">
        <f>ROUND(BaseUnits*Inputs!N75,0)</f>
        <v/>
      </c>
      <c r="O30" s="38">
        <f>ROUND(BaseUnits*Inputs!O75,0)</f>
        <v/>
      </c>
      <c r="P30" s="38">
        <f>ROUND(BaseUnits*Inputs!P75,0)</f>
        <v/>
      </c>
      <c r="Q30" s="38">
        <f>ROUND(BaseUnits*Inputs!Q75,0)</f>
        <v/>
      </c>
      <c r="R30" s="38">
        <f>ROUND(BaseUnits*Inputs!R75,0)</f>
        <v/>
      </c>
      <c r="S30" s="38">
        <f>ROUND(BaseUnits*Inputs!S75,0)</f>
        <v/>
      </c>
      <c r="T30" s="38">
        <f>ROUND(BaseUnits*Inputs!T75,0)</f>
        <v/>
      </c>
      <c r="U30" s="38">
        <f>ROUND(BaseUnits*Inputs!U75,0)</f>
        <v/>
      </c>
      <c r="V30" s="38">
        <f>ROUND(BaseUnits*Inputs!V75,0)</f>
        <v/>
      </c>
      <c r="W30" s="38">
        <f>ROUND(BaseUnits*Inputs!W75,0)</f>
        <v/>
      </c>
      <c r="X30" s="38">
        <f>ROUND(BaseUnits*Inputs!X75,0)</f>
        <v/>
      </c>
      <c r="Y30" s="38">
        <f>ROUND(BaseUnits*Inputs!Y75,0)</f>
        <v/>
      </c>
      <c r="Z30" s="38">
        <f>ROUND(BaseUnits*Inputs!Z75,0)</f>
        <v/>
      </c>
      <c r="AA30" s="38">
        <f>ROUND(BaseUnits*Inputs!AA75,0)</f>
        <v/>
      </c>
      <c r="AB30" s="38">
        <f>ROUND(BaseUnits*Inputs!AB75,0)</f>
        <v/>
      </c>
      <c r="AC30" s="38">
        <f>ROUND(BaseUnits*Inputs!AC75,0)</f>
        <v/>
      </c>
      <c r="AD30" s="38">
        <f>ROUND(BaseUnits*Inputs!AD75,0)</f>
        <v/>
      </c>
      <c r="AE30" s="38">
        <f>ROUND(BaseUnits*Inputs!AE75,0)</f>
        <v/>
      </c>
      <c r="AF30" s="39">
        <f>SUM(F30:AE30)</f>
        <v/>
      </c>
    </row>
    <row r="31">
      <c r="B31" s="11">
        <f>"Revenue ("&amp;$Z$3&amp;")"</f>
        <v/>
      </c>
      <c r="F31" s="40">
        <f>F30*Price*$Y$3</f>
        <v/>
      </c>
      <c r="G31" s="40">
        <f>G30*Price*$Y$3</f>
        <v/>
      </c>
      <c r="H31" s="40">
        <f>H30*Price*$Y$3</f>
        <v/>
      </c>
      <c r="I31" s="40">
        <f>I30*Price*$Y$3</f>
        <v/>
      </c>
      <c r="J31" s="40">
        <f>J30*Price*$Y$3</f>
        <v/>
      </c>
      <c r="K31" s="40">
        <f>K30*Price*$Y$3</f>
        <v/>
      </c>
      <c r="L31" s="40">
        <f>L30*Price*$Y$3</f>
        <v/>
      </c>
      <c r="M31" s="40">
        <f>M30*Price*$Y$3</f>
        <v/>
      </c>
      <c r="N31" s="40">
        <f>N30*Price*$Y$3</f>
        <v/>
      </c>
      <c r="O31" s="40">
        <f>O30*Price*$Y$3</f>
        <v/>
      </c>
      <c r="P31" s="40">
        <f>P30*Price*$Y$3</f>
        <v/>
      </c>
      <c r="Q31" s="40">
        <f>Q30*Price*$Y$3</f>
        <v/>
      </c>
      <c r="R31" s="40">
        <f>R30*Price*$Y$3</f>
        <v/>
      </c>
      <c r="S31" s="40">
        <f>S30*Price*$Y$3</f>
        <v/>
      </c>
      <c r="T31" s="40">
        <f>T30*Price*$Y$3</f>
        <v/>
      </c>
      <c r="U31" s="40">
        <f>U30*Price*$Y$3</f>
        <v/>
      </c>
      <c r="V31" s="40">
        <f>V30*Price*$Y$3</f>
        <v/>
      </c>
      <c r="W31" s="40">
        <f>W30*Price*$Y$3</f>
        <v/>
      </c>
      <c r="X31" s="40">
        <f>X30*Price*$Y$3</f>
        <v/>
      </c>
      <c r="Y31" s="40">
        <f>Y30*Price*$Y$3</f>
        <v/>
      </c>
      <c r="Z31" s="40">
        <f>Z30*Price*$Y$3</f>
        <v/>
      </c>
      <c r="AA31" s="40">
        <f>AA30*Price*$Y$3</f>
        <v/>
      </c>
      <c r="AB31" s="40">
        <f>AB30*Price*$Y$3</f>
        <v/>
      </c>
      <c r="AC31" s="40">
        <f>AC30*Price*$Y$3</f>
        <v/>
      </c>
      <c r="AD31" s="40">
        <f>AD30*Price*$Y$3</f>
        <v/>
      </c>
      <c r="AE31" s="40">
        <f>AE30*Price*$Y$3</f>
        <v/>
      </c>
      <c r="AF31" s="41">
        <f>SUM(F31:AE31)</f>
        <v/>
      </c>
    </row>
    <row r="32">
      <c r="B32" s="11">
        <f>"Raw COGS ("&amp;$Z$3&amp;")"</f>
        <v/>
      </c>
      <c r="F32" s="40">
        <f>F30*Cost*$Y$3</f>
        <v/>
      </c>
      <c r="G32" s="40">
        <f>G30*Cost*$Y$3</f>
        <v/>
      </c>
      <c r="H32" s="40">
        <f>H30*Cost*$Y$3</f>
        <v/>
      </c>
      <c r="I32" s="40">
        <f>I30*Cost*$Y$3</f>
        <v/>
      </c>
      <c r="J32" s="40">
        <f>J30*Cost*$Y$3</f>
        <v/>
      </c>
      <c r="K32" s="40">
        <f>K30*Cost*$Y$3</f>
        <v/>
      </c>
      <c r="L32" s="40">
        <f>L30*Cost*$Y$3</f>
        <v/>
      </c>
      <c r="M32" s="40">
        <f>M30*Cost*$Y$3</f>
        <v/>
      </c>
      <c r="N32" s="40">
        <f>N30*Cost*$Y$3</f>
        <v/>
      </c>
      <c r="O32" s="40">
        <f>O30*Cost*$Y$3</f>
        <v/>
      </c>
      <c r="P32" s="40">
        <f>P30*Cost*$Y$3</f>
        <v/>
      </c>
      <c r="Q32" s="40">
        <f>Q30*Cost*$Y$3</f>
        <v/>
      </c>
      <c r="R32" s="40">
        <f>R30*Cost*$Y$3</f>
        <v/>
      </c>
      <c r="S32" s="40">
        <f>S30*Cost*$Y$3</f>
        <v/>
      </c>
      <c r="T32" s="40">
        <f>T30*Cost*$Y$3</f>
        <v/>
      </c>
      <c r="U32" s="40">
        <f>U30*Cost*$Y$3</f>
        <v/>
      </c>
      <c r="V32" s="40">
        <f>V30*Cost*$Y$3</f>
        <v/>
      </c>
      <c r="W32" s="40">
        <f>W30*Cost*$Y$3</f>
        <v/>
      </c>
      <c r="X32" s="40">
        <f>X30*Cost*$Y$3</f>
        <v/>
      </c>
      <c r="Y32" s="40">
        <f>Y30*Cost*$Y$3</f>
        <v/>
      </c>
      <c r="Z32" s="40">
        <f>Z30*Cost*$Y$3</f>
        <v/>
      </c>
      <c r="AA32" s="40">
        <f>AA30*Cost*$Y$3</f>
        <v/>
      </c>
      <c r="AB32" s="40">
        <f>AB30*Cost*$Y$3</f>
        <v/>
      </c>
      <c r="AC32" s="40">
        <f>AC30*Cost*$Y$3</f>
        <v/>
      </c>
      <c r="AD32" s="40">
        <f>AD30*Cost*$Y$3</f>
        <v/>
      </c>
      <c r="AE32" s="40">
        <f>AE30*Cost*$Y$3</f>
        <v/>
      </c>
      <c r="AF32" s="41">
        <f>SUM(F32:AE32)</f>
        <v/>
      </c>
    </row>
    <row r="33">
      <c r="B33" s="14">
        <f>"Gross Profit ("&amp;$Z$3&amp;")"</f>
        <v/>
      </c>
      <c r="F33" s="40">
        <f>F31-F32</f>
        <v/>
      </c>
      <c r="G33" s="40">
        <f>G31-G32</f>
        <v/>
      </c>
      <c r="H33" s="40">
        <f>H31-H32</f>
        <v/>
      </c>
      <c r="I33" s="40">
        <f>I31-I32</f>
        <v/>
      </c>
      <c r="J33" s="40">
        <f>J31-J32</f>
        <v/>
      </c>
      <c r="K33" s="40">
        <f>K31-K32</f>
        <v/>
      </c>
      <c r="L33" s="40">
        <f>L31-L32</f>
        <v/>
      </c>
      <c r="M33" s="40">
        <f>M31-M32</f>
        <v/>
      </c>
      <c r="N33" s="40">
        <f>N31-N32</f>
        <v/>
      </c>
      <c r="O33" s="40">
        <f>O31-O32</f>
        <v/>
      </c>
      <c r="P33" s="40">
        <f>P31-P32</f>
        <v/>
      </c>
      <c r="Q33" s="40">
        <f>Q31-Q32</f>
        <v/>
      </c>
      <c r="R33" s="40">
        <f>R31-R32</f>
        <v/>
      </c>
      <c r="S33" s="40">
        <f>S31-S32</f>
        <v/>
      </c>
      <c r="T33" s="40">
        <f>T31-T32</f>
        <v/>
      </c>
      <c r="U33" s="40">
        <f>U31-U32</f>
        <v/>
      </c>
      <c r="V33" s="40">
        <f>V31-V32</f>
        <v/>
      </c>
      <c r="W33" s="40">
        <f>W31-W32</f>
        <v/>
      </c>
      <c r="X33" s="40">
        <f>X31-X32</f>
        <v/>
      </c>
      <c r="Y33" s="40">
        <f>Y31-Y32</f>
        <v/>
      </c>
      <c r="Z33" s="40">
        <f>Z31-Z32</f>
        <v/>
      </c>
      <c r="AA33" s="40">
        <f>AA31-AA32</f>
        <v/>
      </c>
      <c r="AB33" s="40">
        <f>AB31-AB32</f>
        <v/>
      </c>
      <c r="AC33" s="40">
        <f>AC31-AC32</f>
        <v/>
      </c>
      <c r="AD33" s="40">
        <f>AD31-AD32</f>
        <v/>
      </c>
      <c r="AE33" s="40">
        <f>AE31-AE32</f>
        <v/>
      </c>
      <c r="AF33" s="41">
        <f>SUM(F33:AE33)</f>
        <v/>
      </c>
    </row>
    <row r="34">
      <c r="B34" s="11">
        <f>"Promo Spend ("&amp;$Z$3&amp;")"</f>
        <v/>
      </c>
      <c r="F34" s="40">
        <f>(Inputs!F71*DemoCost+Inputs!F72*EndCapCost+Inputs!F73*F30*Price*TPDPct+Inputs!F74*F30*Price*MdPct)*$Y$3</f>
        <v/>
      </c>
      <c r="G34" s="40">
        <f>(Inputs!G71*DemoCost+Inputs!G72*EndCapCost+Inputs!G73*G30*Price*TPDPct+Inputs!G74*G30*Price*MdPct)*$Y$3</f>
        <v/>
      </c>
      <c r="H34" s="40">
        <f>(Inputs!H71*DemoCost+Inputs!H72*EndCapCost+Inputs!H73*H30*Price*TPDPct+Inputs!H74*H30*Price*MdPct)*$Y$3</f>
        <v/>
      </c>
      <c r="I34" s="40">
        <f>(Inputs!I71*DemoCost+Inputs!I72*EndCapCost+Inputs!I73*I30*Price*TPDPct+Inputs!I74*I30*Price*MdPct)*$Y$3</f>
        <v/>
      </c>
      <c r="J34" s="40">
        <f>(Inputs!J71*DemoCost+Inputs!J72*EndCapCost+Inputs!J73*J30*Price*TPDPct+Inputs!J74*J30*Price*MdPct)*$Y$3</f>
        <v/>
      </c>
      <c r="K34" s="40">
        <f>(Inputs!K71*DemoCost+Inputs!K72*EndCapCost+Inputs!K73*K30*Price*TPDPct+Inputs!K74*K30*Price*MdPct)*$Y$3</f>
        <v/>
      </c>
      <c r="L34" s="40">
        <f>(Inputs!L71*DemoCost+Inputs!L72*EndCapCost+Inputs!L73*L30*Price*TPDPct+Inputs!L74*L30*Price*MdPct)*$Y$3</f>
        <v/>
      </c>
      <c r="M34" s="40">
        <f>(Inputs!M71*DemoCost+Inputs!M72*EndCapCost+Inputs!M73*M30*Price*TPDPct+Inputs!M74*M30*Price*MdPct)*$Y$3</f>
        <v/>
      </c>
      <c r="N34" s="40">
        <f>(Inputs!N71*DemoCost+Inputs!N72*EndCapCost+Inputs!N73*N30*Price*TPDPct+Inputs!N74*N30*Price*MdPct)*$Y$3</f>
        <v/>
      </c>
      <c r="O34" s="40">
        <f>(Inputs!O71*DemoCost+Inputs!O72*EndCapCost+Inputs!O73*O30*Price*TPDPct+Inputs!O74*O30*Price*MdPct)*$Y$3</f>
        <v/>
      </c>
      <c r="P34" s="40">
        <f>(Inputs!P71*DemoCost+Inputs!P72*EndCapCost+Inputs!P73*P30*Price*TPDPct+Inputs!P74*P30*Price*MdPct)*$Y$3</f>
        <v/>
      </c>
      <c r="Q34" s="40">
        <f>(Inputs!Q71*DemoCost+Inputs!Q72*EndCapCost+Inputs!Q73*Q30*Price*TPDPct+Inputs!Q74*Q30*Price*MdPct)*$Y$3</f>
        <v/>
      </c>
      <c r="R34" s="40">
        <f>(Inputs!R71*DemoCost+Inputs!R72*EndCapCost+Inputs!R73*R30*Price*TPDPct+Inputs!R74*R30*Price*MdPct)*$Y$3</f>
        <v/>
      </c>
      <c r="S34" s="40">
        <f>(Inputs!S71*DemoCost+Inputs!S72*EndCapCost+Inputs!S73*S30*Price*TPDPct+Inputs!S74*S30*Price*MdPct)*$Y$3</f>
        <v/>
      </c>
      <c r="T34" s="40">
        <f>(Inputs!T71*DemoCost+Inputs!T72*EndCapCost+Inputs!T73*T30*Price*TPDPct+Inputs!T74*T30*Price*MdPct)*$Y$3</f>
        <v/>
      </c>
      <c r="U34" s="40">
        <f>(Inputs!U71*DemoCost+Inputs!U72*EndCapCost+Inputs!U73*U30*Price*TPDPct+Inputs!U74*U30*Price*MdPct)*$Y$3</f>
        <v/>
      </c>
      <c r="V34" s="40">
        <f>(Inputs!V71*DemoCost+Inputs!V72*EndCapCost+Inputs!V73*V30*Price*TPDPct+Inputs!V74*V30*Price*MdPct)*$Y$3</f>
        <v/>
      </c>
      <c r="W34" s="40">
        <f>(Inputs!W71*DemoCost+Inputs!W72*EndCapCost+Inputs!W73*W30*Price*TPDPct+Inputs!W74*W30*Price*MdPct)*$Y$3</f>
        <v/>
      </c>
      <c r="X34" s="40">
        <f>(Inputs!X71*DemoCost+Inputs!X72*EndCapCost+Inputs!X73*X30*Price*TPDPct+Inputs!X74*X30*Price*MdPct)*$Y$3</f>
        <v/>
      </c>
      <c r="Y34" s="40">
        <f>(Inputs!Y71*DemoCost+Inputs!Y72*EndCapCost+Inputs!Y73*Y30*Price*TPDPct+Inputs!Y74*Y30*Price*MdPct)*$Y$3</f>
        <v/>
      </c>
      <c r="Z34" s="40">
        <f>(Inputs!Z71*DemoCost+Inputs!Z72*EndCapCost+Inputs!Z73*Z30*Price*TPDPct+Inputs!Z74*Z30*Price*MdPct)*$Y$3</f>
        <v/>
      </c>
      <c r="AA34" s="40">
        <f>(Inputs!AA71*DemoCost+Inputs!AA72*EndCapCost+Inputs!AA73*AA30*Price*TPDPct+Inputs!AA74*AA30*Price*MdPct)*$Y$3</f>
        <v/>
      </c>
      <c r="AB34" s="40">
        <f>(Inputs!AB71*DemoCost+Inputs!AB72*EndCapCost+Inputs!AB73*AB30*Price*TPDPct+Inputs!AB74*AB30*Price*MdPct)*$Y$3</f>
        <v/>
      </c>
      <c r="AC34" s="40">
        <f>(Inputs!AC71*DemoCost+Inputs!AC72*EndCapCost+Inputs!AC73*AC30*Price*TPDPct+Inputs!AC74*AC30*Price*MdPct)*$Y$3</f>
        <v/>
      </c>
      <c r="AD34" s="40">
        <f>(Inputs!AD71*DemoCost+Inputs!AD72*EndCapCost+Inputs!AD73*AD30*Price*TPDPct+Inputs!AD74*AD30*Price*MdPct)*$Y$3</f>
        <v/>
      </c>
      <c r="AE34" s="40">
        <f>(Inputs!AE71*DemoCost+Inputs!AE72*EndCapCost+Inputs!AE73*AE30*Price*TPDPct+Inputs!AE74*AE30*Price*MdPct)*$Y$3</f>
        <v/>
      </c>
      <c r="AF34" s="41">
        <f>SUM(F34:AE34)</f>
        <v/>
      </c>
    </row>
    <row r="35">
      <c r="B35" s="14">
        <f>"Net Profit ("&amp;$Z$3&amp;")"</f>
        <v/>
      </c>
      <c r="F35" s="40">
        <f>F33-F34</f>
        <v/>
      </c>
      <c r="G35" s="40">
        <f>G33-G34</f>
        <v/>
      </c>
      <c r="H35" s="40">
        <f>H33-H34</f>
        <v/>
      </c>
      <c r="I35" s="40">
        <f>I33-I34</f>
        <v/>
      </c>
      <c r="J35" s="40">
        <f>J33-J34</f>
        <v/>
      </c>
      <c r="K35" s="40">
        <f>K33-K34</f>
        <v/>
      </c>
      <c r="L35" s="40">
        <f>L33-L34</f>
        <v/>
      </c>
      <c r="M35" s="40">
        <f>M33-M34</f>
        <v/>
      </c>
      <c r="N35" s="40">
        <f>N33-N34</f>
        <v/>
      </c>
      <c r="O35" s="40">
        <f>O33-O34</f>
        <v/>
      </c>
      <c r="P35" s="40">
        <f>P33-P34</f>
        <v/>
      </c>
      <c r="Q35" s="40">
        <f>Q33-Q34</f>
        <v/>
      </c>
      <c r="R35" s="40">
        <f>R33-R34</f>
        <v/>
      </c>
      <c r="S35" s="40">
        <f>S33-S34</f>
        <v/>
      </c>
      <c r="T35" s="40">
        <f>T33-T34</f>
        <v/>
      </c>
      <c r="U35" s="40">
        <f>U33-U34</f>
        <v/>
      </c>
      <c r="V35" s="40">
        <f>V33-V34</f>
        <v/>
      </c>
      <c r="W35" s="40">
        <f>W33-W34</f>
        <v/>
      </c>
      <c r="X35" s="40">
        <f>X33-X34</f>
        <v/>
      </c>
      <c r="Y35" s="40">
        <f>Y33-Y34</f>
        <v/>
      </c>
      <c r="Z35" s="40">
        <f>Z33-Z34</f>
        <v/>
      </c>
      <c r="AA35" s="40">
        <f>AA33-AA34</f>
        <v/>
      </c>
      <c r="AB35" s="40">
        <f>AB33-AB34</f>
        <v/>
      </c>
      <c r="AC35" s="40">
        <f>AC33-AC34</f>
        <v/>
      </c>
      <c r="AD35" s="40">
        <f>AD33-AD34</f>
        <v/>
      </c>
      <c r="AE35" s="40">
        <f>AE33-AE34</f>
        <v/>
      </c>
      <c r="AF35" s="41">
        <f>SUM(F35:AE35)</f>
        <v/>
      </c>
    </row>
  </sheetData>
  <mergeCells count="4">
    <mergeCell ref="B27:AF27"/>
    <mergeCell ref="B16:AF16"/>
    <mergeCell ref="B5:AF5"/>
    <mergeCell ref="B2:AF2"/>
  </mergeCells>
  <dataValidations count="1">
    <dataValidation sqref="C3" showDropDown="0" showInputMessage="0" showErrorMessage="0" allowBlank="0" type="list">
      <formula1>"GBP,USD,CAD,EUR"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E1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2" ht="32" customHeight="1">
      <c r="B2" s="9">
        <f>"CUMULATIVE Net Profit &amp; break-even  (Display: "&amp;$Z$3&amp;" "&amp;$C$3&amp;")"</f>
        <v/>
      </c>
    </row>
    <row r="3" ht="22" customHeight="1">
      <c r="B3" s="33" t="inlineStr">
        <is>
          <t>Display Currency</t>
        </is>
      </c>
      <c r="C3" s="12" t="inlineStr">
        <is>
          <t>GBP</t>
        </is>
      </c>
      <c r="D3" s="34">
        <f>"("&amp;VLOOKUP(C3,Inputs!$B$13:$D$16,2,FALSE)&amp;"  ·  rate "&amp;TEXT(VLOOKUP(C3,Inputs!$B$13:$D$16,3,FALSE),"0.0000")&amp;")"</f>
        <v/>
      </c>
      <c r="Y3" s="35">
        <f>VLOOKUP(C3,Inputs!$B$13:$D$16,3,FALSE)</f>
        <v/>
      </c>
      <c r="Z3">
        <f>VLOOKUP(C3,Inputs!$B$13:$D$16,2,FALSE)</f>
        <v/>
      </c>
    </row>
    <row r="5">
      <c r="B5" s="42" t="inlineStr">
        <is>
          <t>Scenario</t>
        </is>
      </c>
      <c r="F5" s="15" t="inlineStr">
        <is>
          <t>W1</t>
        </is>
      </c>
      <c r="G5" s="15" t="inlineStr">
        <is>
          <t>W2</t>
        </is>
      </c>
      <c r="H5" s="15" t="inlineStr">
        <is>
          <t>W3</t>
        </is>
      </c>
      <c r="I5" s="15" t="inlineStr">
        <is>
          <t>W4</t>
        </is>
      </c>
      <c r="J5" s="15" t="inlineStr">
        <is>
          <t>W5</t>
        </is>
      </c>
      <c r="K5" s="15" t="inlineStr">
        <is>
          <t>W6</t>
        </is>
      </c>
      <c r="L5" s="15" t="inlineStr">
        <is>
          <t>W7</t>
        </is>
      </c>
      <c r="M5" s="15" t="inlineStr">
        <is>
          <t>W8</t>
        </is>
      </c>
      <c r="N5" s="15" t="inlineStr">
        <is>
          <t>W9</t>
        </is>
      </c>
      <c r="O5" s="15" t="inlineStr">
        <is>
          <t>W10</t>
        </is>
      </c>
      <c r="P5" s="15" t="inlineStr">
        <is>
          <t>W11</t>
        </is>
      </c>
      <c r="Q5" s="15" t="inlineStr">
        <is>
          <t>W12</t>
        </is>
      </c>
      <c r="R5" s="15" t="inlineStr">
        <is>
          <t>W13</t>
        </is>
      </c>
      <c r="S5" s="15" t="inlineStr">
        <is>
          <t>W14</t>
        </is>
      </c>
      <c r="T5" s="15" t="inlineStr">
        <is>
          <t>W15</t>
        </is>
      </c>
      <c r="U5" s="15" t="inlineStr">
        <is>
          <t>W16</t>
        </is>
      </c>
      <c r="V5" s="15" t="inlineStr">
        <is>
          <t>W17</t>
        </is>
      </c>
      <c r="W5" s="15" t="inlineStr">
        <is>
          <t>W18</t>
        </is>
      </c>
      <c r="X5" s="15" t="inlineStr">
        <is>
          <t>W19</t>
        </is>
      </c>
      <c r="Y5" s="15" t="inlineStr">
        <is>
          <t>W20</t>
        </is>
      </c>
      <c r="Z5" s="15" t="inlineStr">
        <is>
          <t>W21</t>
        </is>
      </c>
      <c r="AA5" s="15" t="inlineStr">
        <is>
          <t>W22</t>
        </is>
      </c>
      <c r="AB5" s="15" t="inlineStr">
        <is>
          <t>W23</t>
        </is>
      </c>
      <c r="AC5" s="15" t="inlineStr">
        <is>
          <t>W24</t>
        </is>
      </c>
      <c r="AD5" s="15" t="inlineStr">
        <is>
          <t>W25</t>
        </is>
      </c>
      <c r="AE5" s="15" t="inlineStr">
        <is>
          <t>W26</t>
        </is>
      </c>
    </row>
    <row r="6">
      <c r="B6" s="29" t="inlineStr">
        <is>
          <t>Wk-commencing</t>
        </is>
      </c>
      <c r="F6" s="30">
        <f>StartDate+7*0</f>
        <v/>
      </c>
      <c r="G6" s="30">
        <f>StartDate+7*1</f>
        <v/>
      </c>
      <c r="H6" s="30">
        <f>StartDate+7*2</f>
        <v/>
      </c>
      <c r="I6" s="30">
        <f>StartDate+7*3</f>
        <v/>
      </c>
      <c r="J6" s="30">
        <f>StartDate+7*4</f>
        <v/>
      </c>
      <c r="K6" s="30">
        <f>StartDate+7*5</f>
        <v/>
      </c>
      <c r="L6" s="30">
        <f>StartDate+7*6</f>
        <v/>
      </c>
      <c r="M6" s="30">
        <f>StartDate+7*7</f>
        <v/>
      </c>
      <c r="N6" s="30">
        <f>StartDate+7*8</f>
        <v/>
      </c>
      <c r="O6" s="30">
        <f>StartDate+7*9</f>
        <v/>
      </c>
      <c r="P6" s="30">
        <f>StartDate+7*10</f>
        <v/>
      </c>
      <c r="Q6" s="30">
        <f>StartDate+7*11</f>
        <v/>
      </c>
      <c r="R6" s="30">
        <f>StartDate+7*12</f>
        <v/>
      </c>
      <c r="S6" s="30">
        <f>StartDate+7*13</f>
        <v/>
      </c>
      <c r="T6" s="30">
        <f>StartDate+7*14</f>
        <v/>
      </c>
      <c r="U6" s="30">
        <f>StartDate+7*15</f>
        <v/>
      </c>
      <c r="V6" s="30">
        <f>StartDate+7*16</f>
        <v/>
      </c>
      <c r="W6" s="30">
        <f>StartDate+7*17</f>
        <v/>
      </c>
      <c r="X6" s="30">
        <f>StartDate+7*18</f>
        <v/>
      </c>
      <c r="Y6" s="30">
        <f>StartDate+7*19</f>
        <v/>
      </c>
      <c r="Z6" s="30">
        <f>StartDate+7*20</f>
        <v/>
      </c>
      <c r="AA6" s="30">
        <f>StartDate+7*21</f>
        <v/>
      </c>
      <c r="AB6" s="30">
        <f>StartDate+7*22</f>
        <v/>
      </c>
      <c r="AC6" s="30">
        <f>StartDate+7*23</f>
        <v/>
      </c>
      <c r="AD6" s="30">
        <f>StartDate+7*24</f>
        <v/>
      </c>
      <c r="AE6" s="30">
        <f>StartDate+7*25</f>
        <v/>
      </c>
    </row>
    <row r="7">
      <c r="B7" s="43" t="inlineStr">
        <is>
          <t>BEST</t>
        </is>
      </c>
      <c r="F7" s="40">
        <f>SUM(Forecast!F13:Forecast!F13)*($Y$3/Forecast!$Y$3)</f>
        <v/>
      </c>
      <c r="G7" s="40">
        <f>SUM(Forecast!F13:Forecast!G13)*($Y$3/Forecast!$Y$3)</f>
        <v/>
      </c>
      <c r="H7" s="40">
        <f>SUM(Forecast!F13:Forecast!H13)*($Y$3/Forecast!$Y$3)</f>
        <v/>
      </c>
      <c r="I7" s="40">
        <f>SUM(Forecast!F13:Forecast!I13)*($Y$3/Forecast!$Y$3)</f>
        <v/>
      </c>
      <c r="J7" s="40">
        <f>SUM(Forecast!F13:Forecast!J13)*($Y$3/Forecast!$Y$3)</f>
        <v/>
      </c>
      <c r="K7" s="40">
        <f>SUM(Forecast!F13:Forecast!K13)*($Y$3/Forecast!$Y$3)</f>
        <v/>
      </c>
      <c r="L7" s="40">
        <f>SUM(Forecast!F13:Forecast!L13)*($Y$3/Forecast!$Y$3)</f>
        <v/>
      </c>
      <c r="M7" s="40">
        <f>SUM(Forecast!F13:Forecast!M13)*($Y$3/Forecast!$Y$3)</f>
        <v/>
      </c>
      <c r="N7" s="40">
        <f>SUM(Forecast!F13:Forecast!N13)*($Y$3/Forecast!$Y$3)</f>
        <v/>
      </c>
      <c r="O7" s="40">
        <f>SUM(Forecast!F13:Forecast!O13)*($Y$3/Forecast!$Y$3)</f>
        <v/>
      </c>
      <c r="P7" s="40">
        <f>SUM(Forecast!F13:Forecast!P13)*($Y$3/Forecast!$Y$3)</f>
        <v/>
      </c>
      <c r="Q7" s="40">
        <f>SUM(Forecast!F13:Forecast!Q13)*($Y$3/Forecast!$Y$3)</f>
        <v/>
      </c>
      <c r="R7" s="40">
        <f>SUM(Forecast!F13:Forecast!R13)*($Y$3/Forecast!$Y$3)</f>
        <v/>
      </c>
      <c r="S7" s="40">
        <f>SUM(Forecast!F13:Forecast!S13)*($Y$3/Forecast!$Y$3)</f>
        <v/>
      </c>
      <c r="T7" s="40">
        <f>SUM(Forecast!F13:Forecast!T13)*($Y$3/Forecast!$Y$3)</f>
        <v/>
      </c>
      <c r="U7" s="40">
        <f>SUM(Forecast!F13:Forecast!U13)*($Y$3/Forecast!$Y$3)</f>
        <v/>
      </c>
      <c r="V7" s="40">
        <f>SUM(Forecast!F13:Forecast!V13)*($Y$3/Forecast!$Y$3)</f>
        <v/>
      </c>
      <c r="W7" s="40">
        <f>SUM(Forecast!F13:Forecast!W13)*($Y$3/Forecast!$Y$3)</f>
        <v/>
      </c>
      <c r="X7" s="40">
        <f>SUM(Forecast!F13:Forecast!X13)*($Y$3/Forecast!$Y$3)</f>
        <v/>
      </c>
      <c r="Y7" s="40">
        <f>SUM(Forecast!F13:Forecast!Y13)*($Y$3/Forecast!$Y$3)</f>
        <v/>
      </c>
      <c r="Z7" s="40">
        <f>SUM(Forecast!F13:Forecast!Z13)*($Y$3/Forecast!$Y$3)</f>
        <v/>
      </c>
      <c r="AA7" s="40">
        <f>SUM(Forecast!F13:Forecast!AA13)*($Y$3/Forecast!$Y$3)</f>
        <v/>
      </c>
      <c r="AB7" s="40">
        <f>SUM(Forecast!F13:Forecast!AB13)*($Y$3/Forecast!$Y$3)</f>
        <v/>
      </c>
      <c r="AC7" s="40">
        <f>SUM(Forecast!F13:Forecast!AC13)*($Y$3/Forecast!$Y$3)</f>
        <v/>
      </c>
      <c r="AD7" s="40">
        <f>SUM(Forecast!F13:Forecast!AD13)*($Y$3/Forecast!$Y$3)</f>
        <v/>
      </c>
      <c r="AE7" s="40">
        <f>SUM(Forecast!F13:Forecast!AE13)*($Y$3/Forecast!$Y$3)</f>
        <v/>
      </c>
    </row>
    <row r="8">
      <c r="B8" s="43" t="inlineStr">
        <is>
          <t>IDEAL</t>
        </is>
      </c>
      <c r="F8" s="40">
        <f>SUM(Forecast!F24:Forecast!F24)*($Y$3/Forecast!$Y$3)</f>
        <v/>
      </c>
      <c r="G8" s="40">
        <f>SUM(Forecast!F24:Forecast!G24)*($Y$3/Forecast!$Y$3)</f>
        <v/>
      </c>
      <c r="H8" s="40">
        <f>SUM(Forecast!F24:Forecast!H24)*($Y$3/Forecast!$Y$3)</f>
        <v/>
      </c>
      <c r="I8" s="40">
        <f>SUM(Forecast!F24:Forecast!I24)*($Y$3/Forecast!$Y$3)</f>
        <v/>
      </c>
      <c r="J8" s="40">
        <f>SUM(Forecast!F24:Forecast!J24)*($Y$3/Forecast!$Y$3)</f>
        <v/>
      </c>
      <c r="K8" s="40">
        <f>SUM(Forecast!F24:Forecast!K24)*($Y$3/Forecast!$Y$3)</f>
        <v/>
      </c>
      <c r="L8" s="40">
        <f>SUM(Forecast!F24:Forecast!L24)*($Y$3/Forecast!$Y$3)</f>
        <v/>
      </c>
      <c r="M8" s="40">
        <f>SUM(Forecast!F24:Forecast!M24)*($Y$3/Forecast!$Y$3)</f>
        <v/>
      </c>
      <c r="N8" s="40">
        <f>SUM(Forecast!F24:Forecast!N24)*($Y$3/Forecast!$Y$3)</f>
        <v/>
      </c>
      <c r="O8" s="40">
        <f>SUM(Forecast!F24:Forecast!O24)*($Y$3/Forecast!$Y$3)</f>
        <v/>
      </c>
      <c r="P8" s="40">
        <f>SUM(Forecast!F24:Forecast!P24)*($Y$3/Forecast!$Y$3)</f>
        <v/>
      </c>
      <c r="Q8" s="40">
        <f>SUM(Forecast!F24:Forecast!Q24)*($Y$3/Forecast!$Y$3)</f>
        <v/>
      </c>
      <c r="R8" s="40">
        <f>SUM(Forecast!F24:Forecast!R24)*($Y$3/Forecast!$Y$3)</f>
        <v/>
      </c>
      <c r="S8" s="40">
        <f>SUM(Forecast!F24:Forecast!S24)*($Y$3/Forecast!$Y$3)</f>
        <v/>
      </c>
      <c r="T8" s="40">
        <f>SUM(Forecast!F24:Forecast!T24)*($Y$3/Forecast!$Y$3)</f>
        <v/>
      </c>
      <c r="U8" s="40">
        <f>SUM(Forecast!F24:Forecast!U24)*($Y$3/Forecast!$Y$3)</f>
        <v/>
      </c>
      <c r="V8" s="40">
        <f>SUM(Forecast!F24:Forecast!V24)*($Y$3/Forecast!$Y$3)</f>
        <v/>
      </c>
      <c r="W8" s="40">
        <f>SUM(Forecast!F24:Forecast!W24)*($Y$3/Forecast!$Y$3)</f>
        <v/>
      </c>
      <c r="X8" s="40">
        <f>SUM(Forecast!F24:Forecast!X24)*($Y$3/Forecast!$Y$3)</f>
        <v/>
      </c>
      <c r="Y8" s="40">
        <f>SUM(Forecast!F24:Forecast!Y24)*($Y$3/Forecast!$Y$3)</f>
        <v/>
      </c>
      <c r="Z8" s="40">
        <f>SUM(Forecast!F24:Forecast!Z24)*($Y$3/Forecast!$Y$3)</f>
        <v/>
      </c>
      <c r="AA8" s="40">
        <f>SUM(Forecast!F24:Forecast!AA24)*($Y$3/Forecast!$Y$3)</f>
        <v/>
      </c>
      <c r="AB8" s="40">
        <f>SUM(Forecast!F24:Forecast!AB24)*($Y$3/Forecast!$Y$3)</f>
        <v/>
      </c>
      <c r="AC8" s="40">
        <f>SUM(Forecast!F24:Forecast!AC24)*($Y$3/Forecast!$Y$3)</f>
        <v/>
      </c>
      <c r="AD8" s="40">
        <f>SUM(Forecast!F24:Forecast!AD24)*($Y$3/Forecast!$Y$3)</f>
        <v/>
      </c>
      <c r="AE8" s="40">
        <f>SUM(Forecast!F24:Forecast!AE24)*($Y$3/Forecast!$Y$3)</f>
        <v/>
      </c>
    </row>
    <row r="9">
      <c r="B9" s="43" t="inlineStr">
        <is>
          <t>WORST</t>
        </is>
      </c>
      <c r="F9" s="40">
        <f>SUM(Forecast!F35:Forecast!F35)*($Y$3/Forecast!$Y$3)</f>
        <v/>
      </c>
      <c r="G9" s="40">
        <f>SUM(Forecast!F35:Forecast!G35)*($Y$3/Forecast!$Y$3)</f>
        <v/>
      </c>
      <c r="H9" s="40">
        <f>SUM(Forecast!F35:Forecast!H35)*($Y$3/Forecast!$Y$3)</f>
        <v/>
      </c>
      <c r="I9" s="40">
        <f>SUM(Forecast!F35:Forecast!I35)*($Y$3/Forecast!$Y$3)</f>
        <v/>
      </c>
      <c r="J9" s="40">
        <f>SUM(Forecast!F35:Forecast!J35)*($Y$3/Forecast!$Y$3)</f>
        <v/>
      </c>
      <c r="K9" s="40">
        <f>SUM(Forecast!F35:Forecast!K35)*($Y$3/Forecast!$Y$3)</f>
        <v/>
      </c>
      <c r="L9" s="40">
        <f>SUM(Forecast!F35:Forecast!L35)*($Y$3/Forecast!$Y$3)</f>
        <v/>
      </c>
      <c r="M9" s="40">
        <f>SUM(Forecast!F35:Forecast!M35)*($Y$3/Forecast!$Y$3)</f>
        <v/>
      </c>
      <c r="N9" s="40">
        <f>SUM(Forecast!F35:Forecast!N35)*($Y$3/Forecast!$Y$3)</f>
        <v/>
      </c>
      <c r="O9" s="40">
        <f>SUM(Forecast!F35:Forecast!O35)*($Y$3/Forecast!$Y$3)</f>
        <v/>
      </c>
      <c r="P9" s="40">
        <f>SUM(Forecast!F35:Forecast!P35)*($Y$3/Forecast!$Y$3)</f>
        <v/>
      </c>
      <c r="Q9" s="40">
        <f>SUM(Forecast!F35:Forecast!Q35)*($Y$3/Forecast!$Y$3)</f>
        <v/>
      </c>
      <c r="R9" s="40">
        <f>SUM(Forecast!F35:Forecast!R35)*($Y$3/Forecast!$Y$3)</f>
        <v/>
      </c>
      <c r="S9" s="40">
        <f>SUM(Forecast!F35:Forecast!S35)*($Y$3/Forecast!$Y$3)</f>
        <v/>
      </c>
      <c r="T9" s="40">
        <f>SUM(Forecast!F35:Forecast!T35)*($Y$3/Forecast!$Y$3)</f>
        <v/>
      </c>
      <c r="U9" s="40">
        <f>SUM(Forecast!F35:Forecast!U35)*($Y$3/Forecast!$Y$3)</f>
        <v/>
      </c>
      <c r="V9" s="40">
        <f>SUM(Forecast!F35:Forecast!V35)*($Y$3/Forecast!$Y$3)</f>
        <v/>
      </c>
      <c r="W9" s="40">
        <f>SUM(Forecast!F35:Forecast!W35)*($Y$3/Forecast!$Y$3)</f>
        <v/>
      </c>
      <c r="X9" s="40">
        <f>SUM(Forecast!F35:Forecast!X35)*($Y$3/Forecast!$Y$3)</f>
        <v/>
      </c>
      <c r="Y9" s="40">
        <f>SUM(Forecast!F35:Forecast!Y35)*($Y$3/Forecast!$Y$3)</f>
        <v/>
      </c>
      <c r="Z9" s="40">
        <f>SUM(Forecast!F35:Forecast!Z35)*($Y$3/Forecast!$Y$3)</f>
        <v/>
      </c>
      <c r="AA9" s="40">
        <f>SUM(Forecast!F35:Forecast!AA35)*($Y$3/Forecast!$Y$3)</f>
        <v/>
      </c>
      <c r="AB9" s="40">
        <f>SUM(Forecast!F35:Forecast!AB35)*($Y$3/Forecast!$Y$3)</f>
        <v/>
      </c>
      <c r="AC9" s="40">
        <f>SUM(Forecast!F35:Forecast!AC35)*($Y$3/Forecast!$Y$3)</f>
        <v/>
      </c>
      <c r="AD9" s="40">
        <f>SUM(Forecast!F35:Forecast!AD35)*($Y$3/Forecast!$Y$3)</f>
        <v/>
      </c>
      <c r="AE9" s="40">
        <f>SUM(Forecast!F35:Forecast!AE35)*($Y$3/Forecast!$Y$3)</f>
        <v/>
      </c>
    </row>
    <row r="12">
      <c r="B12" s="44" t="inlineStr">
        <is>
          <t>Break-Even Analysis</t>
        </is>
      </c>
      <c r="C12" s="45" t="n"/>
      <c r="D12" s="45" t="n"/>
      <c r="E12" s="45" t="n"/>
      <c r="F12" s="45" t="n"/>
      <c r="G12" s="45" t="n"/>
      <c r="H12" s="46" t="n"/>
    </row>
    <row r="13">
      <c r="B13" s="16" t="inlineStr">
        <is>
          <t>Scenario</t>
        </is>
      </c>
      <c r="C13" s="15" t="inlineStr">
        <is>
          <t>Break-even Week</t>
        </is>
      </c>
      <c r="D13" s="15" t="inlineStr">
        <is>
          <t>Wk-commencing</t>
        </is>
      </c>
      <c r="E13" s="47" t="inlineStr">
        <is>
          <t>Y1 Net Profit</t>
        </is>
      </c>
      <c r="F13" s="15" t="inlineStr">
        <is>
          <t>Status</t>
        </is>
      </c>
    </row>
    <row r="14">
      <c r="B14" s="43" t="inlineStr">
        <is>
          <t>BEST</t>
        </is>
      </c>
      <c r="C14" s="48">
        <f>IFERROR(MATCH(TRUE,INDEX(F7:AE7&gt;0,0),0),0)</f>
        <v/>
      </c>
      <c r="D14" s="49">
        <f>IF(C14&gt;0,StartDate+7*(C14-1),"never")</f>
        <v/>
      </c>
      <c r="E14" s="41">
        <f>AE7</f>
        <v/>
      </c>
      <c r="F14" s="50">
        <f>IF(E14&gt;=0,"Pays back","Loss-making")</f>
        <v/>
      </c>
    </row>
    <row r="15">
      <c r="B15" s="43" t="inlineStr">
        <is>
          <t>IDEAL</t>
        </is>
      </c>
      <c r="C15" s="48">
        <f>IFERROR(MATCH(TRUE,INDEX(F8:AE8&gt;0,0),0),0)</f>
        <v/>
      </c>
      <c r="D15" s="49">
        <f>IF(C15&gt;0,StartDate+7*(C15-1),"never")</f>
        <v/>
      </c>
      <c r="E15" s="41">
        <f>AE8</f>
        <v/>
      </c>
      <c r="F15" s="50">
        <f>IF(E15&gt;=0,"Pays back","Loss-making")</f>
        <v/>
      </c>
    </row>
    <row r="16">
      <c r="B16" s="43" t="inlineStr">
        <is>
          <t>WORST</t>
        </is>
      </c>
      <c r="C16" s="48">
        <f>IFERROR(MATCH(TRUE,INDEX(F9:AE9&gt;0,0),0),0)</f>
        <v/>
      </c>
      <c r="D16" s="49">
        <f>IF(C16&gt;0,StartDate+7*(C16-1),"never")</f>
        <v/>
      </c>
      <c r="E16" s="41">
        <f>AE9</f>
        <v/>
      </c>
      <c r="F16" s="50">
        <f>IF(E16&gt;=0,"Pays back","Loss-making")</f>
        <v/>
      </c>
    </row>
  </sheetData>
  <mergeCells count="2">
    <mergeCell ref="B2:AE2"/>
    <mergeCell ref="B12:H12"/>
  </mergeCells>
  <conditionalFormatting sqref="F14">
    <cfRule type="expression" priority="1" dxfId="1">
      <formula>F14="Pays back"</formula>
    </cfRule>
    <cfRule type="expression" priority="2" dxfId="2">
      <formula>F14="Loss-making"</formula>
    </cfRule>
  </conditionalFormatting>
  <conditionalFormatting sqref="F15">
    <cfRule type="expression" priority="3" dxfId="1">
      <formula>F15="Pays back"</formula>
    </cfRule>
    <cfRule type="expression" priority="4" dxfId="2">
      <formula>F15="Loss-making"</formula>
    </cfRule>
  </conditionalFormatting>
  <conditionalFormatting sqref="F16">
    <cfRule type="expression" priority="5" dxfId="1">
      <formula>F16="Pays back"</formula>
    </cfRule>
    <cfRule type="expression" priority="6" dxfId="2">
      <formula>F16="Loss-making"</formula>
    </cfRule>
  </conditionalFormatting>
  <dataValidations count="1">
    <dataValidation sqref="C3" showDropDown="0" showInputMessage="0" showErrorMessage="0" allowBlank="0" type="list">
      <formula1>"GBP,USD,CAD,EUR"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 ht="32" customHeight="1">
      <c r="B2" s="9">
        <f>"SENSITIVITY — IDEAL scenario Net Profit (GBP)  (×lift vs ×demo cost)"</f>
        <v/>
      </c>
    </row>
    <row r="3" ht="36" customHeight="1">
      <c r="B3" s="51" t="inlineStr">
        <is>
          <t>Each cell shows Y1 Net Profit if BOTH Demo-week lift multipliers AND the Demo Total £/week were the values at that row/column intersection. Highlights how robust the IDEAL plan is.</t>
        </is>
      </c>
    </row>
    <row r="5">
      <c r="B5" s="15" t="inlineStr">
        <is>
          <t>Lift ↓  /  Demo Cost →</t>
        </is>
      </c>
      <c r="C5" s="52" t="n">
        <v>5000</v>
      </c>
      <c r="D5" s="52" t="n">
        <v>6000</v>
      </c>
      <c r="E5" s="52" t="n">
        <v>7403</v>
      </c>
      <c r="F5" s="52" t="n">
        <v>9000</v>
      </c>
      <c r="G5" s="52" t="n">
        <v>11000</v>
      </c>
      <c r="H5" s="52" t="n">
        <v>13000</v>
      </c>
    </row>
    <row r="6">
      <c r="B6" s="53" t="n">
        <v>2</v>
      </c>
      <c r="C6" s="54">
        <f>24*BaseUnits*(Price-Cost)+2*BaseUnits*2.0*(Price-Cost)-2*(5000+EndCapCost+BaseUnits*2.0*Price*TPDPct)</f>
        <v/>
      </c>
      <c r="D6" s="54">
        <f>24*BaseUnits*(Price-Cost)+2*BaseUnits*2.0*(Price-Cost)-2*(6000+EndCapCost+BaseUnits*2.0*Price*TPDPct)</f>
        <v/>
      </c>
      <c r="E6" s="54">
        <f>24*BaseUnits*(Price-Cost)+2*BaseUnits*2.0*(Price-Cost)-2*(7403+EndCapCost+BaseUnits*2.0*Price*TPDPct)</f>
        <v/>
      </c>
      <c r="F6" s="54">
        <f>24*BaseUnits*(Price-Cost)+2*BaseUnits*2.0*(Price-Cost)-2*(9000+EndCapCost+BaseUnits*2.0*Price*TPDPct)</f>
        <v/>
      </c>
      <c r="G6" s="54">
        <f>24*BaseUnits*(Price-Cost)+2*BaseUnits*2.0*(Price-Cost)-2*(11000+EndCapCost+BaseUnits*2.0*Price*TPDPct)</f>
        <v/>
      </c>
      <c r="H6" s="54">
        <f>24*BaseUnits*(Price-Cost)+2*BaseUnits*2.0*(Price-Cost)-2*(13000+EndCapCost+BaseUnits*2.0*Price*TPDPct)</f>
        <v/>
      </c>
    </row>
    <row r="7">
      <c r="B7" s="53" t="n">
        <v>2.5</v>
      </c>
      <c r="C7" s="54">
        <f>24*BaseUnits*(Price-Cost)+2*BaseUnits*2.5*(Price-Cost)-2*(5000+EndCapCost+BaseUnits*2.5*Price*TPDPct)</f>
        <v/>
      </c>
      <c r="D7" s="54">
        <f>24*BaseUnits*(Price-Cost)+2*BaseUnits*2.5*(Price-Cost)-2*(6000+EndCapCost+BaseUnits*2.5*Price*TPDPct)</f>
        <v/>
      </c>
      <c r="E7" s="54">
        <f>24*BaseUnits*(Price-Cost)+2*BaseUnits*2.5*(Price-Cost)-2*(7403+EndCapCost+BaseUnits*2.5*Price*TPDPct)</f>
        <v/>
      </c>
      <c r="F7" s="54">
        <f>24*BaseUnits*(Price-Cost)+2*BaseUnits*2.5*(Price-Cost)-2*(9000+EndCapCost+BaseUnits*2.5*Price*TPDPct)</f>
        <v/>
      </c>
      <c r="G7" s="54">
        <f>24*BaseUnits*(Price-Cost)+2*BaseUnits*2.5*(Price-Cost)-2*(11000+EndCapCost+BaseUnits*2.5*Price*TPDPct)</f>
        <v/>
      </c>
      <c r="H7" s="54">
        <f>24*BaseUnits*(Price-Cost)+2*BaseUnits*2.5*(Price-Cost)-2*(13000+EndCapCost+BaseUnits*2.5*Price*TPDPct)</f>
        <v/>
      </c>
    </row>
    <row r="8">
      <c r="B8" s="53" t="n">
        <v>3</v>
      </c>
      <c r="C8" s="54">
        <f>24*BaseUnits*(Price-Cost)+2*BaseUnits*3.0*(Price-Cost)-2*(5000+EndCapCost+BaseUnits*3.0*Price*TPDPct)</f>
        <v/>
      </c>
      <c r="D8" s="54">
        <f>24*BaseUnits*(Price-Cost)+2*BaseUnits*3.0*(Price-Cost)-2*(6000+EndCapCost+BaseUnits*3.0*Price*TPDPct)</f>
        <v/>
      </c>
      <c r="E8" s="54">
        <f>24*BaseUnits*(Price-Cost)+2*BaseUnits*3.0*(Price-Cost)-2*(7403+EndCapCost+BaseUnits*3.0*Price*TPDPct)</f>
        <v/>
      </c>
      <c r="F8" s="54">
        <f>24*BaseUnits*(Price-Cost)+2*BaseUnits*3.0*(Price-Cost)-2*(9000+EndCapCost+BaseUnits*3.0*Price*TPDPct)</f>
        <v/>
      </c>
      <c r="G8" s="54">
        <f>24*BaseUnits*(Price-Cost)+2*BaseUnits*3.0*(Price-Cost)-2*(11000+EndCapCost+BaseUnits*3.0*Price*TPDPct)</f>
        <v/>
      </c>
      <c r="H8" s="54">
        <f>24*BaseUnits*(Price-Cost)+2*BaseUnits*3.0*(Price-Cost)-2*(13000+EndCapCost+BaseUnits*3.0*Price*TPDPct)</f>
        <v/>
      </c>
    </row>
    <row r="9">
      <c r="B9" s="53" t="n">
        <v>3.6</v>
      </c>
      <c r="C9" s="54">
        <f>24*BaseUnits*(Price-Cost)+2*BaseUnits*3.6*(Price-Cost)-2*(5000+EndCapCost+BaseUnits*3.6*Price*TPDPct)</f>
        <v/>
      </c>
      <c r="D9" s="54">
        <f>24*BaseUnits*(Price-Cost)+2*BaseUnits*3.6*(Price-Cost)-2*(6000+EndCapCost+BaseUnits*3.6*Price*TPDPct)</f>
        <v/>
      </c>
      <c r="E9" s="55">
        <f>24*BaseUnits*(Price-Cost)+2*BaseUnits*3.6*(Price-Cost)-2*(7403+EndCapCost+BaseUnits*3.6*Price*TPDPct)</f>
        <v/>
      </c>
      <c r="F9" s="54">
        <f>24*BaseUnits*(Price-Cost)+2*BaseUnits*3.6*(Price-Cost)-2*(9000+EndCapCost+BaseUnits*3.6*Price*TPDPct)</f>
        <v/>
      </c>
      <c r="G9" s="54">
        <f>24*BaseUnits*(Price-Cost)+2*BaseUnits*3.6*(Price-Cost)-2*(11000+EndCapCost+BaseUnits*3.6*Price*TPDPct)</f>
        <v/>
      </c>
      <c r="H9" s="54">
        <f>24*BaseUnits*(Price-Cost)+2*BaseUnits*3.6*(Price-Cost)-2*(13000+EndCapCost+BaseUnits*3.6*Price*TPDPct)</f>
        <v/>
      </c>
    </row>
    <row r="10">
      <c r="B10" s="53" t="n">
        <v>4</v>
      </c>
      <c r="C10" s="54">
        <f>24*BaseUnits*(Price-Cost)+2*BaseUnits*4.0*(Price-Cost)-2*(5000+EndCapCost+BaseUnits*4.0*Price*TPDPct)</f>
        <v/>
      </c>
      <c r="D10" s="54">
        <f>24*BaseUnits*(Price-Cost)+2*BaseUnits*4.0*(Price-Cost)-2*(6000+EndCapCost+BaseUnits*4.0*Price*TPDPct)</f>
        <v/>
      </c>
      <c r="E10" s="54">
        <f>24*BaseUnits*(Price-Cost)+2*BaseUnits*4.0*(Price-Cost)-2*(7403+EndCapCost+BaseUnits*4.0*Price*TPDPct)</f>
        <v/>
      </c>
      <c r="F10" s="54">
        <f>24*BaseUnits*(Price-Cost)+2*BaseUnits*4.0*(Price-Cost)-2*(9000+EndCapCost+BaseUnits*4.0*Price*TPDPct)</f>
        <v/>
      </c>
      <c r="G10" s="54">
        <f>24*BaseUnits*(Price-Cost)+2*BaseUnits*4.0*(Price-Cost)-2*(11000+EndCapCost+BaseUnits*4.0*Price*TPDPct)</f>
        <v/>
      </c>
      <c r="H10" s="54">
        <f>24*BaseUnits*(Price-Cost)+2*BaseUnits*4.0*(Price-Cost)-2*(13000+EndCapCost+BaseUnits*4.0*Price*TPDPct)</f>
        <v/>
      </c>
    </row>
    <row r="11">
      <c r="B11" s="53" t="n">
        <v>4.5</v>
      </c>
      <c r="C11" s="54">
        <f>24*BaseUnits*(Price-Cost)+2*BaseUnits*4.5*(Price-Cost)-2*(5000+EndCapCost+BaseUnits*4.5*Price*TPDPct)</f>
        <v/>
      </c>
      <c r="D11" s="54">
        <f>24*BaseUnits*(Price-Cost)+2*BaseUnits*4.5*(Price-Cost)-2*(6000+EndCapCost+BaseUnits*4.5*Price*TPDPct)</f>
        <v/>
      </c>
      <c r="E11" s="54">
        <f>24*BaseUnits*(Price-Cost)+2*BaseUnits*4.5*(Price-Cost)-2*(7403+EndCapCost+BaseUnits*4.5*Price*TPDPct)</f>
        <v/>
      </c>
      <c r="F11" s="54">
        <f>24*BaseUnits*(Price-Cost)+2*BaseUnits*4.5*(Price-Cost)-2*(9000+EndCapCost+BaseUnits*4.5*Price*TPDPct)</f>
        <v/>
      </c>
      <c r="G11" s="54">
        <f>24*BaseUnits*(Price-Cost)+2*BaseUnits*4.5*(Price-Cost)-2*(11000+EndCapCost+BaseUnits*4.5*Price*TPDPct)</f>
        <v/>
      </c>
      <c r="H11" s="54">
        <f>24*BaseUnits*(Price-Cost)+2*BaseUnits*4.5*(Price-Cost)-2*(13000+EndCapCost+BaseUnits*4.5*Price*TPDPct)</f>
        <v/>
      </c>
    </row>
    <row r="12">
      <c r="B12" s="53" t="n">
        <v>5</v>
      </c>
      <c r="C12" s="54">
        <f>24*BaseUnits*(Price-Cost)+2*BaseUnits*5.0*(Price-Cost)-2*(5000+EndCapCost+BaseUnits*5.0*Price*TPDPct)</f>
        <v/>
      </c>
      <c r="D12" s="54">
        <f>24*BaseUnits*(Price-Cost)+2*BaseUnits*5.0*(Price-Cost)-2*(6000+EndCapCost+BaseUnits*5.0*Price*TPDPct)</f>
        <v/>
      </c>
      <c r="E12" s="54">
        <f>24*BaseUnits*(Price-Cost)+2*BaseUnits*5.0*(Price-Cost)-2*(7403+EndCapCost+BaseUnits*5.0*Price*TPDPct)</f>
        <v/>
      </c>
      <c r="F12" s="54">
        <f>24*BaseUnits*(Price-Cost)+2*BaseUnits*5.0*(Price-Cost)-2*(9000+EndCapCost+BaseUnits*5.0*Price*TPDPct)</f>
        <v/>
      </c>
      <c r="G12" s="54">
        <f>24*BaseUnits*(Price-Cost)+2*BaseUnits*5.0*(Price-Cost)-2*(11000+EndCapCost+BaseUnits*5.0*Price*TPDPct)</f>
        <v/>
      </c>
      <c r="H12" s="54">
        <f>24*BaseUnits*(Price-Cost)+2*BaseUnits*5.0*(Price-Cost)-2*(13000+EndCapCost+BaseUnits*5.0*Price*TPDPct)</f>
        <v/>
      </c>
    </row>
    <row r="14">
      <c r="B14" s="14" t="inlineStr">
        <is>
          <t>Reading the grid</t>
        </is>
      </c>
    </row>
    <row r="15" ht="36" customHeight="1">
      <c r="B15" s="4" t="inlineStr">
        <is>
          <t>• Centre cell (lift 3.6x, demo £7,403) ≈ the IDEAL base case. Green = better Net Profit, red = worse. If your numbers land in the red zone, the plan is exposed.</t>
        </is>
      </c>
    </row>
    <row r="17" ht="24" customHeight="1">
      <c r="B17" s="13" t="inlineStr">
        <is>
          <t>Note: this grid is GBP-only (the model's source currency). Switch the display currency on other tabs for reporting.</t>
        </is>
      </c>
    </row>
  </sheetData>
  <mergeCells count="5">
    <mergeCell ref="B15:J15"/>
    <mergeCell ref="B3:J3"/>
    <mergeCell ref="B14:J14"/>
    <mergeCell ref="B17:J17"/>
    <mergeCell ref="B2:J2"/>
  </mergeCells>
  <conditionalFormatting sqref="C6:H12">
    <cfRule type="colorScale" priority="1">
      <colorScale>
        <cfvo type="min"/>
        <cfvo type="percentile" val="50"/>
        <cfvo type="max"/>
        <color rgb="00FFC7CE"/>
        <color rgb="00FFFFFF"/>
        <color rgb="00C6EF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Z2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 ht="32" customHeight="1">
      <c r="B2" s="9">
        <f>"ROI SUMMARY  (Display: "&amp;$Z$3&amp;" "&amp;$C$3&amp;")"</f>
        <v/>
      </c>
    </row>
    <row r="3" ht="22" customHeight="1">
      <c r="B3" s="33" t="inlineStr">
        <is>
          <t>Display Currency</t>
        </is>
      </c>
      <c r="C3" s="12" t="inlineStr">
        <is>
          <t>GBP</t>
        </is>
      </c>
      <c r="D3" s="34">
        <f>"("&amp;VLOOKUP(C3,Inputs!$B$13:$D$16,2,FALSE)&amp;"  ·  rate "&amp;TEXT(VLOOKUP(C3,Inputs!$B$13:$D$16,3,FALSE),"0.0000")&amp;")"</f>
        <v/>
      </c>
      <c r="Y3" s="35">
        <f>VLOOKUP(C3,Inputs!$B$13:$D$16,3,FALSE)</f>
        <v/>
      </c>
      <c r="Z3">
        <f>VLOOKUP(C3,Inputs!$B$13:$D$16,2,FALSE)</f>
        <v/>
      </c>
    </row>
    <row r="4">
      <c r="B4" s="56">
        <f>"Test window: W1 ("&amp;TEXT(StartDate,"dd-mmm-yyyy")&amp;")  →  W"&amp;Period&amp;" ("&amp;TEXT(StartDate+7*(Period-1),"dd-mmm-yyyy")&amp;")"</f>
        <v/>
      </c>
    </row>
    <row r="6" ht="24" customHeight="1">
      <c r="B6" s="57" t="inlineStr">
        <is>
          <t>Metric</t>
        </is>
      </c>
      <c r="C6" s="58" t="inlineStr">
        <is>
          <t>BEST</t>
        </is>
      </c>
      <c r="D6" s="58" t="inlineStr">
        <is>
          <t>IDEAL</t>
        </is>
      </c>
      <c r="E6" s="58" t="inlineStr">
        <is>
          <t>WORST</t>
        </is>
      </c>
      <c r="F6" s="58" t="inlineStr">
        <is>
          <t>E[Value]</t>
        </is>
      </c>
    </row>
    <row r="7">
      <c r="B7" s="59" t="inlineStr">
        <is>
          <t>Probability weight</t>
        </is>
      </c>
      <c r="C7" s="60">
        <f>PBest</f>
        <v/>
      </c>
      <c r="D7" s="60">
        <f>PIdeal</f>
        <v/>
      </c>
      <c r="E7" s="60">
        <f>PWorst</f>
        <v/>
      </c>
      <c r="F7" s="60">
        <f>PBest+PIdeal+PWorst</f>
        <v/>
      </c>
    </row>
    <row r="8" ht="22" customHeight="1">
      <c r="B8" s="61" t="inlineStr">
        <is>
          <t>Units Sold</t>
        </is>
      </c>
      <c r="C8" s="62">
        <f>Forecast!AF8</f>
        <v/>
      </c>
      <c r="D8" s="62">
        <f>Forecast!AF19</f>
        <v/>
      </c>
      <c r="E8" s="62">
        <f>Forecast!AF30</f>
        <v/>
      </c>
      <c r="F8" s="62">
        <f>C8*PBest+D8*PIdeal+E8*PWorst</f>
        <v/>
      </c>
    </row>
    <row r="9" ht="22" customHeight="1">
      <c r="B9" s="61">
        <f>"Revenue ("&amp;$Z$3&amp;")"</f>
        <v/>
      </c>
      <c r="C9" s="63">
        <f>Forecast!AF9*($Y$3/Forecast!$Y$3)</f>
        <v/>
      </c>
      <c r="D9" s="63">
        <f>Forecast!AF20*($Y$3/Forecast!$Y$3)</f>
        <v/>
      </c>
      <c r="E9" s="63">
        <f>Forecast!AF31*($Y$3/Forecast!$Y$3)</f>
        <v/>
      </c>
      <c r="F9" s="63">
        <f>C9*PBest+D9*PIdeal+E9*PWorst</f>
        <v/>
      </c>
    </row>
    <row r="10" ht="26" customHeight="1">
      <c r="B10" s="64">
        <f>"Gross Profit ("&amp;$Z$3&amp;")"</f>
        <v/>
      </c>
      <c r="C10" s="65">
        <f>Forecast!AF11*($Y$3/Forecast!$Y$3)</f>
        <v/>
      </c>
      <c r="D10" s="65">
        <f>Forecast!AF22*($Y$3/Forecast!$Y$3)</f>
        <v/>
      </c>
      <c r="E10" s="65">
        <f>Forecast!AF33*($Y$3/Forecast!$Y$3)</f>
        <v/>
      </c>
      <c r="F10" s="65">
        <f>C10*PBest+D10*PIdeal+E10*PWorst</f>
        <v/>
      </c>
    </row>
    <row r="11" ht="26" customHeight="1">
      <c r="B11" s="64" t="inlineStr">
        <is>
          <t>Gross Margin %</t>
        </is>
      </c>
      <c r="C11" s="66">
        <f>IFERROR(Forecast!AF11/Forecast!AF9,0)</f>
        <v/>
      </c>
      <c r="D11" s="66">
        <f>IFERROR(Forecast!AF22/Forecast!AF20,0)</f>
        <v/>
      </c>
      <c r="E11" s="66">
        <f>IFERROR(Forecast!AF33/Forecast!AF31,0)</f>
        <v/>
      </c>
      <c r="F11" s="66">
        <f>C11*PBest+D11*PIdeal+E11*PWorst</f>
        <v/>
      </c>
    </row>
    <row r="12" ht="22" customHeight="1">
      <c r="B12" s="61">
        <f>"Promo Spend ("&amp;$Z$3&amp;")"</f>
        <v/>
      </c>
      <c r="C12" s="63">
        <f>Forecast!AF12*($Y$3/Forecast!$Y$3)</f>
        <v/>
      </c>
      <c r="D12" s="63">
        <f>Forecast!AF23*($Y$3/Forecast!$Y$3)</f>
        <v/>
      </c>
      <c r="E12" s="63">
        <f>Forecast!AF34*($Y$3/Forecast!$Y$3)</f>
        <v/>
      </c>
      <c r="F12" s="63">
        <f>C12*PBest+D12*PIdeal+E12*PWorst</f>
        <v/>
      </c>
    </row>
    <row r="13" ht="26" customHeight="1">
      <c r="B13" s="64">
        <f>"Net Profit ("&amp;$Z$3&amp;")"</f>
        <v/>
      </c>
      <c r="C13" s="65">
        <f>Forecast!AF13*($Y$3/Forecast!$Y$3)</f>
        <v/>
      </c>
      <c r="D13" s="65">
        <f>Forecast!AF24*($Y$3/Forecast!$Y$3)</f>
        <v/>
      </c>
      <c r="E13" s="65">
        <f>Forecast!AF35*($Y$3/Forecast!$Y$3)</f>
        <v/>
      </c>
      <c r="F13" s="65">
        <f>C13*PBest+D13*PIdeal+E13*PWorst</f>
        <v/>
      </c>
    </row>
    <row r="14" ht="26" customHeight="1">
      <c r="B14" s="64" t="inlineStr">
        <is>
          <t>ROI on Promo Spend</t>
        </is>
      </c>
      <c r="C14" s="66">
        <f>IFERROR(Forecast!AF13/Forecast!AF12,0)</f>
        <v/>
      </c>
      <c r="D14" s="66">
        <f>IFERROR(Forecast!AF24/Forecast!AF23,0)</f>
        <v/>
      </c>
      <c r="E14" s="66">
        <f>IFERROR(Forecast!AF35/Forecast!AF34,0)</f>
        <v/>
      </c>
      <c r="F14" s="66">
        <f>C14*PBest+D14*PIdeal+E14*PWorst</f>
        <v/>
      </c>
    </row>
    <row r="17" ht="22" customHeight="1">
      <c r="B17" s="10" t="inlineStr">
        <is>
          <t>Scenario notes</t>
        </is>
      </c>
    </row>
    <row r="18" ht="28" customHeight="1">
      <c r="B18" s="67" t="inlineStr">
        <is>
          <t>BEST</t>
        </is>
      </c>
      <c r="C18" s="13" t="inlineStr">
        <is>
          <t>Demo + TPD only. ~3x lift in-promo. No end cap, no clearance.</t>
        </is>
      </c>
    </row>
    <row r="19" ht="28" customHeight="1">
      <c r="B19" s="67" t="inlineStr">
        <is>
          <t>IDEAL</t>
        </is>
      </c>
      <c r="C19" s="13" t="inlineStr">
        <is>
          <t>Demo + end cap + TPD stacked. ~3.6x lift.</t>
        </is>
      </c>
    </row>
    <row r="20" ht="28" customHeight="1">
      <c r="B20" s="67" t="inlineStr">
        <is>
          <t>WORST</t>
        </is>
      </c>
      <c r="C20" s="13" t="inlineStr">
        <is>
          <t>Launch as IDEAL; 50% markdown to clear residual stock Wks 18-20.</t>
        </is>
      </c>
    </row>
  </sheetData>
  <mergeCells count="6">
    <mergeCell ref="B4:F4"/>
    <mergeCell ref="C18:F18"/>
    <mergeCell ref="B2:F2"/>
    <mergeCell ref="C20:F20"/>
    <mergeCell ref="C19:F19"/>
    <mergeCell ref="B17:F17"/>
  </mergeCells>
  <conditionalFormatting sqref="C13:F13">
    <cfRule type="cellIs" priority="1" operator="lessThan" dxfId="2">
      <formula>0</formula>
    </cfRule>
    <cfRule type="cellIs" priority="2" operator="greaterThanOrEqual" dxfId="1">
      <formula>0</formula>
    </cfRule>
  </conditionalFormatting>
  <conditionalFormatting sqref="C14:F14">
    <cfRule type="cellIs" priority="3" operator="lessThan" dxfId="2">
      <formula>0</formula>
    </cfRule>
    <cfRule type="cellIs" priority="4" operator="greaterThanOrEqual" dxfId="1">
      <formula>0</formula>
    </cfRule>
  </conditionalFormatting>
  <dataValidations count="1">
    <dataValidation sqref="C3" showDropDown="0" showInputMessage="0" showErrorMessage="0" allowBlank="0" type="list">
      <formula1>"GBP,USD,CAD,EUR"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Z1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0" customWidth="1" min="4" max="4"/>
    <col width="10" customWidth="1" min="5" max="5"/>
    <col width="8" customWidth="1" min="6" max="6"/>
    <col width="11" customWidth="1" min="7" max="7"/>
    <col width="13" customWidth="1" min="8" max="8"/>
    <col width="12" customWidth="1" min="9" max="9"/>
    <col width="13" customWidth="1" min="10" max="10"/>
    <col width="7" customWidth="1" min="11" max="11"/>
    <col width="13" customWidth="1" min="12" max="12"/>
    <col width="13" customWidth="1" min="13" max="13"/>
    <col width="13" customWidth="1" min="14" max="14"/>
    <col width="13" customWidth="1" min="15" max="15"/>
    <col width="34" customWidth="1" min="16" max="16"/>
  </cols>
  <sheetData>
    <row r="2" ht="32" customHeight="1">
      <c r="B2" s="9">
        <f>"PORTFOLIO — D93 Pitch SKUs · 3-Year View  (Display: "&amp;$Z$3&amp;" "&amp;$C$3&amp;")"</f>
        <v/>
      </c>
    </row>
    <row r="3" ht="22" customHeight="1">
      <c r="B3" s="33" t="inlineStr">
        <is>
          <t>Display Currency</t>
        </is>
      </c>
      <c r="C3" s="12" t="inlineStr">
        <is>
          <t>GBP</t>
        </is>
      </c>
      <c r="D3" s="34">
        <f>"("&amp;VLOOKUP(C3,Inputs!$B$13:$D$16,2,FALSE)&amp;"  ·  rate "&amp;TEXT(VLOOKUP(C3,Inputs!$B$13:$D$16,3,FALSE),"0.0000")&amp;")"</f>
        <v/>
      </c>
      <c r="Y3" s="35">
        <f>VLOOKUP(C3,Inputs!$B$13:$D$16,3,FALSE)</f>
        <v/>
      </c>
      <c r="Z3">
        <f>VLOOKUP(C3,Inputs!$B$13:$D$16,2,FALSE)</f>
        <v/>
      </c>
    </row>
    <row r="4" ht="26" customHeight="1">
      <c r="B4" s="51" t="inlineStr">
        <is>
          <t>Enter SP / Cost / Y1 Units / Y1 Promo / Growth % per SKU. All inputs in GBP — display column converts. Y2 and Y3 use the per-SKU growth rate.</t>
        </is>
      </c>
    </row>
    <row r="6">
      <c r="B6" s="15" t="inlineStr">
        <is>
          <t>#</t>
        </is>
      </c>
      <c r="C6" s="16" t="inlineStr">
        <is>
          <t>SKU</t>
        </is>
      </c>
      <c r="D6" s="15">
        <f>"SP ("&amp;$Z$3&amp;")"</f>
        <v/>
      </c>
      <c r="E6" s="15">
        <f>"Cost ("&amp;$Z$3&amp;")"</f>
        <v/>
      </c>
      <c r="F6" s="15" t="inlineStr">
        <is>
          <t>GM %</t>
        </is>
      </c>
      <c r="G6" s="15" t="inlineStr">
        <is>
          <t>Y1 Units</t>
        </is>
      </c>
      <c r="H6" s="15">
        <f>"Y1 Revenue ("&amp;$Z$3&amp;")"</f>
        <v/>
      </c>
      <c r="I6" s="15">
        <f>"Y1 Promo ("&amp;$Z$3&amp;")"</f>
        <v/>
      </c>
      <c r="J6" s="15">
        <f>"Y1 Net ("&amp;$Z$3&amp;")"</f>
        <v/>
      </c>
      <c r="K6" s="15" t="inlineStr">
        <is>
          <t>Growth</t>
        </is>
      </c>
      <c r="L6" s="15">
        <f>"Y2 Net ("&amp;$Z$3&amp;")"</f>
        <v/>
      </c>
      <c r="M6" s="15">
        <f>"Y3 Net ("&amp;$Z$3&amp;")"</f>
        <v/>
      </c>
      <c r="N6" s="15">
        <f>"3-Yr Net ("&amp;$Z$3&amp;")"</f>
        <v/>
      </c>
      <c r="O6" s="15" t="inlineStr">
        <is>
          <t>3-Yr ROI</t>
        </is>
      </c>
      <c r="P6" s="16" t="inlineStr">
        <is>
          <t>Rationale</t>
        </is>
      </c>
    </row>
    <row r="7" ht="22" customHeight="1">
      <c r="B7" s="68" t="n">
        <v>1</v>
      </c>
      <c r="C7" s="42" t="inlineStr">
        <is>
          <t>Bee Propolis Spray 30ml x2</t>
        </is>
      </c>
      <c r="D7" s="69" t="n">
        <v>15.99</v>
      </c>
      <c r="E7" s="69" t="n">
        <v>7.29</v>
      </c>
      <c r="F7" s="27">
        <f>IFERROR((D7-E7)/D7,0)</f>
        <v/>
      </c>
      <c r="G7" s="21" t="n">
        <v>17000</v>
      </c>
      <c r="H7" s="40">
        <f>IFERROR(G7*D7*$Y$3,0)</f>
        <v/>
      </c>
      <c r="I7" s="70" t="n">
        <v>25000</v>
      </c>
      <c r="J7" s="41">
        <f>IFERROR((G7*(D7-E7)-I7)*$Y$3,0)</f>
        <v/>
      </c>
      <c r="K7" s="26" t="n">
        <v>0.1</v>
      </c>
      <c r="L7" s="40">
        <f>IFERROR(J7*(1+K7),0)</f>
        <v/>
      </c>
      <c r="M7" s="40">
        <f>IFERROR(L7*(1+K7),0)</f>
        <v/>
      </c>
      <c r="N7" s="41">
        <f>J7+L7+M7</f>
        <v/>
      </c>
      <c r="O7" s="27">
        <f>IFERROR(N7/(I7*$Y$3),0)</f>
        <v/>
      </c>
      <c r="P7" s="71" t="inlineStr">
        <is>
          <t>Lead pitch — strong GP%.</t>
        </is>
      </c>
    </row>
    <row r="8" ht="22" customHeight="1">
      <c r="B8" s="68" t="n">
        <v>2</v>
      </c>
      <c r="C8" s="42" t="inlineStr">
        <is>
          <t>Mag 8-in-1 90's/120's</t>
        </is>
      </c>
      <c r="D8" s="69" t="n"/>
      <c r="E8" s="69" t="n"/>
      <c r="F8" s="27">
        <f>IFERROR((D8-E8)/D8,0)</f>
        <v/>
      </c>
      <c r="G8" s="21" t="n"/>
      <c r="H8" s="40">
        <f>IFERROR(G8*D8*$Y$3,0)</f>
        <v/>
      </c>
      <c r="I8" s="70" t="n"/>
      <c r="J8" s="41">
        <f>IFERROR((G8*(D8-E8)-I8)*$Y$3,0)</f>
        <v/>
      </c>
      <c r="K8" s="26" t="n">
        <v>0.1</v>
      </c>
      <c r="L8" s="40">
        <f>IFERROR(J8*(1+K8),0)</f>
        <v/>
      </c>
      <c r="M8" s="40">
        <f>IFERROR(L8*(1+K8),0)</f>
        <v/>
      </c>
      <c r="N8" s="41">
        <f>J8+L8+M8</f>
        <v/>
      </c>
      <c r="O8" s="27">
        <f>IFERROR(N8/(I8*$Y$3),0)</f>
        <v/>
      </c>
      <c r="P8" s="71" t="n"/>
    </row>
    <row r="9" ht="22" customHeight="1">
      <c r="B9" s="68" t="n">
        <v>3</v>
      </c>
      <c r="C9" s="42" t="inlineStr">
        <is>
          <t>O1 450g</t>
        </is>
      </c>
      <c r="D9" s="69" t="n"/>
      <c r="E9" s="69" t="n"/>
      <c r="F9" s="27">
        <f>IFERROR((D9-E9)/D9,0)</f>
        <v/>
      </c>
      <c r="G9" s="21" t="n"/>
      <c r="H9" s="40">
        <f>IFERROR(G9*D9*$Y$3,0)</f>
        <v/>
      </c>
      <c r="I9" s="70" t="n"/>
      <c r="J9" s="41">
        <f>IFERROR((G9*(D9-E9)-I9)*$Y$3,0)</f>
        <v/>
      </c>
      <c r="K9" s="26" t="n">
        <v>0.1</v>
      </c>
      <c r="L9" s="40">
        <f>IFERROR(J9*(1+K9),0)</f>
        <v/>
      </c>
      <c r="M9" s="40">
        <f>IFERROR(L9*(1+K9),0)</f>
        <v/>
      </c>
      <c r="N9" s="41">
        <f>J9+L9+M9</f>
        <v/>
      </c>
      <c r="O9" s="27">
        <f>IFERROR(N9/(I9*$Y$3),0)</f>
        <v/>
      </c>
      <c r="P9" s="71" t="n"/>
    </row>
    <row r="10" ht="22" customHeight="1">
      <c r="B10" s="68" t="n">
        <v>4</v>
      </c>
      <c r="C10" s="42" t="inlineStr">
        <is>
          <t>Belli Bliss Raspberry, 450g</t>
        </is>
      </c>
      <c r="D10" s="69" t="n"/>
      <c r="E10" s="69" t="n"/>
      <c r="F10" s="27">
        <f>IFERROR((D10-E10)/D10,0)</f>
        <v/>
      </c>
      <c r="G10" s="21" t="n"/>
      <c r="H10" s="40">
        <f>IFERROR(G10*D10*$Y$3,0)</f>
        <v/>
      </c>
      <c r="I10" s="70" t="n"/>
      <c r="J10" s="41">
        <f>IFERROR((G10*(D10-E10)-I10)*$Y$3,0)</f>
        <v/>
      </c>
      <c r="K10" s="26" t="n">
        <v>0.1</v>
      </c>
      <c r="L10" s="40">
        <f>IFERROR(J10*(1+K10),0)</f>
        <v/>
      </c>
      <c r="M10" s="40">
        <f>IFERROR(L10*(1+K10),0)</f>
        <v/>
      </c>
      <c r="N10" s="41">
        <f>J10+L10+M10</f>
        <v/>
      </c>
      <c r="O10" s="27">
        <f>IFERROR(N10/(I10*$Y$3),0)</f>
        <v/>
      </c>
      <c r="P10" s="71" t="n"/>
    </row>
    <row r="11" ht="22" customHeight="1">
      <c r="B11" s="68" t="n">
        <v>5</v>
      </c>
      <c r="C11" s="42" t="inlineStr">
        <is>
          <t>Daily Boost</t>
        </is>
      </c>
      <c r="D11" s="69" t="n"/>
      <c r="E11" s="69" t="n"/>
      <c r="F11" s="27">
        <f>IFERROR((D11-E11)/D11,0)</f>
        <v/>
      </c>
      <c r="G11" s="21" t="n"/>
      <c r="H11" s="40">
        <f>IFERROR(G11*D11*$Y$3,0)</f>
        <v/>
      </c>
      <c r="I11" s="70" t="n"/>
      <c r="J11" s="41">
        <f>IFERROR((G11*(D11-E11)-I11)*$Y$3,0)</f>
        <v/>
      </c>
      <c r="K11" s="26" t="n">
        <v>0.1</v>
      </c>
      <c r="L11" s="40">
        <f>IFERROR(J11*(1+K11),0)</f>
        <v/>
      </c>
      <c r="M11" s="40">
        <f>IFERROR(L11*(1+K11),0)</f>
        <v/>
      </c>
      <c r="N11" s="41">
        <f>J11+L11+M11</f>
        <v/>
      </c>
      <c r="O11" s="27">
        <f>IFERROR(N11/(I11*$Y$3),0)</f>
        <v/>
      </c>
      <c r="P11" s="71" t="n"/>
    </row>
    <row r="12" ht="22" customHeight="1">
      <c r="B12" s="68" t="n">
        <v>6</v>
      </c>
      <c r="C12" s="42" t="inlineStr">
        <is>
          <t>Berberine 90's/120's</t>
        </is>
      </c>
      <c r="D12" s="69" t="n"/>
      <c r="E12" s="69" t="n"/>
      <c r="F12" s="27">
        <f>IFERROR((D12-E12)/D12,0)</f>
        <v/>
      </c>
      <c r="G12" s="21" t="n"/>
      <c r="H12" s="40">
        <f>IFERROR(G12*D12*$Y$3,0)</f>
        <v/>
      </c>
      <c r="I12" s="70" t="n"/>
      <c r="J12" s="41">
        <f>IFERROR((G12*(D12-E12)-I12)*$Y$3,0)</f>
        <v/>
      </c>
      <c r="K12" s="26" t="n">
        <v>0.1</v>
      </c>
      <c r="L12" s="40">
        <f>IFERROR(J12*(1+K12),0)</f>
        <v/>
      </c>
      <c r="M12" s="40">
        <f>IFERROR(L12*(1+K12),0)</f>
        <v/>
      </c>
      <c r="N12" s="41">
        <f>J12+L12+M12</f>
        <v/>
      </c>
      <c r="O12" s="27">
        <f>IFERROR(N12/(I12*$Y$3),0)</f>
        <v/>
      </c>
      <c r="P12" s="71" t="n"/>
    </row>
    <row r="13" ht="22" customHeight="1">
      <c r="B13" s="68" t="n">
        <v>7</v>
      </c>
      <c r="C13" s="42" t="inlineStr">
        <is>
          <t>L-theanine Capsules 90's/120's</t>
        </is>
      </c>
      <c r="D13" s="69" t="n"/>
      <c r="E13" s="69" t="n"/>
      <c r="F13" s="27">
        <f>IFERROR((D13-E13)/D13,0)</f>
        <v/>
      </c>
      <c r="G13" s="21" t="n"/>
      <c r="H13" s="40">
        <f>IFERROR(G13*D13*$Y$3,0)</f>
        <v/>
      </c>
      <c r="I13" s="70" t="n"/>
      <c r="J13" s="41">
        <f>IFERROR((G13*(D13-E13)-I13)*$Y$3,0)</f>
        <v/>
      </c>
      <c r="K13" s="26" t="n">
        <v>0.1</v>
      </c>
      <c r="L13" s="40">
        <f>IFERROR(J13*(1+K13),0)</f>
        <v/>
      </c>
      <c r="M13" s="40">
        <f>IFERROR(L13*(1+K13),0)</f>
        <v/>
      </c>
      <c r="N13" s="41">
        <f>J13+L13+M13</f>
        <v/>
      </c>
      <c r="O13" s="27">
        <f>IFERROR(N13/(I13*$Y$3),0)</f>
        <v/>
      </c>
      <c r="P13" s="71" t="n"/>
    </row>
    <row r="14" ht="26" customHeight="1">
      <c r="B14" s="72" t="inlineStr"/>
      <c r="C14" s="73" t="inlineStr">
        <is>
          <t>PORTFOLIO TOTAL / BLENDED</t>
        </is>
      </c>
      <c r="D14" s="72" t="inlineStr"/>
      <c r="E14" s="72" t="inlineStr"/>
      <c r="F14" s="74">
        <f>IFERROR(SUMPRODUCT(G7:G13,D7:D13-E7:E13)/SUM(H7:H13)*$Y$3,0)</f>
        <v/>
      </c>
      <c r="G14" s="75">
        <f>SUM(G7:G13)</f>
        <v/>
      </c>
      <c r="H14" s="76">
        <f>SUM(H7:H13)</f>
        <v/>
      </c>
      <c r="I14" s="76">
        <f>SUM(I7:I13)</f>
        <v/>
      </c>
      <c r="J14" s="76">
        <f>SUM(J7:J13)</f>
        <v/>
      </c>
      <c r="K14" s="72" t="inlineStr"/>
      <c r="L14" s="76">
        <f>SUM(L7:L13)</f>
        <v/>
      </c>
      <c r="M14" s="76">
        <f>SUM(M7:M13)</f>
        <v/>
      </c>
      <c r="N14" s="76">
        <f>SUM(N7:N13)</f>
        <v/>
      </c>
      <c r="O14" s="74">
        <f>IFERROR(N14/(I14*$Y$3),0)</f>
        <v/>
      </c>
      <c r="P14" s="73" t="inlineStr">
        <is>
          <t>Blended across SKUs</t>
        </is>
      </c>
    </row>
  </sheetData>
  <mergeCells count="2">
    <mergeCell ref="B2:P2"/>
    <mergeCell ref="B4:P4"/>
  </mergeCells>
  <conditionalFormatting sqref="O7:O13">
    <cfRule type="cellIs" priority="1" operator="lessThan" dxfId="2">
      <formula>0</formula>
    </cfRule>
    <cfRule type="cellIs" priority="2" operator="greaterThanOrEqual" dxfId="1">
      <formula>0.5</formula>
    </cfRule>
  </conditionalFormatting>
  <dataValidations count="1">
    <dataValidation sqref="C3" showDropDown="0" showInputMessage="0" showErrorMessage="0" allowBlank="0" type="list">
      <formula1>"GBP,USD,CAD,EUR"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Z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5" customWidth="1" min="2" max="2"/>
  </cols>
  <sheetData>
    <row r="2">
      <c r="B2" s="1" t="inlineStr">
        <is>
          <t>PITCH MEMO — D93 Portfolio (live numbers)</t>
        </is>
      </c>
    </row>
    <row r="3" ht="22" customHeight="1">
      <c r="B3" s="33" t="inlineStr">
        <is>
          <t>Display Currency</t>
        </is>
      </c>
      <c r="C3" s="12" t="inlineStr">
        <is>
          <t>GBP</t>
        </is>
      </c>
      <c r="D3" s="34">
        <f>"("&amp;VLOOKUP(C3,Inputs!$B$13:$D$16,2,FALSE)&amp;"  ·  rate "&amp;TEXT(VLOOKUP(C3,Inputs!$B$13:$D$16,3,FALSE),"0.0000")&amp;")"</f>
        <v/>
      </c>
      <c r="Y3" s="35">
        <f>VLOOKUP(C3,Inputs!$B$13:$D$16,3,FALSE)</f>
        <v/>
      </c>
      <c r="Z3">
        <f>VLOOKUP(C3,Inputs!$B$13:$D$16,2,FALSE)</f>
        <v/>
      </c>
    </row>
    <row r="5" ht="22" customHeight="1">
      <c r="B5" s="57" t="inlineStr">
        <is>
          <t>THE ASK</t>
        </is>
      </c>
    </row>
    <row r="6" ht="36" customHeight="1">
      <c r="B6" s="4">
        <f>"Approve the D93 portfolio pitch for Costco UK — seven SKUs, Bee Propolis Spray as lead, targeting a 26-week market test starting "&amp;TEXT(StartDate,"dd-mmm-yyyy")&amp;"."</f>
        <v/>
      </c>
    </row>
    <row r="8" ht="22" customHeight="1">
      <c r="B8" s="57" t="inlineStr">
        <is>
          <t>HEADLINE</t>
        </is>
      </c>
    </row>
    <row r="9" ht="36" customHeight="1">
      <c r="B9" s="4">
        <f>"Expected-value Net Profit on the Bee Propolis test: "&amp;$Z$3&amp;" "&amp;TEXT(Summary!F13*($Y$3/Summary!$Y$3),"#,##0")&amp;" across BEST/IDEAL/WORST weighted "&amp;TEXT(PBest,"0%")&amp;"/"&amp;TEXT(PIdeal,"0%")&amp;"/"&amp;TEXT(PWorst,"0%")&amp;"."</f>
        <v/>
      </c>
    </row>
    <row r="11" ht="22" customHeight="1">
      <c r="B11" s="57" t="inlineStr">
        <is>
          <t>BEST CASE</t>
        </is>
      </c>
    </row>
    <row r="12" ht="36" customHeight="1">
      <c r="B12" s="4">
        <f>"If BEST plays out: Net Profit "&amp;$Z$3&amp;" "&amp;TEXT(Summary!C13*($Y$3/Summary!$Y$3),"#,##0")&amp;"."</f>
        <v/>
      </c>
    </row>
    <row r="14" ht="22" customHeight="1">
      <c r="B14" s="57" t="inlineStr">
        <is>
          <t>BASE CASE (IDEAL)</t>
        </is>
      </c>
    </row>
    <row r="15" ht="36" customHeight="1">
      <c r="B15" s="4">
        <f>"IDEAL Net Profit "&amp;$Z$3&amp;" "&amp;TEXT(Summary!D13*($Y$3/Summary!$Y$3),"#,##0")&amp;", GM% "&amp;TEXT(Summary!D11,"0.0%")&amp;", ROI on promo "&amp;TEXT(Summary!D14,"0%")&amp;"."</f>
        <v/>
      </c>
    </row>
    <row r="17" ht="22" customHeight="1">
      <c r="B17" s="57" t="inlineStr">
        <is>
          <t>WORST CASE</t>
        </is>
      </c>
    </row>
    <row r="18" ht="36" customHeight="1">
      <c r="B18" s="4">
        <f>"WORST Net Profit "&amp;$Z$3&amp;" "&amp;TEXT(Summary!E13*($Y$3/Summary!$Y$3),"#,##0")&amp;" (markdown clearance Wks 18-20)."</f>
        <v/>
      </c>
    </row>
    <row r="20" ht="22" customHeight="1">
      <c r="B20" s="57" t="inlineStr">
        <is>
          <t>3-YEAR PORTFOLIO</t>
        </is>
      </c>
    </row>
    <row r="21" ht="36" customHeight="1">
      <c r="B21" s="4">
        <f>"Blended 3-year Net Profit across all seven SKUs: "&amp;$Z$3&amp;" "&amp;TEXT(Portfolio!N14*($Y$3/Portfolio!$Y$3),"#,##0")&amp;". Blended ROI: "&amp;TEXT(Portfolio!O14,"0%")&amp;"."</f>
        <v/>
      </c>
    </row>
    <row r="23" ht="22" customHeight="1">
      <c r="B23" s="57" t="inlineStr">
        <is>
          <t>WHY THIS MIX</t>
        </is>
      </c>
    </row>
    <row r="24" ht="36" customHeight="1">
      <c r="B24" s="4">
        <f>"Bee Propolis carries the GM% anchor ("&amp;TEXT(Portfolio!F7,"0.0%")&amp;"); lower-margin SKUs contribute volume. Blended GM% = "&amp;TEXT(Portfolio!F14,"0.0%")&amp;"."</f>
        <v/>
      </c>
    </row>
    <row r="26" ht="22" customHeight="1">
      <c r="B26" s="57" t="inlineStr">
        <is>
          <t>KEY ASSUMPTIONS</t>
        </is>
      </c>
    </row>
    <row r="27" ht="36" customHeight="1">
      <c r="B27" s="4">
        <f>"Base demand "&amp;TEXT(BaseUnits,"#,##0")&amp;" units/week across "&amp;TEXT(WHs,"#,##0")&amp;" warehouses. Demo lift 3.0-3.6x. TPD = "&amp;TEXT(TPDPct,"0%")&amp;" off net."</f>
        <v/>
      </c>
    </row>
    <row r="29" ht="22" customHeight="1">
      <c r="B29" s="57" t="inlineStr">
        <is>
          <t>RISKS</t>
        </is>
      </c>
    </row>
    <row r="30" ht="36" customHeight="1">
      <c r="B30" s="4">
        <f>"(1) Demo lift below 3x → see Sensitivity tab. (2) Inventory overrun forces markdown → WORST. (3) FX move on COGS — model is GBP-source, refresh FX Table on Inputs."</f>
        <v/>
      </c>
    </row>
    <row r="32" ht="22" customHeight="1">
      <c r="B32" s="57" t="inlineStr">
        <is>
          <t>DECISION</t>
        </is>
      </c>
    </row>
    <row r="33" ht="36" customHeight="1">
      <c r="B33" s="4">
        <f>"GO / NO-GO with terms by [date]. Test launches W1 = "&amp;TEXT(StartDate,"dd-mmm-yyyy")&amp;"."</f>
        <v/>
      </c>
    </row>
  </sheetData>
  <mergeCells count="1">
    <mergeCell ref="B2"/>
  </mergeCells>
  <dataValidations count="1">
    <dataValidation sqref="C3" showDropDown="0" showInputMessage="0" showErrorMessage="0" allowBlank="0" type="list">
      <formula1>"GBP,USD,CAD,EUR"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2026-06-06T04:01:09Z</dcterms:created>
  <dcterms:modified xsi:type="dcterms:W3CDTF">2026-06-06T04:01:09Z</dcterms:modified>
</cp:coreProperties>
</file>