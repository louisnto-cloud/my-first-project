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Rates" sheetId="2" state="visible" r:id="rId2"/>
    <sheet name="Phase 2" sheetId="3" state="visible" r:id="rId3"/>
    <sheet name="Phase 3 Scenario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\$#,##0"/>
    <numFmt numFmtId="166" formatCode="#,##0.0"/>
    <numFmt numFmtId="167" formatCode="0.0%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8000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1"/>
    </font>
    <font>
      <i val="1"/>
      <sz val="9"/>
    </font>
    <font>
      <sz val="11"/>
    </font>
    <font>
      <color rgb="FF0000FF"/>
      <sz val="11"/>
    </font>
    <font>
      <b val="1"/>
      <sz val="11"/>
    </font>
    <font>
      <color rgb="FF008000"/>
      <sz val="11"/>
    </font>
    <font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 wrapText="1"/>
    </xf>
    <xf numFmtId="166" fontId="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7" fontId="10" fillId="4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165" fontId="15" fillId="6" borderId="0" applyAlignment="1" pivotButton="0" quotePrefix="0" xfId="0">
      <alignment horizontal="general" vertical="bottom"/>
    </xf>
    <xf numFmtId="0" fontId="14" fillId="0" borderId="0" pivotButton="0" quotePrefix="0" xfId="0"/>
    <xf numFmtId="0" fontId="15" fillId="0" borderId="0" pivotButton="0" quotePrefix="0" xfId="0"/>
    <xf numFmtId="0" fontId="12" fillId="0" borderId="1" applyAlignment="1" pivotButton="0" quotePrefix="0" xfId="0">
      <alignment horizontal="general" vertical="bottom" wrapText="1"/>
    </xf>
    <xf numFmtId="0" fontId="12" fillId="0" borderId="1" pivotButton="0" quotePrefix="0" xfId="0"/>
    <xf numFmtId="0" fontId="16" fillId="7" borderId="2" applyAlignment="1" pivotButton="0" quotePrefix="0" xfId="0">
      <alignment horizontal="general" vertical="bottom" wrapText="1"/>
    </xf>
    <xf numFmtId="0" fontId="16" fillId="7" borderId="2" pivotButton="0" quotePrefix="0" xfId="0"/>
    <xf numFmtId="0" fontId="12" fillId="0" borderId="2" applyAlignment="1" pivotButton="0" quotePrefix="0" xfId="0">
      <alignment horizontal="general" vertical="bottom" wrapText="1"/>
    </xf>
    <xf numFmtId="0" fontId="0" fillId="0" borderId="2" pivotButton="0" quotePrefix="0" xfId="0"/>
    <xf numFmtId="0" fontId="11" fillId="0" borderId="1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 wrapText="1"/>
    </xf>
    <xf numFmtId="166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general" vertical="bottom"/>
    </xf>
    <xf numFmtId="0" fontId="11" fillId="0" borderId="0" pivotButton="0" quotePrefix="0" xfId="0"/>
    <xf numFmtId="166" fontId="10" fillId="0" borderId="0" applyAlignment="1" pivotButton="0" quotePrefix="0" xfId="0">
      <alignment horizontal="general" vertical="bottom"/>
    </xf>
    <xf numFmtId="3" fontId="13" fillId="5" borderId="0" applyAlignment="1" pivotButton="0" quotePrefix="0" xfId="0">
      <alignment horizontal="general" vertical="bottom"/>
    </xf>
    <xf numFmtId="166" fontId="10" fillId="5" borderId="0" applyAlignment="1" pivotButton="0" quotePrefix="0" xfId="0">
      <alignment horizontal="general" vertical="bottom"/>
    </xf>
    <xf numFmtId="167" fontId="10" fillId="4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6" min="1" max="1"/>
    <col width="20" customWidth="1" style="26" min="2" max="5"/>
  </cols>
  <sheetData>
    <row r="1" ht="17.35" customHeight="1" s="27">
      <c r="A1" s="28" t="inlineStr">
        <is>
          <t>ContainerWorld 3PL  |  Phase 2 and Phase 3 Volume Scenarios</t>
        </is>
      </c>
    </row>
    <row r="2" ht="15" customHeight="1" s="27">
      <c r="A2" s="29" t="inlineStr">
        <is>
          <t>All figures in CAD.</t>
        </is>
      </c>
    </row>
    <row r="4" ht="26.85" customHeight="1" s="27">
      <c r="A4" s="30" t="n"/>
      <c r="B4" s="30" t="inlineStr">
        <is>
          <t>Phase 2  Aug 1 to Oct 31</t>
        </is>
      </c>
      <c r="C4" s="30" t="inlineStr">
        <is>
          <t>Phase 3 S1  10,000 cs</t>
        </is>
      </c>
      <c r="D4" s="30" t="inlineStr">
        <is>
          <t>Phase 3 S2  20,000 cs</t>
        </is>
      </c>
      <c r="E4" s="30" t="inlineStr">
        <is>
          <t>Phase 3 S3  30,000 cs</t>
        </is>
      </c>
    </row>
    <row r="5" ht="15" customHeight="1" s="27">
      <c r="A5" s="31" t="inlineStr">
        <is>
          <t>Total cases</t>
        </is>
      </c>
      <c r="B5" s="32">
        <f>'Phase 2'!B5</f>
        <v/>
      </c>
      <c r="C5" s="32">
        <f>'Phase 3 Scenarios'!B5</f>
        <v/>
      </c>
      <c r="D5" s="32">
        <f>'Phase 3 Scenarios'!C5</f>
        <v/>
      </c>
      <c r="E5" s="32">
        <f>'Phase 3 Scenarios'!D5</f>
        <v/>
      </c>
    </row>
    <row r="6" ht="15" customHeight="1" s="27">
      <c r="A6" s="31" t="inlineStr">
        <is>
          <t>Cases per month</t>
        </is>
      </c>
      <c r="B6" s="33">
        <f>'Phase 2'!B7</f>
        <v/>
      </c>
      <c r="C6" s="33">
        <f>'Phase 3 Scenarios'!B7</f>
        <v/>
      </c>
      <c r="D6" s="33">
        <f>'Phase 3 Scenarios'!C7</f>
        <v/>
      </c>
      <c r="E6" s="33">
        <f>'Phase 3 Scenarios'!D7</f>
        <v/>
      </c>
    </row>
    <row r="7" ht="15" customHeight="1" s="27">
      <c r="A7" s="31" t="inlineStr">
        <is>
          <t>All in $ per case</t>
        </is>
      </c>
      <c r="B7" s="34">
        <f>'Phase 2'!B31</f>
        <v/>
      </c>
      <c r="C7" s="34">
        <f>'Phase 3 Scenarios'!B31</f>
        <v/>
      </c>
      <c r="D7" s="34">
        <f>'Phase 3 Scenarios'!C31</f>
        <v/>
      </c>
      <c r="E7" s="34">
        <f>'Phase 3 Scenarios'!D31</f>
        <v/>
      </c>
    </row>
    <row r="8">
      <c r="A8" s="35" t="inlineStr">
        <is>
          <t>Full phase ContainerWorld cost</t>
        </is>
      </c>
      <c r="B8" s="36">
        <f>'Phase 2'!B35</f>
        <v/>
      </c>
      <c r="C8" s="36">
        <f>'Phase 3 Scenarios'!B35</f>
        <v/>
      </c>
      <c r="D8" s="36">
        <f>'Phase 3 Scenarios'!C35</f>
        <v/>
      </c>
      <c r="E8" s="36">
        <f>'Phase 3 Scenarios'!D35</f>
        <v/>
      </c>
    </row>
    <row r="9" ht="13.5" customHeight="1" s="27">
      <c r="A9" s="37" t="n"/>
      <c r="B9" s="38" t="n"/>
      <c r="C9" s="38" t="n"/>
      <c r="D9" s="38" t="n"/>
      <c r="E9" s="38" t="n"/>
    </row>
    <row r="10" ht="30" customHeight="1" s="27">
      <c r="A10" s="39" t="inlineStr">
        <is>
          <t>TIMELINE</t>
        </is>
      </c>
      <c r="B10" s="40" t="n"/>
      <c r="C10" s="40" t="n"/>
      <c r="D10" s="40" t="n"/>
      <c r="E10" s="40" t="n"/>
    </row>
    <row r="11" ht="30" customHeight="1" s="27">
      <c r="A11" s="41" t="inlineStr">
        <is>
          <t>Phase 2:   Aug 1 – Oct 31, 2026   (3 months)</t>
        </is>
      </c>
      <c r="B11" s="42" t="n"/>
      <c r="C11" s="42" t="n"/>
      <c r="D11" s="42" t="n"/>
      <c r="E11" s="42" t="n"/>
    </row>
    <row r="12" ht="30" customHeight="1" s="27">
      <c r="A12" s="41" t="inlineStr">
        <is>
          <t>Phase 3:   Nov 1, 2026 – Aug 31, 2027   (10 months, fiscal year ends Aug 31)</t>
        </is>
      </c>
      <c r="B12" s="42" t="n"/>
      <c r="C12" s="42" t="n"/>
      <c r="D12" s="42" t="n"/>
      <c r="E12" s="42" t="n"/>
    </row>
    <row r="13" ht="30" customHeight="1" s="27">
      <c r="A13" s="37" t="n"/>
      <c r="B13" s="38" t="n"/>
      <c r="C13" s="38" t="n"/>
      <c r="D13" s="38" t="n"/>
      <c r="E13" s="38" t="n"/>
    </row>
    <row r="14" ht="30" customHeight="1" s="27">
      <c r="A14" s="43" t="inlineStr">
        <is>
          <t>Not in these numbers: inbound freight from the Alberta CoMan to Richmond, order processing fees on any phone/email orders, and GST.</t>
        </is>
      </c>
    </row>
  </sheetData>
  <mergeCells count="4">
    <mergeCell ref="A12:E12"/>
    <mergeCell ref="A10:E10"/>
    <mergeCell ref="A11:E11"/>
    <mergeCell ref="A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6" min="1" max="1"/>
    <col width="14" customWidth="1" style="26" min="2" max="2"/>
    <col width="16" customWidth="1" style="26" min="3" max="3"/>
    <col width="20" customWidth="1" style="26" min="4" max="4"/>
  </cols>
  <sheetData>
    <row r="1" ht="17.35" customHeight="1" s="27">
      <c r="A1" s="28" t="inlineStr">
        <is>
          <t>ContainerWorld Rates</t>
        </is>
      </c>
    </row>
    <row r="2" ht="15" customHeight="1" s="27">
      <c r="A2" s="29" t="inlineStr">
        <is>
          <t>Cans / RTD rates, effective Mar 1 – Dec 31, 2026.</t>
        </is>
      </c>
    </row>
    <row r="4" ht="15" customHeight="1" s="27">
      <c r="A4" s="26" t="inlineStr">
        <is>
          <t>Inbound handling, palletized</t>
        </is>
      </c>
      <c r="B4" s="44" t="n">
        <v>0.416</v>
      </c>
      <c r="C4" s="26" t="inlineStr">
        <is>
          <t>$/case</t>
        </is>
      </c>
    </row>
    <row r="5" ht="15" customHeight="1" s="27">
      <c r="A5" s="26" t="inlineStr">
        <is>
          <t>Inbound handling, loose</t>
        </is>
      </c>
      <c r="B5" s="44" t="n">
        <v>0.8110000000000001</v>
      </c>
      <c r="C5" s="26" t="inlineStr">
        <is>
          <t>$/case</t>
        </is>
      </c>
    </row>
    <row r="6" ht="15" customHeight="1" s="27">
      <c r="A6" s="26" t="inlineStr">
        <is>
          <t>Ex warehouse case pick</t>
        </is>
      </c>
      <c r="B6" s="44" t="n">
        <v>1.32</v>
      </c>
      <c r="C6" s="26" t="inlineStr">
        <is>
          <t>$/case</t>
        </is>
      </c>
    </row>
    <row r="7" ht="15" customHeight="1" s="27">
      <c r="A7" s="26" t="inlineStr">
        <is>
          <t>Dry storage, 40+ cases per pallet</t>
        </is>
      </c>
      <c r="B7" s="44" t="n">
        <v>0.265</v>
      </c>
      <c r="C7" s="26" t="inlineStr">
        <is>
          <t>$/case/mo</t>
        </is>
      </c>
    </row>
    <row r="8" ht="15" customHeight="1" s="27">
      <c r="A8" s="26" t="inlineStr">
        <is>
          <t>Admin, CWFS forwarding</t>
        </is>
      </c>
      <c r="B8" s="44" t="n">
        <v>0.194</v>
      </c>
      <c r="C8" s="26" t="inlineStr">
        <is>
          <t>$/case</t>
        </is>
      </c>
    </row>
    <row r="9" ht="15" customHeight="1" s="27">
      <c r="A9" s="26" t="inlineStr">
        <is>
          <t>Admin, own or supplier forwarding</t>
        </is>
      </c>
      <c r="B9" s="44" t="n">
        <v>0.384</v>
      </c>
      <c r="C9" s="26" t="inlineStr">
        <is>
          <t>$/case</t>
        </is>
      </c>
    </row>
    <row r="10" ht="15" customHeight="1" s="27">
      <c r="A10" s="26" t="inlineStr">
        <is>
          <t>Transit insurance (optional)</t>
        </is>
      </c>
      <c r="B10" s="44" t="n">
        <v>0.09</v>
      </c>
      <c r="C10" s="26" t="inlineStr">
        <is>
          <t>$/case</t>
        </is>
      </c>
    </row>
    <row r="11" ht="15" customHeight="1" s="27">
      <c r="A11" s="26" t="inlineStr">
        <is>
          <t>Storage insurance (optional)</t>
        </is>
      </c>
      <c r="B11" s="44" t="n">
        <v>0.028</v>
      </c>
      <c r="C11" s="26" t="inlineStr">
        <is>
          <t>$/case/mo</t>
        </is>
      </c>
    </row>
    <row r="12" ht="15" customHeight="1" s="27">
      <c r="A12" s="26" t="inlineStr">
        <is>
          <t>Order processing fee, phone/fax/email orders only</t>
        </is>
      </c>
      <c r="B12" s="44" t="n">
        <v>4.85</v>
      </c>
      <c r="C12" s="26" t="inlineStr">
        <is>
          <t>$/order</t>
        </is>
      </c>
    </row>
    <row r="13" ht="15" customHeight="1" s="27">
      <c r="A13" s="26" t="inlineStr">
        <is>
          <t>Direct delivery pallet charge</t>
        </is>
      </c>
      <c r="B13" s="44" t="n">
        <v>0.053</v>
      </c>
      <c r="C13" s="26" t="inlineStr">
        <is>
          <t>$/case</t>
        </is>
      </c>
    </row>
    <row r="14" ht="15" customHeight="1" s="27">
      <c r="A14" s="26" t="inlineStr">
        <is>
          <t>Minimum warehouse receipt</t>
        </is>
      </c>
      <c r="B14" s="44" t="n">
        <v>50</v>
      </c>
      <c r="C14" s="26" t="inlineStr">
        <is>
          <t>$/receipt</t>
        </is>
      </c>
    </row>
    <row r="15" ht="15" customHeight="1" s="27">
      <c r="A15" s="26" t="inlineStr">
        <is>
          <t>Minimum monthly storage billing</t>
        </is>
      </c>
      <c r="B15" s="44" t="n">
        <v>89</v>
      </c>
      <c r="C15" s="26" t="inlineStr">
        <is>
          <t>$/month</t>
        </is>
      </c>
    </row>
    <row r="17" ht="15" customHeight="1" s="27">
      <c r="A17" s="45" t="inlineStr">
        <is>
          <t>Delivery rates by zone (cans)</t>
        </is>
      </c>
    </row>
    <row r="18" ht="26.85" customHeight="1" s="27">
      <c r="A18" s="46" t="inlineStr">
        <is>
          <t>Zone</t>
        </is>
      </c>
      <c r="B18" s="46" t="inlineStr">
        <is>
          <t>Cans $/case</t>
        </is>
      </c>
      <c r="C18" s="46" t="inlineStr">
        <is>
          <t>Min $/delivery</t>
        </is>
      </c>
      <c r="D18" s="46" t="inlineStr">
        <is>
          <t>Break even cases/drop</t>
        </is>
      </c>
    </row>
    <row r="19" ht="15" customHeight="1" s="27">
      <c r="A19" s="26" t="inlineStr">
        <is>
          <t>Lower Mainland</t>
        </is>
      </c>
      <c r="B19" s="44" t="n">
        <v>1.51</v>
      </c>
      <c r="C19" s="44" t="n">
        <v>14.96</v>
      </c>
      <c r="D19" s="47">
        <f>C19/B19</f>
        <v/>
      </c>
    </row>
    <row r="20" ht="15" customHeight="1" s="27">
      <c r="A20" s="26" t="inlineStr">
        <is>
          <t>Fraser Valley</t>
        </is>
      </c>
      <c r="B20" s="44" t="n">
        <v>1.57</v>
      </c>
      <c r="C20" s="44" t="n">
        <v>15.53</v>
      </c>
      <c r="D20" s="47">
        <f>C20/B20</f>
        <v/>
      </c>
    </row>
    <row r="21" ht="15" customHeight="1" s="27">
      <c r="A21" s="26" t="inlineStr">
        <is>
          <t>East Fraser Valley</t>
        </is>
      </c>
      <c r="B21" s="44" t="n">
        <v>2.03</v>
      </c>
      <c r="C21" s="44" t="n">
        <v>16.82</v>
      </c>
      <c r="D21" s="47">
        <f>C21/B21</f>
        <v/>
      </c>
    </row>
    <row r="22" ht="15" customHeight="1" s="27">
      <c r="A22" s="26" t="inlineStr">
        <is>
          <t>Vancouver Island</t>
        </is>
      </c>
      <c r="B22" s="44" t="n">
        <v>2.41</v>
      </c>
      <c r="C22" s="44" t="n">
        <v>20.41</v>
      </c>
      <c r="D22" s="47">
        <f>C22/B22</f>
        <v/>
      </c>
    </row>
    <row r="23" ht="15" customHeight="1" s="27">
      <c r="A23" s="26" t="inlineStr">
        <is>
          <t>Okanagan/Kelowna</t>
        </is>
      </c>
      <c r="B23" s="44" t="n">
        <v>2.61</v>
      </c>
      <c r="C23" s="44" t="n">
        <v>20.93</v>
      </c>
      <c r="D23" s="47">
        <f>C23/B23</f>
        <v/>
      </c>
    </row>
    <row r="25" ht="15" customHeight="1" s="27">
      <c r="A25" s="48" t="inlineStr">
        <is>
          <t>Below the break even cases per stop, the minimum charge applies, not the per case rate.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26" min="1" max="1"/>
    <col width="16" customWidth="1" style="26" min="2" max="2"/>
    <col width="12" customWidth="1" style="26" min="3" max="3"/>
    <col width="44" customWidth="1" style="26" min="4" max="4"/>
  </cols>
  <sheetData>
    <row r="1" ht="17.35" customHeight="1" s="27">
      <c r="A1" s="28" t="inlineStr">
        <is>
          <t>Phase 2  |  Aug 1 to Oct 31, 2026  |  BC launch, 100 doors</t>
        </is>
      </c>
    </row>
    <row r="2" ht="15" customHeight="1" s="27">
      <c r="A2" s="29" t="inlineStr">
        <is>
          <t>Blue cells are inputs.</t>
        </is>
      </c>
    </row>
    <row r="4" ht="15" customHeight="1" s="27">
      <c r="A4" s="30" t="n"/>
      <c r="B4" s="30" t="inlineStr">
        <is>
          <t>Phase 2</t>
        </is>
      </c>
    </row>
    <row r="5" ht="15" customHeight="1" s="27">
      <c r="A5" s="26" t="inlineStr">
        <is>
          <t>Total cases for the phase</t>
        </is>
      </c>
      <c r="B5" s="49">
        <f>B7*B6</f>
        <v/>
      </c>
      <c r="C5" s="50" t="inlineStr">
        <is>
          <t>calculated: cases per month × months</t>
        </is>
      </c>
    </row>
    <row r="6" ht="15" customHeight="1" s="27">
      <c r="A6" s="26" t="inlineStr">
        <is>
          <t>Months in the phase</t>
        </is>
      </c>
      <c r="B6" s="51" t="n">
        <v>3</v>
      </c>
      <c r="C6" s="48" t="inlineStr">
        <is>
          <t>Aug 1 2026 to Oct 31 2026</t>
        </is>
      </c>
    </row>
    <row r="7" ht="15" customHeight="1" s="27">
      <c r="A7" s="26" t="inlineStr">
        <is>
          <t>Cases per month (burn rate)</t>
        </is>
      </c>
      <c r="B7" s="52" t="n">
        <v>500</v>
      </c>
    </row>
    <row r="8" ht="15" customHeight="1" s="27">
      <c r="A8" s="26" t="inlineStr">
        <is>
          <t>Average cases per delivery drop</t>
        </is>
      </c>
      <c r="B8" s="53" t="n">
        <v>8</v>
      </c>
      <c r="C8" s="29" t="inlineStr">
        <is>
          <t>Adjustable lever – sets delivery cost. Break-evens by zone on Rates tab.</t>
        </is>
      </c>
    </row>
    <row r="9" ht="15" customHeight="1" s="27">
      <c r="A9" s="26" t="inlineStr">
        <is>
          <t>Months of stock on hand</t>
        </is>
      </c>
      <c r="B9" s="51" t="n">
        <v>1</v>
      </c>
    </row>
    <row r="10" ht="15" customHeight="1" s="27">
      <c r="A10" s="26" t="inlineStr">
        <is>
          <t>Fuel surcharge %</t>
        </is>
      </c>
      <c r="B10" s="54" t="n">
        <v>0</v>
      </c>
    </row>
    <row r="11" ht="15" customHeight="1" s="27">
      <c r="A11" s="26" t="inlineStr">
        <is>
          <t>Admin $/case, 0.194 CWFS fwd or 0.384 own fwd</t>
        </is>
      </c>
      <c r="B11" s="55" t="n">
        <v>0.384</v>
      </c>
    </row>
    <row r="12" ht="15" customHeight="1" s="27">
      <c r="A12" s="26" t="inlineStr">
        <is>
          <t>Transit insurance $/case, 0 to exclude</t>
        </is>
      </c>
      <c r="B12" s="56" t="n">
        <v>0.09</v>
      </c>
    </row>
    <row r="13" ht="15" customHeight="1" s="27">
      <c r="A13" s="26" t="inlineStr">
        <is>
          <t>Storage insurance $/case/mo, 0 to exclude</t>
        </is>
      </c>
      <c r="B13" s="56" t="n">
        <v>0.028</v>
      </c>
    </row>
    <row r="15" ht="15" customHeight="1" s="27">
      <c r="A15" s="45" t="inlineStr">
        <is>
          <t>BLENDED DELIVERY RATE  =MAX(zone rate, zone min ÷ cases per drop), weighted by zone mix</t>
        </is>
      </c>
    </row>
    <row r="16" ht="15" customHeight="1" s="27">
      <c r="A16" s="26" t="inlineStr">
        <is>
          <t>Lower Mainland</t>
        </is>
      </c>
      <c r="B16" s="44">
        <f>MAX(Rates!$B$19,Rates!$C$19/B$8)*$C16</f>
        <v/>
      </c>
      <c r="C16" s="57" t="n">
        <v>0.62</v>
      </c>
    </row>
    <row r="17" ht="15" customHeight="1" s="27">
      <c r="A17" s="26" t="inlineStr">
        <is>
          <t>Fraser Valley</t>
        </is>
      </c>
      <c r="B17" s="44">
        <f>MAX(Rates!$B$20,Rates!$C$20/B$8)*$C17</f>
        <v/>
      </c>
      <c r="C17" s="57" t="n">
        <v>0.15</v>
      </c>
    </row>
    <row r="18" ht="15" customHeight="1" s="27">
      <c r="A18" s="26" t="inlineStr">
        <is>
          <t>East Fraser Valley</t>
        </is>
      </c>
      <c r="B18" s="44">
        <f>MAX(Rates!$B$21,Rates!$C$21/B$8)*$C18</f>
        <v/>
      </c>
      <c r="C18" s="57" t="n">
        <v>0.04</v>
      </c>
    </row>
    <row r="19" ht="15" customHeight="1" s="27">
      <c r="A19" s="26" t="inlineStr">
        <is>
          <t>Vancouver Island</t>
        </is>
      </c>
      <c r="B19" s="44">
        <f>MAX(Rates!$B$22,Rates!$C$22/B$8)*$C19</f>
        <v/>
      </c>
      <c r="C19" s="57" t="n">
        <v>0.13</v>
      </c>
    </row>
    <row r="20" ht="15" customHeight="1" s="27">
      <c r="A20" s="26" t="inlineStr">
        <is>
          <t>Okanagan/Kelowna</t>
        </is>
      </c>
      <c r="B20" s="44">
        <f>MAX(Rates!$B$23,Rates!$C$23/B$8)*$C20</f>
        <v/>
      </c>
      <c r="C20" s="57" t="n">
        <v>0.06</v>
      </c>
    </row>
    <row r="21" ht="15" customHeight="1" s="27">
      <c r="A21" s="45" t="inlineStr">
        <is>
          <t>Blended delivery $/case</t>
        </is>
      </c>
      <c r="B21" s="58">
        <f>SUM(B16:B20)</f>
        <v/>
      </c>
    </row>
    <row r="23" ht="15" customHeight="1" s="27">
      <c r="A23" s="45" t="inlineStr">
        <is>
          <t>COST PER CASE BUILD</t>
        </is>
      </c>
    </row>
    <row r="24" ht="15" customHeight="1" s="27">
      <c r="A24" s="26" t="inlineStr">
        <is>
          <t>Inbound handling (palletized)</t>
        </is>
      </c>
      <c r="B24" s="44">
        <f>Rates!$B$4</f>
        <v/>
      </c>
    </row>
    <row r="25" ht="15" customHeight="1" s="27">
      <c r="A25" s="26" t="inlineStr">
        <is>
          <t>Storage</t>
        </is>
      </c>
      <c r="B25" s="44">
        <f>Rates!$B$7*B9</f>
        <v/>
      </c>
    </row>
    <row r="26" ht="15" customHeight="1" s="27">
      <c r="A26" s="26" t="inlineStr">
        <is>
          <t>Case pick</t>
        </is>
      </c>
      <c r="B26" s="44">
        <f>Rates!$B$6</f>
        <v/>
      </c>
    </row>
    <row r="27" ht="15" customHeight="1" s="27">
      <c r="A27" s="26" t="inlineStr">
        <is>
          <t>Admin</t>
        </is>
      </c>
      <c r="B27" s="44">
        <f>B11</f>
        <v/>
      </c>
    </row>
    <row r="28" ht="15" customHeight="1" s="27">
      <c r="A28" s="26" t="inlineStr">
        <is>
          <t>Insurance, transit + storage</t>
        </is>
      </c>
      <c r="B28" s="44">
        <f>B12+B13*B9</f>
        <v/>
      </c>
    </row>
    <row r="29" ht="15" customHeight="1" s="27">
      <c r="A29" s="26" t="inlineStr">
        <is>
          <t>Delivery (blended, incl fuel)</t>
        </is>
      </c>
      <c r="B29" s="44">
        <f>B21*(1+B10)</f>
        <v/>
      </c>
    </row>
    <row r="30" ht="15" customHeight="1" s="27">
      <c r="A30" s="26" t="inlineStr">
        <is>
          <t>Delivery pallet charge</t>
        </is>
      </c>
      <c r="B30" s="44">
        <f>Rates!$B$13</f>
        <v/>
      </c>
    </row>
    <row r="31" ht="15" customHeight="1" s="27">
      <c r="A31" s="45" t="inlineStr">
        <is>
          <t>ALL IN $ PER CASE</t>
        </is>
      </c>
      <c r="B31" s="59">
        <f>SUM(B24:B30)</f>
        <v/>
      </c>
    </row>
    <row r="33" ht="15" customHeight="1" s="27">
      <c r="A33" s="45" t="inlineStr">
        <is>
          <t>PHASE TOTALS</t>
        </is>
      </c>
    </row>
    <row r="34" ht="15" customHeight="1" s="27">
      <c r="A34" s="26" t="inlineStr">
        <is>
          <t>Monthly ContainerWorld cost</t>
        </is>
      </c>
      <c r="B34" s="60">
        <f>B31*B7</f>
        <v/>
      </c>
    </row>
    <row r="35" ht="15" customHeight="1" s="27">
      <c r="A35" s="45" t="inlineStr">
        <is>
          <t>Full phase ContainerWorld cost</t>
        </is>
      </c>
      <c r="B35" s="61">
        <f>B34*B6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26" min="1" max="1"/>
    <col width="16" customWidth="1" style="26" min="2" max="4"/>
    <col width="12" customWidth="1" style="26" min="5" max="5"/>
    <col width="44" customWidth="1" style="26" min="6" max="6"/>
  </cols>
  <sheetData>
    <row r="1" ht="17.35" customHeight="1" s="27">
      <c r="A1" s="28" t="inlineStr">
        <is>
          <t>Phase 3  |  Nov 1, 2026 to Aug 31, 2027 (fiscal year ends Aug 31)  |  Three volume scenarios</t>
        </is>
      </c>
    </row>
    <row r="2" ht="15" customHeight="1" s="27">
      <c r="A2" s="29" t="inlineStr">
        <is>
          <t>Blue cells are inputs.</t>
        </is>
      </c>
    </row>
    <row r="4" ht="26.85" customHeight="1" s="27">
      <c r="A4" s="30" t="n"/>
      <c r="B4" s="30" t="inlineStr">
        <is>
          <t>Scenario 1: 10,000 cases</t>
        </is>
      </c>
      <c r="C4" s="30" t="inlineStr">
        <is>
          <t>Scenario 2: 20,000 cases</t>
        </is>
      </c>
      <c r="D4" s="30" t="inlineStr">
        <is>
          <t>Scenario 3: 30,000 cases</t>
        </is>
      </c>
    </row>
    <row r="5" ht="15" customHeight="1" s="27">
      <c r="A5" s="26" t="inlineStr">
        <is>
          <t>Total cases for the phase</t>
        </is>
      </c>
      <c r="B5" s="62" t="n">
        <v>10000</v>
      </c>
      <c r="C5" s="62" t="n">
        <v>20000</v>
      </c>
      <c r="D5" s="62" t="n">
        <v>30000</v>
      </c>
    </row>
    <row r="6" ht="15" customHeight="1" s="27">
      <c r="A6" s="26" t="inlineStr">
        <is>
          <t>Months in the phase</t>
        </is>
      </c>
      <c r="B6" s="51" t="n">
        <v>10</v>
      </c>
      <c r="C6" s="51" t="n">
        <v>10</v>
      </c>
      <c r="D6" s="51" t="n">
        <v>10</v>
      </c>
      <c r="E6" s="48" t="inlineStr">
        <is>
          <t>Nov 1 2026 to Aug 31 2027</t>
        </is>
      </c>
    </row>
    <row r="7" ht="15" customHeight="1" s="27">
      <c r="A7" s="26" t="inlineStr">
        <is>
          <t>Cases per month</t>
        </is>
      </c>
      <c r="B7" s="63">
        <f>B5/B6</f>
        <v/>
      </c>
      <c r="C7" s="63">
        <f>C5/C6</f>
        <v/>
      </c>
      <c r="D7" s="63">
        <f>D5/D6</f>
        <v/>
      </c>
    </row>
    <row r="8" ht="15" customHeight="1" s="27">
      <c r="A8" s="26" t="inlineStr">
        <is>
          <t>Average cases per delivery drop</t>
        </is>
      </c>
      <c r="B8" s="53" t="n">
        <v>8</v>
      </c>
      <c r="C8" s="53" t="n">
        <v>10</v>
      </c>
      <c r="D8" s="53" t="n">
        <v>12</v>
      </c>
      <c r="E8" s="29" t="inlineStr">
        <is>
          <t>Adjustable lever – sets delivery cost. Break-evens by zone on Rates tab.</t>
        </is>
      </c>
    </row>
    <row r="9" ht="15" customHeight="1" s="27">
      <c r="A9" s="26" t="inlineStr">
        <is>
          <t>Months of stock on hand</t>
        </is>
      </c>
      <c r="B9" s="51" t="n">
        <v>1</v>
      </c>
      <c r="C9" s="51" t="n">
        <v>1</v>
      </c>
      <c r="D9" s="51" t="n">
        <v>1</v>
      </c>
    </row>
    <row r="10" ht="15" customHeight="1" s="27">
      <c r="A10" s="26" t="inlineStr">
        <is>
          <t>Fuel surcharge %</t>
        </is>
      </c>
      <c r="B10" s="54" t="n">
        <v>0</v>
      </c>
      <c r="C10" s="54" t="n">
        <v>0</v>
      </c>
      <c r="D10" s="54" t="n">
        <v>0</v>
      </c>
    </row>
    <row r="11" ht="15" customHeight="1" s="27">
      <c r="A11" s="26" t="inlineStr">
        <is>
          <t>Admin $/case, 0.194 CWFS fwd or 0.384 own fwd</t>
        </is>
      </c>
      <c r="B11" s="55" t="n">
        <v>0.384</v>
      </c>
      <c r="C11" s="55" t="n">
        <v>0.384</v>
      </c>
      <c r="D11" s="55" t="n">
        <v>0.384</v>
      </c>
    </row>
    <row r="12" ht="15" customHeight="1" s="27">
      <c r="A12" s="26" t="inlineStr">
        <is>
          <t>Transit insurance $/case, 0 to exclude</t>
        </is>
      </c>
      <c r="B12" s="56" t="n">
        <v>0.09</v>
      </c>
      <c r="C12" s="56" t="n">
        <v>0.09</v>
      </c>
      <c r="D12" s="56" t="n">
        <v>0.09</v>
      </c>
    </row>
    <row r="13" ht="15" customHeight="1" s="27">
      <c r="A13" s="26" t="inlineStr">
        <is>
          <t>Storage insurance $/case/mo, 0 to exclude</t>
        </is>
      </c>
      <c r="B13" s="56" t="n">
        <v>0.028</v>
      </c>
      <c r="C13" s="56" t="n">
        <v>0.028</v>
      </c>
      <c r="D13" s="56" t="n">
        <v>0.028</v>
      </c>
    </row>
    <row r="15" ht="15" customHeight="1" s="27">
      <c r="A15" s="45" t="inlineStr">
        <is>
          <t>BLENDED DELIVERY RATE  =MAX(zone rate, zone min ÷ cases per drop), weighted by zone mix</t>
        </is>
      </c>
    </row>
    <row r="16" ht="15" customHeight="1" s="27">
      <c r="A16" s="26" t="inlineStr">
        <is>
          <t>Lower Mainland</t>
        </is>
      </c>
      <c r="B16" s="44">
        <f>MAX(Rates!$B$19,Rates!$C$19/B$8)*$E16</f>
        <v/>
      </c>
      <c r="C16" s="44">
        <f>MAX(Rates!$B$19,Rates!$C$19/C$8)*$E16</f>
        <v/>
      </c>
      <c r="D16" s="44">
        <f>MAX(Rates!$B$19,Rates!$C$19/D$8)*$E16</f>
        <v/>
      </c>
      <c r="E16" s="57" t="n">
        <v>0.62</v>
      </c>
    </row>
    <row r="17" ht="15" customHeight="1" s="27">
      <c r="A17" s="26" t="inlineStr">
        <is>
          <t>Fraser Valley</t>
        </is>
      </c>
      <c r="B17" s="44">
        <f>MAX(Rates!$B$20,Rates!$C$20/B$8)*$E17</f>
        <v/>
      </c>
      <c r="C17" s="44">
        <f>MAX(Rates!$B$20,Rates!$C$20/C$8)*$E17</f>
        <v/>
      </c>
      <c r="D17" s="44">
        <f>MAX(Rates!$B$20,Rates!$C$20/D$8)*$E17</f>
        <v/>
      </c>
      <c r="E17" s="57" t="n">
        <v>0.15</v>
      </c>
    </row>
    <row r="18" ht="15" customHeight="1" s="27">
      <c r="A18" s="26" t="inlineStr">
        <is>
          <t>East Fraser Valley</t>
        </is>
      </c>
      <c r="B18" s="44">
        <f>MAX(Rates!$B$21,Rates!$C$21/B$8)*$E18</f>
        <v/>
      </c>
      <c r="C18" s="44">
        <f>MAX(Rates!$B$21,Rates!$C$21/C$8)*$E18</f>
        <v/>
      </c>
      <c r="D18" s="44">
        <f>MAX(Rates!$B$21,Rates!$C$21/D$8)*$E18</f>
        <v/>
      </c>
      <c r="E18" s="57" t="n">
        <v>0.04</v>
      </c>
    </row>
    <row r="19" ht="15" customHeight="1" s="27">
      <c r="A19" s="26" t="inlineStr">
        <is>
          <t>Vancouver Island</t>
        </is>
      </c>
      <c r="B19" s="44">
        <f>MAX(Rates!$B$22,Rates!$C$22/B$8)*$E19</f>
        <v/>
      </c>
      <c r="C19" s="44">
        <f>MAX(Rates!$B$22,Rates!$C$22/C$8)*$E19</f>
        <v/>
      </c>
      <c r="D19" s="44">
        <f>MAX(Rates!$B$22,Rates!$C$22/D$8)*$E19</f>
        <v/>
      </c>
      <c r="E19" s="57" t="n">
        <v>0.13</v>
      </c>
    </row>
    <row r="20" ht="15" customHeight="1" s="27">
      <c r="A20" s="26" t="inlineStr">
        <is>
          <t>Okanagan/Kelowna</t>
        </is>
      </c>
      <c r="B20" s="44">
        <f>MAX(Rates!$B$23,Rates!$C$23/B$8)*$E20</f>
        <v/>
      </c>
      <c r="C20" s="44">
        <f>MAX(Rates!$B$23,Rates!$C$23/C$8)*$E20</f>
        <v/>
      </c>
      <c r="D20" s="44">
        <f>MAX(Rates!$B$23,Rates!$C$23/D$8)*$E20</f>
        <v/>
      </c>
      <c r="E20" s="57" t="n">
        <v>0.06</v>
      </c>
    </row>
    <row r="21" ht="15" customHeight="1" s="27">
      <c r="A21" s="45" t="inlineStr">
        <is>
          <t>Blended delivery $/case</t>
        </is>
      </c>
      <c r="B21" s="58">
        <f>SUM(B16:B20)</f>
        <v/>
      </c>
      <c r="C21" s="58">
        <f>SUM(C16:C20)</f>
        <v/>
      </c>
      <c r="D21" s="58">
        <f>SUM(D16:D20)</f>
        <v/>
      </c>
    </row>
    <row r="23" ht="15" customHeight="1" s="27">
      <c r="A23" s="45" t="inlineStr">
        <is>
          <t>COST PER CASE BUILD</t>
        </is>
      </c>
    </row>
    <row r="24" ht="15" customHeight="1" s="27">
      <c r="A24" s="26" t="inlineStr">
        <is>
          <t>Inbound handling (palletized)</t>
        </is>
      </c>
      <c r="B24" s="44">
        <f>Rates!$B$4</f>
        <v/>
      </c>
      <c r="C24" s="44">
        <f>Rates!$B$4</f>
        <v/>
      </c>
      <c r="D24" s="44">
        <f>Rates!$B$4</f>
        <v/>
      </c>
    </row>
    <row r="25" ht="15" customHeight="1" s="27">
      <c r="A25" s="26" t="inlineStr">
        <is>
          <t>Storage</t>
        </is>
      </c>
      <c r="B25" s="44">
        <f>Rates!$B$7*B9</f>
        <v/>
      </c>
      <c r="C25" s="44">
        <f>Rates!$B$7*C9</f>
        <v/>
      </c>
      <c r="D25" s="44">
        <f>Rates!$B$7*D9</f>
        <v/>
      </c>
    </row>
    <row r="26" ht="15" customHeight="1" s="27">
      <c r="A26" s="26" t="inlineStr">
        <is>
          <t>Case pick</t>
        </is>
      </c>
      <c r="B26" s="44">
        <f>Rates!$B$6</f>
        <v/>
      </c>
      <c r="C26" s="44">
        <f>Rates!$B$6</f>
        <v/>
      </c>
      <c r="D26" s="44">
        <f>Rates!$B$6</f>
        <v/>
      </c>
    </row>
    <row r="27" ht="15" customHeight="1" s="27">
      <c r="A27" s="26" t="inlineStr">
        <is>
          <t>Admin</t>
        </is>
      </c>
      <c r="B27" s="44">
        <f>B11</f>
        <v/>
      </c>
      <c r="C27" s="44">
        <f>C11</f>
        <v/>
      </c>
      <c r="D27" s="44">
        <f>D11</f>
        <v/>
      </c>
    </row>
    <row r="28" ht="15" customHeight="1" s="27">
      <c r="A28" s="26" t="inlineStr">
        <is>
          <t>Insurance, transit + storage</t>
        </is>
      </c>
      <c r="B28" s="44">
        <f>B12+B13*B9</f>
        <v/>
      </c>
      <c r="C28" s="44">
        <f>C12+C13*C9</f>
        <v/>
      </c>
      <c r="D28" s="44">
        <f>D12+D13*D9</f>
        <v/>
      </c>
    </row>
    <row r="29" ht="15" customHeight="1" s="27">
      <c r="A29" s="26" t="inlineStr">
        <is>
          <t>Delivery (blended, incl fuel)</t>
        </is>
      </c>
      <c r="B29" s="44">
        <f>B21*(1+B10)</f>
        <v/>
      </c>
      <c r="C29" s="44">
        <f>C21*(1+C10)</f>
        <v/>
      </c>
      <c r="D29" s="44">
        <f>D21*(1+D10)</f>
        <v/>
      </c>
    </row>
    <row r="30" ht="15" customHeight="1" s="27">
      <c r="A30" s="26" t="inlineStr">
        <is>
          <t>Delivery pallet charge</t>
        </is>
      </c>
      <c r="B30" s="44">
        <f>Rates!$B$13</f>
        <v/>
      </c>
      <c r="C30" s="44">
        <f>Rates!$B$13</f>
        <v/>
      </c>
      <c r="D30" s="44">
        <f>Rates!$B$13</f>
        <v/>
      </c>
    </row>
    <row r="31" ht="15" customHeight="1" s="27">
      <c r="A31" s="45" t="inlineStr">
        <is>
          <t>ALL IN $ PER CASE</t>
        </is>
      </c>
      <c r="B31" s="59">
        <f>SUM(B24:B30)</f>
        <v/>
      </c>
      <c r="C31" s="59">
        <f>SUM(C24:C30)</f>
        <v/>
      </c>
      <c r="D31" s="59">
        <f>SUM(D24:D30)</f>
        <v/>
      </c>
    </row>
    <row r="33" ht="15" customHeight="1" s="27">
      <c r="A33" s="45" t="inlineStr">
        <is>
          <t>PHASE TOTALS</t>
        </is>
      </c>
    </row>
    <row r="34" ht="15" customHeight="1" s="27">
      <c r="A34" s="26" t="inlineStr">
        <is>
          <t>Monthly ContainerWorld cost</t>
        </is>
      </c>
      <c r="B34" s="60">
        <f>B31*B7</f>
        <v/>
      </c>
      <c r="C34" s="60">
        <f>C31*C7</f>
        <v/>
      </c>
      <c r="D34" s="60">
        <f>D31*D7</f>
        <v/>
      </c>
    </row>
    <row r="35" ht="15" customHeight="1" s="27">
      <c r="A35" s="45" t="inlineStr">
        <is>
          <t>Full phase ContainerWorld cost</t>
        </is>
      </c>
      <c r="B35" s="61">
        <f>B34*B6</f>
        <v/>
      </c>
      <c r="C35" s="61">
        <f>C34*C6</f>
        <v/>
      </c>
      <c r="D35" s="61">
        <f>D34*D6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2026-06-10T23:51:10Z</dcterms:created>
  <dcterms:modified xsi:type="dcterms:W3CDTF">2026-06-11T02:32:30Z</dcterms:modified>
  <cp:revision>0</cp:revision>
</cp:coreProperties>
</file>