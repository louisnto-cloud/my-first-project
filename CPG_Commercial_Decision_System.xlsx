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_and_Definitions" sheetId="1" state="visible" r:id="rId1"/>
    <sheet name="Inputs_and_Control_Center" sheetId="2" state="visible" r:id="rId2"/>
    <sheet name="Calculations_Gross_to_Net" sheetId="3" state="visible" r:id="rId3"/>
    <sheet name="Scenarios" sheetId="4" state="visible" r:id="rId4"/>
    <sheet name="Promotions_and_ROI" sheetId="5" state="visible" r:id="rId5"/>
    <sheet name="Currency_and_FX" sheetId="6" state="visible" r:id="rId6"/>
    <sheet name="Dashboard_Executive_View" sheetId="7" state="visible" r:id="rId7"/>
    <sheet name="Checks_Controls_and_Audit" sheetId="8" state="visible" r:id="rId8"/>
    <sheet name="Lookups_and_Assumptions" sheetId="9" state="visible" r:id="rId9"/>
  </sheets>
  <definedNames>
    <definedName name="scnList">'Lookups_and_Assumptions'!$B$6:$B$12</definedName>
    <definedName name="bizList">'Lookups_and_Assumptions'!$B$15:$B$19</definedName>
    <definedName name="ccyList">'Lookups_and_Assumptions'!$B$22:$B$25</definedName>
    <definedName name="selScenario">'Inputs_and_Control_Center'!$C$7</definedName>
    <definedName name="selBusinessModel">'Inputs_and_Control_Center'!$C$8</definedName>
    <definedName name="selBaseCurrency">'Inputs_and_Control_Center'!$C$9</definedName>
    <definedName name="selReportingCurrency">'Inputs_and_Control_Center'!$C$10</definedName>
    <definedName name="TargetGM">'Inputs_and_Control_Center'!$F$6</definedName>
    <definedName name="TargetNM">'Inputs_and_Control_Center'!$F$7</definedName>
    <definedName name="TargetROI">'Inputs_and_Control_Center'!$F$8</definedName>
    <definedName name="MaxTradePct">'Inputs_and_Control_Center'!$F$9</definedName>
    <definedName name="MinContribUnit">'Inputs_and_Control_Center'!$F$10</definedName>
    <definedName name="SKU">'Inputs_and_Control_Center'!$C$14</definedName>
    <definedName name="UnitsPerCase">'Inputs_and_Control_Center'!$C$20</definedName>
    <definedName name="NumStores">'Inputs_and_Control_Center'!$C$22</definedName>
    <definedName name="ListPrice">'Inputs_and_Control_Center'!$C$24</definedName>
    <definedName name="InvoicePrice">'Inputs_and_Control_Center'!$C$25</definedName>
    <definedName name="WholesalePrice">'Inputs_and_Control_Center'!$C$26</definedName>
    <definedName name="SRP">'Inputs_and_Control_Center'!$C$27</definedName>
    <definedName name="PromoRetail">'Inputs_and_Control_Center'!$C$28</definedName>
    <definedName name="PromoDepth">'Inputs_and_Control_Center'!$C$29</definedName>
    <definedName name="RetailerMargin">'Inputs_and_Control_Center'!$C$30</definedName>
    <definedName name="DistributorMargin">'Inputs_and_Control_Center'!$C$31</definedName>
    <definedName name="vc_pu">'Inputs_and_Control_Center'!$C$44</definedName>
    <definedName name="BrokerPct">'Inputs_and_Control_Center'!$C$45</definedName>
    <definedName name="DistributorPct">'Inputs_and_Control_Center'!$C$46</definedName>
    <definedName name="vc_pct">'Inputs_and_Control_Center'!$C$47</definedName>
    <definedName name="ded_trade_pu">'Inputs_and_Control_Center'!$C$67</definedName>
    <definedName name="ded_trade_pct">'Inputs_and_Control_Center'!$D$67</definedName>
    <definedName name="ded_trade_fix">'Inputs_and_Control_Center'!$E$67</definedName>
    <definedName name="ded_other_pu">'Inputs_and_Control_Center'!$C$75</definedName>
    <definedName name="ded_other_pct">'Inputs_and_Control_Center'!$D$75</definedName>
    <definedName name="ded_other_fix">'Inputs_and_Control_Center'!$E$75</definedName>
    <definedName name="ForecastUnits">'Inputs_and_Control_Center'!$C$77</definedName>
    <definedName name="BaseUnits">'Inputs_and_Control_Center'!$C$78</definedName>
    <definedName name="PromoLiftPct">'Inputs_and_Control_Center'!$C$79</definedName>
    <definedName name="CannibPct">'Inputs_and_Control_Center'!$C$80</definedName>
    <definedName name="ForwardBuyPct">'Inputs_and_Control_Center'!$C$81</definedName>
    <definedName name="PantryPct">'Inputs_and_Control_Center'!$C$82</definedName>
    <definedName name="PostDipPct">'Inputs_and_Control_Center'!$C$83</definedName>
    <definedName name="VelocityPSPW">'Inputs_and_Control_Center'!$C$84</definedName>
    <definedName name="PromoWeeks">'Inputs_and_Control_Center'!$C$85</definedName>
    <definedName name="FillRate">'Inputs_and_Control_Center'!$C$86</definedName>
    <definedName name="ACV">'Inputs_and_Control_Center'!$C$87</definedName>
    <definedName name="FixedCommercialTotal">'Inputs_and_Control_Center'!$C$97</definedName>
    <definedName name="MinGM">'Inputs_and_Control_Center'!$C$99</definedName>
    <definedName name="MinNM">'Inputs_and_Control_Center'!$C$100</definedName>
    <definedName name="PriceApprovalThr">'Inputs_and_Control_Center'!$C$101</definedName>
    <definedName name="scnHeaders">'Scenarios'!$C$6:$I$6</definedName>
    <definedName name="volMult">'Scenarios'!$C$7:$I$7</definedName>
    <definedName name="priceMult">'Scenarios'!$C$8:$I$8</definedName>
    <definedName name="vcMult">'Scenarios'!$C$9:$I$9</definedName>
    <definedName name="tradeMult">'Scenarios'!$C$10:$I$10</definedName>
    <definedName name="fillMult">'Scenarios'!$C$11:$I$11</definedName>
    <definedName name="cannibMult">'Scenarios'!$C$12:$I$12</definedName>
    <definedName name="promoFlag">'Scenarios'!$C$13:$I$13</definedName>
    <definedName name="fxMult">'Scenarios'!$C$14:$I$14</definedName>
    <definedName name="actVolM">'Calculations_Gross_to_Net'!$C$6</definedName>
    <definedName name="actPriceM">'Calculations_Gross_to_Net'!$C$7</definedName>
    <definedName name="actVcM">'Calculations_Gross_to_Net'!$C$8</definedName>
    <definedName name="actTradeM">'Calculations_Gross_to_Net'!$C$9</definedName>
    <definedName name="actFillM">'Calculations_Gross_to_Net'!$C$10</definedName>
    <definedName name="actCannibM">'Calculations_Gross_to_Net'!$C$11</definedName>
    <definedName name="actPromoF">'Calculations_Gross_to_Net'!$C$12</definedName>
    <definedName name="actFxM">'Calculations_Gross_to_Net'!$C$13</definedName>
    <definedName name="actFill">'Calculations_Gross_to_Net'!$C$15</definedName>
    <definedName name="actUnits">'Calculations_Gross_to_Net'!$C$16</definedName>
    <definedName name="actCases">'Calculations_Gross_to_Net'!$C$17</definedName>
    <definedName name="actBase">'Calculations_Gross_to_Net'!$C$18</definedName>
    <definedName name="actLift">'Calculations_Gross_to_Net'!$C$19</definedName>
    <definedName name="actCannibVol">'Calculations_Gross_to_Net'!$C$20</definedName>
    <definedName name="actFwd">'Calculations_Gross_to_Net'!$C$21</definedName>
    <definedName name="actDip">'Calculations_Gross_to_Net'!$C$22</definedName>
    <definedName name="actTrueIncr">'Calculations_Gross_to_Net'!$C$23</definedName>
    <definedName name="actPrice">'Calculations_Gross_to_Net'!$C$25</definedName>
    <definedName name="actGross">'Calculations_Gross_to_Net'!$C$26</definedName>
    <definedName name="actOnInv">'Calculations_Gross_to_Net'!$C$27</definedName>
    <definedName name="actOffInv">'Calculations_Gross_to_Net'!$C$28</definedName>
    <definedName name="actTradeSpend">'Calculations_Gross_to_Net'!$C$29</definedName>
    <definedName name="actOtherDed">'Calculations_Gross_to_Net'!$C$30</definedName>
    <definedName name="actGtN">'Calculations_Gross_to_Net'!$C$31</definedName>
    <definedName name="actNet">'Calculations_Gross_to_Net'!$C$32</definedName>
    <definedName name="actNRPunit">'Calculations_Gross_to_Net'!$C$33</definedName>
    <definedName name="actNRPcase">'Calculations_Gross_to_Net'!$C$34</definedName>
    <definedName name="actVCpu">'Calculations_Gross_to_Net'!$C$36</definedName>
    <definedName name="actBroker">'Calculations_Gross_to_Net'!$C$38</definedName>
    <definedName name="actDist">'Calculations_Gross_to_Net'!$C$39</definedName>
    <definedName name="actVCost">'Calculations_Gross_to_Net'!$C$40</definedName>
    <definedName name="actFixed">'Calculations_Gross_to_Net'!$C$41</definedName>
    <definedName name="actGP">'Calculations_Gross_to_Net'!$C$44</definedName>
    <definedName name="actGM">'Calculations_Gross_to_Net'!$C$45</definedName>
    <definedName name="actContrib">'Calculations_Gross_to_Net'!$C$46</definedName>
    <definedName name="actCM">'Calculations_Gross_to_Net'!$C$47</definedName>
    <definedName name="actNP">'Calculations_Gross_to_Net'!$C$48</definedName>
    <definedName name="actNM">'Calculations_Gross_to_Net'!$C$49</definedName>
    <definedName name="actPPU">'Calculations_Gross_to_Net'!$C$50</definedName>
    <definedName name="actPPC">'Calculations_Gross_to_Net'!$C$51</definedName>
    <definedName name="actCPU">'Calculations_Gross_to_Net'!$C$52</definedName>
    <definedName name="actTradePctG">'Calculations_Gross_to_Net'!$C$53</definedName>
    <definedName name="actTradePctN">'Calculations_Gross_to_Net'!$C$54</definedName>
    <definedName name="actTradeEff">'Calculations_Gross_to_Net'!$C$55</definedName>
    <definedName name="actDistBuy">'Calculations_Gross_to_Net'!$C$57</definedName>
    <definedName name="actDistSell">'Calculations_Gross_to_Net'!$C$58</definedName>
    <definedName name="actDistMgnU">'Calculations_Gross_to_Net'!$C$59</definedName>
    <definedName name="actDistMgnPct">'Calculations_Gross_to_Net'!$C$60</definedName>
    <definedName name="actRetailReq">'Calculations_Gross_to_Net'!$C$61</definedName>
    <definedName name="actRetMgnU">'Calculations_Gross_to_Net'!$C$62</definedName>
    <definedName name="actRetMgnPct">'Calculations_Gross_to_Net'!$C$63</definedName>
    <definedName name="incrNet">'Calculations_Gross_to_Net'!$C$77</definedName>
    <definedName name="incrTrade">'Calculations_Gross_to_Net'!$C$78</definedName>
    <definedName name="incrVC">'Calculations_Gross_to_Net'!$C$79</definedName>
    <definedName name="incrContrib">'Calculations_Gross_to_Net'!$C$80</definedName>
    <definedName name="incrNP">'Calculations_Gross_to_Net'!$C$81</definedName>
    <definedName name="promoSpend">'Calculations_Gross_to_Net'!$C$82</definedName>
    <definedName name="actROI">'Calculations_Gross_to_Net'!$C$83</definedName>
    <definedName name="actPayback">'Calculations_Gross_to_Net'!$C$84</definedName>
    <definedName name="beUnits">'Calculations_Gross_to_Net'!$C$86</definedName>
    <definedName name="beCases">'Calculations_Gross_to_Net'!$C$87</definedName>
    <definedName name="beA">'Calculations_Gross_to_Net'!$C$88</definedName>
    <definedName name="beB">'Calculations_Gross_to_Net'!$C$89</definedName>
    <definedName name="beC">'Calculations_Gross_to_Net'!$C$90</definedName>
    <definedName name="beWholesale">'Calculations_Gross_to_Net'!$C$91</definedName>
    <definedName name="beRetail">'Calculations_Gross_to_Net'!$C$92</definedName>
    <definedName name="beLift">'Calculations_Gross_to_Net'!$C$93</definedName>
    <definedName name="beVel">'Calculations_Gross_to_Net'!$C$94</definedName>
    <definedName name="beStores">'Calculations_Gross_to_Net'!$C$95</definedName>
    <definedName name="beWeeks">'Calculations_Gross_to_Net'!$C$96</definedName>
    <definedName name="tgtPriceGM">'Calculations_Gross_to_Net'!$C$105</definedName>
    <definedName name="tgtCostGM">'Calculations_Gross_to_Net'!$C$107</definedName>
    <definedName name="tgtCostGap">'Calculations_Gross_to_Net'!$C$108</definedName>
    <definedName name="actDecisionRow">'Scenarios'!$C$38</definedName>
    <definedName name="fxCcy">'Currency_and_FX'!$B$7:$B$10</definedName>
    <definedName name="fxRate">'Currency_and_FX'!$C$7:$C$10</definedName>
    <definedName name="fxBaseRate">'Currency_and_FX'!$C$13</definedName>
    <definedName name="fxRptRate">'Currency_and_FX'!$C$14</definedName>
    <definedName name="fxFactor">'Currency_and_FX'!$C$15</definedName>
    <definedName name="chkOverall">'Checks_Controls_and_Audit'!$C$33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[Red](0.0%)"/>
    <numFmt numFmtId="165" formatCode="0.00&quot;x&quot;"/>
    <numFmt numFmtId="166" formatCode="#,##0.00;[Red](#,##0.00)"/>
    <numFmt numFmtId="167" formatCode="#,##0;[Red](#,##0)"/>
    <numFmt numFmtId="168" formatCode="0.00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0386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203864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808080"/>
      <sz val="9"/>
    </font>
    <font>
      <name val="Calibri"/>
      <b val="1"/>
      <color rgb="00FFFFFF"/>
      <sz val="9"/>
    </font>
    <font>
      <name val="Calibri"/>
      <color rgb="00808080"/>
      <sz val="8"/>
    </font>
    <font>
      <name val="Calibri"/>
      <i val="1"/>
      <color rgb="00000000"/>
      <sz val="10"/>
    </font>
    <font>
      <name val="Calibri"/>
      <color rgb="00203864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b val="1"/>
      <color rgb="00203864"/>
      <sz val="9"/>
    </font>
    <font>
      <name val="Calibri"/>
      <b val="1"/>
      <color rgb="00000000"/>
      <sz val="14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6" fillId="6" borderId="1" applyAlignment="1" applyProtection="1" pivotButton="0" quotePrefix="0" xfId="0">
      <alignment horizontal="left" vertical="center"/>
      <protection locked="0" hidden="0"/>
    </xf>
    <xf numFmtId="164" fontId="6" fillId="6" borderId="1" applyAlignment="1" applyProtection="1" pivotButton="0" quotePrefix="0" xfId="0">
      <alignment horizontal="center" vertical="center" wrapText="1"/>
      <protection locked="0" hidden="0"/>
    </xf>
    <xf numFmtId="0" fontId="7" fillId="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0">
      <alignment horizontal="center" vertical="center" wrapText="1"/>
      <protection locked="0" hidden="0"/>
    </xf>
    <xf numFmtId="166" fontId="6" fillId="6" borderId="1" applyAlignment="1" applyProtection="1" pivotButton="0" quotePrefix="0" xfId="0">
      <alignment horizontal="center" vertical="center" wrapText="1"/>
      <protection locked="0" hidden="0"/>
    </xf>
    <xf numFmtId="0" fontId="6" fillId="5" borderId="1" applyAlignment="1" pivotButton="0" quotePrefix="0" xfId="0">
      <alignment horizontal="left" vertical="center"/>
    </xf>
    <xf numFmtId="49" fontId="6" fillId="6" borderId="1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left" vertical="center"/>
    </xf>
    <xf numFmtId="3" fontId="6" fillId="6" borderId="1" applyAlignment="1" applyProtection="1" pivotButton="0" quotePrefix="0" xfId="0">
      <alignment horizontal="right" vertical="center"/>
      <protection locked="0" hidden="0"/>
    </xf>
    <xf numFmtId="166" fontId="6" fillId="6" borderId="1" applyAlignment="1" applyProtection="1" pivotButton="0" quotePrefix="0" xfId="0">
      <alignment horizontal="right" vertical="center"/>
      <protection locked="0" hidden="0"/>
    </xf>
    <xf numFmtId="0" fontId="8" fillId="5" borderId="0" applyAlignment="1" pivotButton="0" quotePrefix="0" xfId="0">
      <alignment horizontal="left" vertical="center"/>
    </xf>
    <xf numFmtId="164" fontId="6" fillId="6" borderId="1" applyAlignment="1" applyProtection="1" pivotButton="0" quotePrefix="0" xfId="0">
      <alignment horizontal="right" vertical="center"/>
      <protection locked="0" hidden="0"/>
    </xf>
    <xf numFmtId="0" fontId="5" fillId="8" borderId="1" applyAlignment="1" pivotButton="0" quotePrefix="0" xfId="0">
      <alignment horizontal="left" vertical="center"/>
    </xf>
    <xf numFmtId="166" fontId="6" fillId="8" borderId="1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6" fontId="4" fillId="6" borderId="1" applyAlignment="1" applyProtection="1" pivotButton="0" quotePrefix="0" xfId="0">
      <alignment horizontal="right" vertical="center"/>
      <protection locked="0" hidden="0"/>
    </xf>
    <xf numFmtId="164" fontId="4" fillId="6" borderId="1" applyAlignment="1" applyProtection="1" pivotButton="0" quotePrefix="0" xfId="0">
      <alignment horizontal="right" vertical="center"/>
      <protection locked="0" hidden="0"/>
    </xf>
    <xf numFmtId="167" fontId="4" fillId="6" borderId="1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center" vertical="center" wrapText="1"/>
    </xf>
    <xf numFmtId="167" fontId="6" fillId="8" borderId="1" applyAlignment="1" pivotButton="0" quotePrefix="0" xfId="0">
      <alignment horizontal="right" vertical="center"/>
    </xf>
    <xf numFmtId="167" fontId="6" fillId="6" borderId="1" applyAlignment="1" applyProtection="1" pivotButton="0" quotePrefix="0" xfId="0">
      <alignment horizontal="right" vertical="center"/>
      <protection locked="0" hidden="0"/>
    </xf>
    <xf numFmtId="0" fontId="11" fillId="6" borderId="1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6" fillId="3" borderId="1" applyAlignment="1" pivotButton="0" quotePrefix="0" xfId="0">
      <alignment horizontal="left" vertical="center"/>
    </xf>
    <xf numFmtId="167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/>
    </xf>
    <xf numFmtId="2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2" fontId="6" fillId="6" borderId="1" applyAlignment="1" applyProtection="1" pivotButton="0" quotePrefix="0" xfId="0">
      <alignment horizontal="center" vertical="center" wrapText="1"/>
      <protection locked="0" hidden="0"/>
    </xf>
    <xf numFmtId="3" fontId="6" fillId="6" borderId="1" applyAlignment="1" applyProtection="1" pivotButton="0" quotePrefix="0" xfId="0">
      <alignment horizontal="center" vertical="center" wrapText="1"/>
      <protection locked="0" hidden="0"/>
    </xf>
    <xf numFmtId="0" fontId="6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8" fontId="6" fillId="6" borderId="1" applyAlignment="1" applyProtection="1" pivotButton="0" quotePrefix="0" xfId="0">
      <alignment horizontal="right" vertical="center"/>
      <protection locked="0" hidden="0"/>
    </xf>
    <xf numFmtId="168" fontId="6" fillId="5" borderId="1" applyAlignment="1" pivotButton="0" quotePrefix="0" xfId="0">
      <alignment horizontal="right" vertical="center"/>
    </xf>
    <xf numFmtId="168" fontId="6" fillId="8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167" fontId="13" fillId="5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166" fontId="13" fillId="5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167" fontId="19" fillId="5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166" fontId="16" fillId="5" borderId="1" applyAlignment="1" pivotButton="0" quotePrefix="0" xfId="0">
      <alignment horizontal="right" vertical="center"/>
    </xf>
  </cellXfs>
  <cellStyles count="1">
    <cellStyle name="Normal" xfId="0" builtinId="0" hidden="0"/>
  </cellStyles>
  <dxfs count="17">
    <dxf>
      <font>
        <name val="Calibri"/>
        <b val="1"/>
        <color rgb="00006100"/>
        <sz val="12"/>
      </font>
      <fill>
        <patternFill patternType="solid">
          <fgColor rgb="00C6EFCE"/>
        </patternFill>
      </fill>
    </dxf>
    <dxf>
      <font>
        <name val="Calibri"/>
        <b val="1"/>
        <color rgb="009C6500"/>
        <sz val="12"/>
      </font>
      <fill>
        <patternFill patternType="solid">
          <fgColor rgb="00FFEB9C"/>
        </patternFill>
      </fill>
    </dxf>
    <dxf>
      <font>
        <name val="Calibri"/>
        <b val="1"/>
        <color rgb="009C0006"/>
        <sz val="12"/>
      </font>
      <fill>
        <patternFill patternType="solid">
          <fgColor rgb="00FFC7CE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6500"/>
        <sz val="11"/>
      </font>
      <fill>
        <patternFill patternType="solid">
          <fgColor rgb="00FFEB9C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  <dxf>
      <font>
        <name val="Calibri"/>
        <b val="1"/>
        <color rgb="009C6500"/>
        <sz val="10"/>
      </font>
      <fill>
        <patternFill patternType="solid">
          <fgColor rgb="00FFEB9C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b val="1"/>
        <color rgb="009C0006"/>
        <sz val="10"/>
      </font>
    </dxf>
    <dxf>
      <font>
        <name val="Calibri"/>
        <b val="1"/>
        <color rgb="00006100"/>
        <sz val="14"/>
      </font>
      <fill>
        <patternFill patternType="solid">
          <fgColor rgb="00C6EFCE"/>
        </patternFill>
      </fill>
    </dxf>
    <dxf>
      <font>
        <name val="Calibri"/>
        <b val="1"/>
        <color rgb="009C6500"/>
        <sz val="14"/>
      </font>
      <fill>
        <patternFill patternType="solid">
          <fgColor rgb="00FFEB9C"/>
        </patternFill>
      </fill>
    </dxf>
    <dxf>
      <font>
        <name val="Calibri"/>
        <b val="1"/>
        <color rgb="009C0006"/>
        <sz val="14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Calibri"/>
        <b val="1"/>
        <color rgb="00FFFFFF"/>
        <sz val="12"/>
      </font>
      <fill>
        <patternFill patternType="solid">
          <fgColor rgb="00006100"/>
        </patternFill>
      </fill>
    </dxf>
    <dxf>
      <font>
        <name val="Calibri"/>
        <b val="1"/>
        <color rgb="00FFFFFF"/>
        <sz val="12"/>
      </font>
      <fill>
        <patternFill patternType="solid">
          <f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Gross-to-Net Bridge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'Dashboard_Executive_View'!$B$37:$B$45</f>
            </numRef>
          </cat>
          <val>
            <numRef>
              <f>'Dashboard_Executive_View'!$C$37:$C$45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'Scenarios'!$C$6:$I$6</f>
            </numRef>
          </cat>
          <val>
            <numRef>
              <f>'Scenarios'!$C$29:$I$29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35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B2:N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6" customHeight="1">
      <c r="B2" s="1" t="inlineStr">
        <is>
          <t>READ ME &amp; DEFINITIONS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Enterprise CPG Commercial Decision System — purpose, version control, metric definitions, and logic notes.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A.  MODEL PURPOSE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B6" s="7" t="inlineStr">
        <is>
          <t>Purpose</t>
        </is>
      </c>
      <c r="C6" s="8" t="inlineStr">
        <is>
          <t>Enterprise commercial operating tool to evaluate pricing, promotion, trade investment, distribution structure and customer profitability — and produce a GO / REVIEW / STOP decision.</t>
        </is>
      </c>
      <c r="D6" s="9" t="n"/>
      <c r="E6" s="9" t="n"/>
      <c r="F6" s="9" t="n"/>
      <c r="G6" s="9" t="n"/>
      <c r="H6" s="9" t="n"/>
      <c r="I6" s="9" t="n"/>
      <c r="J6" s="10" t="n"/>
    </row>
    <row r="7">
      <c r="B7" s="7" t="inlineStr">
        <is>
          <t>Decisions supported</t>
        </is>
      </c>
      <c r="C7" s="8" t="inlineStr">
        <is>
          <t>Should we take this deal? Run this promo? What wholesale price hits target margin? What is true net realized price? How much incremental volume to break even? What if cost / fill / FX move?</t>
        </is>
      </c>
      <c r="D7" s="9" t="n"/>
      <c r="E7" s="9" t="n"/>
      <c r="F7" s="9" t="n"/>
      <c r="G7" s="9" t="n"/>
      <c r="H7" s="9" t="n"/>
      <c r="I7" s="9" t="n"/>
      <c r="J7" s="10" t="n"/>
    </row>
    <row r="8">
      <c r="B8" s="7" t="inlineStr">
        <is>
          <t>Primary users</t>
        </is>
      </c>
      <c r="C8" s="8" t="inlineStr">
        <is>
          <t>CFO, GM, SVP Sales, RGM lead, Commercial Finance, Category &amp; Customer teams.</t>
        </is>
      </c>
      <c r="D8" s="9" t="n"/>
      <c r="E8" s="9" t="n"/>
      <c r="F8" s="9" t="n"/>
      <c r="G8" s="9" t="n"/>
      <c r="H8" s="9" t="n"/>
      <c r="I8" s="9" t="n"/>
      <c r="J8" s="10" t="n"/>
    </row>
    <row r="9">
      <c r="B9" s="7" t="inlineStr">
        <is>
          <t>Owner</t>
        </is>
      </c>
      <c r="C9" s="8" t="inlineStr">
        <is>
          <t>Commercial Finance Systems (model owner). Business owner: RGM lead.</t>
        </is>
      </c>
      <c r="D9" s="9" t="n"/>
      <c r="E9" s="9" t="n"/>
      <c r="F9" s="9" t="n"/>
      <c r="G9" s="9" t="n"/>
      <c r="H9" s="9" t="n"/>
      <c r="I9" s="9" t="n"/>
      <c r="J9" s="10" t="n"/>
    </row>
    <row r="10">
      <c r="B10" s="7" t="inlineStr">
        <is>
          <t>Model grain</t>
        </is>
      </c>
      <c r="C10" s="8" t="inlineStr">
        <is>
          <t>One product × one customer/retailer/distributor path × one scenario × one market × one currency. Template is reusable across SKUs/customers.</t>
        </is>
      </c>
      <c r="D10" s="9" t="n"/>
      <c r="E10" s="9" t="n"/>
      <c r="F10" s="9" t="n"/>
      <c r="G10" s="9" t="n"/>
      <c r="H10" s="9" t="n"/>
      <c r="I10" s="9" t="n"/>
      <c r="J10" s="10" t="n"/>
    </row>
    <row r="11" ht="20" customHeight="1">
      <c r="B11" s="5" t="inlineStr">
        <is>
          <t>B.  VERSION CONTROL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B12" s="7" t="inlineStr">
        <is>
          <t>Model name</t>
        </is>
      </c>
      <c r="C12" s="8" t="inlineStr">
        <is>
          <t>CPG Commercial Decision System</t>
        </is>
      </c>
      <c r="D12" s="9" t="n"/>
      <c r="E12" s="9" t="n"/>
      <c r="F12" s="9" t="n"/>
      <c r="G12" s="9" t="n"/>
      <c r="H12" s="9" t="n"/>
      <c r="I12" s="9" t="n"/>
      <c r="J12" s="10" t="n"/>
    </row>
    <row r="13">
      <c r="B13" s="7" t="inlineStr">
        <is>
          <t>Version</t>
        </is>
      </c>
      <c r="C13" s="8" t="inlineStr">
        <is>
          <t>1.0</t>
        </is>
      </c>
      <c r="D13" s="9" t="n"/>
      <c r="E13" s="9" t="n"/>
      <c r="F13" s="9" t="n"/>
      <c r="G13" s="9" t="n"/>
      <c r="H13" s="9" t="n"/>
      <c r="I13" s="9" t="n"/>
      <c r="J13" s="10" t="n"/>
    </row>
    <row r="14">
      <c r="B14" s="7" t="inlineStr">
        <is>
          <t>Owner</t>
        </is>
      </c>
      <c r="C14" s="8" t="inlineStr">
        <is>
          <t>Commercial Finance Systems</t>
        </is>
      </c>
      <c r="D14" s="9" t="n"/>
      <c r="E14" s="9" t="n"/>
      <c r="F14" s="9" t="n"/>
      <c r="G14" s="9" t="n"/>
      <c r="H14" s="9" t="n"/>
      <c r="I14" s="9" t="n"/>
      <c r="J14" s="10" t="n"/>
    </row>
    <row r="15">
      <c r="B15" s="7" t="inlineStr">
        <is>
          <t>Created</t>
        </is>
      </c>
      <c r="C15" s="8" t="inlineStr">
        <is>
          <t>2026-06-26</t>
        </is>
      </c>
      <c r="D15" s="9" t="n"/>
      <c r="E15" s="9" t="n"/>
      <c r="F15" s="9" t="n"/>
      <c r="G15" s="9" t="n"/>
      <c r="H15" s="9" t="n"/>
      <c r="I15" s="9" t="n"/>
      <c r="J15" s="10" t="n"/>
    </row>
    <row r="16">
      <c r="B16" s="7" t="inlineStr">
        <is>
          <t>Last update</t>
        </is>
      </c>
      <c r="C16" s="8" t="inlineStr">
        <is>
          <t>2026-06-26</t>
        </is>
      </c>
      <c r="D16" s="9" t="n"/>
      <c r="E16" s="9" t="n"/>
      <c r="F16" s="9" t="n"/>
      <c r="G16" s="9" t="n"/>
      <c r="H16" s="9" t="n"/>
      <c r="I16" s="9" t="n"/>
      <c r="J16" s="10" t="n"/>
    </row>
    <row r="17">
      <c r="B17" s="7" t="inlineStr">
        <is>
          <t>Change log</t>
        </is>
      </c>
      <c r="C17" s="8" t="inlineStr">
        <is>
          <t>v1.0 — initial build: GtN engine, scenario engine, promo ROI, FX, dashboard, audit.</t>
        </is>
      </c>
      <c r="D17" s="9" t="n"/>
      <c r="E17" s="9" t="n"/>
      <c r="F17" s="9" t="n"/>
      <c r="G17" s="9" t="n"/>
      <c r="H17" s="9" t="n"/>
      <c r="I17" s="9" t="n"/>
      <c r="J17" s="10" t="n"/>
    </row>
    <row r="19" ht="20" customHeight="1">
      <c r="B19" s="5" t="inlineStr">
        <is>
          <t>C.  METRIC DEFINITIONS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B20" s="11" t="inlineStr">
        <is>
          <t>Metric</t>
        </is>
      </c>
      <c r="C20" s="11" t="inlineStr">
        <is>
          <t>Definition / formula</t>
        </is>
      </c>
      <c r="D20" s="9" t="n"/>
      <c r="E20" s="9" t="n"/>
      <c r="F20" s="9" t="n"/>
      <c r="G20" s="9" t="n"/>
      <c r="H20" s="9" t="n"/>
      <c r="I20" s="9" t="n"/>
      <c r="J20" s="10" t="n"/>
    </row>
    <row r="21">
      <c r="B21" s="7" t="inlineStr">
        <is>
          <t>Gross Sales</t>
        </is>
      </c>
      <c r="C21" s="8" t="inlineStr">
        <is>
          <t>Effective Units × Active Wholesale Price.</t>
        </is>
      </c>
      <c r="D21" s="9" t="n"/>
      <c r="E21" s="9" t="n"/>
      <c r="F21" s="9" t="n"/>
      <c r="G21" s="9" t="n"/>
      <c r="H21" s="9" t="n"/>
      <c r="I21" s="9" t="n"/>
      <c r="J21" s="10" t="n"/>
    </row>
    <row r="22">
      <c r="B22" s="7" t="inlineStr">
        <is>
          <t>On-Invoice Deductions</t>
        </is>
      </c>
      <c r="C22" s="8" t="inlineStr">
        <is>
          <t>Trade deductions taken on the invoice (per-unit trade elements).</t>
        </is>
      </c>
      <c r="D22" s="9" t="n"/>
      <c r="E22" s="9" t="n"/>
      <c r="F22" s="9" t="n"/>
      <c r="G22" s="9" t="n"/>
      <c r="H22" s="9" t="n"/>
      <c r="I22" s="9" t="n"/>
      <c r="J22" s="10" t="n"/>
    </row>
    <row r="23">
      <c r="B23" s="7" t="inlineStr">
        <is>
          <t>Off-Invoice Deductions</t>
        </is>
      </c>
      <c r="C23" s="8" t="inlineStr">
        <is>
          <t>Trade taken after invoice: scan/bill backs, markdown, display, % &amp; fixed trade.</t>
        </is>
      </c>
      <c r="D23" s="9" t="n"/>
      <c r="E23" s="9" t="n"/>
      <c r="F23" s="9" t="n"/>
      <c r="G23" s="9" t="n"/>
      <c r="H23" s="9" t="n"/>
      <c r="I23" s="9" t="n"/>
      <c r="J23" s="10" t="n"/>
    </row>
    <row r="24">
      <c r="B24" s="7" t="inlineStr">
        <is>
          <t>Gross-to-Net Deductions</t>
        </is>
      </c>
      <c r="C24" s="8" t="inlineStr">
        <is>
          <t>On-invoice + off-invoice trade + other financial deductions (accruals, EPD, customer deductions, chargebacks, claims).</t>
        </is>
      </c>
      <c r="D24" s="9" t="n"/>
      <c r="E24" s="9" t="n"/>
      <c r="F24" s="9" t="n"/>
      <c r="G24" s="9" t="n"/>
      <c r="H24" s="9" t="n"/>
      <c r="I24" s="9" t="n"/>
      <c r="J24" s="10" t="n"/>
    </row>
    <row r="25">
      <c r="B25" s="7" t="inlineStr">
        <is>
          <t>Net Sales</t>
        </is>
      </c>
      <c r="C25" s="8" t="inlineStr">
        <is>
          <t>Gross Sales − Total Gross-to-Net Deductions.</t>
        </is>
      </c>
      <c r="D25" s="9" t="n"/>
      <c r="E25" s="9" t="n"/>
      <c r="F25" s="9" t="n"/>
      <c r="G25" s="9" t="n"/>
      <c r="H25" s="9" t="n"/>
      <c r="I25" s="9" t="n"/>
      <c r="J25" s="10" t="n"/>
    </row>
    <row r="26">
      <c r="B26" s="7" t="inlineStr">
        <is>
          <t>Gross Profit / Margin %</t>
        </is>
      </c>
      <c r="C26" s="8" t="inlineStr">
        <is>
          <t>Gross Sales − Total Variable Cost ; ÷ Gross Sales.</t>
        </is>
      </c>
      <c r="D26" s="9" t="n"/>
      <c r="E26" s="9" t="n"/>
      <c r="F26" s="9" t="n"/>
      <c r="G26" s="9" t="n"/>
      <c r="H26" s="9" t="n"/>
      <c r="I26" s="9" t="n"/>
      <c r="J26" s="10" t="n"/>
    </row>
    <row r="27">
      <c r="B27" s="7" t="inlineStr">
        <is>
          <t>Contribution / Margin %</t>
        </is>
      </c>
      <c r="C27" s="8" t="inlineStr">
        <is>
          <t>Net Sales − Total Variable Cost ; ÷ Net Sales.</t>
        </is>
      </c>
      <c r="D27" s="9" t="n"/>
      <c r="E27" s="9" t="n"/>
      <c r="F27" s="9" t="n"/>
      <c r="G27" s="9" t="n"/>
      <c r="H27" s="9" t="n"/>
      <c r="I27" s="9" t="n"/>
      <c r="J27" s="10" t="n"/>
    </row>
    <row r="28">
      <c r="B28" s="7" t="inlineStr">
        <is>
          <t>Net Profit / Margin %</t>
        </is>
      </c>
      <c r="C28" s="8" t="inlineStr">
        <is>
          <t>Contribution − Fixed Commercial Cost ; ÷ Net Sales.</t>
        </is>
      </c>
      <c r="D28" s="9" t="n"/>
      <c r="E28" s="9" t="n"/>
      <c r="F28" s="9" t="n"/>
      <c r="G28" s="9" t="n"/>
      <c r="H28" s="9" t="n"/>
      <c r="I28" s="9" t="n"/>
      <c r="J28" s="10" t="n"/>
    </row>
    <row r="29">
      <c r="B29" s="7" t="inlineStr">
        <is>
          <t>Trade Spend $ / % Gross / % Net</t>
        </is>
      </c>
      <c r="C29" s="8" t="inlineStr">
        <is>
          <t>Sum of trade-investment elements ; ÷ Gross ; ÷ Net.</t>
        </is>
      </c>
      <c r="D29" s="9" t="n"/>
      <c r="E29" s="9" t="n"/>
      <c r="F29" s="9" t="n"/>
      <c r="G29" s="9" t="n"/>
      <c r="H29" s="9" t="n"/>
      <c r="I29" s="9" t="n"/>
      <c r="J29" s="10" t="n"/>
    </row>
    <row r="30">
      <c r="B30" s="7" t="inlineStr">
        <is>
          <t>Net Realized Price /unit /case</t>
        </is>
      </c>
      <c r="C30" s="8" t="inlineStr">
        <is>
          <t>Net Sales ÷ Effective Units (or ÷ cases).</t>
        </is>
      </c>
      <c r="D30" s="9" t="n"/>
      <c r="E30" s="9" t="n"/>
      <c r="F30" s="9" t="n"/>
      <c r="G30" s="9" t="n"/>
      <c r="H30" s="9" t="n"/>
      <c r="I30" s="9" t="n"/>
      <c r="J30" s="10" t="n"/>
    </row>
    <row r="31">
      <c r="B31" s="7" t="inlineStr">
        <is>
          <t>Profit per Unit / Case</t>
        </is>
      </c>
      <c r="C31" s="8" t="inlineStr">
        <is>
          <t>Net Profit ÷ Effective Units (or ÷ cases).</t>
        </is>
      </c>
      <c r="D31" s="9" t="n"/>
      <c r="E31" s="9" t="n"/>
      <c r="F31" s="9" t="n"/>
      <c r="G31" s="9" t="n"/>
      <c r="H31" s="9" t="n"/>
      <c r="I31" s="9" t="n"/>
      <c r="J31" s="10" t="n"/>
    </row>
    <row r="32">
      <c r="B32" s="7" t="inlineStr">
        <is>
          <t>Incremental Volume / Rev / Contrib / NP</t>
        </is>
      </c>
      <c r="C32" s="8" t="inlineStr">
        <is>
          <t>Active scenario minus Base scenario for each line.</t>
        </is>
      </c>
      <c r="D32" s="9" t="n"/>
      <c r="E32" s="9" t="n"/>
      <c r="F32" s="9" t="n"/>
      <c r="G32" s="9" t="n"/>
      <c r="H32" s="9" t="n"/>
      <c r="I32" s="9" t="n"/>
      <c r="J32" s="10" t="n"/>
    </row>
    <row r="33">
      <c r="B33" s="7" t="inlineStr">
        <is>
          <t>Promotion ROI</t>
        </is>
      </c>
      <c r="C33" s="8" t="inlineStr">
        <is>
          <t>Incremental Net Profit ÷ Promo Spend (incremental trade).</t>
        </is>
      </c>
      <c r="D33" s="9" t="n"/>
      <c r="E33" s="9" t="n"/>
      <c r="F33" s="9" t="n"/>
      <c r="G33" s="9" t="n"/>
      <c r="H33" s="9" t="n"/>
      <c r="I33" s="9" t="n"/>
      <c r="J33" s="10" t="n"/>
    </row>
    <row r="34">
      <c r="B34" s="7" t="inlineStr">
        <is>
          <t>Break-Even Units / Cases</t>
        </is>
      </c>
      <c r="C34" s="8" t="inlineStr">
        <is>
          <t>Fixed Spend ÷ Contribution per Unit (÷ units/case).</t>
        </is>
      </c>
      <c r="D34" s="9" t="n"/>
      <c r="E34" s="9" t="n"/>
      <c r="F34" s="9" t="n"/>
      <c r="G34" s="9" t="n"/>
      <c r="H34" s="9" t="n"/>
      <c r="I34" s="9" t="n"/>
      <c r="J34" s="10" t="n"/>
    </row>
    <row r="35">
      <c r="B35" s="7" t="inlineStr">
        <is>
          <t>Break-Even Wholesale / Retail Price</t>
        </is>
      </c>
      <c r="C35" s="8" t="inlineStr">
        <is>
          <t>Price that drives Net Margin to target (algebraic solve); retail grossed up for distributor &amp; retailer margin.</t>
        </is>
      </c>
      <c r="D35" s="9" t="n"/>
      <c r="E35" s="9" t="n"/>
      <c r="F35" s="9" t="n"/>
      <c r="G35" s="9" t="n"/>
      <c r="H35" s="9" t="n"/>
      <c r="I35" s="9" t="n"/>
      <c r="J35" s="10" t="n"/>
    </row>
    <row r="36">
      <c r="B36" s="7" t="inlineStr">
        <is>
          <t>Break-Even Promo Lift %</t>
        </is>
      </c>
      <c r="C36" s="8" t="inlineStr">
        <is>
          <t>Promo Spend ÷ (Contribution/unit × Base Volume).</t>
        </is>
      </c>
      <c r="D36" s="9" t="n"/>
      <c r="E36" s="9" t="n"/>
      <c r="F36" s="9" t="n"/>
      <c r="G36" s="9" t="n"/>
      <c r="H36" s="9" t="n"/>
      <c r="I36" s="9" t="n"/>
      <c r="J36" s="10" t="n"/>
    </row>
    <row r="37">
      <c r="B37" s="7" t="inlineStr">
        <is>
          <t>Retailer / Distributor Margin %</t>
        </is>
      </c>
      <c r="C37" s="8" t="inlineStr">
        <is>
          <t>Channel mark-up margins implied by the selected business model.</t>
        </is>
      </c>
      <c r="D37" s="9" t="n"/>
      <c r="E37" s="9" t="n"/>
      <c r="F37" s="9" t="n"/>
      <c r="G37" s="9" t="n"/>
      <c r="H37" s="9" t="n"/>
      <c r="I37" s="9" t="n"/>
      <c r="J37" s="10" t="n"/>
    </row>
    <row r="38">
      <c r="B38" s="7" t="inlineStr">
        <is>
          <t>Trade Efficiency</t>
        </is>
      </c>
      <c r="C38" s="8" t="inlineStr">
        <is>
          <t>Net Profit ÷ Trade Spend ($ profit per $ trade).</t>
        </is>
      </c>
      <c r="D38" s="9" t="n"/>
      <c r="E38" s="9" t="n"/>
      <c r="F38" s="9" t="n"/>
      <c r="G38" s="9" t="n"/>
      <c r="H38" s="9" t="n"/>
      <c r="I38" s="9" t="n"/>
      <c r="J38" s="10" t="n"/>
    </row>
    <row r="39" ht="20" customHeight="1">
      <c r="B39" s="5" t="inlineStr">
        <is>
          <t>D.  LOGIC NOTES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B40" s="7" t="inlineStr">
        <is>
          <t>Variable cost</t>
        </is>
      </c>
      <c r="C40" s="8" t="inlineStr">
        <is>
          <t>Per-unit: COGS, packaging, co-man, inbound/outbound freight, duty, warehousing, compliance, returns/spoilage, other. Plus broker &amp; distributor fees as % of gross.</t>
        </is>
      </c>
      <c r="D40" s="9" t="n"/>
      <c r="E40" s="9" t="n"/>
      <c r="F40" s="9" t="n"/>
      <c r="G40" s="9" t="n"/>
      <c r="H40" s="9" t="n"/>
      <c r="I40" s="9" t="n"/>
      <c r="J40" s="10" t="n"/>
    </row>
    <row r="41">
      <c r="B41" s="7" t="inlineStr">
        <is>
          <t>Fixed commercial cost</t>
        </is>
      </c>
      <c r="C41" s="8" t="inlineStr">
        <is>
          <t>Annualized account support, broker support, account mgmt, merchandising, listing amortization, promo development, other.</t>
        </is>
      </c>
      <c r="D41" s="9" t="n"/>
      <c r="E41" s="9" t="n"/>
      <c r="F41" s="9" t="n"/>
      <c r="G41" s="9" t="n"/>
      <c r="H41" s="9" t="n"/>
      <c r="I41" s="9" t="n"/>
      <c r="J41" s="10" t="n"/>
    </row>
    <row r="42">
      <c r="B42" s="7" t="inlineStr">
        <is>
          <t>Distributor fees</t>
        </is>
      </c>
      <c r="C42" s="8" t="inlineStr">
        <is>
          <t>Modeled as % of gross (variable) and, where relevant, in distributor margin grossing-up of shelf price.</t>
        </is>
      </c>
      <c r="D42" s="9" t="n"/>
      <c r="E42" s="9" t="n"/>
      <c r="F42" s="9" t="n"/>
      <c r="G42" s="9" t="n"/>
      <c r="H42" s="9" t="n"/>
      <c r="I42" s="9" t="n"/>
      <c r="J42" s="10" t="n"/>
    </row>
    <row r="43">
      <c r="B43" s="7" t="inlineStr">
        <is>
          <t>Retailer margin</t>
        </is>
      </c>
      <c r="C43" s="8" t="inlineStr">
        <is>
          <t>Shelf price = distributor sell ÷ (1 − retailer margin); distributor sell = wholesale ÷ (1 − distributor margin) when business model = Distributor.</t>
        </is>
      </c>
      <c r="D43" s="9" t="n"/>
      <c r="E43" s="9" t="n"/>
      <c r="F43" s="9" t="n"/>
      <c r="G43" s="9" t="n"/>
      <c r="H43" s="9" t="n"/>
      <c r="I43" s="9" t="n"/>
      <c r="J43" s="10" t="n"/>
    </row>
    <row r="44">
      <c r="B44" s="7" t="inlineStr">
        <is>
          <t>Scenario overrides</t>
        </is>
      </c>
      <c r="C44" s="8" t="inlineStr">
        <is>
          <t>Each scenario stores driver MULTIPLIERS (1.00 = base) for volume, price, var-cost, trade, fill, cannibalization, promo flag, FX. The Calc engine pulls the active column via INDEX/MATCH(selScenario).</t>
        </is>
      </c>
      <c r="D44" s="9" t="n"/>
      <c r="E44" s="9" t="n"/>
      <c r="F44" s="9" t="n"/>
      <c r="G44" s="9" t="n"/>
      <c r="H44" s="9" t="n"/>
      <c r="I44" s="9" t="n"/>
      <c r="J44" s="10" t="n"/>
    </row>
    <row r="45">
      <c r="B45" s="7" t="inlineStr">
        <is>
          <t>FX translation</t>
        </is>
      </c>
      <c r="C45" s="8" t="inlineStr">
        <is>
          <t>Rates are USD value of 1 currency unit. value_in_reporting = value_base × fxBaseRate ÷ fxReportingRate. Edit rates on Currency_and_FX.</t>
        </is>
      </c>
      <c r="D45" s="9" t="n"/>
      <c r="E45" s="9" t="n"/>
      <c r="F45" s="9" t="n"/>
      <c r="G45" s="9" t="n"/>
      <c r="H45" s="9" t="n"/>
      <c r="I45" s="9" t="n"/>
      <c r="J45" s="10" t="n"/>
    </row>
    <row r="46">
      <c r="B46" s="7" t="inlineStr">
        <is>
          <t>Break-even logic</t>
        </is>
      </c>
      <c r="C46" s="8" t="inlineStr">
        <is>
          <t>Units: Fixed ÷ contribution/unit. Price: closed-form solution setting Net Margin = target (see Calc §8 helpers a,b,c).</t>
        </is>
      </c>
      <c r="D46" s="9" t="n"/>
      <c r="E46" s="9" t="n"/>
      <c r="F46" s="9" t="n"/>
      <c r="G46" s="9" t="n"/>
      <c r="H46" s="9" t="n"/>
      <c r="I46" s="9" t="n"/>
      <c r="J46" s="10" t="n"/>
    </row>
    <row r="47">
      <c r="B47" s="7" t="inlineStr">
        <is>
          <t>Recommendation logic</t>
        </is>
      </c>
      <c r="C47" s="8" t="inlineStr">
        <is>
          <t>GO when GM≥min, NM≥min, contribution/unit≥min, trade%≤max, and (no promo OR ROI≥hurdle). STOP when net profit&lt;0 or contribution/unit≤0. Otherwise REVIEW.</t>
        </is>
      </c>
      <c r="D47" s="9" t="n"/>
      <c r="E47" s="9" t="n"/>
      <c r="F47" s="9" t="n"/>
      <c r="G47" s="9" t="n"/>
      <c r="H47" s="9" t="n"/>
      <c r="I47" s="9" t="n"/>
      <c r="J47" s="10" t="n"/>
    </row>
    <row r="48">
      <c r="B48" s="7" t="inlineStr">
        <is>
          <t>User vs calculated</t>
        </is>
      </c>
      <c r="C48" s="8" t="inlineStr">
        <is>
          <t>User inputs = YELLOW cells (Inputs tab, scenario drivers, FX rates, promo spend/lift). Everything else is a locked formula.</t>
        </is>
      </c>
      <c r="D48" s="9" t="n"/>
      <c r="E48" s="9" t="n"/>
      <c r="F48" s="9" t="n"/>
      <c r="G48" s="9" t="n"/>
      <c r="H48" s="9" t="n"/>
      <c r="I48" s="9" t="n"/>
      <c r="J48" s="10" t="n"/>
    </row>
    <row r="49" ht="20" customHeight="1">
      <c r="B49" s="5" t="inlineStr">
        <is>
          <t>E.  HOW TO USE  (60-second guide)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B50" s="8" t="inlineStr">
        <is>
          <t>1. Open Inputs_and_Control_Center. Set the Active Scenario, business model and currencies in the control bar.</t>
        </is>
      </c>
      <c r="C50" s="9" t="n"/>
      <c r="D50" s="9" t="n"/>
      <c r="E50" s="9" t="n"/>
      <c r="F50" s="9" t="n"/>
      <c r="G50" s="9" t="n"/>
      <c r="H50" s="9" t="n"/>
      <c r="I50" s="9" t="n"/>
      <c r="J50" s="10" t="n"/>
    </row>
    <row r="51">
      <c r="B51" s="8" t="inlineStr">
        <is>
          <t>2. Enter pricing, cost, trade, volume and fixed-cost assumptions (yellow cells only).</t>
        </is>
      </c>
      <c r="C51" s="9" t="n"/>
      <c r="D51" s="9" t="n"/>
      <c r="E51" s="9" t="n"/>
      <c r="F51" s="9" t="n"/>
      <c r="G51" s="9" t="n"/>
      <c r="H51" s="9" t="n"/>
      <c r="I51" s="9" t="n"/>
      <c r="J51" s="10" t="n"/>
    </row>
    <row r="52">
      <c r="B52" s="8" t="inlineStr">
        <is>
          <t>3. Read the Live KPI Snapshot and DECISION STATUS at the bottom of Inputs.</t>
        </is>
      </c>
      <c r="C52" s="9" t="n"/>
      <c r="D52" s="9" t="n"/>
      <c r="E52" s="9" t="n"/>
      <c r="F52" s="9" t="n"/>
      <c r="G52" s="9" t="n"/>
      <c r="H52" s="9" t="n"/>
      <c r="I52" s="9" t="n"/>
      <c r="J52" s="10" t="n"/>
    </row>
    <row r="53">
      <c r="B53" s="8" t="inlineStr">
        <is>
          <t>4. Open Dashboard_Executive_View for the one-screen readout and waterfall.</t>
        </is>
      </c>
      <c r="C53" s="9" t="n"/>
      <c r="D53" s="9" t="n"/>
      <c r="E53" s="9" t="n"/>
      <c r="F53" s="9" t="n"/>
      <c r="G53" s="9" t="n"/>
      <c r="H53" s="9" t="n"/>
      <c r="I53" s="9" t="n"/>
      <c r="J53" s="10" t="n"/>
    </row>
    <row r="54">
      <c r="B54" s="8" t="inlineStr">
        <is>
          <t>5. Use Scenarios to compare all 7 cases; use Promotions_and_ROI to test tactics.</t>
        </is>
      </c>
      <c r="C54" s="9" t="n"/>
      <c r="D54" s="9" t="n"/>
      <c r="E54" s="9" t="n"/>
      <c r="F54" s="9" t="n"/>
      <c r="G54" s="9" t="n"/>
      <c r="H54" s="9" t="n"/>
      <c r="I54" s="9" t="n"/>
      <c r="J54" s="10" t="n"/>
    </row>
    <row r="55">
      <c r="B55" s="8" t="inlineStr">
        <is>
          <t>6. ALWAYS confirm Checks_Controls_and_Audit shows MODEL HEALTHY before deciding.</t>
        </is>
      </c>
      <c r="C55" s="9" t="n"/>
      <c r="D55" s="9" t="n"/>
      <c r="E55" s="9" t="n"/>
      <c r="F55" s="9" t="n"/>
      <c r="G55" s="9" t="n"/>
      <c r="H55" s="9" t="n"/>
      <c r="I55" s="9" t="n"/>
      <c r="J55" s="1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52">
    <mergeCell ref="C34:J34"/>
    <mergeCell ref="C30:J30"/>
    <mergeCell ref="B49:K49"/>
    <mergeCell ref="C15:J15"/>
    <mergeCell ref="C33:J33"/>
    <mergeCell ref="C6:J6"/>
    <mergeCell ref="C24:J24"/>
    <mergeCell ref="C42:J42"/>
    <mergeCell ref="C14:J14"/>
    <mergeCell ref="B53:J53"/>
    <mergeCell ref="C45:J45"/>
    <mergeCell ref="B5:K5"/>
    <mergeCell ref="C35:J35"/>
    <mergeCell ref="C26:J26"/>
    <mergeCell ref="C29:J29"/>
    <mergeCell ref="C20:J20"/>
    <mergeCell ref="C25:J25"/>
    <mergeCell ref="C10:J10"/>
    <mergeCell ref="C16:J16"/>
    <mergeCell ref="C47:J47"/>
    <mergeCell ref="C44:J44"/>
    <mergeCell ref="C41:J41"/>
    <mergeCell ref="C22:J22"/>
    <mergeCell ref="B3:N3"/>
    <mergeCell ref="C31:J31"/>
    <mergeCell ref="B55:J55"/>
    <mergeCell ref="C40:J40"/>
    <mergeCell ref="C9:J9"/>
    <mergeCell ref="C12:J12"/>
    <mergeCell ref="B51:J51"/>
    <mergeCell ref="C21:J21"/>
    <mergeCell ref="C43:J43"/>
    <mergeCell ref="C46:J46"/>
    <mergeCell ref="B50:J50"/>
    <mergeCell ref="C36:J36"/>
    <mergeCell ref="B39:K39"/>
    <mergeCell ref="C27:J27"/>
    <mergeCell ref="B11:K11"/>
    <mergeCell ref="B2:N2"/>
    <mergeCell ref="C23:J23"/>
    <mergeCell ref="C8:J8"/>
    <mergeCell ref="B54:J54"/>
    <mergeCell ref="C48:J48"/>
    <mergeCell ref="C17:J17"/>
    <mergeCell ref="C7:J7"/>
    <mergeCell ref="C32:J32"/>
    <mergeCell ref="C38:J38"/>
    <mergeCell ref="C28:J28"/>
    <mergeCell ref="C13:J13"/>
    <mergeCell ref="C37:J37"/>
    <mergeCell ref="B52:J52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/>
  </sheetPr>
  <dimension ref="B2:N1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26" customHeight="1">
      <c r="B2" s="1" t="inlineStr">
        <is>
          <t>INPUTS &amp; CONTROL CENTER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Single source of truth. ONLY yellow cells are user inputs. Change an assumption and every tab recalculates instantly.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CONTROL BAR  —  set the active scenario &amp; targets here</t>
        </is>
      </c>
      <c r="C5" s="6" t="n"/>
      <c r="D5" s="6" t="n"/>
      <c r="E5" s="6" t="n"/>
      <c r="F5" s="6" t="n"/>
      <c r="G5" s="6" t="n"/>
      <c r="H5" s="6" t="n"/>
      <c r="I5" s="6" t="n"/>
    </row>
    <row r="6">
      <c r="B6" s="12" t="inlineStr">
        <is>
          <t>Model Name</t>
        </is>
      </c>
      <c r="C6" s="13" t="inlineStr">
        <is>
          <t>CPG Commercial Decision System</t>
        </is>
      </c>
      <c r="E6" s="12" t="inlineStr">
        <is>
          <t>Target Gross Margin %</t>
        </is>
      </c>
      <c r="F6" s="14" t="n">
        <v>0.42</v>
      </c>
      <c r="H6" s="15" t="inlineStr">
        <is>
          <t>DECISION STATUS</t>
        </is>
      </c>
      <c r="I6" s="16">
        <f>INDEX(Scenarios!$C$38:$I$38,MATCH(selScenario,scnHeaders,0))</f>
        <v/>
      </c>
    </row>
    <row r="7">
      <c r="B7" s="12" t="inlineStr">
        <is>
          <t>Active Scenario</t>
        </is>
      </c>
      <c r="C7" s="13" t="inlineStr">
        <is>
          <t>Base Case</t>
        </is>
      </c>
      <c r="E7" s="12" t="inlineStr">
        <is>
          <t>Target Net Margin %</t>
        </is>
      </c>
      <c r="F7" s="14" t="n">
        <v>0.12</v>
      </c>
      <c r="H7" s="15" t="inlineStr">
        <is>
          <t>MODEL INTEGRITY</t>
        </is>
      </c>
      <c r="I7" s="16">
        <f>chkOverall</f>
        <v/>
      </c>
    </row>
    <row r="8">
      <c r="B8" s="12" t="inlineStr">
        <is>
          <t>Business Model</t>
        </is>
      </c>
      <c r="C8" s="13" t="inlineStr">
        <is>
          <t>Distributor</t>
        </is>
      </c>
      <c r="E8" s="12" t="inlineStr">
        <is>
          <t>Target Promo ROI (x)</t>
        </is>
      </c>
      <c r="F8" s="17" t="n">
        <v>1</v>
      </c>
    </row>
    <row r="9">
      <c r="B9" s="12" t="inlineStr">
        <is>
          <t>Base Currency</t>
        </is>
      </c>
      <c r="C9" s="13" t="inlineStr">
        <is>
          <t>USD</t>
        </is>
      </c>
      <c r="E9" s="12" t="inlineStr">
        <is>
          <t>Max Trade Spend % Gross</t>
        </is>
      </c>
      <c r="F9" s="14" t="n">
        <v>0.22</v>
      </c>
    </row>
    <row r="10">
      <c r="B10" s="12" t="inlineStr">
        <is>
          <t>Reporting Currency</t>
        </is>
      </c>
      <c r="C10" s="13" t="inlineStr">
        <is>
          <t>CAD</t>
        </is>
      </c>
      <c r="E10" s="12" t="inlineStr">
        <is>
          <t>Min Contribution / Unit</t>
        </is>
      </c>
      <c r="F10" s="18" t="n">
        <v>0.15</v>
      </c>
    </row>
    <row r="13" ht="20" customHeight="1">
      <c r="B13" s="5" t="inlineStr">
        <is>
          <t>A.  BUSINESS CONTEXT</t>
        </is>
      </c>
      <c r="C13" s="6" t="n"/>
      <c r="D13" s="6" t="n"/>
      <c r="E13" s="6" t="n"/>
      <c r="F13" s="6" t="n"/>
      <c r="G13" s="6" t="n"/>
      <c r="H13" s="6" t="n"/>
      <c r="I13" s="6" t="n"/>
    </row>
    <row r="14">
      <c r="B14" s="19" t="inlineStr">
        <is>
          <t>SKU / Product Name</t>
        </is>
      </c>
      <c r="C14" s="20" t="inlineStr">
        <is>
          <t>Zephyr Sparkling 355ml 12pk</t>
        </is>
      </c>
      <c r="D14" s="21" t="inlineStr">
        <is>
          <t>text</t>
        </is>
      </c>
    </row>
    <row r="15">
      <c r="B15" s="19" t="inlineStr">
        <is>
          <t>Brand</t>
        </is>
      </c>
      <c r="C15" s="20" t="inlineStr">
        <is>
          <t>Zephyr</t>
        </is>
      </c>
      <c r="D15" s="21" t="inlineStr">
        <is>
          <t>text</t>
        </is>
      </c>
    </row>
    <row r="16">
      <c r="B16" s="19" t="inlineStr">
        <is>
          <t>Customer / Retailer / Distributor</t>
        </is>
      </c>
      <c r="C16" s="20" t="inlineStr">
        <is>
          <t>National Grocery via UDF Distributor</t>
        </is>
      </c>
      <c r="D16" s="21" t="inlineStr">
        <is>
          <t>text</t>
        </is>
      </c>
    </row>
    <row r="17">
      <c r="B17" s="19" t="inlineStr">
        <is>
          <t>Channel</t>
        </is>
      </c>
      <c r="C17" s="20" t="inlineStr">
        <is>
          <t>Grocery</t>
        </is>
      </c>
      <c r="D17" s="21" t="inlineStr">
        <is>
          <t>text</t>
        </is>
      </c>
    </row>
    <row r="18">
      <c r="B18" s="19" t="inlineStr">
        <is>
          <t>Market / Region</t>
        </is>
      </c>
      <c r="C18" s="20" t="inlineStr">
        <is>
          <t>Canada</t>
        </is>
      </c>
      <c r="D18" s="21" t="inlineStr">
        <is>
          <t>text</t>
        </is>
      </c>
    </row>
    <row r="19">
      <c r="B19" s="19" t="inlineStr">
        <is>
          <t>Launch vs Existing flag</t>
        </is>
      </c>
      <c r="C19" s="20" t="inlineStr">
        <is>
          <t>Existing</t>
        </is>
      </c>
      <c r="D19" s="21" t="inlineStr">
        <is>
          <t>text</t>
        </is>
      </c>
    </row>
    <row r="20">
      <c r="B20" s="19" t="inlineStr">
        <is>
          <t>Units per Case</t>
        </is>
      </c>
      <c r="C20" s="22" t="n">
        <v>12</v>
      </c>
      <c r="D20" s="21" t="inlineStr">
        <is>
          <t>units/case</t>
        </is>
      </c>
    </row>
    <row r="21">
      <c r="B21" s="19" t="inlineStr">
        <is>
          <t>Servings per Unit</t>
        </is>
      </c>
      <c r="C21" s="22" t="n">
        <v>1</v>
      </c>
      <c r="D21" s="21" t="inlineStr">
        <is>
          <t>svgs/unit</t>
        </is>
      </c>
    </row>
    <row r="22">
      <c r="B22" s="19" t="inlineStr">
        <is>
          <t>Number of Stores</t>
        </is>
      </c>
      <c r="C22" s="22" t="n">
        <v>1200</v>
      </c>
      <c r="D22" s="21" t="inlineStr">
        <is>
          <t>stores</t>
        </is>
      </c>
    </row>
    <row r="23" ht="20" customHeight="1">
      <c r="B23" s="5" t="inlineStr">
        <is>
          <t>B.  PRICING INPUTS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B24" s="19" t="inlineStr">
        <is>
          <t>List Price / unit</t>
        </is>
      </c>
      <c r="C24" s="23" t="n">
        <v>1.8</v>
      </c>
      <c r="D24" s="21" t="inlineStr">
        <is>
          <t>$/unit</t>
        </is>
      </c>
    </row>
    <row r="25">
      <c r="B25" s="19" t="inlineStr">
        <is>
          <t>Invoice Price / unit</t>
        </is>
      </c>
      <c r="C25" s="23" t="n">
        <v>1.65</v>
      </c>
      <c r="D25" s="21" t="inlineStr">
        <is>
          <t>$/unit</t>
        </is>
      </c>
    </row>
    <row r="26">
      <c r="B26" s="19" t="inlineStr">
        <is>
          <t>Wholesale Price / unit (company sells at)</t>
        </is>
      </c>
      <c r="C26" s="23" t="n">
        <v>1.5</v>
      </c>
      <c r="D26" s="21" t="inlineStr">
        <is>
          <t>$/unit</t>
        </is>
      </c>
      <c r="E26" s="24" t="inlineStr">
        <is>
          <t>Net invoice price the company realizes before off-invoice deductions</t>
        </is>
      </c>
    </row>
    <row r="27">
      <c r="B27" s="19" t="inlineStr">
        <is>
          <t>Suggested Retail Price / unit</t>
        </is>
      </c>
      <c r="C27" s="23" t="n">
        <v>2.49</v>
      </c>
      <c r="D27" s="21" t="inlineStr">
        <is>
          <t>$/unit</t>
        </is>
      </c>
    </row>
    <row r="28">
      <c r="B28" s="19" t="inlineStr">
        <is>
          <t>Promo Retail Price / unit</t>
        </is>
      </c>
      <c r="C28" s="23" t="n">
        <v>1.99</v>
      </c>
      <c r="D28" s="21" t="inlineStr">
        <is>
          <t>$/unit</t>
        </is>
      </c>
    </row>
    <row r="29">
      <c r="B29" s="19" t="inlineStr">
        <is>
          <t>Promo Depth %</t>
        </is>
      </c>
      <c r="C29" s="25" t="n">
        <v>0.2</v>
      </c>
      <c r="D29" s="21" t="inlineStr">
        <is>
          <t>% off SRP</t>
        </is>
      </c>
    </row>
    <row r="30">
      <c r="B30" s="19" t="inlineStr">
        <is>
          <t>Retailer Target Margin %</t>
        </is>
      </c>
      <c r="C30" s="25" t="n">
        <v>0.3</v>
      </c>
      <c r="D30" s="21" t="inlineStr">
        <is>
          <t>% of retail</t>
        </is>
      </c>
    </row>
    <row r="31">
      <c r="B31" s="19" t="inlineStr">
        <is>
          <t>Distributor Target Margin %</t>
        </is>
      </c>
      <c r="C31" s="25" t="n">
        <v>0.12</v>
      </c>
      <c r="D31" s="21" t="inlineStr">
        <is>
          <t>% of dist sell</t>
        </is>
      </c>
    </row>
    <row r="32" ht="20" customHeight="1">
      <c r="B32" s="5" t="inlineStr">
        <is>
          <t>C.  COST STACK  (per unit, except broker/distributor %)</t>
        </is>
      </c>
      <c r="C32" s="6" t="n"/>
      <c r="D32" s="6" t="n"/>
      <c r="E32" s="6" t="n"/>
      <c r="F32" s="6" t="n"/>
      <c r="G32" s="6" t="n"/>
      <c r="H32" s="6" t="n"/>
      <c r="I32" s="6" t="n"/>
    </row>
    <row r="33">
      <c r="B33" s="11" t="inlineStr">
        <is>
          <t>Cost element</t>
        </is>
      </c>
      <c r="C33" s="11" t="inlineStr">
        <is>
          <t>$ / unit</t>
        </is>
      </c>
      <c r="D33" s="11" t="inlineStr">
        <is>
          <t>Note</t>
        </is>
      </c>
    </row>
    <row r="34">
      <c r="B34" s="8" t="inlineStr">
        <is>
          <t>COGS / Product Cost</t>
        </is>
      </c>
      <c r="C34" s="23" t="n">
        <v>0.55</v>
      </c>
      <c r="D34" s="21" t="inlineStr">
        <is>
          <t>$/unit</t>
        </is>
      </c>
    </row>
    <row r="35">
      <c r="B35" s="8" t="inlineStr">
        <is>
          <t>Packaging</t>
        </is>
      </c>
      <c r="C35" s="23" t="n">
        <v>0.09</v>
      </c>
      <c r="D35" s="21" t="inlineStr">
        <is>
          <t>$/unit</t>
        </is>
      </c>
    </row>
    <row r="36">
      <c r="B36" s="8" t="inlineStr">
        <is>
          <t>Co-Manufacturing</t>
        </is>
      </c>
      <c r="C36" s="23" t="n">
        <v>0.04</v>
      </c>
      <c r="D36" s="21" t="inlineStr">
        <is>
          <t>$/unit</t>
        </is>
      </c>
    </row>
    <row r="37">
      <c r="B37" s="8" t="inlineStr">
        <is>
          <t>Inbound Freight</t>
        </is>
      </c>
      <c r="C37" s="23" t="n">
        <v>0.03</v>
      </c>
      <c r="D37" s="21" t="inlineStr">
        <is>
          <t>$/unit</t>
        </is>
      </c>
    </row>
    <row r="38">
      <c r="B38" s="8" t="inlineStr">
        <is>
          <t>Outbound Freight</t>
        </is>
      </c>
      <c r="C38" s="23" t="n">
        <v>0.05</v>
      </c>
      <c r="D38" s="21" t="inlineStr">
        <is>
          <t>$/unit</t>
        </is>
      </c>
    </row>
    <row r="39">
      <c r="B39" s="8" t="inlineStr">
        <is>
          <t>Duty / Tariffs / Import</t>
        </is>
      </c>
      <c r="C39" s="23" t="n">
        <v>0.01</v>
      </c>
      <c r="D39" s="21" t="inlineStr">
        <is>
          <t>$/unit</t>
        </is>
      </c>
    </row>
    <row r="40">
      <c r="B40" s="8" t="inlineStr">
        <is>
          <t>Warehousing / Pick-Pack</t>
        </is>
      </c>
      <c r="C40" s="23" t="n">
        <v>0.02</v>
      </c>
      <c r="D40" s="21" t="inlineStr">
        <is>
          <t>$/unit</t>
        </is>
      </c>
    </row>
    <row r="41">
      <c r="B41" s="8" t="inlineStr">
        <is>
          <t>Compliance / Quality / Reg</t>
        </is>
      </c>
      <c r="C41" s="23" t="n">
        <v>0.01</v>
      </c>
      <c r="D41" s="21" t="inlineStr">
        <is>
          <t>$/unit</t>
        </is>
      </c>
    </row>
    <row r="42">
      <c r="B42" s="8" t="inlineStr">
        <is>
          <t>Returns &amp; Spoilage allowance</t>
        </is>
      </c>
      <c r="C42" s="23" t="n">
        <v>0.02</v>
      </c>
      <c r="D42" s="21" t="inlineStr">
        <is>
          <t>$/unit</t>
        </is>
      </c>
    </row>
    <row r="43">
      <c r="B43" s="8" t="inlineStr">
        <is>
          <t>Other Variable Cost</t>
        </is>
      </c>
      <c r="C43" s="23" t="n">
        <v>0.01</v>
      </c>
      <c r="D43" s="21" t="inlineStr">
        <is>
          <t>$/unit</t>
        </is>
      </c>
    </row>
    <row r="44">
      <c r="B44" s="26" t="inlineStr">
        <is>
          <t>Σ Variable Cost per Unit (sum)</t>
        </is>
      </c>
      <c r="C44" s="27">
        <f>SUM(C34:C43)</f>
        <v/>
      </c>
    </row>
    <row r="45">
      <c r="B45" s="8" t="inlineStr">
        <is>
          <t>Broker Fee % of Gross</t>
        </is>
      </c>
      <c r="C45" s="25" t="n">
        <v>0.03</v>
      </c>
    </row>
    <row r="46">
      <c r="B46" s="8" t="inlineStr">
        <is>
          <t>Distributor Fee % of Gross</t>
        </is>
      </c>
      <c r="C46" s="25" t="n">
        <v>0</v>
      </c>
      <c r="E46" s="28" t="inlineStr">
        <is>
          <t>Use only if company PAYS the distributor a fee on top of wholesale; default 0 = distributor margin sits in the price chain (avoids double-count).</t>
        </is>
      </c>
    </row>
    <row r="47">
      <c r="B47" s="26" t="inlineStr">
        <is>
          <t>Σ Variable Cost % of Gross (broker+distributor)</t>
        </is>
      </c>
      <c r="C47" s="29">
        <f>BrokerPct+DistributorPct</f>
        <v/>
      </c>
    </row>
    <row r="48" ht="20" customHeight="1">
      <c r="B48" s="5" t="inlineStr">
        <is>
          <t>D.  TRADE INVESTMENT  (enter on ONE basis per line)</t>
        </is>
      </c>
      <c r="C48" s="6" t="n"/>
      <c r="D48" s="6" t="n"/>
      <c r="E48" s="6" t="n"/>
      <c r="F48" s="6" t="n"/>
      <c r="G48" s="6" t="n"/>
      <c r="H48" s="6" t="n"/>
      <c r="I48" s="6" t="n"/>
    </row>
    <row r="49">
      <c r="B49" s="11" t="inlineStr">
        <is>
          <t>Trade element</t>
        </is>
      </c>
      <c r="C49" s="11" t="inlineStr">
        <is>
          <t>$ / unit</t>
        </is>
      </c>
      <c r="D49" s="11" t="inlineStr">
        <is>
          <t>% of Gross</t>
        </is>
      </c>
      <c r="E49" s="11" t="inlineStr">
        <is>
          <t>Fixed $</t>
        </is>
      </c>
      <c r="F49" s="11" t="inlineStr">
        <is>
          <t>Basis flag</t>
        </is>
      </c>
    </row>
    <row r="50">
      <c r="B50" s="8" t="inlineStr">
        <is>
          <t>TPD (Temporary Price Discount)</t>
        </is>
      </c>
      <c r="C50" s="30" t="n">
        <v>0</v>
      </c>
      <c r="D50" s="31" t="n">
        <v>0.04</v>
      </c>
      <c r="E50" s="32" t="n">
        <v>0</v>
      </c>
      <c r="F50" s="33" t="inlineStr">
        <is>
          <t>%gross</t>
        </is>
      </c>
    </row>
    <row r="51">
      <c r="B51" s="8" t="inlineStr">
        <is>
          <t>End Cap</t>
        </is>
      </c>
      <c r="C51" s="30" t="n">
        <v>0</v>
      </c>
      <c r="D51" s="31" t="n">
        <v>0</v>
      </c>
      <c r="E51" s="32" t="n">
        <v>10000</v>
      </c>
      <c r="F51" s="33" t="inlineStr">
        <is>
          <t>fixed $</t>
        </is>
      </c>
    </row>
    <row r="52">
      <c r="B52" s="8" t="inlineStr">
        <is>
          <t>Fence / Feature Promotion</t>
        </is>
      </c>
      <c r="C52" s="30" t="n">
        <v>0</v>
      </c>
      <c r="D52" s="31" t="n">
        <v>0.01</v>
      </c>
      <c r="E52" s="32" t="n">
        <v>0</v>
      </c>
      <c r="F52" s="33" t="inlineStr">
        <is>
          <t>%gross</t>
        </is>
      </c>
    </row>
    <row r="53">
      <c r="B53" s="8" t="inlineStr">
        <is>
          <t>Display Allowance</t>
        </is>
      </c>
      <c r="C53" s="30" t="n">
        <v>0</v>
      </c>
      <c r="D53" s="31" t="n">
        <v>0</v>
      </c>
      <c r="E53" s="32" t="n">
        <v>8000</v>
      </c>
      <c r="F53" s="33" t="inlineStr">
        <is>
          <t>fixed $</t>
        </is>
      </c>
    </row>
    <row r="54">
      <c r="B54" s="8" t="inlineStr">
        <is>
          <t>Advertising Support</t>
        </is>
      </c>
      <c r="C54" s="30" t="n">
        <v>0</v>
      </c>
      <c r="D54" s="31" t="n">
        <v>0</v>
      </c>
      <c r="E54" s="32" t="n">
        <v>6000</v>
      </c>
      <c r="F54" s="33" t="inlineStr">
        <is>
          <t>fixed $</t>
        </is>
      </c>
    </row>
    <row r="55">
      <c r="B55" s="8" t="inlineStr">
        <is>
          <t>Flyer Support</t>
        </is>
      </c>
      <c r="C55" s="30" t="n">
        <v>0</v>
      </c>
      <c r="D55" s="31" t="n">
        <v>0</v>
      </c>
      <c r="E55" s="32" t="n">
        <v>4000</v>
      </c>
      <c r="F55" s="33" t="inlineStr">
        <is>
          <t>fixed $</t>
        </is>
      </c>
    </row>
    <row r="56">
      <c r="B56" s="8" t="inlineStr">
        <is>
          <t>Digital Media Support</t>
        </is>
      </c>
      <c r="C56" s="30" t="n">
        <v>0</v>
      </c>
      <c r="D56" s="31" t="n">
        <v>0.004</v>
      </c>
      <c r="E56" s="32" t="n">
        <v>0</v>
      </c>
      <c r="F56" s="33" t="inlineStr">
        <is>
          <t>%gross</t>
        </is>
      </c>
    </row>
    <row r="57">
      <c r="B57" s="8" t="inlineStr">
        <is>
          <t>Demo Spend</t>
        </is>
      </c>
      <c r="C57" s="30" t="n">
        <v>0</v>
      </c>
      <c r="D57" s="31" t="n">
        <v>0</v>
      </c>
      <c r="E57" s="32" t="n">
        <v>2500</v>
      </c>
      <c r="F57" s="33" t="inlineStr">
        <is>
          <t>fixed $</t>
        </is>
      </c>
    </row>
    <row r="58">
      <c r="B58" s="8" t="inlineStr">
        <is>
          <t>Listing / Slotting Fees (amortized)</t>
        </is>
      </c>
      <c r="C58" s="30" t="n">
        <v>0</v>
      </c>
      <c r="D58" s="31" t="n">
        <v>0</v>
      </c>
      <c r="E58" s="32" t="n">
        <v>5000</v>
      </c>
      <c r="F58" s="33" t="inlineStr">
        <is>
          <t>fixed $</t>
        </is>
      </c>
    </row>
    <row r="59">
      <c r="B59" s="8" t="inlineStr">
        <is>
          <t>Scan Backs</t>
        </is>
      </c>
      <c r="C59" s="30" t="n">
        <v>0.02</v>
      </c>
      <c r="D59" s="31" t="n">
        <v>0</v>
      </c>
      <c r="E59" s="32" t="n">
        <v>0</v>
      </c>
      <c r="F59" s="33" t="inlineStr">
        <is>
          <t>per-unit</t>
        </is>
      </c>
    </row>
    <row r="60">
      <c r="B60" s="8" t="inlineStr">
        <is>
          <t>Bill Backs</t>
        </is>
      </c>
      <c r="C60" s="30" t="n">
        <v>0.015</v>
      </c>
      <c r="D60" s="31" t="n">
        <v>0</v>
      </c>
      <c r="E60" s="32" t="n">
        <v>0</v>
      </c>
      <c r="F60" s="33" t="inlineStr">
        <is>
          <t>per-unit</t>
        </is>
      </c>
    </row>
    <row r="61">
      <c r="B61" s="8" t="inlineStr">
        <is>
          <t>Off-Invoice Discounts</t>
        </is>
      </c>
      <c r="C61" s="30" t="n">
        <v>0</v>
      </c>
      <c r="D61" s="31" t="n">
        <v>0.01</v>
      </c>
      <c r="E61" s="32" t="n">
        <v>0</v>
      </c>
      <c r="F61" s="33" t="inlineStr">
        <is>
          <t>%gross</t>
        </is>
      </c>
    </row>
    <row r="62">
      <c r="B62" s="8" t="inlineStr">
        <is>
          <t>Markdown Support</t>
        </is>
      </c>
      <c r="C62" s="30" t="n">
        <v>0</v>
      </c>
      <c r="D62" s="31" t="n">
        <v>0.005</v>
      </c>
      <c r="E62" s="32" t="n">
        <v>0</v>
      </c>
      <c r="F62" s="33" t="inlineStr">
        <is>
          <t>%gross</t>
        </is>
      </c>
    </row>
    <row r="63">
      <c r="B63" s="8" t="inlineStr">
        <is>
          <t>Retailer Funding</t>
        </is>
      </c>
      <c r="C63" s="30" t="n">
        <v>0</v>
      </c>
      <c r="D63" s="31" t="n">
        <v>0</v>
      </c>
      <c r="E63" s="32" t="n">
        <v>3000</v>
      </c>
      <c r="F63" s="33" t="inlineStr">
        <is>
          <t>fixed $</t>
        </is>
      </c>
    </row>
    <row r="64">
      <c r="B64" s="8" t="inlineStr">
        <is>
          <t>Lump-Sum Trade Spend</t>
        </is>
      </c>
      <c r="C64" s="30" t="n">
        <v>0</v>
      </c>
      <c r="D64" s="31" t="n">
        <v>0</v>
      </c>
      <c r="E64" s="32" t="n">
        <v>6000</v>
      </c>
      <c r="F64" s="33" t="inlineStr">
        <is>
          <t>fixed $</t>
        </is>
      </c>
    </row>
    <row r="65">
      <c r="B65" s="8" t="inlineStr">
        <is>
          <t>Co-Op Marketing</t>
        </is>
      </c>
      <c r="C65" s="30" t="n">
        <v>0</v>
      </c>
      <c r="D65" s="31" t="n">
        <v>0.003</v>
      </c>
      <c r="E65" s="32" t="n">
        <v>0</v>
      </c>
      <c r="F65" s="33" t="inlineStr">
        <is>
          <t>%gross</t>
        </is>
      </c>
    </row>
    <row r="66">
      <c r="B66" s="8" t="inlineStr">
        <is>
          <t>Free Fill / Free Goods</t>
        </is>
      </c>
      <c r="C66" s="30" t="n">
        <v>0.005</v>
      </c>
      <c r="D66" s="31" t="n">
        <v>0</v>
      </c>
      <c r="E66" s="32" t="n">
        <v>0</v>
      </c>
      <c r="F66" s="33" t="inlineStr">
        <is>
          <t>per-unit</t>
        </is>
      </c>
    </row>
    <row r="67">
      <c r="B67" s="26" t="inlineStr">
        <is>
          <t>Σ Trade buckets (per-unit / %gross / fixed)</t>
        </is>
      </c>
      <c r="C67" s="27">
        <f>SUM(C50:C66)</f>
        <v/>
      </c>
      <c r="D67" s="29">
        <f>SUM(D50:D66)</f>
        <v/>
      </c>
      <c r="E67" s="34">
        <f>SUM(E50:E66)</f>
        <v/>
      </c>
    </row>
    <row r="68" ht="20" customHeight="1">
      <c r="B68" s="5" t="inlineStr">
        <is>
          <t>D2.  OTHER GROSS-TO-NET DEDUCTIONS  (financial / non-trade)</t>
        </is>
      </c>
      <c r="C68" s="6" t="n"/>
      <c r="D68" s="6" t="n"/>
      <c r="E68" s="6" t="n"/>
      <c r="F68" s="6" t="n"/>
      <c r="G68" s="6" t="n"/>
      <c r="H68" s="6" t="n"/>
      <c r="I68" s="6" t="n"/>
    </row>
    <row r="69">
      <c r="B69" s="11" t="inlineStr">
        <is>
          <t>Deduction element</t>
        </is>
      </c>
      <c r="C69" s="11" t="inlineStr">
        <is>
          <t>$ / unit</t>
        </is>
      </c>
      <c r="D69" s="11" t="inlineStr">
        <is>
          <t>% of Gross</t>
        </is>
      </c>
      <c r="E69" s="11" t="inlineStr">
        <is>
          <t>Fixed $</t>
        </is>
      </c>
      <c r="F69" s="11" t="inlineStr">
        <is>
          <t>Basis flag</t>
        </is>
      </c>
    </row>
    <row r="70">
      <c r="B70" s="8" t="inlineStr">
        <is>
          <t>Trade Accrual</t>
        </is>
      </c>
      <c r="C70" s="30" t="n">
        <v>0</v>
      </c>
      <c r="D70" s="31" t="n">
        <v>0.01</v>
      </c>
      <c r="E70" s="32" t="n">
        <v>0</v>
      </c>
      <c r="F70" s="33" t="inlineStr">
        <is>
          <t>%gross</t>
        </is>
      </c>
    </row>
    <row r="71">
      <c r="B71" s="8" t="inlineStr">
        <is>
          <t>Early Payment Discount</t>
        </is>
      </c>
      <c r="C71" s="30" t="n">
        <v>0</v>
      </c>
      <c r="D71" s="31" t="n">
        <v>0.01</v>
      </c>
      <c r="E71" s="32" t="n">
        <v>0</v>
      </c>
      <c r="F71" s="33" t="inlineStr">
        <is>
          <t>%gross</t>
        </is>
      </c>
    </row>
    <row r="72">
      <c r="B72" s="8" t="inlineStr">
        <is>
          <t>Customer-Specific Deductions</t>
        </is>
      </c>
      <c r="C72" s="30" t="n">
        <v>0</v>
      </c>
      <c r="D72" s="31" t="n">
        <v>0.004</v>
      </c>
      <c r="E72" s="32" t="n">
        <v>0</v>
      </c>
      <c r="F72" s="33" t="inlineStr">
        <is>
          <t>%gross</t>
        </is>
      </c>
    </row>
    <row r="73">
      <c r="B73" s="8" t="inlineStr">
        <is>
          <t>Chargebacks</t>
        </is>
      </c>
      <c r="C73" s="30" t="n">
        <v>0</v>
      </c>
      <c r="D73" s="31" t="n">
        <v>0.002</v>
      </c>
      <c r="E73" s="32" t="n">
        <v>0</v>
      </c>
      <c r="F73" s="33" t="inlineStr">
        <is>
          <t>%gross</t>
        </is>
      </c>
    </row>
    <row r="74">
      <c r="B74" s="8" t="inlineStr">
        <is>
          <t>Shortage / Damage / Claims</t>
        </is>
      </c>
      <c r="C74" s="30" t="n">
        <v>0</v>
      </c>
      <c r="D74" s="31" t="n">
        <v>0.002</v>
      </c>
      <c r="E74" s="32" t="n">
        <v>0</v>
      </c>
      <c r="F74" s="33" t="inlineStr">
        <is>
          <t>%gross</t>
        </is>
      </c>
    </row>
    <row r="75">
      <c r="B75" s="26" t="inlineStr">
        <is>
          <t>Σ Other deduction buckets</t>
        </is>
      </c>
      <c r="C75" s="27">
        <f>SUM(C70:C74)</f>
        <v/>
      </c>
      <c r="D75" s="29">
        <f>SUM(D70:D74)</f>
        <v/>
      </c>
      <c r="E75" s="34">
        <f>SUM(E70:E74)</f>
        <v/>
      </c>
    </row>
    <row r="76" ht="20" customHeight="1">
      <c r="B76" s="5" t="inlineStr">
        <is>
          <t>E.  VOLUME &amp; DISTRIBUTION ASSUMPTIONS</t>
        </is>
      </c>
      <c r="C76" s="6" t="n"/>
      <c r="D76" s="6" t="n"/>
      <c r="E76" s="6" t="n"/>
      <c r="F76" s="6" t="n"/>
      <c r="G76" s="6" t="n"/>
      <c r="H76" s="6" t="n"/>
      <c r="I76" s="6" t="n"/>
    </row>
    <row r="77">
      <c r="B77" s="19" t="inlineStr">
        <is>
          <t>Forecast Unit Sales (annual)</t>
        </is>
      </c>
      <c r="C77" s="22" t="n">
        <v>500000</v>
      </c>
      <c r="D77" s="21" t="inlineStr">
        <is>
          <t>units</t>
        </is>
      </c>
    </row>
    <row r="78">
      <c r="B78" s="19" t="inlineStr">
        <is>
          <t>Base (non-promo) Volume</t>
        </is>
      </c>
      <c r="C78" s="22" t="n">
        <v>380000</v>
      </c>
      <c r="D78" s="21" t="inlineStr">
        <is>
          <t>units</t>
        </is>
      </c>
    </row>
    <row r="79">
      <c r="B79" s="19" t="inlineStr">
        <is>
          <t>Expected Promo Lift %</t>
        </is>
      </c>
      <c r="C79" s="25" t="n">
        <v>0.35</v>
      </c>
      <c r="D79" s="21" t="inlineStr">
        <is>
          <t>% of base</t>
        </is>
      </c>
    </row>
    <row r="80">
      <c r="B80" s="19" t="inlineStr">
        <is>
          <t>Cannibalization %</t>
        </is>
      </c>
      <c r="C80" s="25" t="n">
        <v>0.1</v>
      </c>
      <c r="D80" s="21" t="inlineStr">
        <is>
          <t>% of incr.</t>
        </is>
      </c>
    </row>
    <row r="81">
      <c r="B81" s="19" t="inlineStr">
        <is>
          <t>Forward Buy %</t>
        </is>
      </c>
      <c r="C81" s="25" t="n">
        <v>0.08</v>
      </c>
      <c r="D81" s="21" t="inlineStr">
        <is>
          <t>% of incr.</t>
        </is>
      </c>
    </row>
    <row r="82">
      <c r="B82" s="19" t="inlineStr">
        <is>
          <t>Pantry Loading %</t>
        </is>
      </c>
      <c r="C82" s="25" t="n">
        <v>0.05</v>
      </c>
      <c r="D82" s="21" t="inlineStr">
        <is>
          <t>% of incr.</t>
        </is>
      </c>
    </row>
    <row r="83">
      <c r="B83" s="19" t="inlineStr">
        <is>
          <t>Post-Promo Dip %</t>
        </is>
      </c>
      <c r="C83" s="25" t="n">
        <v>0.07000000000000001</v>
      </c>
      <c r="D83" s="21" t="inlineStr">
        <is>
          <t>% of incr.</t>
        </is>
      </c>
    </row>
    <row r="84">
      <c r="B84" s="19" t="inlineStr">
        <is>
          <t>Velocity per Store per Week</t>
        </is>
      </c>
      <c r="C84" s="23" t="n">
        <v>6.5</v>
      </c>
      <c r="D84" s="21" t="inlineStr">
        <is>
          <t>units/store/wk</t>
        </is>
      </c>
    </row>
    <row r="85">
      <c r="B85" s="19" t="inlineStr">
        <is>
          <t>Number of Promo Weeks</t>
        </is>
      </c>
      <c r="C85" s="22" t="n">
        <v>4</v>
      </c>
      <c r="D85" s="21" t="inlineStr">
        <is>
          <t>weeks</t>
        </is>
      </c>
    </row>
    <row r="86">
      <c r="B86" s="19" t="inlineStr">
        <is>
          <t>Fill Rate %</t>
        </is>
      </c>
      <c r="C86" s="25" t="n">
        <v>0.97</v>
      </c>
      <c r="D86" s="21" t="inlineStr">
        <is>
          <t>service level</t>
        </is>
      </c>
    </row>
    <row r="87">
      <c r="B87" s="19" t="inlineStr">
        <is>
          <t>ACV % (distribution)</t>
        </is>
      </c>
      <c r="C87" s="25" t="n">
        <v>0.85</v>
      </c>
      <c r="D87" s="21" t="inlineStr">
        <is>
          <t>% ACV</t>
        </is>
      </c>
    </row>
    <row r="88" ht="20" customHeight="1">
      <c r="B88" s="5" t="inlineStr">
        <is>
          <t>F.  FIXED &amp; PROGRAM COSTS  (annual $)</t>
        </is>
      </c>
      <c r="C88" s="6" t="n"/>
      <c r="D88" s="6" t="n"/>
      <c r="E88" s="6" t="n"/>
      <c r="F88" s="6" t="n"/>
      <c r="G88" s="6" t="n"/>
      <c r="H88" s="6" t="n"/>
      <c r="I88" s="6" t="n"/>
    </row>
    <row r="89">
      <c r="B89" s="8" t="inlineStr">
        <is>
          <t>Fixed Monthly Support (annualized)</t>
        </is>
      </c>
      <c r="C89" s="35" t="n">
        <v>24000</v>
      </c>
      <c r="D89" s="21" t="inlineStr">
        <is>
          <t>$/yr</t>
        </is>
      </c>
    </row>
    <row r="90">
      <c r="B90" s="8" t="inlineStr">
        <is>
          <t>Customer-Specific Support Spend</t>
        </is>
      </c>
      <c r="C90" s="35" t="n">
        <v>15000</v>
      </c>
      <c r="D90" s="21" t="inlineStr">
        <is>
          <t>$/yr</t>
        </is>
      </c>
    </row>
    <row r="91">
      <c r="B91" s="8" t="inlineStr">
        <is>
          <t>Broker Support Cost</t>
        </is>
      </c>
      <c r="C91" s="35" t="n">
        <v>9000</v>
      </c>
      <c r="D91" s="21" t="inlineStr">
        <is>
          <t>$/yr</t>
        </is>
      </c>
    </row>
    <row r="92">
      <c r="B92" s="8" t="inlineStr">
        <is>
          <t>Account Management Cost</t>
        </is>
      </c>
      <c r="C92" s="35" t="n">
        <v>12000</v>
      </c>
      <c r="D92" s="21" t="inlineStr">
        <is>
          <t>$/yr</t>
        </is>
      </c>
    </row>
    <row r="93">
      <c r="B93" s="8" t="inlineStr">
        <is>
          <t>Merchandising Cost</t>
        </is>
      </c>
      <c r="C93" s="35" t="n">
        <v>8000</v>
      </c>
      <c r="D93" s="21" t="inlineStr">
        <is>
          <t>$/yr</t>
        </is>
      </c>
    </row>
    <row r="94">
      <c r="B94" s="8" t="inlineStr">
        <is>
          <t>Annual Listing Fee Amortization</t>
        </is>
      </c>
      <c r="C94" s="35" t="n">
        <v>6000</v>
      </c>
      <c r="D94" s="21" t="inlineStr">
        <is>
          <t>$/yr</t>
        </is>
      </c>
    </row>
    <row r="95">
      <c r="B95" s="8" t="inlineStr">
        <is>
          <t>Promotional Development Cost</t>
        </is>
      </c>
      <c r="C95" s="35" t="n">
        <v>5000</v>
      </c>
      <c r="D95" s="21" t="inlineStr">
        <is>
          <t>$/yr</t>
        </is>
      </c>
    </row>
    <row r="96">
      <c r="B96" s="8" t="inlineStr">
        <is>
          <t>Other Fixed Commercial Cost</t>
        </is>
      </c>
      <c r="C96" s="35" t="n">
        <v>3000</v>
      </c>
      <c r="D96" s="21" t="inlineStr">
        <is>
          <t>$/yr</t>
        </is>
      </c>
    </row>
    <row r="97">
      <c r="B97" s="26" t="inlineStr">
        <is>
          <t>Σ Total Fixed Commercial Cost</t>
        </is>
      </c>
      <c r="C97" s="34">
        <f>SUM(C89:C96)</f>
        <v/>
      </c>
    </row>
    <row r="98" ht="20" customHeight="1">
      <c r="B98" s="5" t="inlineStr">
        <is>
          <t>G.  GOVERNANCE &amp; DECISION THRESHOLDS</t>
        </is>
      </c>
      <c r="C98" s="6" t="n"/>
      <c r="D98" s="6" t="n"/>
      <c r="E98" s="6" t="n"/>
      <c r="F98" s="6" t="n"/>
      <c r="G98" s="6" t="n"/>
      <c r="H98" s="6" t="n"/>
      <c r="I98" s="6" t="n"/>
    </row>
    <row r="99">
      <c r="B99" s="19" t="inlineStr">
        <is>
          <t>Minimum Gross Margin %</t>
        </is>
      </c>
      <c r="C99" s="25" t="n">
        <v>0.38</v>
      </c>
      <c r="D99" s="21" t="inlineStr">
        <is>
          <t>hurdle</t>
        </is>
      </c>
    </row>
    <row r="100">
      <c r="B100" s="19" t="inlineStr">
        <is>
          <t>Minimum Net Margin %</t>
        </is>
      </c>
      <c r="C100" s="25" t="n">
        <v>0.08</v>
      </c>
      <c r="D100" s="21" t="inlineStr">
        <is>
          <t>hurdle</t>
        </is>
      </c>
    </row>
    <row r="101">
      <c r="B101" s="19" t="inlineStr">
        <is>
          <t>Price-Increase Approval Threshold %</t>
        </is>
      </c>
      <c r="C101" s="25" t="n">
        <v>0.05</v>
      </c>
      <c r="D101" s="21" t="inlineStr">
        <is>
          <t>needs sign-off above</t>
        </is>
      </c>
    </row>
    <row r="102">
      <c r="B102" s="8" t="inlineStr">
        <is>
          <t>Management Commentary</t>
        </is>
      </c>
      <c r="C102" s="36" t="inlineStr">
        <is>
          <t>Distributor path; watch trade % vs 22% ceiling.</t>
        </is>
      </c>
      <c r="D102" s="37" t="n"/>
      <c r="E102" s="37" t="n"/>
      <c r="F102" s="38" t="n"/>
    </row>
    <row r="104" ht="20" customHeight="1">
      <c r="B104" s="5" t="inlineStr">
        <is>
          <t>H.  LIVE KPI SNAPSHOT  (active scenario)</t>
        </is>
      </c>
      <c r="C104" s="6" t="n"/>
      <c r="D104" s="6" t="n"/>
      <c r="E104" s="6" t="n"/>
      <c r="F104" s="6" t="n"/>
      <c r="G104" s="6" t="n"/>
      <c r="H104" s="6" t="n"/>
      <c r="I104" s="6" t="n"/>
    </row>
    <row r="105">
      <c r="B105" s="39" t="inlineStr">
        <is>
          <t>Gross Sales</t>
        </is>
      </c>
      <c r="C105" s="40">
        <f>actGross</f>
        <v/>
      </c>
      <c r="E105" s="39" t="inlineStr">
        <is>
          <t>Contribution $</t>
        </is>
      </c>
      <c r="F105" s="40">
        <f>actContrib</f>
        <v/>
      </c>
    </row>
    <row r="106">
      <c r="B106" s="39" t="inlineStr">
        <is>
          <t>Net Sales</t>
        </is>
      </c>
      <c r="C106" s="40">
        <f>actNet</f>
        <v/>
      </c>
      <c r="E106" s="39" t="inlineStr">
        <is>
          <t>Net Profit $</t>
        </is>
      </c>
      <c r="F106" s="40">
        <f>actNP</f>
        <v/>
      </c>
    </row>
    <row r="107">
      <c r="B107" s="39" t="inlineStr">
        <is>
          <t>Gross Margin %</t>
        </is>
      </c>
      <c r="C107" s="41">
        <f>actGM</f>
        <v/>
      </c>
      <c r="E107" s="39" t="inlineStr">
        <is>
          <t>Profit / Unit</t>
        </is>
      </c>
      <c r="F107" s="42">
        <f>actPPU</f>
        <v/>
      </c>
    </row>
    <row r="108">
      <c r="B108" s="39" t="inlineStr">
        <is>
          <t>Net Margin %</t>
        </is>
      </c>
      <c r="C108" s="41">
        <f>actNM</f>
        <v/>
      </c>
      <c r="E108" s="39" t="inlineStr">
        <is>
          <t>Break-Even Units</t>
        </is>
      </c>
      <c r="F108" s="43">
        <f>beUnits</f>
        <v/>
      </c>
    </row>
    <row r="109">
      <c r="B109" s="39" t="inlineStr">
        <is>
          <t>Trade Spend $</t>
        </is>
      </c>
      <c r="C109" s="40">
        <f>actTradeSpend</f>
        <v/>
      </c>
      <c r="E109" s="39" t="inlineStr">
        <is>
          <t>Promotion ROI (x)</t>
        </is>
      </c>
      <c r="F109" s="44">
        <f>actROI</f>
        <v/>
      </c>
    </row>
    <row r="110">
      <c r="B110" s="39" t="inlineStr">
        <is>
          <t>Trade Spend % Gross</t>
        </is>
      </c>
      <c r="C110" s="41">
        <f>actTradePctG</f>
        <v/>
      </c>
    </row>
    <row r="112">
      <c r="B112" s="45" t="inlineStr">
        <is>
          <t>DECISION STATUS</t>
        </is>
      </c>
      <c r="C112" s="46">
        <f>INDEX(Scenarios!$C$38:$I$38,MATCH(selScenario,scnHeaders,0))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15">
    <mergeCell ref="B13:I13"/>
    <mergeCell ref="B88:I88"/>
    <mergeCell ref="C102:F102"/>
    <mergeCell ref="B68:I68"/>
    <mergeCell ref="B48:I48"/>
    <mergeCell ref="I6:J6"/>
    <mergeCell ref="I7:J7"/>
    <mergeCell ref="B104:I104"/>
    <mergeCell ref="B5:I5"/>
    <mergeCell ref="B98:I98"/>
    <mergeCell ref="B76:I76"/>
    <mergeCell ref="B23:I23"/>
    <mergeCell ref="B3:N3"/>
    <mergeCell ref="B2:N2"/>
    <mergeCell ref="B32:I32"/>
  </mergeCells>
  <conditionalFormatting sqref="C112">
    <cfRule type="cellIs" priority="1" operator="equal" dxfId="0">
      <formula>"GO"</formula>
    </cfRule>
    <cfRule type="cellIs" priority="2" operator="equal" dxfId="1">
      <formula>"REVIEW"</formula>
    </cfRule>
    <cfRule type="cellIs" priority="3" operator="equal" dxfId="2">
      <formula>"STOP"</formula>
    </cfRule>
  </conditionalFormatting>
  <conditionalFormatting sqref="I6:J6">
    <cfRule type="cellIs" priority="4" operator="equal" dxfId="3">
      <formula>"GO"</formula>
    </cfRule>
    <cfRule type="cellIs" priority="5" operator="equal" dxfId="4">
      <formula>"REVIEW"</formula>
    </cfRule>
    <cfRule type="cellIs" priority="6" operator="equal" dxfId="5">
      <formula>"STOP"</formula>
    </cfRule>
  </conditionalFormatting>
  <conditionalFormatting sqref="I7:J7">
    <cfRule type="expression" priority="7" dxfId="3">
      <formula>ISNUMBER(SEARCH("HEALTHY",I7))</formula>
    </cfRule>
    <cfRule type="expression" priority="8" dxfId="5">
      <formula>ISNUMBER(SEARCH("UNSAFE",I7))</formula>
    </cfRule>
  </conditionalFormatting>
  <dataValidations count="3">
    <dataValidation sqref="C7" showDropDown="0" showInputMessage="0" showErrorMessage="0" allowBlank="0" type="list">
      <formula1>=scnList</formula1>
    </dataValidation>
    <dataValidation sqref="C8" showDropDown="0" showInputMessage="0" showErrorMessage="0" allowBlank="0" type="list">
      <formula1>=bizList</formula1>
    </dataValidation>
    <dataValidation sqref="C9 C10" showDropDown="0" showInputMessage="0" showErrorMessage="0" allowBlank="0" type="list">
      <formula1>=ccyList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2:N10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34" customWidth="1" min="4" max="4"/>
    <col width="13" customWidth="1" min="5" max="5"/>
    <col width="13" customWidth="1" min="6" max="6"/>
    <col width="13" customWidth="1" min="7" max="7"/>
  </cols>
  <sheetData>
    <row r="2" ht="26" customHeight="1">
      <c r="B2" s="1" t="inlineStr">
        <is>
          <t>CALCULATIONS — GROSS TO NET ENGINE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Detailed line-item P&amp;L for the ACTIVE scenario. Active multipliers are pulled from the Scenario tab via INDEX/MATCH. Formulas only — no hardcodes.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0.  ACTIVE ASSUMPTION RESOLUTION  (driven by selScenario)</t>
        </is>
      </c>
      <c r="C5" s="6" t="n"/>
      <c r="D5" s="6" t="n"/>
    </row>
    <row r="6">
      <c r="B6" s="47" t="inlineStr">
        <is>
          <t>Active Volume mult</t>
        </is>
      </c>
      <c r="C6" s="48">
        <f>INDEX(volMult,MATCH(selScenario,scnHeaders,0))</f>
        <v/>
      </c>
    </row>
    <row r="7">
      <c r="B7" s="47" t="inlineStr">
        <is>
          <t>Active Price mult</t>
        </is>
      </c>
      <c r="C7" s="48">
        <f>INDEX(priceMult,MATCH(selScenario,scnHeaders,0))</f>
        <v/>
      </c>
    </row>
    <row r="8">
      <c r="B8" s="47" t="inlineStr">
        <is>
          <t>Active Var-cost mult</t>
        </is>
      </c>
      <c r="C8" s="48">
        <f>INDEX(vcMult,MATCH(selScenario,scnHeaders,0))</f>
        <v/>
      </c>
    </row>
    <row r="9">
      <c r="B9" s="47" t="inlineStr">
        <is>
          <t>Active Trade mult</t>
        </is>
      </c>
      <c r="C9" s="48">
        <f>INDEX(tradeMult,MATCH(selScenario,scnHeaders,0))</f>
        <v/>
      </c>
    </row>
    <row r="10">
      <c r="B10" s="47" t="inlineStr">
        <is>
          <t>Active Fill mult</t>
        </is>
      </c>
      <c r="C10" s="48">
        <f>INDEX(fillMult,MATCH(selScenario,scnHeaders,0))</f>
        <v/>
      </c>
    </row>
    <row r="11">
      <c r="B11" s="47" t="inlineStr">
        <is>
          <t>Active Cannib mult</t>
        </is>
      </c>
      <c r="C11" s="48">
        <f>INDEX(cannibMult,MATCH(selScenario,scnHeaders,0))</f>
        <v/>
      </c>
    </row>
    <row r="12">
      <c r="B12" s="47" t="inlineStr">
        <is>
          <t>Active Promo flag</t>
        </is>
      </c>
      <c r="C12" s="48">
        <f>INDEX(promoFlag,MATCH(selScenario,scnHeaders,0))</f>
        <v/>
      </c>
    </row>
    <row r="13">
      <c r="B13" s="47" t="inlineStr">
        <is>
          <t>Active FX stress mult</t>
        </is>
      </c>
      <c r="C13" s="48">
        <f>INDEX(fxMult,MATCH(selScenario,scnHeaders,0))</f>
        <v/>
      </c>
    </row>
    <row r="14" ht="20" customHeight="1">
      <c r="B14" s="5" t="inlineStr">
        <is>
          <t>1.  VOLUME ENGINE</t>
        </is>
      </c>
      <c r="C14" s="6" t="n"/>
      <c r="D14" s="6" t="n"/>
    </row>
    <row r="15">
      <c r="B15" s="47" t="inlineStr">
        <is>
          <t>Effective Fill Rate</t>
        </is>
      </c>
      <c r="C15" s="49">
        <f>MIN(1,FillRate*actFillM)</f>
        <v/>
      </c>
    </row>
    <row r="16">
      <c r="B16" s="7" t="inlineStr">
        <is>
          <t>Effective Units Sold</t>
        </is>
      </c>
      <c r="C16" s="43">
        <f>ForecastUnits*actVolM*actFill</f>
        <v/>
      </c>
    </row>
    <row r="17">
      <c r="B17" s="50" t="inlineStr">
        <is>
          <t>Case Sales</t>
        </is>
      </c>
      <c r="C17" s="51">
        <f>actUnits/UnitsPerCase</f>
        <v/>
      </c>
    </row>
    <row r="18">
      <c r="B18" s="50" t="inlineStr">
        <is>
          <t>Base (non-promo) Volume</t>
        </is>
      </c>
      <c r="C18" s="51">
        <f>BaseUnits*actVolM</f>
        <v/>
      </c>
    </row>
    <row r="19">
      <c r="B19" s="50" t="inlineStr">
        <is>
          <t>Gross Promo Lift Units</t>
        </is>
      </c>
      <c r="C19" s="51">
        <f>actBase*PromoLiftPct*actPromoF</f>
        <v/>
      </c>
    </row>
    <row r="20">
      <c r="B20" s="50" t="inlineStr">
        <is>
          <t>Cannibalized Volume</t>
        </is>
      </c>
      <c r="C20" s="51">
        <f>actLift*CannibPct*actCannibM</f>
        <v/>
      </c>
    </row>
    <row r="21">
      <c r="B21" s="50" t="inlineStr">
        <is>
          <t>Forward-Buy Volume</t>
        </is>
      </c>
      <c r="C21" s="51">
        <f>actLift*ForwardBuyPct</f>
        <v/>
      </c>
    </row>
    <row r="22">
      <c r="B22" s="50" t="inlineStr">
        <is>
          <t>Post-Promo Dip Volume</t>
        </is>
      </c>
      <c r="C22" s="51">
        <f>actLift*PostDipPct</f>
        <v/>
      </c>
    </row>
    <row r="23">
      <c r="B23" s="26" t="inlineStr">
        <is>
          <t>TRUE Net Incremental Volume</t>
        </is>
      </c>
      <c r="C23" s="52">
        <f>actLift-actCannibVol-actDip</f>
        <v/>
      </c>
    </row>
    <row r="24" ht="20" customHeight="1">
      <c r="B24" s="5" t="inlineStr">
        <is>
          <t>2.  REVENUE ENGINE</t>
        </is>
      </c>
      <c r="C24" s="6" t="n"/>
      <c r="D24" s="6" t="n"/>
    </row>
    <row r="25">
      <c r="B25" s="47" t="inlineStr">
        <is>
          <t>Active Wholesale Price /unit</t>
        </is>
      </c>
      <c r="C25" s="53">
        <f>WholesalePrice*actPriceM</f>
        <v/>
      </c>
    </row>
    <row r="26">
      <c r="B26" s="7" t="inlineStr">
        <is>
          <t>Gross Sales</t>
        </is>
      </c>
      <c r="C26" s="40">
        <f>actUnits*actPrice</f>
        <v/>
      </c>
    </row>
    <row r="27">
      <c r="B27" s="50" t="inlineStr">
        <is>
          <t>On-Invoice Deductions</t>
        </is>
      </c>
      <c r="C27" s="54">
        <f>(ded_trade_pu*actUnits)*actTradeM</f>
        <v/>
      </c>
      <c r="D27" s="24" t="inlineStr">
        <is>
          <t>per-unit trade applied on invoice</t>
        </is>
      </c>
    </row>
    <row r="28">
      <c r="B28" s="50" t="inlineStr">
        <is>
          <t>Off-Invoice Deductions</t>
        </is>
      </c>
      <c r="C28" s="54">
        <f>(ded_trade_pct*actGross+ded_trade_fix)*actTradeM</f>
        <v/>
      </c>
      <c r="D28" s="24" t="inlineStr">
        <is>
          <t>% and fixed trade</t>
        </is>
      </c>
    </row>
    <row r="29">
      <c r="B29" s="7" t="inlineStr">
        <is>
          <t>Trade Spend $</t>
        </is>
      </c>
      <c r="C29" s="40">
        <f>(ded_trade_pct*actGross+ded_trade_pu*actUnits+ded_trade_fix)*actTradeM</f>
        <v/>
      </c>
    </row>
    <row r="30">
      <c r="B30" s="50" t="inlineStr">
        <is>
          <t>Other GtN Deductions $</t>
        </is>
      </c>
      <c r="C30" s="54">
        <f>(ded_other_pct*actGross+ded_other_pu*actUnits+ded_other_fix)*actTradeM</f>
        <v/>
      </c>
    </row>
    <row r="31">
      <c r="B31" s="26" t="inlineStr">
        <is>
          <t>Total Gross-to-Net Deductions</t>
        </is>
      </c>
      <c r="C31" s="34">
        <f>actTradeSpend+actOtherDed</f>
        <v/>
      </c>
    </row>
    <row r="32">
      <c r="B32" s="26" t="inlineStr">
        <is>
          <t>Net Sales</t>
        </is>
      </c>
      <c r="C32" s="34">
        <f>actGross-actGtN</f>
        <v/>
      </c>
    </row>
    <row r="33">
      <c r="B33" s="50" t="inlineStr">
        <is>
          <t>Net Realized Price /unit</t>
        </is>
      </c>
      <c r="C33" s="55">
        <f>IF(actUnits=0,0,actNet/actUnits)</f>
        <v/>
      </c>
    </row>
    <row r="34">
      <c r="B34" s="50" t="inlineStr">
        <is>
          <t>Net Realized Price /case</t>
        </is>
      </c>
      <c r="C34" s="55">
        <f>IF(actCases=0,0,actNet/actCases)</f>
        <v/>
      </c>
    </row>
    <row r="35" ht="20" customHeight="1">
      <c r="B35" s="5" t="inlineStr">
        <is>
          <t>3.  COST ENGINE</t>
        </is>
      </c>
      <c r="C35" s="6" t="n"/>
      <c r="D35" s="6" t="n"/>
    </row>
    <row r="36">
      <c r="B36" s="47" t="inlineStr">
        <is>
          <t>Variable Cost per Unit (scaled)</t>
        </is>
      </c>
      <c r="C36" s="53">
        <f>vc_pu*actVcM</f>
        <v/>
      </c>
    </row>
    <row r="37">
      <c r="B37" s="50" t="inlineStr">
        <is>
          <t>Total Per-Unit Variable Cost</t>
        </is>
      </c>
      <c r="C37" s="54">
        <f>actVCpu*actUnits</f>
        <v/>
      </c>
    </row>
    <row r="38">
      <c r="B38" s="50" t="inlineStr">
        <is>
          <t>Broker Fee $</t>
        </is>
      </c>
      <c r="C38" s="54">
        <f>BrokerPct*actGross</f>
        <v/>
      </c>
    </row>
    <row r="39">
      <c r="B39" s="50" t="inlineStr">
        <is>
          <t>Distributor Fee $</t>
        </is>
      </c>
      <c r="C39" s="54">
        <f>DistributorPct*actGross</f>
        <v/>
      </c>
    </row>
    <row r="40">
      <c r="B40" s="26" t="inlineStr">
        <is>
          <t>Total Variable Cost</t>
        </is>
      </c>
      <c r="C40" s="34">
        <f>actVCpu*actUnits+vc_pct*actGross</f>
        <v/>
      </c>
    </row>
    <row r="41">
      <c r="B41" s="50" t="inlineStr">
        <is>
          <t>Fixed Commercial Cost</t>
        </is>
      </c>
      <c r="C41" s="54">
        <f>FixedCommercialTotal</f>
        <v/>
      </c>
    </row>
    <row r="42">
      <c r="B42" s="7" t="inlineStr">
        <is>
          <t>Total Direct Cost</t>
        </is>
      </c>
      <c r="C42" s="40">
        <f>actVCost+actFixed</f>
        <v/>
      </c>
    </row>
    <row r="43" ht="20" customHeight="1">
      <c r="B43" s="5" t="inlineStr">
        <is>
          <t>4.  PROFITABILITY ENGINE</t>
        </is>
      </c>
      <c r="C43" s="6" t="n"/>
      <c r="D43" s="6" t="n"/>
    </row>
    <row r="44">
      <c r="B44" s="7" t="inlineStr">
        <is>
          <t>Gross Profit $</t>
        </is>
      </c>
      <c r="C44" s="40">
        <f>actGross-actVCost</f>
        <v/>
      </c>
    </row>
    <row r="45">
      <c r="B45" s="26" t="inlineStr">
        <is>
          <t>Gross Margin %</t>
        </is>
      </c>
      <c r="C45" s="29">
        <f>IF(actGross=0,0,actGP/actGross)</f>
        <v/>
      </c>
    </row>
    <row r="46">
      <c r="B46" s="7" t="inlineStr">
        <is>
          <t>Contribution $</t>
        </is>
      </c>
      <c r="C46" s="40">
        <f>actNet-actVCost</f>
        <v/>
      </c>
    </row>
    <row r="47">
      <c r="B47" s="50" t="inlineStr">
        <is>
          <t>Contribution Margin %</t>
        </is>
      </c>
      <c r="C47" s="56">
        <f>IF(actNet=0,0,actContrib/actNet)</f>
        <v/>
      </c>
    </row>
    <row r="48">
      <c r="B48" s="26" t="inlineStr">
        <is>
          <t>Net Profit $</t>
        </is>
      </c>
      <c r="C48" s="34">
        <f>actContrib-actFixed</f>
        <v/>
      </c>
    </row>
    <row r="49">
      <c r="B49" s="26" t="inlineStr">
        <is>
          <t>Net Margin %</t>
        </is>
      </c>
      <c r="C49" s="29">
        <f>IF(actNet=0,0,actNP/actNet)</f>
        <v/>
      </c>
    </row>
    <row r="50">
      <c r="B50" s="50" t="inlineStr">
        <is>
          <t>Profit per Unit</t>
        </is>
      </c>
      <c r="C50" s="55">
        <f>IF(actUnits=0,0,actNP/actUnits)</f>
        <v/>
      </c>
    </row>
    <row r="51">
      <c r="B51" s="50" t="inlineStr">
        <is>
          <t>Profit per Case</t>
        </is>
      </c>
      <c r="C51" s="55">
        <f>IF(actCases=0,0,actNP/actCases)</f>
        <v/>
      </c>
    </row>
    <row r="52">
      <c r="B52" s="50" t="inlineStr">
        <is>
          <t>Contribution per Unit</t>
        </is>
      </c>
      <c r="C52" s="55">
        <f>IF(actUnits=0,0,actContrib/actUnits)</f>
        <v/>
      </c>
    </row>
    <row r="53">
      <c r="B53" s="50" t="inlineStr">
        <is>
          <t>Trade Spend % of Gross</t>
        </is>
      </c>
      <c r="C53" s="56">
        <f>IF(actGross=0,0,actTradeSpend/actGross)</f>
        <v/>
      </c>
    </row>
    <row r="54">
      <c r="B54" s="50" t="inlineStr">
        <is>
          <t>Trade Spend % of Net</t>
        </is>
      </c>
      <c r="C54" s="56">
        <f>IF(actNet=0,0,actTradeSpend/actNet)</f>
        <v/>
      </c>
    </row>
    <row r="55">
      <c r="B55" s="50" t="inlineStr">
        <is>
          <t>Trade Efficiency ($NP / $trade)</t>
        </is>
      </c>
      <c r="C55" s="57">
        <f>IF(actTradeSpend=0,0,actNP/actTradeSpend)</f>
        <v/>
      </c>
    </row>
    <row r="56" ht="20" customHeight="1">
      <c r="B56" s="5" t="inlineStr">
        <is>
          <t>5.  CUSTOMER PATH ECONOMICS</t>
        </is>
      </c>
      <c r="C56" s="6" t="n"/>
      <c r="D56" s="6" t="n"/>
    </row>
    <row r="57">
      <c r="B57" s="50" t="inlineStr">
        <is>
          <t>Distributor Buy Price /unit</t>
        </is>
      </c>
      <c r="C57" s="55">
        <f>actPrice</f>
        <v/>
      </c>
      <c r="D57" s="24" t="inlineStr">
        <is>
          <t>company wholesale price (no markup)</t>
        </is>
      </c>
    </row>
    <row r="58">
      <c r="B58" s="50" t="inlineStr">
        <is>
          <t>Distributor Sell Price /unit</t>
        </is>
      </c>
      <c r="C58" s="55">
        <f>IF(selBusinessModel="Distributor",actPrice/(1-DistributorMargin),actPrice)</f>
        <v/>
      </c>
    </row>
    <row r="59">
      <c r="B59" s="50" t="inlineStr">
        <is>
          <t>Distributor $ Margin /unit</t>
        </is>
      </c>
      <c r="C59" s="55">
        <f>actDistSell-actDistBuy</f>
        <v/>
      </c>
    </row>
    <row r="60">
      <c r="B60" s="50" t="inlineStr">
        <is>
          <t>Distributor Margin %</t>
        </is>
      </c>
      <c r="C60" s="56">
        <f>IF(actDistSell=0,0,actDistMgnU/actDistSell)</f>
        <v/>
      </c>
    </row>
    <row r="61">
      <c r="B61" s="50" t="inlineStr">
        <is>
          <t>Retail Shelf Price /unit (req'd)</t>
        </is>
      </c>
      <c r="C61" s="55">
        <f>actDistSell/(1-RetailerMargin)</f>
        <v/>
      </c>
    </row>
    <row r="62">
      <c r="B62" s="50" t="inlineStr">
        <is>
          <t>Retailer $ Margin /unit</t>
        </is>
      </c>
      <c r="C62" s="55">
        <f>actRetailReq-actDistSell</f>
        <v/>
      </c>
    </row>
    <row r="63">
      <c r="B63" s="50" t="inlineStr">
        <is>
          <t>Retailer Margin %</t>
        </is>
      </c>
      <c r="C63" s="56">
        <f>IF(actRetailReq=0,0,actRetMgnU/actRetailReq)</f>
        <v/>
      </c>
    </row>
    <row r="64">
      <c r="B64" s="50" t="inlineStr">
        <is>
          <t>Company Net Realization /unit</t>
        </is>
      </c>
      <c r="C64" s="55">
        <f>actNRPunit</f>
        <v/>
      </c>
    </row>
    <row r="65">
      <c r="B65" s="50" t="inlineStr">
        <is>
          <t>Company Net Realization /case</t>
        </is>
      </c>
      <c r="C65" s="55">
        <f>actNRPcase</f>
        <v/>
      </c>
    </row>
    <row r="66" ht="20" customHeight="1">
      <c r="B66" s="5" t="inlineStr">
        <is>
          <t>6.  MARGIN BRIDGE  (Gross Sales → Net Profit)</t>
        </is>
      </c>
      <c r="C66" s="6" t="n"/>
      <c r="D66" s="6" t="n"/>
    </row>
    <row r="67">
      <c r="B67" s="47" t="inlineStr">
        <is>
          <t>Gross Sales</t>
        </is>
      </c>
      <c r="C67" s="58">
        <f>actGross</f>
        <v/>
      </c>
    </row>
    <row r="68">
      <c r="B68" s="50" t="inlineStr">
        <is>
          <t xml:space="preserve">  less On-Invoice Deductions</t>
        </is>
      </c>
      <c r="C68" s="54">
        <f>-actOnInv</f>
        <v/>
      </c>
    </row>
    <row r="69">
      <c r="B69" s="50" t="inlineStr">
        <is>
          <t xml:space="preserve">  less Off-Invoice Deductions</t>
        </is>
      </c>
      <c r="C69" s="54">
        <f>-actOffInv</f>
        <v/>
      </c>
    </row>
    <row r="70">
      <c r="B70" s="7" t="inlineStr">
        <is>
          <t>→ Net Sales</t>
        </is>
      </c>
      <c r="C70" s="40">
        <f>actGross-actOnInv-actOffInv-actOtherDed</f>
        <v/>
      </c>
    </row>
    <row r="71">
      <c r="B71" s="50" t="inlineStr">
        <is>
          <t xml:space="preserve">  less Product &amp; Landed Cost</t>
        </is>
      </c>
      <c r="C71" s="54">
        <f>-(actVCpu*actUnits)</f>
        <v/>
      </c>
    </row>
    <row r="72">
      <c r="B72" s="50" t="inlineStr">
        <is>
          <t xml:space="preserve">  less Broker &amp; Distributor Fees</t>
        </is>
      </c>
      <c r="C72" s="54">
        <f>-(actBroker+actDist)</f>
        <v/>
      </c>
    </row>
    <row r="73">
      <c r="B73" s="26" t="inlineStr">
        <is>
          <t>→ Contribution</t>
        </is>
      </c>
      <c r="C73" s="34">
        <f>actContrib</f>
        <v/>
      </c>
    </row>
    <row r="74">
      <c r="B74" s="50" t="inlineStr">
        <is>
          <t xml:space="preserve">  less Fixed Program Costs</t>
        </is>
      </c>
      <c r="C74" s="54">
        <f>-actFixed</f>
        <v/>
      </c>
    </row>
    <row r="75">
      <c r="B75" s="26" t="inlineStr">
        <is>
          <t>→ NET PROFIT</t>
        </is>
      </c>
      <c r="C75" s="34">
        <f>actNP</f>
        <v/>
      </c>
    </row>
    <row r="76" ht="20" customHeight="1">
      <c r="B76" s="5" t="inlineStr">
        <is>
          <t>7.  INCREMENTAL ECONOMICS  (active vs Base scenario)</t>
        </is>
      </c>
      <c r="C76" s="6" t="n"/>
      <c r="D76" s="6" t="n"/>
    </row>
    <row r="77">
      <c r="B77" s="50" t="inlineStr">
        <is>
          <t>Incremental Net Sales</t>
        </is>
      </c>
      <c r="C77" s="54">
        <f>actNet-Scenarios!$C$23</f>
        <v/>
      </c>
    </row>
    <row r="78">
      <c r="B78" s="50" t="inlineStr">
        <is>
          <t>Incremental Trade Spend</t>
        </is>
      </c>
      <c r="C78" s="54">
        <f>actTradeSpend-Scenarios!$C$20</f>
        <v/>
      </c>
    </row>
    <row r="79">
      <c r="B79" s="50" t="inlineStr">
        <is>
          <t>Incremental Variable Cost</t>
        </is>
      </c>
      <c r="C79" s="54">
        <f>actVCost-Scenarios!$C$24</f>
        <v/>
      </c>
    </row>
    <row r="80">
      <c r="B80" s="7" t="inlineStr">
        <is>
          <t>Incremental Contribution</t>
        </is>
      </c>
      <c r="C80" s="40">
        <f>incrNet-incrVC</f>
        <v/>
      </c>
    </row>
    <row r="81">
      <c r="B81" s="26" t="inlineStr">
        <is>
          <t>Incremental Net Profit</t>
        </is>
      </c>
      <c r="C81" s="34">
        <f>actNP-Scenarios!$C$29</f>
        <v/>
      </c>
    </row>
    <row r="82">
      <c r="B82" s="50" t="inlineStr">
        <is>
          <t>Promo Spend (incremental trade)</t>
        </is>
      </c>
      <c r="C82" s="54">
        <f>MAX(0,incrTrade)</f>
        <v/>
      </c>
    </row>
    <row r="83">
      <c r="B83" s="26" t="inlineStr">
        <is>
          <t>Promotion ROI ($NP per $spend)</t>
        </is>
      </c>
      <c r="C83" s="59">
        <f>IF(promoSpend=0,0,incrNP/promoSpend)</f>
        <v/>
      </c>
    </row>
    <row r="84">
      <c r="B84" s="50" t="inlineStr">
        <is>
          <t>Payback Multiple</t>
        </is>
      </c>
      <c r="C84" s="57">
        <f>IF(promoSpend=0,0,(incrNP+promoSpend)/promoSpend)</f>
        <v/>
      </c>
    </row>
    <row r="85" ht="20" customHeight="1">
      <c r="B85" s="5" t="inlineStr">
        <is>
          <t>8.  BREAK-EVEN ENGINE</t>
        </is>
      </c>
      <c r="C85" s="6" t="n"/>
      <c r="D85" s="6" t="n"/>
    </row>
    <row r="86">
      <c r="B86" s="7" t="inlineStr">
        <is>
          <t>Break-Even Units</t>
        </is>
      </c>
      <c r="C86" s="43">
        <f>IF(actCPU&lt;=0,"contrib&lt;=0",actFixed/actCPU)</f>
        <v/>
      </c>
    </row>
    <row r="87">
      <c r="B87" s="50" t="inlineStr">
        <is>
          <t>Break-Even Cases</t>
        </is>
      </c>
      <c r="C87" s="51">
        <f>IF(actCPU&lt;=0,"n/a",beUnits/UnitsPerCase)</f>
        <v/>
      </c>
    </row>
    <row r="88">
      <c r="B88" s="50" t="inlineStr">
        <is>
          <t xml:space="preserve">  helper a (ded % of gross)</t>
        </is>
      </c>
      <c r="C88" s="56">
        <f>(ded_trade_pct+ded_other_pct)*actTradeM</f>
        <v/>
      </c>
    </row>
    <row r="89">
      <c r="B89" s="50" t="inlineStr">
        <is>
          <t xml:space="preserve">  helper b (ded $/unit)</t>
        </is>
      </c>
      <c r="C89" s="55">
        <f>(ded_trade_pu+ded_other_pu)*actTradeM</f>
        <v/>
      </c>
    </row>
    <row r="90">
      <c r="B90" s="50" t="inlineStr">
        <is>
          <t xml:space="preserve">  helper c (ded fixed $)</t>
        </is>
      </c>
      <c r="C90" s="54">
        <f>(ded_trade_fix+ded_other_fix)*actTradeM</f>
        <v/>
      </c>
    </row>
    <row r="91">
      <c r="B91" s="26" t="inlineStr">
        <is>
          <t>Break-Even Wholesale Price (Target NM)</t>
        </is>
      </c>
      <c r="C91" s="27">
        <f>IF((1-beA-vc_pct-TargetNM*(1-beA))=0,0,((beB+vc_pu*actVcM)*actUnits+beC+actFixed-TargetNM*(beB*actUnits+beC))/((1-beA-vc_pct-TargetNM*(1-beA))*actUnits))</f>
        <v/>
      </c>
    </row>
    <row r="92">
      <c r="B92" s="50" t="inlineStr">
        <is>
          <t>Break-Even Retail Price</t>
        </is>
      </c>
      <c r="C92" s="55">
        <f>beWholesale/(1-RetailerMargin)/IF(selBusinessModel="Distributor",(1-DistributorMargin),1)</f>
        <v/>
      </c>
    </row>
    <row r="93">
      <c r="B93" s="50" t="inlineStr">
        <is>
          <t>Break-Even Promo Lift %</t>
        </is>
      </c>
      <c r="C93" s="56">
        <f>IF(actCPU&lt;=0,"n/a",promoSpend/(actCPU*actBase))</f>
        <v/>
      </c>
    </row>
    <row r="94">
      <c r="B94" s="50" t="inlineStr">
        <is>
          <t>Break-Even Velocity /store/wk</t>
        </is>
      </c>
      <c r="C94" s="55">
        <f>IF(OR(NumStores=0,PromoWeeks=0),"n/a",beUnits/NumStores/PromoWeeks)</f>
        <v/>
      </c>
    </row>
    <row r="95">
      <c r="B95" s="50" t="inlineStr">
        <is>
          <t>Break-Even Store Count</t>
        </is>
      </c>
      <c r="C95" s="51">
        <f>IF(OR(VelocityPSPW=0,PromoWeeks=0),"n/a",beUnits/VelocityPSPW/PromoWeeks)</f>
        <v/>
      </c>
    </row>
    <row r="96">
      <c r="B96" s="50" t="inlineStr">
        <is>
          <t>Break-Even Promo Weeks</t>
        </is>
      </c>
      <c r="C96" s="51">
        <f>IF(OR(VelocityPSPW=0,NumStores=0),"n/a",beUnits/VelocityPSPW/NumStores)</f>
        <v/>
      </c>
    </row>
    <row r="97" ht="20" customHeight="1">
      <c r="B97" s="5" t="inlineStr">
        <is>
          <t>9.  SENSITIVITY ENGINE  (impact on Net Profit / margin)</t>
        </is>
      </c>
      <c r="C97" s="6" t="n"/>
      <c r="D97" s="6" t="n"/>
      <c r="E97" s="6" t="n"/>
      <c r="F97" s="6" t="n"/>
      <c r="G97" s="6" t="n"/>
    </row>
    <row r="98">
      <c r="B98" s="60" t="inlineStr">
        <is>
          <t>Driver shock</t>
        </is>
      </c>
      <c r="C98" s="11" t="inlineStr">
        <is>
          <t>-10%</t>
        </is>
      </c>
      <c r="D98" s="11" t="inlineStr">
        <is>
          <t>-5%</t>
        </is>
      </c>
      <c r="E98" s="11" t="inlineStr">
        <is>
          <t>Active</t>
        </is>
      </c>
      <c r="F98" s="11" t="inlineStr">
        <is>
          <t>+5%</t>
        </is>
      </c>
      <c r="G98" s="11" t="inlineStr">
        <is>
          <t>+10%</t>
        </is>
      </c>
    </row>
    <row r="99">
      <c r="B99" s="39" t="inlineStr">
        <is>
          <t>Price → Net Profit</t>
        </is>
      </c>
      <c r="C99" s="54">
        <f>actNP+(-0.1)*actPrice*actUnits*(1-beA-vc_pct)</f>
        <v/>
      </c>
      <c r="D99" s="54">
        <f>actNP+(-0.05)*actPrice*actUnits*(1-beA-vc_pct)</f>
        <v/>
      </c>
      <c r="E99" s="54">
        <f>actNP+(0)*actPrice*actUnits*(1-beA-vc_pct)</f>
        <v/>
      </c>
      <c r="F99" s="54">
        <f>actNP+(0.05)*actPrice*actUnits*(1-beA-vc_pct)</f>
        <v/>
      </c>
      <c r="G99" s="54">
        <f>actNP+(0.1)*actPrice*actUnits*(1-beA-vc_pct)</f>
        <v/>
      </c>
    </row>
    <row r="100">
      <c r="B100" s="39" t="inlineStr">
        <is>
          <t>Volume → Net Profit</t>
        </is>
      </c>
      <c r="C100" s="54">
        <f>actNP+(-0.1)*actContrib</f>
        <v/>
      </c>
      <c r="D100" s="54">
        <f>actNP+(-0.05)*actContrib</f>
        <v/>
      </c>
      <c r="E100" s="54">
        <f>actNP+(0)*actContrib</f>
        <v/>
      </c>
      <c r="F100" s="54">
        <f>actNP+(0.05)*actContrib</f>
        <v/>
      </c>
      <c r="G100" s="54">
        <f>actNP+(0.1)*actContrib</f>
        <v/>
      </c>
    </row>
    <row r="101">
      <c r="B101" s="39" t="inlineStr">
        <is>
          <t>Cost inflation → Net Profit</t>
        </is>
      </c>
      <c r="C101" s="54">
        <f>actNP-(0.1)*actVCpu*actUnits</f>
        <v/>
      </c>
      <c r="D101" s="54">
        <f>actNP-(0.05)*actVCpu*actUnits</f>
        <v/>
      </c>
      <c r="E101" s="54">
        <f>actNP-(0)*actVCpu*actUnits</f>
        <v/>
      </c>
      <c r="F101" s="54">
        <f>actNP-(-0.05)*actVCpu*actUnits</f>
        <v/>
      </c>
      <c r="G101" s="54">
        <f>actNP-(-0.1)*actVCpu*actUnits</f>
        <v/>
      </c>
    </row>
    <row r="102">
      <c r="B102" s="39" t="inlineStr">
        <is>
          <t>Trade % → Net Profit</t>
        </is>
      </c>
      <c r="C102" s="54">
        <f>actNP-(0.1)*actTradeSpend</f>
        <v/>
      </c>
      <c r="D102" s="54">
        <f>actNP-(0.05)*actTradeSpend</f>
        <v/>
      </c>
      <c r="E102" s="54">
        <f>actNP-(0)*actTradeSpend</f>
        <v/>
      </c>
      <c r="F102" s="54">
        <f>actNP-(-0.05)*actTradeSpend</f>
        <v/>
      </c>
      <c r="G102" s="54">
        <f>actNP-(-0.1)*actTradeSpend</f>
        <v/>
      </c>
    </row>
    <row r="103">
      <c r="B103" s="39" t="inlineStr">
        <is>
          <t>FX shock → Net Profit</t>
        </is>
      </c>
      <c r="C103" s="54">
        <f>actNP*(1+(-0.1))</f>
        <v/>
      </c>
      <c r="D103" s="54">
        <f>actNP*(1+(-0.05))</f>
        <v/>
      </c>
      <c r="E103" s="54">
        <f>actNP*(1+(0))</f>
        <v/>
      </c>
      <c r="F103" s="54">
        <f>actNP*(1+(0.05))</f>
        <v/>
      </c>
      <c r="G103" s="54">
        <f>actNP*(1+(0.1))</f>
        <v/>
      </c>
    </row>
    <row r="104" ht="20" customHeight="1">
      <c r="B104" s="5" t="inlineStr">
        <is>
          <t>10.  TARGET PRICE / TARGET COST LOGIC</t>
        </is>
      </c>
      <c r="C104" s="6" t="n"/>
      <c r="D104" s="6" t="n"/>
      <c r="E104" s="6" t="n"/>
    </row>
    <row r="105">
      <c r="B105" s="50" t="inlineStr">
        <is>
          <t>Wholesale Price to hit Target GM</t>
        </is>
      </c>
      <c r="C105" s="55">
        <f>(vc_pu*actVcM)/(1-TargetGM-vc_pct)</f>
        <v/>
      </c>
      <c r="D105" s="24" t="inlineStr">
        <is>
          <t>solves GM%=target holding cost</t>
        </is>
      </c>
    </row>
    <row r="106">
      <c r="B106" s="50" t="inlineStr">
        <is>
          <t>Wholesale Price to hit Target NM</t>
        </is>
      </c>
      <c r="C106" s="55">
        <f>beWholesale</f>
        <v/>
      </c>
    </row>
    <row r="107">
      <c r="B107" s="50" t="inlineStr">
        <is>
          <t>Variable Cost /unit to hit Target GM (price fixed)</t>
        </is>
      </c>
      <c r="C107" s="55">
        <f>actPrice*(1-TargetGM)-vc_pct*actPrice</f>
        <v/>
      </c>
    </row>
    <row r="108">
      <c r="B108" s="50" t="inlineStr">
        <is>
          <t>Required cost reduction /unit</t>
        </is>
      </c>
      <c r="C108" s="55">
        <f>MAX(0,actVCpu-tgtCostGM)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13">
    <mergeCell ref="B5:D5"/>
    <mergeCell ref="B14:D14"/>
    <mergeCell ref="B66:D66"/>
    <mergeCell ref="B76:D76"/>
    <mergeCell ref="B85:D85"/>
    <mergeCell ref="B35:D35"/>
    <mergeCell ref="B56:D56"/>
    <mergeCell ref="B104:E104"/>
    <mergeCell ref="B97:G97"/>
    <mergeCell ref="B43:D43"/>
    <mergeCell ref="B3:N3"/>
    <mergeCell ref="B2:N2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B2:N43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1" max="11"/>
  </cols>
  <sheetData>
    <row r="2" ht="26" customHeight="1">
      <c r="B2" s="1" t="inlineStr">
        <is>
          <t>SCENARIO ENGINE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Each scenario is a set of DRIVER MULTIPLIERS on the base inputs. The active scenario (selScenario) is read by the Calc engine via INDEX/MATCH.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6">
      <c r="B6" s="61" t="inlineStr">
        <is>
          <t>Driver  (multiplier on base; 1.00 = base)</t>
        </is>
      </c>
      <c r="C6" s="62" t="inlineStr">
        <is>
          <t>Base Case</t>
        </is>
      </c>
      <c r="D6" s="62" t="inlineStr">
        <is>
          <t>Promo Case</t>
        </is>
      </c>
      <c r="E6" s="62" t="inlineStr">
        <is>
          <t>High Volume Case</t>
        </is>
      </c>
      <c r="F6" s="62" t="inlineStr">
        <is>
          <t>Low Volume Case</t>
        </is>
      </c>
      <c r="G6" s="62" t="inlineStr">
        <is>
          <t>Cost Inflation Case</t>
        </is>
      </c>
      <c r="H6" s="62" t="inlineStr">
        <is>
          <t>Margin Recovery Case</t>
        </is>
      </c>
      <c r="I6" s="62" t="inlineStr">
        <is>
          <t>Custom Scenario</t>
        </is>
      </c>
    </row>
    <row r="7">
      <c r="B7" s="39" t="inlineStr">
        <is>
          <t>Volume multiplier</t>
        </is>
      </c>
      <c r="C7" s="63" t="n">
        <v>1</v>
      </c>
      <c r="D7" s="63" t="n">
        <v>1.3</v>
      </c>
      <c r="E7" s="63" t="n">
        <v>1.2</v>
      </c>
      <c r="F7" s="63" t="n">
        <v>0.8</v>
      </c>
      <c r="G7" s="63" t="n">
        <v>1</v>
      </c>
      <c r="H7" s="63" t="n">
        <v>0.95</v>
      </c>
      <c r="I7" s="63" t="n">
        <v>1</v>
      </c>
    </row>
    <row r="8">
      <c r="B8" s="39" t="inlineStr">
        <is>
          <t>Wholesale price mult</t>
        </is>
      </c>
      <c r="C8" s="63" t="n">
        <v>1</v>
      </c>
      <c r="D8" s="63" t="n">
        <v>0.95</v>
      </c>
      <c r="E8" s="63" t="n">
        <v>1</v>
      </c>
      <c r="F8" s="63" t="n">
        <v>1</v>
      </c>
      <c r="G8" s="63" t="n">
        <v>1</v>
      </c>
      <c r="H8" s="63" t="n">
        <v>1.06</v>
      </c>
      <c r="I8" s="63" t="n">
        <v>1</v>
      </c>
    </row>
    <row r="9">
      <c r="B9" s="39" t="inlineStr">
        <is>
          <t>Variable cost mult</t>
        </is>
      </c>
      <c r="C9" s="63" t="n">
        <v>1</v>
      </c>
      <c r="D9" s="63" t="n">
        <v>1</v>
      </c>
      <c r="E9" s="63" t="n">
        <v>0.98</v>
      </c>
      <c r="F9" s="63" t="n">
        <v>1.02</v>
      </c>
      <c r="G9" s="63" t="n">
        <v>1.12</v>
      </c>
      <c r="H9" s="63" t="n">
        <v>1</v>
      </c>
      <c r="I9" s="63" t="n">
        <v>1</v>
      </c>
    </row>
    <row r="10">
      <c r="B10" s="39" t="inlineStr">
        <is>
          <t>Trade spend mult</t>
        </is>
      </c>
      <c r="C10" s="63" t="n">
        <v>1</v>
      </c>
      <c r="D10" s="63" t="n">
        <v>1.35</v>
      </c>
      <c r="E10" s="63" t="n">
        <v>1.05</v>
      </c>
      <c r="F10" s="63" t="n">
        <v>1</v>
      </c>
      <c r="G10" s="63" t="n">
        <v>1</v>
      </c>
      <c r="H10" s="63" t="n">
        <v>0.85</v>
      </c>
      <c r="I10" s="63" t="n">
        <v>1</v>
      </c>
    </row>
    <row r="11">
      <c r="B11" s="39" t="inlineStr">
        <is>
          <t>Fill-rate mult</t>
        </is>
      </c>
      <c r="C11" s="63" t="n">
        <v>1</v>
      </c>
      <c r="D11" s="63" t="n">
        <v>1</v>
      </c>
      <c r="E11" s="63" t="n">
        <v>1</v>
      </c>
      <c r="F11" s="63" t="n">
        <v>0.97</v>
      </c>
      <c r="G11" s="63" t="n">
        <v>1</v>
      </c>
      <c r="H11" s="63" t="n">
        <v>1</v>
      </c>
      <c r="I11" s="63" t="n">
        <v>1</v>
      </c>
    </row>
    <row r="12">
      <c r="B12" s="39" t="inlineStr">
        <is>
          <t>Cannibalization mult</t>
        </is>
      </c>
      <c r="C12" s="63" t="n">
        <v>1</v>
      </c>
      <c r="D12" s="63" t="n">
        <v>1.3</v>
      </c>
      <c r="E12" s="63" t="n">
        <v>1.1</v>
      </c>
      <c r="F12" s="63" t="n">
        <v>0.9</v>
      </c>
      <c r="G12" s="63" t="n">
        <v>1</v>
      </c>
      <c r="H12" s="63" t="n">
        <v>1</v>
      </c>
      <c r="I12" s="63" t="n">
        <v>1</v>
      </c>
    </row>
    <row r="13">
      <c r="B13" s="39" t="inlineStr">
        <is>
          <t>Promo active flag (1/0)</t>
        </is>
      </c>
      <c r="C13" s="64" t="n">
        <v>0</v>
      </c>
      <c r="D13" s="64" t="n">
        <v>1</v>
      </c>
      <c r="E13" s="64" t="n">
        <v>0</v>
      </c>
      <c r="F13" s="64" t="n">
        <v>0</v>
      </c>
      <c r="G13" s="64" t="n">
        <v>0</v>
      </c>
      <c r="H13" s="64" t="n">
        <v>0</v>
      </c>
      <c r="I13" s="64" t="n">
        <v>0</v>
      </c>
    </row>
    <row r="14">
      <c r="B14" s="39" t="inlineStr">
        <is>
          <t>FX stress mult</t>
        </is>
      </c>
      <c r="C14" s="63" t="n">
        <v>1</v>
      </c>
      <c r="D14" s="63" t="n">
        <v>1</v>
      </c>
      <c r="E14" s="63" t="n">
        <v>1</v>
      </c>
      <c r="F14" s="63" t="n">
        <v>1</v>
      </c>
      <c r="G14" s="63" t="n">
        <v>1</v>
      </c>
      <c r="H14" s="63" t="n">
        <v>1</v>
      </c>
      <c r="I14" s="63" t="n">
        <v>1</v>
      </c>
    </row>
    <row r="16" ht="20" customHeight="1">
      <c r="B16" s="5" t="inlineStr">
        <is>
          <t>SCENARIO RESULTS  (full P&amp;L computed per scenario, identical bucket math to the Calc engine)</t>
        </is>
      </c>
      <c r="C16" s="6" t="n"/>
      <c r="D16" s="6" t="n"/>
      <c r="E16" s="6" t="n"/>
      <c r="F16" s="6" t="n"/>
      <c r="G16" s="6" t="n"/>
      <c r="H16" s="6" t="n"/>
      <c r="I16" s="6" t="n"/>
    </row>
    <row r="17">
      <c r="B17" s="60" t="inlineStr">
        <is>
          <t>Metric</t>
        </is>
      </c>
      <c r="C17" s="11" t="inlineStr">
        <is>
          <t>Base Case</t>
        </is>
      </c>
      <c r="D17" s="11" t="inlineStr">
        <is>
          <t>Promo Case</t>
        </is>
      </c>
      <c r="E17" s="11" t="inlineStr">
        <is>
          <t>High Volume Case</t>
        </is>
      </c>
      <c r="F17" s="11" t="inlineStr">
        <is>
          <t>Low Volume Case</t>
        </is>
      </c>
      <c r="G17" s="11" t="inlineStr">
        <is>
          <t>Cost Inflation Case</t>
        </is>
      </c>
      <c r="H17" s="11" t="inlineStr">
        <is>
          <t>Margin Recovery Case</t>
        </is>
      </c>
      <c r="I17" s="11" t="inlineStr">
        <is>
          <t>Custom Scenario</t>
        </is>
      </c>
      <c r="K17" s="11" t="inlineStr">
        <is>
          <t>Hurdle test</t>
        </is>
      </c>
    </row>
    <row r="18">
      <c r="B18" s="50" t="inlineStr">
        <is>
          <t>Effective Units</t>
        </is>
      </c>
      <c r="C18" s="51">
        <f>ForecastUnits*C7*MIN(1,FillRate*C11)</f>
        <v/>
      </c>
      <c r="D18" s="51">
        <f>ForecastUnits*D7*MIN(1,FillRate*D11)</f>
        <v/>
      </c>
      <c r="E18" s="51">
        <f>ForecastUnits*E7*MIN(1,FillRate*E11)</f>
        <v/>
      </c>
      <c r="F18" s="51">
        <f>ForecastUnits*F7*MIN(1,FillRate*F11)</f>
        <v/>
      </c>
      <c r="G18" s="51">
        <f>ForecastUnits*G7*MIN(1,FillRate*G11)</f>
        <v/>
      </c>
      <c r="H18" s="51">
        <f>ForecastUnits*H7*MIN(1,FillRate*H11)</f>
        <v/>
      </c>
      <c r="I18" s="51">
        <f>ForecastUnits*I7*MIN(1,FillRate*I11)</f>
        <v/>
      </c>
    </row>
    <row r="19">
      <c r="B19" s="50" t="inlineStr">
        <is>
          <t>Gross Sales</t>
        </is>
      </c>
      <c r="C19" s="54">
        <f>C18*WholesalePrice*C8</f>
        <v/>
      </c>
      <c r="D19" s="54">
        <f>D18*WholesalePrice*D8</f>
        <v/>
      </c>
      <c r="E19" s="54">
        <f>E18*WholesalePrice*E8</f>
        <v/>
      </c>
      <c r="F19" s="54">
        <f>F18*WholesalePrice*F8</f>
        <v/>
      </c>
      <c r="G19" s="54">
        <f>G18*WholesalePrice*G8</f>
        <v/>
      </c>
      <c r="H19" s="54">
        <f>H18*WholesalePrice*H8</f>
        <v/>
      </c>
      <c r="I19" s="54">
        <f>I18*WholesalePrice*I8</f>
        <v/>
      </c>
    </row>
    <row r="20">
      <c r="B20" s="50" t="inlineStr">
        <is>
          <t>Trade Spend $</t>
        </is>
      </c>
      <c r="C20" s="54">
        <f>(ded_trade_pct*C19+ded_trade_pu*C18+ded_trade_fix)*C10</f>
        <v/>
      </c>
      <c r="D20" s="54">
        <f>(ded_trade_pct*D19+ded_trade_pu*D18+ded_trade_fix)*D10</f>
        <v/>
      </c>
      <c r="E20" s="54">
        <f>(ded_trade_pct*E19+ded_trade_pu*E18+ded_trade_fix)*E10</f>
        <v/>
      </c>
      <c r="F20" s="54">
        <f>(ded_trade_pct*F19+ded_trade_pu*F18+ded_trade_fix)*F10</f>
        <v/>
      </c>
      <c r="G20" s="54">
        <f>(ded_trade_pct*G19+ded_trade_pu*G18+ded_trade_fix)*G10</f>
        <v/>
      </c>
      <c r="H20" s="54">
        <f>(ded_trade_pct*H19+ded_trade_pu*H18+ded_trade_fix)*H10</f>
        <v/>
      </c>
      <c r="I20" s="54">
        <f>(ded_trade_pct*I19+ded_trade_pu*I18+ded_trade_fix)*I10</f>
        <v/>
      </c>
    </row>
    <row r="21">
      <c r="B21" s="50" t="inlineStr">
        <is>
          <t>Other GtN Deductions $</t>
        </is>
      </c>
      <c r="C21" s="54">
        <f>(ded_other_pct*C19+ded_other_pu*C18+ded_other_fix)*C10</f>
        <v/>
      </c>
      <c r="D21" s="54">
        <f>(ded_other_pct*D19+ded_other_pu*D18+ded_other_fix)*D10</f>
        <v/>
      </c>
      <c r="E21" s="54">
        <f>(ded_other_pct*E19+ded_other_pu*E18+ded_other_fix)*E10</f>
        <v/>
      </c>
      <c r="F21" s="54">
        <f>(ded_other_pct*F19+ded_other_pu*F18+ded_other_fix)*F10</f>
        <v/>
      </c>
      <c r="G21" s="54">
        <f>(ded_other_pct*G19+ded_other_pu*G18+ded_other_fix)*G10</f>
        <v/>
      </c>
      <c r="H21" s="54">
        <f>(ded_other_pct*H19+ded_other_pu*H18+ded_other_fix)*H10</f>
        <v/>
      </c>
      <c r="I21" s="54">
        <f>(ded_other_pct*I19+ded_other_pu*I18+ded_other_fix)*I10</f>
        <v/>
      </c>
    </row>
    <row r="22">
      <c r="B22" s="47" t="inlineStr">
        <is>
          <t>Total Gross-to-Net Deductions</t>
        </is>
      </c>
      <c r="C22" s="54">
        <f>C20+C21</f>
        <v/>
      </c>
      <c r="D22" s="54">
        <f>D20+D21</f>
        <v/>
      </c>
      <c r="E22" s="54">
        <f>E20+E21</f>
        <v/>
      </c>
      <c r="F22" s="54">
        <f>F20+F21</f>
        <v/>
      </c>
      <c r="G22" s="54">
        <f>G20+G21</f>
        <v/>
      </c>
      <c r="H22" s="54">
        <f>H20+H21</f>
        <v/>
      </c>
      <c r="I22" s="54">
        <f>I20+I21</f>
        <v/>
      </c>
    </row>
    <row r="23">
      <c r="B23" s="26" t="inlineStr">
        <is>
          <t>Net Sales</t>
        </is>
      </c>
      <c r="C23" s="54">
        <f>C19-C22</f>
        <v/>
      </c>
      <c r="D23" s="54">
        <f>D19-D22</f>
        <v/>
      </c>
      <c r="E23" s="54">
        <f>E19-E22</f>
        <v/>
      </c>
      <c r="F23" s="54">
        <f>F19-F22</f>
        <v/>
      </c>
      <c r="G23" s="54">
        <f>G19-G22</f>
        <v/>
      </c>
      <c r="H23" s="54">
        <f>H19-H22</f>
        <v/>
      </c>
      <c r="I23" s="54">
        <f>I19-I22</f>
        <v/>
      </c>
    </row>
    <row r="24">
      <c r="B24" s="50" t="inlineStr">
        <is>
          <t>Total Variable Cost</t>
        </is>
      </c>
      <c r="C24" s="54">
        <f>(vc_pu*C9)*C18+vc_pct*C19</f>
        <v/>
      </c>
      <c r="D24" s="54">
        <f>(vc_pu*D9)*D18+vc_pct*D19</f>
        <v/>
      </c>
      <c r="E24" s="54">
        <f>(vc_pu*E9)*E18+vc_pct*E19</f>
        <v/>
      </c>
      <c r="F24" s="54">
        <f>(vc_pu*F9)*F18+vc_pct*F19</f>
        <v/>
      </c>
      <c r="G24" s="54">
        <f>(vc_pu*G9)*G18+vc_pct*G19</f>
        <v/>
      </c>
      <c r="H24" s="54">
        <f>(vc_pu*H9)*H18+vc_pct*H19</f>
        <v/>
      </c>
      <c r="I24" s="54">
        <f>(vc_pu*I9)*I18+vc_pct*I19</f>
        <v/>
      </c>
    </row>
    <row r="25">
      <c r="B25" s="47" t="inlineStr">
        <is>
          <t>Gross Profit $</t>
        </is>
      </c>
      <c r="C25" s="54">
        <f>C19-C24</f>
        <v/>
      </c>
      <c r="D25" s="54">
        <f>D19-D24</f>
        <v/>
      </c>
      <c r="E25" s="54">
        <f>E19-E24</f>
        <v/>
      </c>
      <c r="F25" s="54">
        <f>F19-F24</f>
        <v/>
      </c>
      <c r="G25" s="54">
        <f>G19-G24</f>
        <v/>
      </c>
      <c r="H25" s="54">
        <f>H19-H24</f>
        <v/>
      </c>
      <c r="I25" s="54">
        <f>I19-I24</f>
        <v/>
      </c>
    </row>
    <row r="26">
      <c r="B26" s="50" t="inlineStr">
        <is>
          <t>Gross Margin %</t>
        </is>
      </c>
      <c r="C26" s="56">
        <f>IF(C19=0,0,C25/C19)</f>
        <v/>
      </c>
      <c r="D26" s="56">
        <f>IF(D19=0,0,D25/D19)</f>
        <v/>
      </c>
      <c r="E26" s="56">
        <f>IF(E19=0,0,E25/E19)</f>
        <v/>
      </c>
      <c r="F26" s="56">
        <f>IF(F19=0,0,F25/F19)</f>
        <v/>
      </c>
      <c r="G26" s="56">
        <f>IF(G19=0,0,G25/G19)</f>
        <v/>
      </c>
      <c r="H26" s="56">
        <f>IF(H19=0,0,H25/H19)</f>
        <v/>
      </c>
      <c r="I26" s="56">
        <f>IF(I19=0,0,I25/I19)</f>
        <v/>
      </c>
    </row>
    <row r="27">
      <c r="B27" s="47" t="inlineStr">
        <is>
          <t>Contribution $</t>
        </is>
      </c>
      <c r="C27" s="54">
        <f>C23-C24</f>
        <v/>
      </c>
      <c r="D27" s="54">
        <f>D23-D24</f>
        <v/>
      </c>
      <c r="E27" s="54">
        <f>E23-E24</f>
        <v/>
      </c>
      <c r="F27" s="54">
        <f>F23-F24</f>
        <v/>
      </c>
      <c r="G27" s="54">
        <f>G23-G24</f>
        <v/>
      </c>
      <c r="H27" s="54">
        <f>H23-H24</f>
        <v/>
      </c>
      <c r="I27" s="54">
        <f>I23-I24</f>
        <v/>
      </c>
    </row>
    <row r="28">
      <c r="B28" s="50" t="inlineStr">
        <is>
          <t>Contribution Margin %</t>
        </is>
      </c>
      <c r="C28" s="56">
        <f>IF(C23=0,0,C27/C23)</f>
        <v/>
      </c>
      <c r="D28" s="56">
        <f>IF(D23=0,0,D27/D23)</f>
        <v/>
      </c>
      <c r="E28" s="56">
        <f>IF(E23=0,0,E27/E23)</f>
        <v/>
      </c>
      <c r="F28" s="56">
        <f>IF(F23=0,0,F27/F23)</f>
        <v/>
      </c>
      <c r="G28" s="56">
        <f>IF(G23=0,0,G27/G23)</f>
        <v/>
      </c>
      <c r="H28" s="56">
        <f>IF(H23=0,0,H27/H23)</f>
        <v/>
      </c>
      <c r="I28" s="56">
        <f>IF(I23=0,0,I27/I23)</f>
        <v/>
      </c>
    </row>
    <row r="29">
      <c r="B29" s="26" t="inlineStr">
        <is>
          <t>Net Profit $</t>
        </is>
      </c>
      <c r="C29" s="54">
        <f>C27-FixedCommercialTotal</f>
        <v/>
      </c>
      <c r="D29" s="54">
        <f>D27-FixedCommercialTotal</f>
        <v/>
      </c>
      <c r="E29" s="54">
        <f>E27-FixedCommercialTotal</f>
        <v/>
      </c>
      <c r="F29" s="54">
        <f>F27-FixedCommercialTotal</f>
        <v/>
      </c>
      <c r="G29" s="54">
        <f>G27-FixedCommercialTotal</f>
        <v/>
      </c>
      <c r="H29" s="54">
        <f>H27-FixedCommercialTotal</f>
        <v/>
      </c>
      <c r="I29" s="54">
        <f>I27-FixedCommercialTotal</f>
        <v/>
      </c>
    </row>
    <row r="30">
      <c r="B30" s="50" t="inlineStr">
        <is>
          <t>Net Margin %</t>
        </is>
      </c>
      <c r="C30" s="56">
        <f>IF(C23=0,0,C29/C23)</f>
        <v/>
      </c>
      <c r="D30" s="56">
        <f>IF(D23=0,0,D29/D23)</f>
        <v/>
      </c>
      <c r="E30" s="56">
        <f>IF(E23=0,0,E29/E23)</f>
        <v/>
      </c>
      <c r="F30" s="56">
        <f>IF(F23=0,0,F29/F23)</f>
        <v/>
      </c>
      <c r="G30" s="56">
        <f>IF(G23=0,0,G29/G23)</f>
        <v/>
      </c>
      <c r="H30" s="56">
        <f>IF(H23=0,0,H29/H23)</f>
        <v/>
      </c>
      <c r="I30" s="56">
        <f>IF(I23=0,0,I29/I23)</f>
        <v/>
      </c>
    </row>
    <row r="31">
      <c r="B31" s="50" t="inlineStr">
        <is>
          <t>Trade Spend % Gross</t>
        </is>
      </c>
      <c r="C31" s="56">
        <f>IF(C19=0,0,C20/C19)</f>
        <v/>
      </c>
      <c r="D31" s="56">
        <f>IF(D19=0,0,D20/D19)</f>
        <v/>
      </c>
      <c r="E31" s="56">
        <f>IF(E19=0,0,E20/E19)</f>
        <v/>
      </c>
      <c r="F31" s="56">
        <f>IF(F19=0,0,F20/F19)</f>
        <v/>
      </c>
      <c r="G31" s="56">
        <f>IF(G19=0,0,G20/G19)</f>
        <v/>
      </c>
      <c r="H31" s="56">
        <f>IF(H19=0,0,H20/H19)</f>
        <v/>
      </c>
      <c r="I31" s="56">
        <f>IF(I19=0,0,I20/I19)</f>
        <v/>
      </c>
    </row>
    <row r="32">
      <c r="B32" s="50" t="inlineStr">
        <is>
          <t>Profit / Unit</t>
        </is>
      </c>
      <c r="C32" s="55">
        <f>IF(C18=0,0,C29/C18)</f>
        <v/>
      </c>
      <c r="D32" s="55">
        <f>IF(D18=0,0,D29/D18)</f>
        <v/>
      </c>
      <c r="E32" s="55">
        <f>IF(E18=0,0,E29/E18)</f>
        <v/>
      </c>
      <c r="F32" s="55">
        <f>IF(F18=0,0,F29/F18)</f>
        <v/>
      </c>
      <c r="G32" s="55">
        <f>IF(G18=0,0,G29/G18)</f>
        <v/>
      </c>
      <c r="H32" s="55">
        <f>IF(H18=0,0,H29/H18)</f>
        <v/>
      </c>
      <c r="I32" s="55">
        <f>IF(I18=0,0,I29/I18)</f>
        <v/>
      </c>
    </row>
    <row r="33">
      <c r="B33" s="50" t="inlineStr">
        <is>
          <t>Contribution / Unit</t>
        </is>
      </c>
      <c r="C33" s="55">
        <f>IF(C18=0,0,C27/C18)</f>
        <v/>
      </c>
      <c r="D33" s="55">
        <f>IF(D18=0,0,D27/D18)</f>
        <v/>
      </c>
      <c r="E33" s="55">
        <f>IF(E18=0,0,E27/E18)</f>
        <v/>
      </c>
      <c r="F33" s="55">
        <f>IF(F18=0,0,F27/F18)</f>
        <v/>
      </c>
      <c r="G33" s="55">
        <f>IF(G18=0,0,G27/G18)</f>
        <v/>
      </c>
      <c r="H33" s="55">
        <f>IF(H18=0,0,H27/H18)</f>
        <v/>
      </c>
      <c r="I33" s="55">
        <f>IF(I18=0,0,I27/I18)</f>
        <v/>
      </c>
    </row>
    <row r="34">
      <c r="B34" s="50" t="inlineStr">
        <is>
          <t>Break-Even Units</t>
        </is>
      </c>
      <c r="C34" s="51">
        <f>IF(C33&lt;=0,"n/a",FixedCommercialTotal/C33)</f>
        <v/>
      </c>
      <c r="D34" s="51">
        <f>IF(D33&lt;=0,"n/a",FixedCommercialTotal/D33)</f>
        <v/>
      </c>
      <c r="E34" s="51">
        <f>IF(E33&lt;=0,"n/a",FixedCommercialTotal/E33)</f>
        <v/>
      </c>
      <c r="F34" s="51">
        <f>IF(F33&lt;=0,"n/a",FixedCommercialTotal/F33)</f>
        <v/>
      </c>
      <c r="G34" s="51">
        <f>IF(G33&lt;=0,"n/a",FixedCommercialTotal/G33)</f>
        <v/>
      </c>
      <c r="H34" s="51">
        <f>IF(H33&lt;=0,"n/a",FixedCommercialTotal/H33)</f>
        <v/>
      </c>
      <c r="I34" s="51">
        <f>IF(I33&lt;=0,"n/a",FixedCommercialTotal/I33)</f>
        <v/>
      </c>
    </row>
    <row r="35">
      <c r="B35" s="50" t="inlineStr">
        <is>
          <t>Promo Spend (vs Base) $</t>
        </is>
      </c>
      <c r="C35" s="54">
        <f>C20-$C$20</f>
        <v/>
      </c>
      <c r="D35" s="54">
        <f>D20-$C$20</f>
        <v/>
      </c>
      <c r="E35" s="54">
        <f>E20-$C$20</f>
        <v/>
      </c>
      <c r="F35" s="54">
        <f>F20-$C$20</f>
        <v/>
      </c>
      <c r="G35" s="54">
        <f>G20-$C$20</f>
        <v/>
      </c>
      <c r="H35" s="54">
        <f>H20-$C$20</f>
        <v/>
      </c>
      <c r="I35" s="54">
        <f>I20-$C$20</f>
        <v/>
      </c>
    </row>
    <row r="36">
      <c r="B36" s="50" t="inlineStr">
        <is>
          <t>Incremental Net Profit (vs Base) $</t>
        </is>
      </c>
      <c r="C36" s="54">
        <f>C29-$C$29</f>
        <v/>
      </c>
      <c r="D36" s="54">
        <f>D29-$C$29</f>
        <v/>
      </c>
      <c r="E36" s="54">
        <f>E29-$C$29</f>
        <v/>
      </c>
      <c r="F36" s="54">
        <f>F29-$C$29</f>
        <v/>
      </c>
      <c r="G36" s="54">
        <f>G29-$C$29</f>
        <v/>
      </c>
      <c r="H36" s="54">
        <f>H29-$C$29</f>
        <v/>
      </c>
      <c r="I36" s="54">
        <f>I29-$C$29</f>
        <v/>
      </c>
    </row>
    <row r="37">
      <c r="B37" s="7" t="inlineStr">
        <is>
          <t>Promo ROI (x)</t>
        </is>
      </c>
      <c r="C37" s="57">
        <f>IF(C35&lt;=0,0,C36/C35)</f>
        <v/>
      </c>
      <c r="D37" s="57">
        <f>IF(D35&lt;=0,0,D36/D35)</f>
        <v/>
      </c>
      <c r="E37" s="57">
        <f>IF(E35&lt;=0,0,E36/E35)</f>
        <v/>
      </c>
      <c r="F37" s="57">
        <f>IF(F35&lt;=0,0,F36/F35)</f>
        <v/>
      </c>
      <c r="G37" s="57">
        <f>IF(G35&lt;=0,0,G36/G35)</f>
        <v/>
      </c>
      <c r="H37" s="57">
        <f>IF(H35&lt;=0,0,H36/H35)</f>
        <v/>
      </c>
      <c r="I37" s="57">
        <f>IF(I35&lt;=0,0,I36/I35)</f>
        <v/>
      </c>
    </row>
    <row r="38">
      <c r="B38" s="61" t="inlineStr">
        <is>
          <t>DECISION STATUS</t>
        </is>
      </c>
      <c r="C38" s="65">
        <f>IF(OR(C29&lt;0,C33&lt;=0),"STOP",IF(AND(C26&gt;=MinGM,C30&gt;=MinNM,C33&gt;=MinContribUnit,C31&lt;=MaxTradePct,OR(C13=0,C37&gt;=TargetROI)),"GO","REVIEW"))</f>
        <v/>
      </c>
      <c r="D38" s="65">
        <f>IF(OR(D29&lt;0,D33&lt;=0),"STOP",IF(AND(D26&gt;=MinGM,D30&gt;=MinNM,D33&gt;=MinContribUnit,D31&lt;=MaxTradePct,OR(D13=0,D37&gt;=TargetROI)),"GO","REVIEW"))</f>
        <v/>
      </c>
      <c r="E38" s="65">
        <f>IF(OR(E29&lt;0,E33&lt;=0),"STOP",IF(AND(E26&gt;=MinGM,E30&gt;=MinNM,E33&gt;=MinContribUnit,E31&lt;=MaxTradePct,OR(E13=0,E37&gt;=TargetROI)),"GO","REVIEW"))</f>
        <v/>
      </c>
      <c r="F38" s="65">
        <f>IF(OR(F29&lt;0,F33&lt;=0),"STOP",IF(AND(F26&gt;=MinGM,F30&gt;=MinNM,F33&gt;=MinContribUnit,F31&lt;=MaxTradePct,OR(F13=0,F37&gt;=TargetROI)),"GO","REVIEW"))</f>
        <v/>
      </c>
      <c r="G38" s="65">
        <f>IF(OR(G29&lt;0,G33&lt;=0),"STOP",IF(AND(G26&gt;=MinGM,G30&gt;=MinNM,G33&gt;=MinContribUnit,G31&lt;=MaxTradePct,OR(G13=0,G37&gt;=TargetROI)),"GO","REVIEW"))</f>
        <v/>
      </c>
      <c r="H38" s="65">
        <f>IF(OR(H29&lt;0,H33&lt;=0),"STOP",IF(AND(H26&gt;=MinGM,H30&gt;=MinNM,H33&gt;=MinContribUnit,H31&lt;=MaxTradePct,OR(H13=0,H37&gt;=TargetROI)),"GO","REVIEW"))</f>
        <v/>
      </c>
      <c r="I38" s="65">
        <f>IF(OR(I29&lt;0,I33&lt;=0),"STOP",IF(AND(I26&gt;=MinGM,I30&gt;=MinNM,I33&gt;=MinContribUnit,I31&lt;=MaxTradePct,OR(I13=0,I37&gt;=TargetROI)),"GO","REVIEW"))</f>
        <v/>
      </c>
    </row>
    <row r="40" ht="20" customHeight="1">
      <c r="B40" s="5" t="inlineStr">
        <is>
          <t>VARIANCE &amp; RANKING</t>
        </is>
      </c>
      <c r="C40" s="6" t="n"/>
      <c r="D40" s="6" t="n"/>
      <c r="E40" s="6" t="n"/>
      <c r="F40" s="6" t="n"/>
      <c r="G40" s="6" t="n"/>
      <c r="H40" s="6" t="n"/>
      <c r="I40" s="6" t="n"/>
    </row>
    <row r="41">
      <c r="B41" s="39" t="inlineStr">
        <is>
          <t>Net Profit variance vs Base</t>
        </is>
      </c>
      <c r="C41" s="54">
        <f>C29-$C$29</f>
        <v/>
      </c>
      <c r="D41" s="54">
        <f>D29-$C$29</f>
        <v/>
      </c>
      <c r="E41" s="54">
        <f>E29-$C$29</f>
        <v/>
      </c>
      <c r="F41" s="54">
        <f>F29-$C$29</f>
        <v/>
      </c>
      <c r="G41" s="54">
        <f>G29-$C$29</f>
        <v/>
      </c>
      <c r="H41" s="54">
        <f>H29-$C$29</f>
        <v/>
      </c>
      <c r="I41" s="54">
        <f>I29-$C$29</f>
        <v/>
      </c>
    </row>
    <row r="42">
      <c r="B42" s="26" t="inlineStr">
        <is>
          <t>Best-case Net Profit</t>
        </is>
      </c>
      <c r="C42" s="34">
        <f>MAX(C29:I29)</f>
        <v/>
      </c>
    </row>
    <row r="43">
      <c r="B43" s="26" t="inlineStr">
        <is>
          <t>Worst-case Net Profit</t>
        </is>
      </c>
      <c r="C43" s="34">
        <f>MIN(C29:I29)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4">
    <mergeCell ref="B3:N3"/>
    <mergeCell ref="B2:N2"/>
    <mergeCell ref="B16:I16"/>
    <mergeCell ref="B40:I40"/>
  </mergeCells>
  <conditionalFormatting sqref="C38:I38">
    <cfRule type="cellIs" priority="1" operator="equal" dxfId="6">
      <formula>"GO"</formula>
    </cfRule>
    <cfRule type="cellIs" priority="2" operator="equal" dxfId="7">
      <formula>"REVIEW"</formula>
    </cfRule>
    <cfRule type="cellIs" priority="3" operator="equal" dxfId="8">
      <formula>"STOP"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B2:N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6" customHeight="1">
      <c r="B2" s="1" t="inlineStr">
        <is>
          <t>PROMOTIONS &amp; ROI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Tactic-by-tactic incremental economics. Each promo is judged on TRUE incremental profit, not gross sales lift. Flags expose value-destroying programs.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PER-TACTIC PROMOTION ANALYSIS  (evaluated at base volume &amp; active cost)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B6" s="11" t="inlineStr">
        <is>
          <t>Tactic</t>
        </is>
      </c>
      <c r="C6" s="11" t="inlineStr">
        <is>
          <t>Spend $</t>
        </is>
      </c>
      <c r="D6" s="11" t="inlineStr">
        <is>
          <t>Base Vol</t>
        </is>
      </c>
      <c r="E6" s="11" t="inlineStr">
        <is>
          <t>Lift %</t>
        </is>
      </c>
      <c r="F6" s="11" t="inlineStr">
        <is>
          <t>Incr Vol (gross)</t>
        </is>
      </c>
      <c r="G6" s="11" t="inlineStr">
        <is>
          <t>Cannib</t>
        </is>
      </c>
      <c r="H6" s="11" t="inlineStr">
        <is>
          <t>True Incr Vol</t>
        </is>
      </c>
      <c r="I6" s="11" t="inlineStr">
        <is>
          <t>Contrib/unit</t>
        </is>
      </c>
      <c r="J6" s="11" t="inlineStr">
        <is>
          <t>Incr Contrib $</t>
        </is>
      </c>
      <c r="K6" s="11" t="inlineStr">
        <is>
          <t>Incr Net Profit $</t>
        </is>
      </c>
      <c r="L6" s="11" t="inlineStr">
        <is>
          <t>ROI (x)</t>
        </is>
      </c>
      <c r="M6" s="11" t="inlineStr">
        <is>
          <t>BE Lift %</t>
        </is>
      </c>
      <c r="N6" s="11" t="inlineStr">
        <is>
          <t>Verdict</t>
        </is>
      </c>
    </row>
    <row r="7">
      <c r="B7" s="8" t="inlineStr">
        <is>
          <t>TPD</t>
        </is>
      </c>
      <c r="C7" s="32">
        <f>18000</f>
        <v/>
      </c>
      <c r="D7" s="51">
        <f>actBase</f>
        <v/>
      </c>
      <c r="E7" s="31" t="n">
        <v>0.18</v>
      </c>
      <c r="F7" s="51">
        <f>D7*E7</f>
        <v/>
      </c>
      <c r="G7" s="31" t="n">
        <v>0.1</v>
      </c>
      <c r="H7" s="51">
        <f>F7*(1-G7)</f>
        <v/>
      </c>
      <c r="I7" s="55">
        <f>actCPU</f>
        <v/>
      </c>
      <c r="J7" s="54">
        <f>H7*I7</f>
        <v/>
      </c>
      <c r="K7" s="40">
        <f>J7-C7</f>
        <v/>
      </c>
      <c r="L7" s="44">
        <f>IF(C7=0,0,K7/C7)</f>
        <v/>
      </c>
      <c r="M7" s="56">
        <f>IF(OR(actCPU&lt;=0,D7=0),"n/a",C7/(actCPU*D7))</f>
        <v/>
      </c>
      <c r="N7" s="65">
        <f>IF(K7&lt;0,"STOP",IF(L7&gt;=TargetROI,"GO","REVIEW"))</f>
        <v/>
      </c>
    </row>
    <row r="8">
      <c r="B8" s="8" t="inlineStr">
        <is>
          <t>End Cap</t>
        </is>
      </c>
      <c r="C8" s="32" t="n">
        <v>18000</v>
      </c>
      <c r="D8" s="51">
        <f>actBase</f>
        <v/>
      </c>
      <c r="E8" s="31" t="n">
        <v>0.12</v>
      </c>
      <c r="F8" s="51">
        <f>D8*E8</f>
        <v/>
      </c>
      <c r="G8" s="31" t="n">
        <v>0.15</v>
      </c>
      <c r="H8" s="51">
        <f>F8*(1-G8)</f>
        <v/>
      </c>
      <c r="I8" s="55">
        <f>actCPU</f>
        <v/>
      </c>
      <c r="J8" s="54">
        <f>H8*I8</f>
        <v/>
      </c>
      <c r="K8" s="40">
        <f>J8-C8</f>
        <v/>
      </c>
      <c r="L8" s="44">
        <f>IF(C8=0,0,K8/C8)</f>
        <v/>
      </c>
      <c r="M8" s="56">
        <f>IF(OR(actCPU&lt;=0,D8=0),"n/a",C8/(actCPU*D8))</f>
        <v/>
      </c>
      <c r="N8" s="65">
        <f>IF(K8&lt;0,"STOP",IF(L8&gt;=TargetROI,"GO","REVIEW"))</f>
        <v/>
      </c>
    </row>
    <row r="9">
      <c r="B9" s="8" t="inlineStr">
        <is>
          <t>Fence / Feature</t>
        </is>
      </c>
      <c r="C9" s="32" t="n">
        <v>12000</v>
      </c>
      <c r="D9" s="51">
        <f>actBase</f>
        <v/>
      </c>
      <c r="E9" s="31" t="n">
        <v>0.1</v>
      </c>
      <c r="F9" s="51">
        <f>D9*E9</f>
        <v/>
      </c>
      <c r="G9" s="31" t="n">
        <v>0.12</v>
      </c>
      <c r="H9" s="51">
        <f>F9*(1-G9)</f>
        <v/>
      </c>
      <c r="I9" s="55">
        <f>actCPU</f>
        <v/>
      </c>
      <c r="J9" s="54">
        <f>H9*I9</f>
        <v/>
      </c>
      <c r="K9" s="40">
        <f>J9-C9</f>
        <v/>
      </c>
      <c r="L9" s="44">
        <f>IF(C9=0,0,K9/C9)</f>
        <v/>
      </c>
      <c r="M9" s="56">
        <f>IF(OR(actCPU&lt;=0,D9=0),"n/a",C9/(actCPU*D9))</f>
        <v/>
      </c>
      <c r="N9" s="65">
        <f>IF(K9&lt;0,"STOP",IF(L9&gt;=TargetROI,"GO","REVIEW"))</f>
        <v/>
      </c>
    </row>
    <row r="10">
      <c r="B10" s="8" t="inlineStr">
        <is>
          <t>Display Allowance</t>
        </is>
      </c>
      <c r="C10" s="32" t="n">
        <v>12000</v>
      </c>
      <c r="D10" s="51">
        <f>actBase</f>
        <v/>
      </c>
      <c r="E10" s="31" t="n">
        <v>0.14</v>
      </c>
      <c r="F10" s="51">
        <f>D10*E10</f>
        <v/>
      </c>
      <c r="G10" s="31" t="n">
        <v>0.18</v>
      </c>
      <c r="H10" s="51">
        <f>F10*(1-G10)</f>
        <v/>
      </c>
      <c r="I10" s="55">
        <f>actCPU</f>
        <v/>
      </c>
      <c r="J10" s="54">
        <f>H10*I10</f>
        <v/>
      </c>
      <c r="K10" s="40">
        <f>J10-C10</f>
        <v/>
      </c>
      <c r="L10" s="44">
        <f>IF(C10=0,0,K10/C10)</f>
        <v/>
      </c>
      <c r="M10" s="56">
        <f>IF(OR(actCPU&lt;=0,D10=0),"n/a",C10/(actCPU*D10))</f>
        <v/>
      </c>
      <c r="N10" s="65">
        <f>IF(K10&lt;0,"STOP",IF(L10&gt;=TargetROI,"GO","REVIEW"))</f>
        <v/>
      </c>
    </row>
    <row r="11">
      <c r="B11" s="8" t="inlineStr">
        <is>
          <t>Advertising</t>
        </is>
      </c>
      <c r="C11" s="32" t="n">
        <v>9000</v>
      </c>
      <c r="D11" s="51">
        <f>actBase</f>
        <v/>
      </c>
      <c r="E11" s="31" t="n">
        <v>0.08</v>
      </c>
      <c r="F11" s="51">
        <f>D11*E11</f>
        <v/>
      </c>
      <c r="G11" s="31" t="n">
        <v>0.05</v>
      </c>
      <c r="H11" s="51">
        <f>F11*(1-G11)</f>
        <v/>
      </c>
      <c r="I11" s="55">
        <f>actCPU</f>
        <v/>
      </c>
      <c r="J11" s="54">
        <f>H11*I11</f>
        <v/>
      </c>
      <c r="K11" s="40">
        <f>J11-C11</f>
        <v/>
      </c>
      <c r="L11" s="44">
        <f>IF(C11=0,0,K11/C11)</f>
        <v/>
      </c>
      <c r="M11" s="56">
        <f>IF(OR(actCPU&lt;=0,D11=0),"n/a",C11/(actCPU*D11))</f>
        <v/>
      </c>
      <c r="N11" s="65">
        <f>IF(K11&lt;0,"STOP",IF(L11&gt;=TargetROI,"GO","REVIEW"))</f>
        <v/>
      </c>
    </row>
    <row r="12">
      <c r="B12" s="8" t="inlineStr">
        <is>
          <t>Flyer Support</t>
        </is>
      </c>
      <c r="C12" s="32" t="n">
        <v>7500</v>
      </c>
      <c r="D12" s="51">
        <f>actBase</f>
        <v/>
      </c>
      <c r="E12" s="31" t="n">
        <v>0.07000000000000001</v>
      </c>
      <c r="F12" s="51">
        <f>D12*E12</f>
        <v/>
      </c>
      <c r="G12" s="31" t="n">
        <v>0.06</v>
      </c>
      <c r="H12" s="51">
        <f>F12*(1-G12)</f>
        <v/>
      </c>
      <c r="I12" s="55">
        <f>actCPU</f>
        <v/>
      </c>
      <c r="J12" s="54">
        <f>H12*I12</f>
        <v/>
      </c>
      <c r="K12" s="40">
        <f>J12-C12</f>
        <v/>
      </c>
      <c r="L12" s="44">
        <f>IF(C12=0,0,K12/C12)</f>
        <v/>
      </c>
      <c r="M12" s="56">
        <f>IF(OR(actCPU&lt;=0,D12=0),"n/a",C12/(actCPU*D12))</f>
        <v/>
      </c>
      <c r="N12" s="65">
        <f>IF(K12&lt;0,"STOP",IF(L12&gt;=TargetROI,"GO","REVIEW"))</f>
        <v/>
      </c>
    </row>
    <row r="13">
      <c r="B13" s="8" t="inlineStr">
        <is>
          <t>Digital Support</t>
        </is>
      </c>
      <c r="C13" s="32" t="n">
        <v>6000</v>
      </c>
      <c r="D13" s="51">
        <f>actBase</f>
        <v/>
      </c>
      <c r="E13" s="31" t="n">
        <v>0.06</v>
      </c>
      <c r="F13" s="51">
        <f>D13*E13</f>
        <v/>
      </c>
      <c r="G13" s="31" t="n">
        <v>0.04</v>
      </c>
      <c r="H13" s="51">
        <f>F13*(1-G13)</f>
        <v/>
      </c>
      <c r="I13" s="55">
        <f>actCPU</f>
        <v/>
      </c>
      <c r="J13" s="54">
        <f>H13*I13</f>
        <v/>
      </c>
      <c r="K13" s="40">
        <f>J13-C13</f>
        <v/>
      </c>
      <c r="L13" s="44">
        <f>IF(C13=0,0,K13/C13)</f>
        <v/>
      </c>
      <c r="M13" s="56">
        <f>IF(OR(actCPU&lt;=0,D13=0),"n/a",C13/(actCPU*D13))</f>
        <v/>
      </c>
      <c r="N13" s="65">
        <f>IF(K13&lt;0,"STOP",IF(L13&gt;=TargetROI,"GO","REVIEW"))</f>
        <v/>
      </c>
    </row>
    <row r="14">
      <c r="B14" s="8" t="inlineStr">
        <is>
          <t>Demo Support</t>
        </is>
      </c>
      <c r="C14" s="32" t="n">
        <v>4000</v>
      </c>
      <c r="D14" s="51">
        <f>actBase</f>
        <v/>
      </c>
      <c r="E14" s="31" t="n">
        <v>0.05</v>
      </c>
      <c r="F14" s="51">
        <f>D14*E14</f>
        <v/>
      </c>
      <c r="G14" s="31" t="n">
        <v>0.03</v>
      </c>
      <c r="H14" s="51">
        <f>F14*(1-G14)</f>
        <v/>
      </c>
      <c r="I14" s="55">
        <f>actCPU</f>
        <v/>
      </c>
      <c r="J14" s="54">
        <f>H14*I14</f>
        <v/>
      </c>
      <c r="K14" s="40">
        <f>J14-C14</f>
        <v/>
      </c>
      <c r="L14" s="44">
        <f>IF(C14=0,0,K14/C14)</f>
        <v/>
      </c>
      <c r="M14" s="56">
        <f>IF(OR(actCPU&lt;=0,D14=0),"n/a",C14/(actCPU*D14))</f>
        <v/>
      </c>
      <c r="N14" s="65">
        <f>IF(K14&lt;0,"STOP",IF(L14&gt;=TargetROI,"GO","REVIEW"))</f>
        <v/>
      </c>
    </row>
    <row r="15">
      <c r="B15" s="26" t="inlineStr">
        <is>
          <t>COMBINED STACK</t>
        </is>
      </c>
      <c r="C15" s="34">
        <f>SUM(C7:C14)</f>
        <v/>
      </c>
      <c r="F15" s="52">
        <f>SUM(F7:F14)</f>
        <v/>
      </c>
      <c r="H15" s="52">
        <f>SUM(H7:H14)</f>
        <v/>
      </c>
      <c r="J15" s="34">
        <f>SUM(J7:J14)</f>
        <v/>
      </c>
      <c r="K15" s="34">
        <f>SUM(K7:K14)</f>
        <v/>
      </c>
      <c r="L15" s="59">
        <f>IF(C15=0,0,K15/C15)</f>
        <v/>
      </c>
      <c r="N15" s="66">
        <f>IF(K15&lt;0,"STOP",IF(L15&gt;=TargetROI,"GO","REVIEW"))</f>
        <v/>
      </c>
    </row>
    <row r="17" ht="20" customHeight="1">
      <c r="B17" s="5" t="inlineStr">
        <is>
          <t>AUTOMATIC FLAGS</t>
        </is>
      </c>
      <c r="C17" s="6" t="n"/>
      <c r="D17" s="6" t="n"/>
      <c r="E17" s="6" t="n"/>
      <c r="F17" s="6" t="n"/>
      <c r="G17" s="6" t="n"/>
      <c r="H17" s="6" t="n"/>
      <c r="I17" s="6" t="n"/>
    </row>
    <row r="18">
      <c r="B18" s="39" t="inlineStr">
        <is>
          <t>Any tactic ROI below hurdle</t>
        </is>
      </c>
      <c r="C18" s="65">
        <f>IF(COUNTIF(L7:L14,"&lt;"&amp;TargetROI)&gt;0,"⚠ YES","OK")</f>
        <v/>
      </c>
    </row>
    <row r="19">
      <c r="B19" s="39" t="inlineStr">
        <is>
          <t>Any negative incremental profit</t>
        </is>
      </c>
      <c r="C19" s="65">
        <f>IF(COUNTIF(K7:K14,"&lt;0")&gt;0,"⚠ YES","OK")</f>
        <v/>
      </c>
    </row>
    <row r="20">
      <c r="B20" s="39" t="inlineStr">
        <is>
          <t>Combined stack ROI below hurdle</t>
        </is>
      </c>
      <c r="C20" s="65">
        <f>IF(L15&lt;TargetROI,"⚠ YES","OK")</f>
        <v/>
      </c>
    </row>
    <row r="21">
      <c r="B21" s="39" t="inlineStr">
        <is>
          <t>Combined trade &gt; max trade %</t>
        </is>
      </c>
      <c r="C21" s="65">
        <f>IF((C15)/actGross&gt;MaxTradePct,"⚠ YES","OK")</f>
        <v/>
      </c>
    </row>
    <row r="22">
      <c r="B22" s="39" t="inlineStr">
        <is>
          <t>Profit per $1 promo spend (stack)</t>
        </is>
      </c>
      <c r="C22" s="67">
        <f>IF(C15=0,0,K15/C15)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4">
    <mergeCell ref="B3:N3"/>
    <mergeCell ref="B2:N2"/>
    <mergeCell ref="B5:N5"/>
    <mergeCell ref="B17:I17"/>
  </mergeCells>
  <conditionalFormatting sqref="N7:N15">
    <cfRule type="cellIs" priority="1" operator="equal" dxfId="6">
      <formula>"GO"</formula>
    </cfRule>
    <cfRule type="cellIs" priority="2" operator="equal" dxfId="7">
      <formula>"REVIEW"</formula>
    </cfRule>
    <cfRule type="cellIs" priority="3" operator="equal" dxfId="8">
      <formula>"STOP"</formula>
    </cfRule>
  </conditionalFormatting>
  <conditionalFormatting sqref="L7:L15">
    <cfRule type="cellIs" priority="4" operator="lessThan" dxfId="9">
      <formula>TargetROI</formula>
    </cfRule>
  </conditionalFormatting>
  <conditionalFormatting sqref="C18">
    <cfRule type="cellIs" priority="5" operator="equal" dxfId="8">
      <formula>"⚠ YES"</formula>
    </cfRule>
    <cfRule type="cellIs" priority="6" operator="equal" dxfId="6">
      <formula>"OK"</formula>
    </cfRule>
  </conditionalFormatting>
  <conditionalFormatting sqref="C19">
    <cfRule type="cellIs" priority="7" operator="equal" dxfId="8">
      <formula>"⚠ YES"</formula>
    </cfRule>
    <cfRule type="cellIs" priority="8" operator="equal" dxfId="6">
      <formula>"OK"</formula>
    </cfRule>
  </conditionalFormatting>
  <conditionalFormatting sqref="C20">
    <cfRule type="cellIs" priority="9" operator="equal" dxfId="8">
      <formula>"⚠ YES"</formula>
    </cfRule>
    <cfRule type="cellIs" priority="10" operator="equal" dxfId="6">
      <formula>"OK"</formula>
    </cfRule>
  </conditionalFormatting>
  <conditionalFormatting sqref="C21">
    <cfRule type="cellIs" priority="11" operator="equal" dxfId="8">
      <formula>"⚠ YES"</formula>
    </cfRule>
    <cfRule type="cellIs" priority="12" operator="equal" dxfId="6">
      <formula>"OK"</formula>
    </cfRule>
  </conditionalFormatting>
  <conditionalFormatting sqref="C22">
    <cfRule type="cellIs" priority="13" operator="equal" dxfId="8">
      <formula>"⚠ YES"</formula>
    </cfRule>
    <cfRule type="cellIs" priority="14" operator="equal" dxfId="6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B2:N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6" customHeight="1">
      <c r="B2" s="1" t="inlineStr">
        <is>
          <t>CURRENCY &amp; FX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Edit the rate table (USD value of 1 unit of each currency). Switch base/reporting currency on the Inputs tab. KPIs translate automatically.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FX RATE TABLE  (USD value of 1 unit of currency)</t>
        </is>
      </c>
      <c r="C5" s="6" t="n"/>
      <c r="D5" s="6" t="n"/>
      <c r="E5" s="6" t="n"/>
    </row>
    <row r="6">
      <c r="B6" s="11" t="inlineStr">
        <is>
          <t>Currency</t>
        </is>
      </c>
      <c r="C6" s="11" t="inlineStr">
        <is>
          <t>USD per 1 unit</t>
        </is>
      </c>
      <c r="D6" s="11" t="inlineStr">
        <is>
          <t>Note</t>
        </is>
      </c>
    </row>
    <row r="7">
      <c r="B7" s="65" t="inlineStr">
        <is>
          <t>USD</t>
        </is>
      </c>
      <c r="C7" s="68" t="n">
        <v>1</v>
      </c>
      <c r="D7" s="21" t="inlineStr">
        <is>
          <t>reference</t>
        </is>
      </c>
    </row>
    <row r="8">
      <c r="B8" s="65" t="inlineStr">
        <is>
          <t>CAD</t>
        </is>
      </c>
      <c r="C8" s="68" t="n">
        <v>0.73</v>
      </c>
      <c r="D8" s="21" t="inlineStr">
        <is>
          <t>editable</t>
        </is>
      </c>
    </row>
    <row r="9">
      <c r="B9" s="65" t="inlineStr">
        <is>
          <t>JPY</t>
        </is>
      </c>
      <c r="C9" s="68" t="n">
        <v>0.0064</v>
      </c>
      <c r="D9" s="21" t="inlineStr">
        <is>
          <t>editable</t>
        </is>
      </c>
    </row>
    <row r="10">
      <c r="B10" s="65" t="inlineStr">
        <is>
          <t>KRW</t>
        </is>
      </c>
      <c r="C10" s="68" t="n">
        <v>0.00072</v>
      </c>
      <c r="D10" s="21" t="inlineStr">
        <is>
          <t>editable</t>
        </is>
      </c>
    </row>
    <row r="12" ht="20" customHeight="1">
      <c r="B12" s="5" t="inlineStr">
        <is>
          <t>CONVERSION FACTORS</t>
        </is>
      </c>
      <c r="C12" s="6" t="n"/>
      <c r="D12" s="6" t="n"/>
      <c r="E12" s="6" t="n"/>
    </row>
    <row r="13">
      <c r="B13" s="39" t="inlineStr">
        <is>
          <t>Base currency (USD value of 1 unit)</t>
        </is>
      </c>
      <c r="C13" s="69">
        <f>INDEX(fxRate,MATCH(selBaseCurrency,fxCcy,0))</f>
        <v/>
      </c>
    </row>
    <row r="14">
      <c r="B14" s="39" t="inlineStr">
        <is>
          <t>Reporting currency (USD value of 1 unit)</t>
        </is>
      </c>
      <c r="C14" s="69">
        <f>INDEX(fxRate,MATCH(selReportingCurrency,fxCcy,0))</f>
        <v/>
      </c>
    </row>
    <row r="15">
      <c r="B15" s="26" t="inlineStr">
        <is>
          <t>Base → Reporting factor</t>
        </is>
      </c>
      <c r="C15" s="70">
        <f>fxBaseRate/fxRptRate</f>
        <v/>
      </c>
      <c r="D15" s="71" t="inlineStr">
        <is>
          <t>value_in_reporting = value_base × this</t>
        </is>
      </c>
    </row>
    <row r="18" ht="20" customHeight="1">
      <c r="B18" s="5" t="inlineStr">
        <is>
          <t>TRANSLATED KPI TABLE  (active scenario, all currencies)</t>
        </is>
      </c>
      <c r="C18" s="6" t="n"/>
      <c r="D18" s="6" t="n"/>
      <c r="E18" s="6" t="n"/>
      <c r="F18" s="6" t="n"/>
      <c r="G18" s="6" t="n"/>
    </row>
    <row r="19">
      <c r="B19" s="60" t="inlineStr">
        <is>
          <t>KPI (in base currency)</t>
        </is>
      </c>
      <c r="C19" s="11" t="inlineStr">
        <is>
          <t>Base value</t>
        </is>
      </c>
      <c r="D19" s="11" t="inlineStr">
        <is>
          <t>USD</t>
        </is>
      </c>
      <c r="E19" s="11" t="inlineStr">
        <is>
          <t>CAD</t>
        </is>
      </c>
      <c r="F19" s="11" t="inlineStr">
        <is>
          <t>JPY</t>
        </is>
      </c>
      <c r="G19" s="11" t="inlineStr">
        <is>
          <t>KRW</t>
        </is>
      </c>
    </row>
    <row r="20">
      <c r="B20" s="39" t="inlineStr">
        <is>
          <t>Gross Sales</t>
        </is>
      </c>
      <c r="C20" s="40">
        <f>actGross</f>
        <v/>
      </c>
      <c r="D20" s="54">
        <f>actGross*fxBaseRate/INDEX(fxRate,MATCH("USD",fxCcy,0))</f>
        <v/>
      </c>
      <c r="E20" s="54">
        <f>actGross*fxBaseRate/INDEX(fxRate,MATCH("CAD",fxCcy,0))</f>
        <v/>
      </c>
      <c r="F20" s="54">
        <f>actGross*fxBaseRate/INDEX(fxRate,MATCH("JPY",fxCcy,0))</f>
        <v/>
      </c>
      <c r="G20" s="54">
        <f>actGross*fxBaseRate/INDEX(fxRate,MATCH("KRW",fxCcy,0))</f>
        <v/>
      </c>
    </row>
    <row r="21">
      <c r="B21" s="39" t="inlineStr">
        <is>
          <t>Net Sales</t>
        </is>
      </c>
      <c r="C21" s="40">
        <f>actNet</f>
        <v/>
      </c>
      <c r="D21" s="54">
        <f>actNet*fxBaseRate/INDEX(fxRate,MATCH("USD",fxCcy,0))</f>
        <v/>
      </c>
      <c r="E21" s="54">
        <f>actNet*fxBaseRate/INDEX(fxRate,MATCH("CAD",fxCcy,0))</f>
        <v/>
      </c>
      <c r="F21" s="54">
        <f>actNet*fxBaseRate/INDEX(fxRate,MATCH("JPY",fxCcy,0))</f>
        <v/>
      </c>
      <c r="G21" s="54">
        <f>actNet*fxBaseRate/INDEX(fxRate,MATCH("KRW",fxCcy,0))</f>
        <v/>
      </c>
    </row>
    <row r="22">
      <c r="B22" s="39" t="inlineStr">
        <is>
          <t>Trade Spend $</t>
        </is>
      </c>
      <c r="C22" s="40">
        <f>actTradeSpend</f>
        <v/>
      </c>
      <c r="D22" s="54">
        <f>actTradeSpend*fxBaseRate/INDEX(fxRate,MATCH("USD",fxCcy,0))</f>
        <v/>
      </c>
      <c r="E22" s="54">
        <f>actTradeSpend*fxBaseRate/INDEX(fxRate,MATCH("CAD",fxCcy,0))</f>
        <v/>
      </c>
      <c r="F22" s="54">
        <f>actTradeSpend*fxBaseRate/INDEX(fxRate,MATCH("JPY",fxCcy,0))</f>
        <v/>
      </c>
      <c r="G22" s="54">
        <f>actTradeSpend*fxBaseRate/INDEX(fxRate,MATCH("KRW",fxCcy,0))</f>
        <v/>
      </c>
    </row>
    <row r="23">
      <c r="B23" s="39" t="inlineStr">
        <is>
          <t>Contribution $</t>
        </is>
      </c>
      <c r="C23" s="40">
        <f>actContrib</f>
        <v/>
      </c>
      <c r="D23" s="54">
        <f>actContrib*fxBaseRate/INDEX(fxRate,MATCH("USD",fxCcy,0))</f>
        <v/>
      </c>
      <c r="E23" s="54">
        <f>actContrib*fxBaseRate/INDEX(fxRate,MATCH("CAD",fxCcy,0))</f>
        <v/>
      </c>
      <c r="F23" s="54">
        <f>actContrib*fxBaseRate/INDEX(fxRate,MATCH("JPY",fxCcy,0))</f>
        <v/>
      </c>
      <c r="G23" s="54">
        <f>actContrib*fxBaseRate/INDEX(fxRate,MATCH("KRW",fxCcy,0))</f>
        <v/>
      </c>
    </row>
    <row r="24">
      <c r="B24" s="39" t="inlineStr">
        <is>
          <t>Net Profit $</t>
        </is>
      </c>
      <c r="C24" s="40">
        <f>actNP</f>
        <v/>
      </c>
      <c r="D24" s="54">
        <f>actNP*fxBaseRate/INDEX(fxRate,MATCH("USD",fxCcy,0))</f>
        <v/>
      </c>
      <c r="E24" s="54">
        <f>actNP*fxBaseRate/INDEX(fxRate,MATCH("CAD",fxCcy,0))</f>
        <v/>
      </c>
      <c r="F24" s="54">
        <f>actNP*fxBaseRate/INDEX(fxRate,MATCH("JPY",fxCcy,0))</f>
        <v/>
      </c>
      <c r="G24" s="54">
        <f>actNP*fxBaseRate/INDEX(fxRate,MATCH("KRW",fxCcy,0))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5">
    <mergeCell ref="B12:E12"/>
    <mergeCell ref="B18:G18"/>
    <mergeCell ref="B5:E5"/>
    <mergeCell ref="B3:N3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B2:N4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6" customHeight="1">
      <c r="B2" s="1" t="inlineStr">
        <is>
          <t>EXECUTIVE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One-screen readout for CFO / GM / SVP Sales / RGM / Commercial Finance. Color = green above hurdle, yellow caution, red below hurdle / value destruction.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A.  HEADER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72" t="inlineStr">
        <is>
          <t>Product</t>
        </is>
      </c>
      <c r="C6" s="19">
        <f>'Inputs_and_Control_Center'!C14</f>
        <v/>
      </c>
      <c r="E6" s="72" t="inlineStr">
        <is>
          <t>Customer</t>
        </is>
      </c>
      <c r="F6" s="19">
        <f>'Inputs_and_Control_Center'!C16</f>
        <v/>
      </c>
      <c r="H6" s="72" t="inlineStr">
        <is>
          <t>Channel</t>
        </is>
      </c>
      <c r="I6" s="19">
        <f>'Inputs_and_Control_Center'!C17</f>
        <v/>
      </c>
      <c r="K6" s="15" t="inlineStr">
        <is>
          <t>DECISION</t>
        </is>
      </c>
      <c r="L6" s="73">
        <f>INDEX(Scenarios!$C$38:$I$38,MATCH(selScenario,scnHeaders,0))</f>
        <v/>
      </c>
    </row>
    <row r="7">
      <c r="B7" s="72" t="inlineStr">
        <is>
          <t>Scenario</t>
        </is>
      </c>
      <c r="C7" s="19">
        <f>selScenario</f>
        <v/>
      </c>
      <c r="E7" s="72" t="inlineStr">
        <is>
          <t>Base Ccy</t>
        </is>
      </c>
      <c r="F7" s="19">
        <f>selBaseCurrency</f>
        <v/>
      </c>
      <c r="H7" s="72" t="inlineStr">
        <is>
          <t>Reporting Ccy</t>
        </is>
      </c>
      <c r="I7" s="19">
        <f>selReportingCurrency</f>
        <v/>
      </c>
      <c r="K7" s="15" t="inlineStr">
        <is>
          <t>INTEGRITY</t>
        </is>
      </c>
      <c r="L7" s="65">
        <f>chkOverall</f>
        <v/>
      </c>
    </row>
    <row r="9" ht="20" customHeight="1">
      <c r="B9" s="5" t="inlineStr">
        <is>
          <t>B.  CORE FINANCIAL KPIs (active scenario, base currency)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B10" s="74" t="inlineStr">
        <is>
          <t>Gross Sales</t>
        </is>
      </c>
      <c r="D10" s="74" t="inlineStr">
        <is>
          <t>Net Sales</t>
        </is>
      </c>
      <c r="F10" s="74" t="inlineStr">
        <is>
          <t>Gross Profit $</t>
        </is>
      </c>
      <c r="H10" s="74" t="inlineStr">
        <is>
          <t>Gross Margin %</t>
        </is>
      </c>
    </row>
    <row r="11">
      <c r="B11" s="75">
        <f>actGross</f>
        <v/>
      </c>
      <c r="D11" s="75">
        <f>actNet</f>
        <v/>
      </c>
      <c r="F11" s="75">
        <f>actGP</f>
        <v/>
      </c>
      <c r="H11" s="76">
        <f>actGM</f>
        <v/>
      </c>
    </row>
    <row r="13">
      <c r="B13" s="74" t="inlineStr">
        <is>
          <t>Contribution $</t>
        </is>
      </c>
      <c r="D13" s="74" t="inlineStr">
        <is>
          <t>Contribution Margin %</t>
        </is>
      </c>
      <c r="F13" s="74" t="inlineStr">
        <is>
          <t>Net Profit $</t>
        </is>
      </c>
      <c r="H13" s="74" t="inlineStr">
        <is>
          <t>Net Margin %</t>
        </is>
      </c>
    </row>
    <row r="14">
      <c r="B14" s="75">
        <f>actContrib</f>
        <v/>
      </c>
      <c r="D14" s="76">
        <f>actCM</f>
        <v/>
      </c>
      <c r="F14" s="75">
        <f>actNP</f>
        <v/>
      </c>
      <c r="H14" s="76">
        <f>actNM</f>
        <v/>
      </c>
    </row>
    <row r="16" ht="20" customHeight="1">
      <c r="B16" s="5" t="inlineStr">
        <is>
          <t>C.  TRADE &amp; DEDUCTION KPIs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B17" s="74" t="inlineStr">
        <is>
          <t>Total Trade Spend $</t>
        </is>
      </c>
      <c r="D17" s="74" t="inlineStr">
        <is>
          <t>Trade % of Gross</t>
        </is>
      </c>
      <c r="F17" s="74" t="inlineStr">
        <is>
          <t>Trade % of Net</t>
        </is>
      </c>
      <c r="H17" s="74" t="inlineStr">
        <is>
          <t>Total GtN Deductions</t>
        </is>
      </c>
      <c r="J17" s="74" t="inlineStr">
        <is>
          <t>Trade Efficiency (x)</t>
        </is>
      </c>
      <c r="L17" s="74" t="inlineStr">
        <is>
          <t>GtN Leakage % of Gross</t>
        </is>
      </c>
    </row>
    <row r="18">
      <c r="B18" s="75">
        <f>actTradeSpend</f>
        <v/>
      </c>
      <c r="D18" s="76">
        <f>actTradePctG</f>
        <v/>
      </c>
      <c r="F18" s="76">
        <f>actTradePctN</f>
        <v/>
      </c>
      <c r="H18" s="75">
        <f>actGtN</f>
        <v/>
      </c>
      <c r="J18" s="77">
        <f>actTradeEff</f>
        <v/>
      </c>
      <c r="L18" s="76">
        <f>IF(actGross=0,0,actGtN/actGross)</f>
        <v/>
      </c>
    </row>
    <row r="21" ht="20" customHeight="1">
      <c r="B21" s="5" t="inlineStr">
        <is>
          <t>D.  UNIT ECONOMICS    |    E.  BREAK-EVEN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B22" s="74" t="inlineStr">
        <is>
          <t>Net Realized Price /unit</t>
        </is>
      </c>
      <c r="D22" s="74" t="inlineStr">
        <is>
          <t>Net Realized Price /case</t>
        </is>
      </c>
      <c r="F22" s="74" t="inlineStr">
        <is>
          <t>Profit / Unit</t>
        </is>
      </c>
      <c r="H22" s="74" t="inlineStr">
        <is>
          <t>Profit / Case</t>
        </is>
      </c>
      <c r="J22" s="74" t="inlineStr">
        <is>
          <t>Break-Even Units</t>
        </is>
      </c>
      <c r="L22" s="74" t="inlineStr">
        <is>
          <t>BE Wholesale Price</t>
        </is>
      </c>
    </row>
    <row r="23">
      <c r="B23" s="78">
        <f>actNRPunit</f>
        <v/>
      </c>
      <c r="D23" s="78">
        <f>actNRPcase</f>
        <v/>
      </c>
      <c r="F23" s="78">
        <f>actPPU</f>
        <v/>
      </c>
      <c r="H23" s="78">
        <f>actPPC</f>
        <v/>
      </c>
      <c r="J23" s="79">
        <f>beUnits</f>
        <v/>
      </c>
      <c r="L23" s="78">
        <f>beWholesale</f>
        <v/>
      </c>
    </row>
    <row r="25" ht="20" customHeight="1">
      <c r="B25" s="5" t="inlineStr">
        <is>
          <t>F.  CUSTOMER PATH ECONOMICS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B26" s="74" t="inlineStr">
        <is>
          <t>Retailer Margin %</t>
        </is>
      </c>
      <c r="D26" s="74" t="inlineStr">
        <is>
          <t>Retailer $ /unit</t>
        </is>
      </c>
      <c r="F26" s="74" t="inlineStr">
        <is>
          <t>Distributor Margin %</t>
        </is>
      </c>
      <c r="H26" s="74" t="inlineStr">
        <is>
          <t>Distributor $ /unit</t>
        </is>
      </c>
      <c r="J26" s="74" t="inlineStr">
        <is>
          <t>Company Net Real. /unit</t>
        </is>
      </c>
      <c r="L26" s="74" t="inlineStr">
        <is>
          <t>Retail Shelf Price</t>
        </is>
      </c>
    </row>
    <row r="27">
      <c r="B27" s="76">
        <f>actRetMgnPct</f>
        <v/>
      </c>
      <c r="D27" s="78">
        <f>actRetMgnU</f>
        <v/>
      </c>
      <c r="F27" s="76">
        <f>actDistMgnPct</f>
        <v/>
      </c>
      <c r="H27" s="78">
        <f>actDistMgnU</f>
        <v/>
      </c>
      <c r="J27" s="78">
        <f>actNRPunit</f>
        <v/>
      </c>
      <c r="L27" s="78">
        <f>actRetailReq</f>
        <v/>
      </c>
    </row>
    <row r="29" ht="20" customHeight="1">
      <c r="B29" s="5" t="inlineStr">
        <is>
          <t>G.  SCENARIO COMPARISON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B30" s="60" t="inlineStr">
        <is>
          <t>Metric</t>
        </is>
      </c>
      <c r="D30" s="11" t="inlineStr">
        <is>
          <t>Base</t>
        </is>
      </c>
      <c r="E30" s="11" t="inlineStr">
        <is>
          <t>Active</t>
        </is>
      </c>
      <c r="F30" s="11" t="inlineStr">
        <is>
          <t>Best NP</t>
        </is>
      </c>
      <c r="G30" s="11" t="inlineStr">
        <is>
          <t>Worst NP</t>
        </is>
      </c>
      <c r="H30" s="11" t="inlineStr">
        <is>
          <t>Δ vs Base</t>
        </is>
      </c>
    </row>
    <row r="31">
      <c r="B31" s="39" t="inlineStr">
        <is>
          <t>Net Profit $</t>
        </is>
      </c>
      <c r="D31" s="54">
        <f>Scenarios!C29</f>
        <v/>
      </c>
      <c r="E31" s="40">
        <f>INDEX(Scenarios!$C$29:$I$29,MATCH(selScenario,scnHeaders,0))</f>
        <v/>
      </c>
      <c r="F31" s="54">
        <f>MAX(Scenarios!C29:I29)</f>
        <v/>
      </c>
      <c r="G31" s="54">
        <f>MIN(Scenarios!C29:I29)</f>
        <v/>
      </c>
      <c r="H31" s="54">
        <f>E31-D31</f>
        <v/>
      </c>
    </row>
    <row r="32">
      <c r="B32" s="39" t="inlineStr">
        <is>
          <t>Net Margin %</t>
        </is>
      </c>
      <c r="D32" s="56">
        <f>Scenarios!C30</f>
        <v/>
      </c>
      <c r="E32" s="41">
        <f>INDEX(Scenarios!$C$30:$I$30,MATCH(selScenario,scnHeaders,0))</f>
        <v/>
      </c>
      <c r="F32" s="56">
        <f>MAX(Scenarios!C30:I30)</f>
        <v/>
      </c>
      <c r="G32" s="56">
        <f>MIN(Scenarios!C30:I30)</f>
        <v/>
      </c>
      <c r="H32" s="56">
        <f>E32-D32</f>
        <v/>
      </c>
    </row>
    <row r="33">
      <c r="B33" s="39" t="inlineStr">
        <is>
          <t>Gross Margin %</t>
        </is>
      </c>
      <c r="D33" s="56">
        <f>Scenarios!C26</f>
        <v/>
      </c>
      <c r="E33" s="41">
        <f>INDEX(Scenarios!$C$26:$I$26,MATCH(selScenario,scnHeaders,0))</f>
        <v/>
      </c>
      <c r="F33" s="56">
        <f>MAX(Scenarios!C26:I26)</f>
        <v/>
      </c>
      <c r="G33" s="56">
        <f>MIN(Scenarios!C26:I26)</f>
        <v/>
      </c>
      <c r="H33" s="56">
        <f>E33-D33</f>
        <v/>
      </c>
    </row>
    <row r="34">
      <c r="B34" s="39" t="inlineStr">
        <is>
          <t>Trade % Gross</t>
        </is>
      </c>
      <c r="D34" s="56">
        <f>Scenarios!C31</f>
        <v/>
      </c>
      <c r="E34" s="41">
        <f>INDEX(Scenarios!$C$31:$I$31,MATCH(selScenario,scnHeaders,0))</f>
        <v/>
      </c>
      <c r="F34" s="56">
        <f>MAX(Scenarios!C31:I31)</f>
        <v/>
      </c>
      <c r="G34" s="56">
        <f>MIN(Scenarios!C31:I31)</f>
        <v/>
      </c>
      <c r="H34" s="56">
        <f>E34-D34</f>
        <v/>
      </c>
    </row>
    <row r="36" ht="20" customHeight="1">
      <c r="B36" s="5" t="inlineStr">
        <is>
          <t>H.  GROSS-TO-NET WATERFALL  &amp;  TRADE MIX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B37" s="80" t="inlineStr">
        <is>
          <t>Gross Sales</t>
        </is>
      </c>
      <c r="C37" s="81">
        <f>actGross</f>
        <v/>
      </c>
    </row>
    <row r="38">
      <c r="B38" s="80" t="inlineStr">
        <is>
          <t>On-Invoice</t>
        </is>
      </c>
      <c r="C38" s="81">
        <f>-actOnInv</f>
        <v/>
      </c>
    </row>
    <row r="39">
      <c r="B39" s="80" t="inlineStr">
        <is>
          <t>Off-Invoice</t>
        </is>
      </c>
      <c r="C39" s="81">
        <f>-actOffInv</f>
        <v/>
      </c>
    </row>
    <row r="40">
      <c r="B40" s="80" t="inlineStr">
        <is>
          <t>Other GtN</t>
        </is>
      </c>
      <c r="C40" s="81">
        <f>-actOtherDed</f>
        <v/>
      </c>
    </row>
    <row r="41">
      <c r="B41" s="80" t="inlineStr">
        <is>
          <t>Net Sales</t>
        </is>
      </c>
      <c r="C41" s="81">
        <f>actNet</f>
        <v/>
      </c>
    </row>
    <row r="42">
      <c r="B42" s="80" t="inlineStr">
        <is>
          <t>Variable Cost</t>
        </is>
      </c>
      <c r="C42" s="81">
        <f>-actVCost</f>
        <v/>
      </c>
    </row>
    <row r="43">
      <c r="B43" s="80" t="inlineStr">
        <is>
          <t>Contribution</t>
        </is>
      </c>
      <c r="C43" s="81">
        <f>actContrib</f>
        <v/>
      </c>
    </row>
    <row r="44">
      <c r="B44" s="80" t="inlineStr">
        <is>
          <t>Fixed</t>
        </is>
      </c>
      <c r="C44" s="81">
        <f>-actFixed</f>
        <v/>
      </c>
    </row>
    <row r="45">
      <c r="B45" s="80" t="inlineStr">
        <is>
          <t>Net Profit</t>
        </is>
      </c>
      <c r="C45" s="81">
        <f>actNP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9">
    <mergeCell ref="B16:M16"/>
    <mergeCell ref="B25:M25"/>
    <mergeCell ref="B5:M5"/>
    <mergeCell ref="B21:M21"/>
    <mergeCell ref="B36:M36"/>
    <mergeCell ref="B9:M9"/>
    <mergeCell ref="B3:N3"/>
    <mergeCell ref="B2:N2"/>
    <mergeCell ref="B29:M29"/>
  </mergeCells>
  <conditionalFormatting sqref="L6">
    <cfRule type="cellIs" priority="1" operator="equal" dxfId="10">
      <formula>"GO"</formula>
    </cfRule>
    <cfRule type="cellIs" priority="2" operator="equal" dxfId="11">
      <formula>"REVIEW"</formula>
    </cfRule>
    <cfRule type="cellIs" priority="3" operator="equal" dxfId="12">
      <formula>"STOP"</formula>
    </cfRule>
  </conditionalFormatting>
  <conditionalFormatting sqref="L7">
    <cfRule type="expression" priority="4" dxfId="6">
      <formula>ISNUMBER(SEARCH("HEALTHY",L7))</formula>
    </cfRule>
    <cfRule type="expression" priority="5" dxfId="8">
      <formula>ISNUMBER(SEARCH("UNSAFE",L7))</formula>
    </cfRule>
  </conditionalFormatting>
  <conditionalFormatting sqref="H11">
    <cfRule type="cellIs" priority="6" operator="greaterThanOrEqual" dxfId="13">
      <formula>MinGM</formula>
    </cfRule>
    <cfRule type="cellIs" priority="7" operator="lessThan" dxfId="14">
      <formula>MinGM</formula>
    </cfRule>
  </conditionalFormatting>
  <conditionalFormatting sqref="D18">
    <cfRule type="cellIs" priority="8" operator="greaterThan" dxfId="2">
      <formula>MaxTradePct</formula>
    </cfRule>
    <cfRule type="cellIs" priority="9" operator="lessThanOrEqual" dxfId="13">
      <formula>MaxTradePct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B2:N3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2" customWidth="1" min="4" max="4"/>
    <col width="16" customWidth="1" min="5" max="5"/>
    <col width="12" customWidth="1" min="6" max="6"/>
    <col width="11" customWidth="1" min="7" max="7"/>
  </cols>
  <sheetData>
    <row r="2" ht="26" customHeight="1">
      <c r="B2" s="1" t="inlineStr">
        <is>
          <t>CHECKS, CONTROLS &amp; AUDIT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Automated integrity tests. If any CRITICAL check fails, the model is flagged UNSAFE and the banner turns red. Review before any business decision.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2" customHeight="1">
      <c r="B5" s="82">
        <f>IF(chkOverall="HEALTHY","✔ MODEL HEALTHY — SAFE TO USE","⚠ "&amp;chkOverall)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7" ht="20" customHeight="1">
      <c r="B7" s="5" t="inlineStr">
        <is>
          <t>CONTROL CHECKS</t>
        </is>
      </c>
      <c r="C7" s="6" t="n"/>
      <c r="D7" s="6" t="n"/>
      <c r="E7" s="6" t="n"/>
      <c r="F7" s="6" t="n"/>
      <c r="G7" s="6" t="n"/>
      <c r="H7" s="6" t="n"/>
      <c r="I7" s="6" t="n"/>
    </row>
    <row r="8">
      <c r="B8" s="11" t="inlineStr">
        <is>
          <t>#</t>
        </is>
      </c>
      <c r="C8" s="60" t="inlineStr">
        <is>
          <t>Check</t>
        </is>
      </c>
      <c r="D8" s="11" t="inlineStr">
        <is>
          <t>Expected</t>
        </is>
      </c>
      <c r="E8" s="11" t="inlineStr">
        <is>
          <t>Actual / delta</t>
        </is>
      </c>
      <c r="F8" s="11" t="inlineStr">
        <is>
          <t>Status</t>
        </is>
      </c>
      <c r="G8" s="11" t="inlineStr">
        <is>
          <t>Severity</t>
        </is>
      </c>
    </row>
    <row r="9">
      <c r="B9" s="83" t="n">
        <v>1</v>
      </c>
      <c r="C9" s="8" t="inlineStr">
        <is>
          <t>Net Sales ≤ Gross Sales</t>
        </is>
      </c>
      <c r="D9" s="33" t="inlineStr">
        <is>
          <t>actNet</t>
        </is>
      </c>
      <c r="E9" s="84" t="inlineStr">
        <is>
          <t>TRUE</t>
        </is>
      </c>
      <c r="F9" s="65">
        <f>IF(actNet&lt;=actGross,"PASS","FAIL")</f>
        <v/>
      </c>
      <c r="G9" s="83" t="inlineStr">
        <is>
          <t>Critical</t>
        </is>
      </c>
    </row>
    <row r="10">
      <c r="B10" s="83" t="n">
        <v>2</v>
      </c>
      <c r="C10" s="8" t="inlineStr">
        <is>
          <t>Calc Net Sales = Scenario-table Net Sales</t>
        </is>
      </c>
      <c r="D10" s="33" t="inlineStr">
        <is>
          <t>ABS&lt;$1</t>
        </is>
      </c>
      <c r="E10" s="84">
        <f>actNet-(INDEX(Scenarios!$C$23:$I$23,MATCH(selScenario,scnHeaders,0)))</f>
        <v/>
      </c>
      <c r="F10" s="65">
        <f>IF(ABS(actNet-(INDEX(Scenarios!$C$23:$I$23,MATCH(selScenario,scnHeaders,0))))&lt;1,"PASS","FAIL")</f>
        <v/>
      </c>
      <c r="G10" s="83" t="inlineStr">
        <is>
          <t>Critical</t>
        </is>
      </c>
    </row>
    <row r="11">
      <c r="B11" s="83" t="n">
        <v>3</v>
      </c>
      <c r="C11" s="8" t="inlineStr">
        <is>
          <t>Calc Net Profit = Scenario-table Net Profit</t>
        </is>
      </c>
      <c r="D11" s="33" t="inlineStr">
        <is>
          <t>ABS&lt;$1</t>
        </is>
      </c>
      <c r="E11" s="84">
        <f>actNP-(INDEX(Scenarios!$C$29:$I$29,MATCH(selScenario,scnHeaders,0)))</f>
        <v/>
      </c>
      <c r="F11" s="65">
        <f>IF(ABS(actNP-(INDEX(Scenarios!$C$29:$I$29,MATCH(selScenario,scnHeaders,0))))&lt;1,"PASS","FAIL")</f>
        <v/>
      </c>
      <c r="G11" s="83" t="inlineStr">
        <is>
          <t>Critical</t>
        </is>
      </c>
    </row>
    <row r="12">
      <c r="B12" s="83" t="n">
        <v>4</v>
      </c>
      <c r="C12" s="8" t="inlineStr">
        <is>
          <t>Trade Spend reconciles (Calc vs Scenario)</t>
        </is>
      </c>
      <c r="D12" s="33" t="inlineStr">
        <is>
          <t>ABS&lt;$1</t>
        </is>
      </c>
      <c r="E12" s="84">
        <f>actTradeSpend-(INDEX(Scenarios!$C$20:$I$20,MATCH(selScenario,scnHeaders,0)))</f>
        <v/>
      </c>
      <c r="F12" s="65">
        <f>IF(ABS(actTradeSpend-(INDEX(Scenarios!$C$20:$I$20,MATCH(selScenario,scnHeaders,0))))&lt;1,"PASS","FAIL")</f>
        <v/>
      </c>
      <c r="G12" s="83" t="inlineStr">
        <is>
          <t>Critical</t>
        </is>
      </c>
    </row>
    <row r="13">
      <c r="B13" s="83" t="n">
        <v>5</v>
      </c>
      <c r="C13" s="8" t="inlineStr">
        <is>
          <t>Gross Margin %% ties to $ (GP/Gross)</t>
        </is>
      </c>
      <c r="D13" s="33" t="inlineStr">
        <is>
          <t>≈0</t>
        </is>
      </c>
      <c r="E13" s="33" t="inlineStr">
        <is>
          <t>—</t>
        </is>
      </c>
      <c r="F13" s="65">
        <f>IF(ABS(actGM-IF(actGross=0,0,actGP/actGross))&lt;0.0001,"PASS","FAIL")</f>
        <v/>
      </c>
      <c r="G13" s="83" t="inlineStr">
        <is>
          <t>High</t>
        </is>
      </c>
    </row>
    <row r="14">
      <c r="B14" s="83" t="n">
        <v>6</v>
      </c>
      <c r="C14" s="8" t="inlineStr">
        <is>
          <t>Net Margin %% ties to $ (NP/Net)</t>
        </is>
      </c>
      <c r="D14" s="33" t="inlineStr">
        <is>
          <t>≈0</t>
        </is>
      </c>
      <c r="E14" s="33" t="inlineStr">
        <is>
          <t>—</t>
        </is>
      </c>
      <c r="F14" s="65">
        <f>IF(ABS(actNM-IF(actNet=0,0,actNP/actNet))&lt;0.0001,"PASS","FAIL")</f>
        <v/>
      </c>
      <c r="G14" s="83" t="inlineStr">
        <is>
          <t>High</t>
        </is>
      </c>
    </row>
    <row r="15">
      <c r="B15" s="83" t="n">
        <v>7</v>
      </c>
      <c r="C15" s="8" t="inlineStr">
        <is>
          <t>Per-unit × units ties to total NP</t>
        </is>
      </c>
      <c r="D15" s="33" t="inlineStr">
        <is>
          <t>ABS&lt;$1</t>
        </is>
      </c>
      <c r="E15" s="84">
        <f>actPPU*actUnits-actNP</f>
        <v/>
      </c>
      <c r="F15" s="65">
        <f>IF(ABS(actPPU*actUnits-actNP)&lt;1,"PASS","FAIL")</f>
        <v/>
      </c>
      <c r="G15" s="83" t="inlineStr">
        <is>
          <t>High</t>
        </is>
      </c>
    </row>
    <row r="16">
      <c r="B16" s="83" t="n">
        <v>8</v>
      </c>
      <c r="C16" s="8" t="inlineStr">
        <is>
          <t>Scenario selector is valid</t>
        </is>
      </c>
      <c r="D16" s="33" t="inlineStr">
        <is>
          <t>found</t>
        </is>
      </c>
      <c r="E16" s="33" t="inlineStr">
        <is>
          <t>—</t>
        </is>
      </c>
      <c r="F16" s="65">
        <f>IF(COUNTIF(scnHeaders,selScenario)=1,"PASS","FAIL")</f>
        <v/>
      </c>
      <c r="G16" s="83" t="inlineStr">
        <is>
          <t>Critical</t>
        </is>
      </c>
    </row>
    <row r="17">
      <c r="B17" s="83" t="n">
        <v>9</v>
      </c>
      <c r="C17" s="8" t="inlineStr">
        <is>
          <t>Break-even contribution is positive</t>
        </is>
      </c>
      <c r="D17" s="33" t="inlineStr">
        <is>
          <t>&gt;0</t>
        </is>
      </c>
      <c r="E17" s="84">
        <f>actCPU</f>
        <v/>
      </c>
      <c r="F17" s="65">
        <f>IF(actCPU&gt;0,"PASS","WARN")</f>
        <v/>
      </c>
      <c r="G17" s="83" t="inlineStr">
        <is>
          <t>High</t>
        </is>
      </c>
    </row>
    <row r="18">
      <c r="B18" s="83" t="n">
        <v>10</v>
      </c>
      <c r="C18" s="8" t="inlineStr">
        <is>
          <t>Trade Spend %% within ceiling</t>
        </is>
      </c>
      <c r="D18" s="33" t="inlineStr">
        <is>
          <t>≤max</t>
        </is>
      </c>
      <c r="E18" s="84">
        <f>actTradePctG</f>
        <v/>
      </c>
      <c r="F18" s="65">
        <f>IF(actTradePctG&lt;=MaxTradePct,"PASS","WARN")</f>
        <v/>
      </c>
      <c r="G18" s="83" t="inlineStr">
        <is>
          <t>Medium</t>
        </is>
      </c>
    </row>
    <row r="19">
      <c r="B19" s="83" t="n">
        <v>11</v>
      </c>
      <c r="C19" s="8" t="inlineStr">
        <is>
          <t>Gross Margin %% meets minimum hurdle</t>
        </is>
      </c>
      <c r="D19" s="33" t="inlineStr">
        <is>
          <t>≥min</t>
        </is>
      </c>
      <c r="E19" s="84">
        <f>actGM</f>
        <v/>
      </c>
      <c r="F19" s="65">
        <f>IF(actGM&gt;=MinGM,"PASS","WARN")</f>
        <v/>
      </c>
      <c r="G19" s="83" t="inlineStr">
        <is>
          <t>Medium</t>
        </is>
      </c>
    </row>
    <row r="20">
      <c r="B20" s="83" t="n">
        <v>12</v>
      </c>
      <c r="C20" s="8" t="inlineStr">
        <is>
          <t>Net Margin %% meets minimum hurdle</t>
        </is>
      </c>
      <c r="D20" s="33" t="inlineStr">
        <is>
          <t>≥min</t>
        </is>
      </c>
      <c r="E20" s="84">
        <f>actNM</f>
        <v/>
      </c>
      <c r="F20" s="65">
        <f>IF(actNM&gt;=MinNM,"PASS","WARN")</f>
        <v/>
      </c>
      <c r="G20" s="83" t="inlineStr">
        <is>
          <t>Medium</t>
        </is>
      </c>
    </row>
    <row r="21">
      <c r="B21" s="83" t="n">
        <v>13</v>
      </c>
      <c r="C21" s="8" t="inlineStr">
        <is>
          <t>FX factor reconciles (base/report)</t>
        </is>
      </c>
      <c r="D21" s="33" t="inlineStr">
        <is>
          <t>≈0</t>
        </is>
      </c>
      <c r="E21" s="33" t="inlineStr">
        <is>
          <t>—</t>
        </is>
      </c>
      <c r="F21" s="65">
        <f>IF(ABS(fxFactor-fxBaseRate/fxRptRate)&lt;0.0000001,"PASS","FAIL")</f>
        <v/>
      </c>
      <c r="G21" s="83" t="inlineStr">
        <is>
          <t>High</t>
        </is>
      </c>
    </row>
    <row r="22">
      <c r="B22" s="83" t="n">
        <v>14</v>
      </c>
      <c r="C22" s="8" t="inlineStr">
        <is>
          <t>FX translation non-zero when rate set</t>
        </is>
      </c>
      <c r="D22" s="33" t="inlineStr">
        <is>
          <t>&gt;0</t>
        </is>
      </c>
      <c r="E22" s="33" t="inlineStr">
        <is>
          <t>—</t>
        </is>
      </c>
      <c r="F22" s="65">
        <f>IF(AND(fxBaseRate&gt;0,fxRptRate&gt;0),"PASS","FAIL")</f>
        <v/>
      </c>
      <c r="G22" s="83" t="inlineStr">
        <is>
          <t>High</t>
        </is>
      </c>
    </row>
    <row r="23">
      <c r="B23" s="83" t="n">
        <v>15</v>
      </c>
      <c r="C23" s="8" t="inlineStr">
        <is>
          <t>No negative Effective Units</t>
        </is>
      </c>
      <c r="D23" s="33" t="inlineStr">
        <is>
          <t>≥0</t>
        </is>
      </c>
      <c r="E23" s="84">
        <f>actUnits</f>
        <v/>
      </c>
      <c r="F23" s="65">
        <f>IF(actUnits&gt;=0,"PASS","FAIL")</f>
        <v/>
      </c>
      <c r="G23" s="83" t="inlineStr">
        <is>
          <t>Critical</t>
        </is>
      </c>
    </row>
    <row r="24">
      <c r="B24" s="83" t="n">
        <v>16</v>
      </c>
      <c r="C24" s="8" t="inlineStr">
        <is>
          <t>Required assumptions present (price, units)</t>
        </is>
      </c>
      <c r="D24" s="33" t="inlineStr">
        <is>
          <t>all&gt;0</t>
        </is>
      </c>
      <c r="E24" s="33" t="inlineStr">
        <is>
          <t>—</t>
        </is>
      </c>
      <c r="F24" s="65">
        <f>IF(AND(WholesalePrice&gt;0,ForecastUnits&gt;0,UnitsPerCase&gt;0),"PASS","FAIL")</f>
        <v/>
      </c>
      <c r="G24" s="83" t="inlineStr">
        <is>
          <t>Critical</t>
        </is>
      </c>
    </row>
    <row r="25">
      <c r="B25" s="83" t="n">
        <v>17</v>
      </c>
      <c r="C25" s="8" t="inlineStr">
        <is>
          <t>Fixed cost subtotal non-negative</t>
        </is>
      </c>
      <c r="D25" s="33" t="inlineStr">
        <is>
          <t>≥0</t>
        </is>
      </c>
      <c r="E25" s="84">
        <f>FixedCommercialTotal</f>
        <v/>
      </c>
      <c r="F25" s="65">
        <f>IF(FixedCommercialTotal&gt;=0,"PASS","FAIL")</f>
        <v/>
      </c>
      <c r="G25" s="83" t="inlineStr">
        <is>
          <t>Medium</t>
        </is>
      </c>
    </row>
    <row r="26">
      <c r="B26" s="83" t="n">
        <v>18</v>
      </c>
      <c r="C26" s="8" t="inlineStr">
        <is>
          <t>Net Realized Price ≤ Wholesale Price</t>
        </is>
      </c>
      <c r="D26" s="33" t="inlineStr">
        <is>
          <t>≤</t>
        </is>
      </c>
      <c r="E26" s="84">
        <f>actPrice-actNRPunit</f>
        <v/>
      </c>
      <c r="F26" s="65">
        <f>IF(actNRPunit&lt;=actPrice+0.0001,"PASS","WARN")</f>
        <v/>
      </c>
      <c r="G26" s="83" t="inlineStr">
        <is>
          <t>Medium</t>
        </is>
      </c>
    </row>
    <row r="28" ht="20" customHeight="1">
      <c r="B28" s="5" t="inlineStr">
        <is>
          <t>MODEL HEALTH SUMMARY</t>
        </is>
      </c>
      <c r="C28" s="6" t="n"/>
      <c r="D28" s="6" t="n"/>
      <c r="E28" s="6" t="n"/>
      <c r="F28" s="6" t="n"/>
      <c r="G28" s="6" t="n"/>
    </row>
    <row r="29">
      <c r="B29" s="39" t="inlineStr">
        <is>
          <t>Total checks</t>
        </is>
      </c>
      <c r="C29" s="65">
        <f>COUNTA(C9:C26)</f>
        <v/>
      </c>
    </row>
    <row r="30">
      <c r="B30" s="39" t="inlineStr">
        <is>
          <t>Passes</t>
        </is>
      </c>
      <c r="C30" s="65">
        <f>COUNTIF(F9:F26,"PASS")</f>
        <v/>
      </c>
    </row>
    <row r="31">
      <c r="B31" s="39" t="inlineStr">
        <is>
          <t>Warnings</t>
        </is>
      </c>
      <c r="C31" s="65">
        <f>COUNTIF(F9:F26,"WARN")</f>
        <v/>
      </c>
    </row>
    <row r="32">
      <c r="B32" s="39" t="inlineStr">
        <is>
          <t>Critical failures</t>
        </is>
      </c>
      <c r="C32" s="65">
        <f>COUNTIFS(F9:F26,"FAIL",G9:G26,"Critical")</f>
        <v/>
      </c>
    </row>
    <row r="33">
      <c r="B33" s="45" t="inlineStr">
        <is>
          <t>OVERALL MODEL STATUS</t>
        </is>
      </c>
      <c r="C33" s="16">
        <f>IF(C32&gt;0,"UNSAFE — CRITICAL FAIL",IF(COUNTIF(F9:F26,"FAIL")&gt;0,"REVIEW — CHECK FAILS",IF(C31&gt;0,"CAUTION — WARNINGS","HEALTHY")))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5">
    <mergeCell ref="B5:N5"/>
    <mergeCell ref="B28:G28"/>
    <mergeCell ref="B7:I7"/>
    <mergeCell ref="B3:N3"/>
    <mergeCell ref="B2:N2"/>
  </mergeCells>
  <conditionalFormatting sqref="F9:F26">
    <cfRule type="cellIs" priority="1" operator="equal" dxfId="6">
      <formula>"PASS"</formula>
    </cfRule>
    <cfRule type="cellIs" priority="2" operator="equal" dxfId="7">
      <formula>"WARN"</formula>
    </cfRule>
    <cfRule type="cellIs" priority="3" operator="equal" dxfId="8">
      <formula>"FAIL"</formula>
    </cfRule>
  </conditionalFormatting>
  <conditionalFormatting sqref="C33">
    <cfRule type="cellIs" priority="4" operator="equal" dxfId="3">
      <formula>"HEALTHY"</formula>
    </cfRule>
    <cfRule type="expression" priority="5" dxfId="5">
      <formula>ISNUMBER(SEARCH("UNSAFE",C33))</formula>
    </cfRule>
    <cfRule type="expression" priority="6" dxfId="4">
      <formula>ISNUMBER(SEARCH("REVIEW",C33))</formula>
    </cfRule>
    <cfRule type="expression" priority="7" dxfId="4">
      <formula>ISNUMBER(SEARCH("CAUTION",C33))</formula>
    </cfRule>
  </conditionalFormatting>
  <conditionalFormatting sqref="B5">
    <cfRule type="expression" priority="8" dxfId="15">
      <formula>ISNUMBER(SEARCH("HEALTHY",B5))</formula>
    </cfRule>
    <cfRule type="expression" priority="9" dxfId="16">
      <formula>ISNUMBER(SEARCH("UNSAFE",B5))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B2:N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</cols>
  <sheetData>
    <row r="2" ht="26" customHeight="1">
      <c r="B2" s="1" t="inlineStr">
        <is>
          <t>LOOKUPS &amp; ASSUMPTIONS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6" customHeight="1">
      <c r="B3" s="3" t="inlineStr">
        <is>
          <t>Pick-lists, FX seed values and reference tables. Edit lists here; the rest of the workbook references them.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0" customHeight="1">
      <c r="B5" s="5" t="inlineStr">
        <is>
          <t>Scenario list (selScenario)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8" t="inlineStr">
        <is>
          <t>Base Case</t>
        </is>
      </c>
    </row>
    <row r="7">
      <c r="B7" s="8" t="inlineStr">
        <is>
          <t>Promo Case</t>
        </is>
      </c>
    </row>
    <row r="8">
      <c r="B8" s="8" t="inlineStr">
        <is>
          <t>High Volume Case</t>
        </is>
      </c>
    </row>
    <row r="9">
      <c r="B9" s="8" t="inlineStr">
        <is>
          <t>Low Volume Case</t>
        </is>
      </c>
    </row>
    <row r="10">
      <c r="B10" s="8" t="inlineStr">
        <is>
          <t>Cost Inflation Case</t>
        </is>
      </c>
    </row>
    <row r="11">
      <c r="B11" s="8" t="inlineStr">
        <is>
          <t>Margin Recovery Case</t>
        </is>
      </c>
    </row>
    <row r="12">
      <c r="B12" s="8" t="inlineStr">
        <is>
          <t>Custom Scenario</t>
        </is>
      </c>
    </row>
    <row r="14" ht="20" customHeight="1">
      <c r="B14" s="5" t="inlineStr">
        <is>
          <t>Business model list (selBusinessModel)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B15" s="8" t="inlineStr">
        <is>
          <t>Direct Retailer</t>
        </is>
      </c>
    </row>
    <row r="16">
      <c r="B16" s="8" t="inlineStr">
        <is>
          <t>Distributor</t>
        </is>
      </c>
    </row>
    <row r="17">
      <c r="B17" s="8" t="inlineStr">
        <is>
          <t>Club</t>
        </is>
      </c>
    </row>
    <row r="18">
      <c r="B18" s="8" t="inlineStr">
        <is>
          <t>FDM</t>
        </is>
      </c>
    </row>
    <row r="19">
      <c r="B19" s="8" t="inlineStr">
        <is>
          <t>Hybrid</t>
        </is>
      </c>
    </row>
    <row r="21" ht="20" customHeight="1">
      <c r="B21" s="5" t="inlineStr">
        <is>
          <t>Currency list (selBaseCurrency / selReportingCurrency)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B22" s="8" t="inlineStr">
        <is>
          <t>USD</t>
        </is>
      </c>
    </row>
    <row r="23">
      <c r="B23" s="8" t="inlineStr">
        <is>
          <t>CAD</t>
        </is>
      </c>
    </row>
    <row r="24">
      <c r="B24" s="8" t="inlineStr">
        <is>
          <t>JPY</t>
        </is>
      </c>
    </row>
    <row r="25">
      <c r="B25" s="8" t="inlineStr">
        <is>
          <t>KRW</t>
        </is>
      </c>
    </row>
    <row r="28" ht="20" customHeight="1">
      <c r="B28" s="5" t="inlineStr">
        <is>
          <t>Decision status list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B29" s="8" t="inlineStr">
        <is>
          <t>GO</t>
        </is>
      </c>
    </row>
    <row r="30">
      <c r="B30" s="8" t="inlineStr">
        <is>
          <t>REVIEW</t>
        </is>
      </c>
    </row>
    <row r="31">
      <c r="B31" s="8" t="inlineStr">
        <is>
          <t>STOP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0" formatRows="1" sort="1" password="CC76"/>
  <mergeCells count="6">
    <mergeCell ref="B28:M28"/>
    <mergeCell ref="B5:M5"/>
    <mergeCell ref="B21:M21"/>
    <mergeCell ref="B14:M14"/>
    <mergeCell ref="B3:N3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Commercial Finance Systems</dc:creator>
  <dc:title>CPG Commercial Decision System</dc:title>
  <dcterms:created xsi:type="dcterms:W3CDTF">2026-06-26T07:15:58Z</dcterms:created>
  <dcterms:modified xsi:type="dcterms:W3CDTF">2026-06-26T07:15:59Z</dcterms:modified>
</cp:coreProperties>
</file>