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Forecast" sheetId="3" state="visible" r:id="rId3"/>
    <sheet name="Summary" sheetId="4" state="visible" r:id="rId4"/>
    <sheet name="Portfolio" sheetId="5" state="visible" r:id="rId5"/>
  </sheets>
  <definedNames>
    <definedName name="StartDate">Inputs!$C$20</definedName>
    <definedName name="WHs">Inputs!$C$21</definedName>
    <definedName name="Period">Inputs!$C$22</definedName>
    <definedName name="Price">Inputs!$C$25</definedName>
    <definedName name="Cost">Inputs!$C$26</definedName>
    <definedName name="BaseUnits">Inputs!$C$32</definedName>
    <definedName name="DemoCost">Inputs!$C$37</definedName>
    <definedName name="EndCapCost">Inputs!$C$41</definedName>
    <definedName name="FenceCost">Inputs!$C$42</definedName>
    <definedName name="AdvertCost">Inputs!$C$43</definedName>
    <definedName name="TPDPct">Inputs!$C$44</definedName>
    <definedName name="MdPct">Inputs!$C$45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yyyy-mm-dd"/>
    <numFmt numFmtId="166" formatCode="dd-mmm-yyyy"/>
    <numFmt numFmtId="167" formatCode="_-£* #,##0.00_-;[Red]-£* #,##0.00_-;_-£* &quot;-&quot;??_-;_-@_-"/>
    <numFmt numFmtId="168" formatCode="0.0%"/>
    <numFmt numFmtId="169" formatCode="_-£* #,##0_-;[Red]-£* #,##0_-;_-£* &quot;-&quot;??_-;_-@_-"/>
    <numFmt numFmtId="170" formatCode="0.0&quot;x&quot;"/>
    <numFmt numFmtId="171" formatCode="dd-mmm"/>
    <numFmt numFmtId="172" formatCode="0;;;@"/>
    <numFmt numFmtId="173" formatCode="_-* #,##0.00_-;[Red]_-* (#,##0.00)_-;_-* &quot;-&quot;??_-;_-@_-"/>
    <numFmt numFmtId="174" formatCode="_-* #,##0_-;[Red]_-* (#,##0)_-;_-* &quot;-&quot;??_-;_-@_-"/>
  </numFmts>
  <fonts count="16">
    <font>
      <name val="Calibri"/>
      <family val="2"/>
      <color theme="1"/>
      <sz val="11"/>
      <scheme val="minor"/>
    </font>
    <font>
      <name val="Calibri"/>
      <b val="1"/>
      <color rgb="001F4E78"/>
      <sz val="20"/>
    </font>
    <font>
      <name val="Calibri"/>
      <i val="1"/>
      <color rgb="00595959"/>
      <sz val="12"/>
    </font>
    <font>
      <name val="Calibri"/>
      <b val="1"/>
      <color rgb="00FFFFFF"/>
      <sz val="13"/>
    </font>
    <font>
      <name val="Calibri"/>
      <sz val="11"/>
    </font>
    <font>
      <name val="Calibri"/>
      <b val="1"/>
      <color rgb="001F4E78"/>
      <sz val="11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0070C0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i val="1"/>
      <color rgb="00595959"/>
      <sz val="11"/>
    </font>
    <font>
      <name val="Calibri"/>
      <color rgb="00000000"/>
      <sz val="11"/>
    </font>
    <font>
      <name val="Calibri"/>
      <b val="1"/>
      <color rgb="001F4E78"/>
      <sz val="14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top" wrapText="1"/>
    </xf>
    <xf numFmtId="164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9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right" vertical="center"/>
    </xf>
    <xf numFmtId="166" fontId="9" fillId="3" borderId="1" applyAlignment="1" pivotButton="0" quotePrefix="0" xfId="0">
      <alignment horizontal="right" vertical="center"/>
    </xf>
    <xf numFmtId="3" fontId="9" fillId="3" borderId="1" applyAlignment="1" pivotButton="0" quotePrefix="0" xfId="0">
      <alignment horizontal="right" vertical="center"/>
    </xf>
    <xf numFmtId="167" fontId="9" fillId="3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168" fontId="4" fillId="3" borderId="1" applyAlignment="1" pivotButton="0" quotePrefix="0" xfId="0">
      <alignment horizontal="right" vertical="center"/>
    </xf>
    <xf numFmtId="4" fontId="9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169" fontId="9" fillId="3" borderId="1" applyAlignment="1" pivotButton="0" quotePrefix="0" xfId="0">
      <alignment horizontal="right" vertical="center"/>
    </xf>
    <xf numFmtId="170" fontId="9" fillId="3" borderId="1" applyAlignment="1" pivotButton="0" quotePrefix="0" xfId="0">
      <alignment horizontal="right" vertical="center"/>
    </xf>
    <xf numFmtId="169" fontId="4" fillId="3" borderId="1" applyAlignment="1" pivotButton="0" quotePrefix="0" xfId="0">
      <alignment horizontal="right" vertical="center"/>
    </xf>
    <xf numFmtId="168" fontId="9" fillId="3" borderId="1" applyAlignment="1" pivotButton="0" quotePrefix="0" xfId="0">
      <alignment horizontal="right" vertical="center"/>
    </xf>
    <xf numFmtId="0" fontId="11" fillId="6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171" fontId="12" fillId="5" borderId="1" applyAlignment="1" pivotButton="0" quotePrefix="0" xfId="0">
      <alignment horizontal="center" vertical="center" wrapText="1"/>
    </xf>
    <xf numFmtId="172" fontId="9" fillId="3" borderId="1" applyAlignment="1" pivotButton="0" quotePrefix="0" xfId="0">
      <alignment horizontal="center" vertical="center" wrapText="1"/>
    </xf>
    <xf numFmtId="170" fontId="9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right" vertical="center"/>
    </xf>
    <xf numFmtId="164" fontId="4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0" fillId="5" borderId="1" pivotButton="0" quotePrefix="0" xfId="0"/>
    <xf numFmtId="3" fontId="4" fillId="5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173" fontId="4" fillId="5" borderId="1" applyAlignment="1" pivotButton="0" quotePrefix="0" xfId="0">
      <alignment horizontal="right" vertical="center"/>
    </xf>
    <xf numFmtId="173" fontId="5" fillId="4" borderId="1" applyAlignment="1" pivotButton="0" quotePrefix="0" xfId="0">
      <alignment horizontal="right" vertical="center"/>
    </xf>
    <xf numFmtId="174" fontId="4" fillId="5" borderId="1" applyAlignment="1" pivotButton="0" quotePrefix="0" xfId="0">
      <alignment horizontal="right" vertical="center"/>
    </xf>
    <xf numFmtId="174" fontId="5" fillId="4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7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174" fontId="15" fillId="4" borderId="1" applyAlignment="1" pivotButton="0" quotePrefix="0" xfId="0">
      <alignment horizontal="right" vertical="center"/>
    </xf>
    <xf numFmtId="168" fontId="15" fillId="4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11" fillId="2" borderId="1" applyAlignment="1" pivotButton="0" quotePrefix="0" xfId="0">
      <alignment horizontal="left" vertical="center" wrapText="1"/>
    </xf>
    <xf numFmtId="3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173" fontId="9" fillId="3" borderId="1" applyAlignment="1" pivotButton="0" quotePrefix="0" xfId="0">
      <alignment horizontal="right" vertical="center"/>
    </xf>
    <xf numFmtId="168" fontId="4" fillId="5" borderId="1" applyAlignment="1" pivotButton="0" quotePrefix="0" xfId="0">
      <alignment horizontal="right" vertical="center"/>
    </xf>
    <xf numFmtId="174" fontId="9" fillId="3" borderId="1" applyAlignment="1" pivotButton="0" quotePrefix="0" xfId="0">
      <alignment horizontal="right" vertical="center"/>
    </xf>
    <xf numFmtId="0" fontId="0" fillId="6" borderId="1" pivotButton="0" quotePrefix="0" xfId="0"/>
    <xf numFmtId="0" fontId="11" fillId="6" borderId="1" applyAlignment="1" pivotButton="0" quotePrefix="0" xfId="0">
      <alignment horizontal="left" vertical="center" wrapText="1"/>
    </xf>
    <xf numFmtId="168" fontId="11" fillId="6" borderId="1" applyAlignment="1" pivotButton="0" quotePrefix="0" xfId="0">
      <alignment horizontal="right" vertical="center"/>
    </xf>
    <xf numFmtId="3" fontId="11" fillId="6" borderId="1" applyAlignment="1" pivotButton="0" quotePrefix="0" xfId="0">
      <alignment horizontal="right" vertical="center"/>
    </xf>
    <xf numFmtId="174" fontId="11" fillId="6" borderId="1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" t="inlineStr">
        <is>
          <t>Costco UK — D93 Portfolio ROI Model</t>
        </is>
      </c>
    </row>
    <row r="3">
      <c r="B3" s="2" t="inlineStr">
        <is>
          <t>v7.0 · Currency dropdown on every tab</t>
        </is>
      </c>
    </row>
    <row r="5">
      <c r="B5" s="3" t="inlineStr">
        <is>
          <t>HOW TO USE</t>
        </is>
      </c>
    </row>
    <row r="6">
      <c r="B6" s="4" t="inlineStr"/>
    </row>
    <row r="7">
      <c r="B7" s="4" t="inlineStr">
        <is>
          <t>1.  Display Currency. Every tab has its own dropdown (GBP / USD / CAD / EUR)</t>
        </is>
      </c>
    </row>
    <row r="8">
      <c r="B8" s="4" t="inlineStr">
        <is>
          <t xml:space="preserve">    at the top. Switching the dropdown on a tab converts every money cell on</t>
        </is>
      </c>
    </row>
    <row r="9">
      <c r="B9" s="4" t="inlineStr">
        <is>
          <t xml:space="preserve">    that tab and updates the column headers with the right symbol.</t>
        </is>
      </c>
    </row>
    <row r="10">
      <c r="B10" s="4" t="inlineStr"/>
    </row>
    <row r="11">
      <c r="B11" s="4" t="inlineStr">
        <is>
          <t>2.  FX rates live in one place — the FX Rate Table on the Inputs sheet.</t>
        </is>
      </c>
    </row>
    <row r="12">
      <c r="B12" s="4" t="inlineStr">
        <is>
          <t xml:space="preserve">    Edit any rate there and every tab updates.</t>
        </is>
      </c>
    </row>
    <row r="13">
      <c r="B13" s="4" t="inlineStr"/>
    </row>
    <row r="14">
      <c r="B14" s="4" t="inlineStr">
        <is>
          <t>3.  Tabs are INDEPENDENT. Set them all to the same currency for a consistent</t>
        </is>
      </c>
    </row>
    <row r="15">
      <c r="B15" s="4" t="inlineStr">
        <is>
          <t xml:space="preserve">    pitch deck view, or set them differently if you want to compare. Summary</t>
        </is>
      </c>
    </row>
    <row r="16">
      <c r="B16" s="4" t="inlineStr">
        <is>
          <t xml:space="preserve">    automatically adjusts its pull from Forecast if the two tabs disagree.</t>
        </is>
      </c>
    </row>
    <row r="17">
      <c r="B17" s="4" t="inlineStr"/>
    </row>
    <row r="18">
      <c r="B18" s="4" t="inlineStr">
        <is>
          <t>4.  Inputs themselves stay in GBP — the source of truth for the brand's</t>
        </is>
      </c>
    </row>
    <row r="19">
      <c r="B19" s="4" t="inlineStr">
        <is>
          <t xml:space="preserve">    accounting currency. The Forecast / Summary / Portfolio tabs are the</t>
        </is>
      </c>
    </row>
    <row r="20">
      <c r="B20" s="4" t="inlineStr">
        <is>
          <t xml:space="preserve">    display layer.</t>
        </is>
      </c>
    </row>
    <row r="21">
      <c r="B21" s="4" t="inlineStr"/>
    </row>
    <row r="22">
      <c r="B22" s="4" t="inlineStr">
        <is>
          <t>5.  YELLOW = editable. Calc cells (GM/u, GM%, Base Units/Week, Demo Total,</t>
        </is>
      </c>
    </row>
    <row r="23">
      <c r="B23" s="4" t="inlineStr">
        <is>
          <t xml:space="preserve">    End Cap Total) hold a formula by default; type over to override.</t>
        </is>
      </c>
    </row>
    <row r="24">
      <c r="B24" s="4" t="inlineStr"/>
    </row>
    <row r="25">
      <c r="B25" s="4" t="inlineStr">
        <is>
          <t>6.  Test Start Date (W1) on Inputs drives every week column's date.</t>
        </is>
      </c>
    </row>
    <row r="26">
      <c r="B26" s="4" t="inlineStr"/>
    </row>
    <row r="27">
      <c r="B27" s="4" t="inlineStr"/>
    </row>
    <row r="28">
      <c r="B28" s="5" t="inlineStr">
        <is>
          <t>COLOUR KEY</t>
        </is>
      </c>
    </row>
    <row r="29">
      <c r="B29" s="6" t="inlineStr">
        <is>
          <t xml:space="preserve">   Yellow: Editable input — change me</t>
        </is>
      </c>
    </row>
    <row r="30">
      <c r="B30" s="7" t="inlineStr">
        <is>
          <t xml:space="preserve">   Light Blue: Summary KPI</t>
        </is>
      </c>
    </row>
    <row r="31">
      <c r="B31" s="8" t="inlineStr">
        <is>
          <t xml:space="preserve">   Grey: Reference / structure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E84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16" customWidth="1" min="3" max="3"/>
    <col width="78" customWidth="1" min="4" max="4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</cols>
  <sheetData>
    <row r="2" ht="32" customHeight="1">
      <c r="B2" s="9" t="inlineStr">
        <is>
          <t>INPUTS &amp; ASSUMPTIONS — change any yellow cell</t>
        </is>
      </c>
    </row>
    <row r="3">
      <c r="B3" s="10" t="inlineStr">
        <is>
          <t>Field</t>
        </is>
      </c>
      <c r="C3" s="11" t="inlineStr">
        <is>
          <t>Value</t>
        </is>
      </c>
      <c r="D3" s="10" t="inlineStr">
        <is>
          <t>Notes / justification</t>
        </is>
      </c>
    </row>
    <row r="5" ht="22" customHeight="1">
      <c r="B5" s="12" t="inlineStr">
        <is>
          <t>1.  Display Currency</t>
        </is>
      </c>
    </row>
    <row r="6" ht="30" customHeight="1">
      <c r="B6" s="13" t="inlineStr">
        <is>
          <t>Display Currency</t>
        </is>
      </c>
      <c r="C6" s="14" t="inlineStr">
        <is>
          <t>GBP</t>
        </is>
      </c>
      <c r="D6" s="15" t="inlineStr">
        <is>
          <t>Dropdown. Inputs stays in GBP — this selection is informational here. Each display tab has its own currency dropdown that drives that tab.</t>
        </is>
      </c>
    </row>
    <row r="7" ht="22" customHeight="1">
      <c r="B7" s="13" t="inlineStr">
        <is>
          <t>FX Rate (auto, from table)</t>
        </is>
      </c>
      <c r="C7" s="16">
        <f>VLOOKUP(C6,B13:D16,3,FALSE)</f>
        <v/>
      </c>
      <c r="D7" s="15" t="inlineStr">
        <is>
          <t>Reference only — display tabs each look up their own rate.</t>
        </is>
      </c>
    </row>
    <row r="8" ht="22" customHeight="1">
      <c r="B8" s="13" t="inlineStr">
        <is>
          <t>Currency Symbol (auto)</t>
        </is>
      </c>
      <c r="C8" s="17">
        <f>VLOOKUP(C6,B13:D16,2,FALSE)</f>
        <v/>
      </c>
      <c r="D8" s="15" t="inlineStr">
        <is>
          <t>Reference only.</t>
        </is>
      </c>
    </row>
    <row r="10">
      <c r="B10" s="10" t="inlineStr">
        <is>
          <t>FX Rate Table — edit rates as needed (rate is per 1 GBP)</t>
        </is>
      </c>
    </row>
    <row r="12">
      <c r="B12" s="18" t="inlineStr">
        <is>
          <t>Code</t>
        </is>
      </c>
      <c r="C12" s="18" t="inlineStr">
        <is>
          <t>Symbol</t>
        </is>
      </c>
      <c r="D12" s="18" t="inlineStr">
        <is>
          <t>Rate (× GBP)</t>
        </is>
      </c>
    </row>
    <row r="13" ht="20" customHeight="1">
      <c r="B13" s="19" t="inlineStr">
        <is>
          <t>GBP</t>
        </is>
      </c>
      <c r="C13" s="14" t="inlineStr">
        <is>
          <t>£</t>
        </is>
      </c>
      <c r="D13" s="20" t="n">
        <v>1</v>
      </c>
    </row>
    <row r="14" ht="20" customHeight="1">
      <c r="B14" s="19" t="inlineStr">
        <is>
          <t>USD</t>
        </is>
      </c>
      <c r="C14" s="14" t="inlineStr">
        <is>
          <t>$</t>
        </is>
      </c>
      <c r="D14" s="20" t="n">
        <v>1.27</v>
      </c>
    </row>
    <row r="15" ht="20" customHeight="1">
      <c r="B15" s="19" t="inlineStr">
        <is>
          <t>CAD</t>
        </is>
      </c>
      <c r="C15" s="14" t="inlineStr">
        <is>
          <t>C$</t>
        </is>
      </c>
      <c r="D15" s="20" t="n">
        <v>1.71</v>
      </c>
    </row>
    <row r="16" ht="20" customHeight="1">
      <c r="B16" s="19" t="inlineStr">
        <is>
          <t>EUR</t>
        </is>
      </c>
      <c r="C16" s="14" t="inlineStr">
        <is>
          <t>€</t>
        </is>
      </c>
      <c r="D16" s="20" t="n">
        <v>1.17</v>
      </c>
    </row>
    <row r="18" ht="22" customHeight="1">
      <c r="B18" s="12" t="inlineStr">
        <is>
          <t>2.  Product &amp; Distribution</t>
        </is>
      </c>
    </row>
    <row r="19" ht="24" customHeight="1">
      <c r="B19" s="13" t="inlineStr">
        <is>
          <t>SKU</t>
        </is>
      </c>
      <c r="C19" s="21" t="inlineStr">
        <is>
          <t>Bee Propolis Spray 30ml x 2</t>
        </is>
      </c>
      <c r="D19" s="15" t="inlineStr">
        <is>
          <t>Costco UK market test SKU.</t>
        </is>
      </c>
    </row>
    <row r="20" ht="24" customHeight="1">
      <c r="B20" s="13" t="inlineStr">
        <is>
          <t>Test Start Date (W1)</t>
        </is>
      </c>
      <c r="C20" s="22" t="n">
        <v>46034</v>
      </c>
      <c r="D20" s="15" t="inlineStr">
        <is>
          <t>Week-commencing date for W1.</t>
        </is>
      </c>
    </row>
    <row r="21" ht="24" customHeight="1">
      <c r="B21" s="13" t="inlineStr">
        <is>
          <t>Test Warehouses</t>
        </is>
      </c>
      <c r="C21" s="23" t="n">
        <v>20</v>
      </c>
      <c r="D21" s="15" t="inlineStr">
        <is>
          <t>Warehouses in test.</t>
        </is>
      </c>
    </row>
    <row r="22" ht="24" customHeight="1">
      <c r="B22" s="13" t="inlineStr">
        <is>
          <t>Test Period (Weeks)</t>
        </is>
      </c>
      <c r="C22" s="23" t="n">
        <v>26</v>
      </c>
      <c r="D22" s="15" t="inlineStr">
        <is>
          <t>Forecast horizon (26 weeks).</t>
        </is>
      </c>
    </row>
    <row r="24" ht="22" customHeight="1">
      <c r="B24" s="12" t="inlineStr">
        <is>
          <t>3.  Pricing &amp; Cost (per unit, GBP)</t>
        </is>
      </c>
    </row>
    <row r="25" ht="24" customHeight="1">
      <c r="B25" s="13" t="inlineStr">
        <is>
          <t>Selling Price (MSRP, £)</t>
        </is>
      </c>
      <c r="C25" s="24" t="n">
        <v>15.99</v>
      </c>
      <c r="D25" s="15" t="inlineStr">
        <is>
          <t>Retail per pack.</t>
        </is>
      </c>
    </row>
    <row r="26" ht="24" customHeight="1">
      <c r="B26" s="13" t="inlineStr">
        <is>
          <t>Cost Price (landed, £)</t>
        </is>
      </c>
      <c r="C26" s="24" t="n">
        <v>7.29</v>
      </c>
      <c r="D26" s="15" t="inlineStr">
        <is>
          <t>Brand cost delivered.</t>
        </is>
      </c>
    </row>
    <row r="27" ht="24" customHeight="1">
      <c r="B27" s="13" t="inlineStr">
        <is>
          <t>Gross Margin per unit (£)</t>
        </is>
      </c>
      <c r="C27" s="25">
        <f>C25-C26</f>
        <v/>
      </c>
      <c r="D27" s="15" t="inlineStr">
        <is>
          <t>Default = SP − Cost.</t>
        </is>
      </c>
    </row>
    <row r="28" ht="24" customHeight="1">
      <c r="B28" s="13" t="inlineStr">
        <is>
          <t>Gross Margin %</t>
        </is>
      </c>
      <c r="C28" s="26">
        <f>IFERROR((C25-C26)/C25,0)</f>
        <v/>
      </c>
      <c r="D28" s="15" t="inlineStr">
        <is>
          <t>Default = GP ÷ SP.</t>
        </is>
      </c>
    </row>
    <row r="30" ht="22" customHeight="1">
      <c r="B30" s="12" t="inlineStr">
        <is>
          <t>4.  Base Demand (no promo)</t>
        </is>
      </c>
    </row>
    <row r="31" ht="24" customHeight="1">
      <c r="B31" s="13" t="inlineStr">
        <is>
          <t>Units / Warehouse / Week</t>
        </is>
      </c>
      <c r="C31" s="27" t="n">
        <v>13.79</v>
      </c>
      <c r="D31" s="15" t="inlineStr">
        <is>
          <t>Prior 30ml SKU run-rate (500 × 0.8 / 29).</t>
        </is>
      </c>
    </row>
    <row r="32" ht="24" customHeight="1">
      <c r="B32" s="13" t="inlineStr">
        <is>
          <t>Base Units / Week (all warehouses)</t>
        </is>
      </c>
      <c r="C32" s="28">
        <f>C31*C21</f>
        <v/>
      </c>
      <c r="D32" s="15" t="inlineStr">
        <is>
          <t>Default = per-wh rate × warehouses.</t>
        </is>
      </c>
    </row>
    <row r="34" ht="22" customHeight="1">
      <c r="B34" s="12" t="inlineStr">
        <is>
          <t>5.  Promo Economics (GBP)</t>
        </is>
      </c>
    </row>
    <row r="35" ht="24" customHeight="1">
      <c r="B35" s="13" t="inlineStr">
        <is>
          <t>Demo £ / warehouse / week</t>
        </is>
      </c>
      <c r="C35" s="29" t="n">
        <v>199</v>
      </c>
      <c r="D35" s="15" t="inlineStr">
        <is>
          <t>Costco demo rate.</t>
        </is>
      </c>
    </row>
    <row r="36" ht="24" customHeight="1">
      <c r="B36" s="13" t="inlineStr">
        <is>
          <t>Demo cost factor</t>
        </is>
      </c>
      <c r="C36" s="30" t="n">
        <v>1.86</v>
      </c>
      <c r="D36" s="15" t="inlineStr">
        <is>
          <t>Overhead multiplier.</t>
        </is>
      </c>
    </row>
    <row r="37" ht="24" customHeight="1">
      <c r="B37" s="13" t="inlineStr">
        <is>
          <t>Demo Total £ / week</t>
        </is>
      </c>
      <c r="C37" s="31">
        <f>C35*C21*C36</f>
        <v/>
      </c>
      <c r="D37" s="15" t="inlineStr">
        <is>
          <t>Default = rate × wh × factor.</t>
        </is>
      </c>
    </row>
    <row r="38" ht="24" customHeight="1">
      <c r="B38" s="13" t="inlineStr">
        <is>
          <t>End Cap £ / warehouse / booking</t>
        </is>
      </c>
      <c r="C38" s="29" t="n">
        <v>850</v>
      </c>
      <c r="D38" s="15" t="inlineStr">
        <is>
          <t>End cap rental.</t>
        </is>
      </c>
    </row>
    <row r="39" ht="24" customHeight="1">
      <c r="B39" s="13" t="inlineStr">
        <is>
          <t>End Cap cost factor</t>
        </is>
      </c>
      <c r="C39" s="30" t="n">
        <v>1.86</v>
      </c>
      <c r="D39" s="15" t="inlineStr">
        <is>
          <t>Same multiplier.</t>
        </is>
      </c>
    </row>
    <row r="40" ht="24" customHeight="1">
      <c r="B40" s="13" t="inlineStr">
        <is>
          <t>End Cap booking cycle (weeks)</t>
        </is>
      </c>
      <c r="C40" s="23" t="n">
        <v>2</v>
      </c>
      <c r="D40" s="15" t="inlineStr">
        <is>
          <t>Per-week cost = total ÷ this.</t>
        </is>
      </c>
    </row>
    <row r="41" ht="24" customHeight="1">
      <c r="B41" s="13" t="inlineStr">
        <is>
          <t>End Cap Total £ / week</t>
        </is>
      </c>
      <c r="C41" s="31">
        <f>C38*C21*C39/C40</f>
        <v/>
      </c>
      <c r="D41" s="15" t="inlineStr">
        <is>
          <t>Default = rate × wh × factor ÷ cycle.</t>
        </is>
      </c>
    </row>
    <row r="42" ht="24" customHeight="1">
      <c r="B42" s="13" t="inlineStr">
        <is>
          <t>Fence £ / week (when active)</t>
        </is>
      </c>
      <c r="C42" s="29" t="n">
        <v>0</v>
      </c>
      <c r="D42" s="15" t="inlineStr">
        <is>
          <t>Not currently budgeted.</t>
        </is>
      </c>
    </row>
    <row r="43" ht="24" customHeight="1">
      <c r="B43" s="13" t="inlineStr">
        <is>
          <t>Advertising £ / week (when active)</t>
        </is>
      </c>
      <c r="C43" s="29" t="n">
        <v>0</v>
      </c>
      <c r="D43" s="15" t="inlineStr">
        <is>
          <t>Not currently budgeted.</t>
        </is>
      </c>
    </row>
    <row r="44" ht="24" customHeight="1">
      <c r="B44" s="13" t="inlineStr">
        <is>
          <t>TPD discount % (of net)</t>
        </is>
      </c>
      <c r="C44" s="32" t="n">
        <v>0.25</v>
      </c>
      <c r="D44" s="15" t="inlineStr">
        <is>
          <t>20% off MSRP ≈ 25% on net.</t>
        </is>
      </c>
    </row>
    <row r="45" ht="24" customHeight="1">
      <c r="B45" s="13" t="inlineStr">
        <is>
          <t>Markdown discount %</t>
        </is>
      </c>
      <c r="C45" s="32" t="n">
        <v>0.5</v>
      </c>
      <c r="D45" s="15" t="inlineStr">
        <is>
          <t>Clearance pricing.</t>
        </is>
      </c>
    </row>
    <row r="47" ht="22" customHeight="1">
      <c r="B47" s="12" t="inlineStr">
        <is>
          <t>6.  Scenario activity &amp; demand lift</t>
        </is>
      </c>
    </row>
    <row r="48" ht="30" customHeight="1">
      <c r="B48" s="15" t="inlineStr">
        <is>
          <t>Toggle 1 = promo active, 0 = off. Lift is demand multiplier vs base. Dates auto-fill.</t>
        </is>
      </c>
    </row>
    <row r="50" ht="22" customHeight="1">
      <c r="B50" s="33" t="inlineStr">
        <is>
          <t>BEST – x2 Demo (Wks 5-6) + TPD</t>
        </is>
      </c>
    </row>
    <row r="51" ht="30" customHeight="1">
      <c r="B51" s="15" t="inlineStr">
        <is>
          <t>Rationale: Two demo weekends with TPD. Demo lifts ~3x in-week. No end cap, no markdown.</t>
        </is>
      </c>
    </row>
    <row r="52">
      <c r="B52" s="34" t="inlineStr">
        <is>
          <t>Week</t>
        </is>
      </c>
      <c r="F52" s="18" t="inlineStr">
        <is>
          <t>W1</t>
        </is>
      </c>
      <c r="G52" s="18" t="inlineStr">
        <is>
          <t>W2</t>
        </is>
      </c>
      <c r="H52" s="18" t="inlineStr">
        <is>
          <t>W3</t>
        </is>
      </c>
      <c r="I52" s="18" t="inlineStr">
        <is>
          <t>W4</t>
        </is>
      </c>
      <c r="J52" s="18" t="inlineStr">
        <is>
          <t>W5</t>
        </is>
      </c>
      <c r="K52" s="18" t="inlineStr">
        <is>
          <t>W6</t>
        </is>
      </c>
      <c r="L52" s="18" t="inlineStr">
        <is>
          <t>W7</t>
        </is>
      </c>
      <c r="M52" s="18" t="inlineStr">
        <is>
          <t>W8</t>
        </is>
      </c>
      <c r="N52" s="18" t="inlineStr">
        <is>
          <t>W9</t>
        </is>
      </c>
      <c r="O52" s="18" t="inlineStr">
        <is>
          <t>W10</t>
        </is>
      </c>
      <c r="P52" s="18" t="inlineStr">
        <is>
          <t>W11</t>
        </is>
      </c>
      <c r="Q52" s="18" t="inlineStr">
        <is>
          <t>W12</t>
        </is>
      </c>
      <c r="R52" s="18" t="inlineStr">
        <is>
          <t>W13</t>
        </is>
      </c>
      <c r="S52" s="18" t="inlineStr">
        <is>
          <t>W14</t>
        </is>
      </c>
      <c r="T52" s="18" t="inlineStr">
        <is>
          <t>W15</t>
        </is>
      </c>
      <c r="U52" s="18" t="inlineStr">
        <is>
          <t>W16</t>
        </is>
      </c>
      <c r="V52" s="18" t="inlineStr">
        <is>
          <t>W17</t>
        </is>
      </c>
      <c r="W52" s="18" t="inlineStr">
        <is>
          <t>W18</t>
        </is>
      </c>
      <c r="X52" s="18" t="inlineStr">
        <is>
          <t>W19</t>
        </is>
      </c>
      <c r="Y52" s="18" t="inlineStr">
        <is>
          <t>W20</t>
        </is>
      </c>
      <c r="Z52" s="18" t="inlineStr">
        <is>
          <t>W21</t>
        </is>
      </c>
      <c r="AA52" s="18" t="inlineStr">
        <is>
          <t>W22</t>
        </is>
      </c>
      <c r="AB52" s="18" t="inlineStr">
        <is>
          <t>W23</t>
        </is>
      </c>
      <c r="AC52" s="18" t="inlineStr">
        <is>
          <t>W24</t>
        </is>
      </c>
      <c r="AD52" s="18" t="inlineStr">
        <is>
          <t>W25</t>
        </is>
      </c>
      <c r="AE52" s="18" t="inlineStr">
        <is>
          <t>W26</t>
        </is>
      </c>
    </row>
    <row r="53">
      <c r="B53" s="34" t="inlineStr">
        <is>
          <t>Wk-commencing</t>
        </is>
      </c>
      <c r="F53" s="35">
        <f>StartDate+7*0</f>
        <v/>
      </c>
      <c r="G53" s="35">
        <f>StartDate+7*1</f>
        <v/>
      </c>
      <c r="H53" s="35">
        <f>StartDate+7*2</f>
        <v/>
      </c>
      <c r="I53" s="35">
        <f>StartDate+7*3</f>
        <v/>
      </c>
      <c r="J53" s="35">
        <f>StartDate+7*4</f>
        <v/>
      </c>
      <c r="K53" s="35">
        <f>StartDate+7*5</f>
        <v/>
      </c>
      <c r="L53" s="35">
        <f>StartDate+7*6</f>
        <v/>
      </c>
      <c r="M53" s="35">
        <f>StartDate+7*7</f>
        <v/>
      </c>
      <c r="N53" s="35">
        <f>StartDate+7*8</f>
        <v/>
      </c>
      <c r="O53" s="35">
        <f>StartDate+7*9</f>
        <v/>
      </c>
      <c r="P53" s="35">
        <f>StartDate+7*10</f>
        <v/>
      </c>
      <c r="Q53" s="35">
        <f>StartDate+7*11</f>
        <v/>
      </c>
      <c r="R53" s="35">
        <f>StartDate+7*12</f>
        <v/>
      </c>
      <c r="S53" s="35">
        <f>StartDate+7*13</f>
        <v/>
      </c>
      <c r="T53" s="35">
        <f>StartDate+7*14</f>
        <v/>
      </c>
      <c r="U53" s="35">
        <f>StartDate+7*15</f>
        <v/>
      </c>
      <c r="V53" s="35">
        <f>StartDate+7*16</f>
        <v/>
      </c>
      <c r="W53" s="35">
        <f>StartDate+7*17</f>
        <v/>
      </c>
      <c r="X53" s="35">
        <f>StartDate+7*18</f>
        <v/>
      </c>
      <c r="Y53" s="35">
        <f>StartDate+7*19</f>
        <v/>
      </c>
      <c r="Z53" s="35">
        <f>StartDate+7*20</f>
        <v/>
      </c>
      <c r="AA53" s="35">
        <f>StartDate+7*21</f>
        <v/>
      </c>
      <c r="AB53" s="35">
        <f>StartDate+7*22</f>
        <v/>
      </c>
      <c r="AC53" s="35">
        <f>StartDate+7*23</f>
        <v/>
      </c>
      <c r="AD53" s="35">
        <f>StartDate+7*24</f>
        <v/>
      </c>
      <c r="AE53" s="35">
        <f>StartDate+7*25</f>
        <v/>
      </c>
    </row>
    <row r="54">
      <c r="B54" s="13" t="inlineStr">
        <is>
          <t>Demo</t>
        </is>
      </c>
      <c r="F54" s="36" t="n">
        <v>0</v>
      </c>
      <c r="G54" s="36" t="n">
        <v>0</v>
      </c>
      <c r="H54" s="36" t="n">
        <v>0</v>
      </c>
      <c r="I54" s="36" t="n">
        <v>0</v>
      </c>
      <c r="J54" s="36" t="n">
        <v>1</v>
      </c>
      <c r="K54" s="36" t="n">
        <v>1</v>
      </c>
      <c r="L54" s="36" t="n">
        <v>0</v>
      </c>
      <c r="M54" s="36" t="n">
        <v>0</v>
      </c>
      <c r="N54" s="36" t="n">
        <v>0</v>
      </c>
      <c r="O54" s="36" t="n">
        <v>0</v>
      </c>
      <c r="P54" s="36" t="n">
        <v>0</v>
      </c>
      <c r="Q54" s="36" t="n">
        <v>0</v>
      </c>
      <c r="R54" s="36" t="n">
        <v>0</v>
      </c>
      <c r="S54" s="36" t="n">
        <v>0</v>
      </c>
      <c r="T54" s="36" t="n">
        <v>0</v>
      </c>
      <c r="U54" s="36" t="n">
        <v>0</v>
      </c>
      <c r="V54" s="36" t="n">
        <v>0</v>
      </c>
      <c r="W54" s="36" t="n">
        <v>0</v>
      </c>
      <c r="X54" s="36" t="n">
        <v>0</v>
      </c>
      <c r="Y54" s="36" t="n">
        <v>0</v>
      </c>
      <c r="Z54" s="36" t="n">
        <v>0</v>
      </c>
      <c r="AA54" s="36" t="n">
        <v>0</v>
      </c>
      <c r="AB54" s="36" t="n">
        <v>0</v>
      </c>
      <c r="AC54" s="36" t="n">
        <v>0</v>
      </c>
      <c r="AD54" s="36" t="n">
        <v>0</v>
      </c>
      <c r="AE54" s="36" t="n">
        <v>0</v>
      </c>
    </row>
    <row r="55">
      <c r="B55" s="13" t="inlineStr">
        <is>
          <t>End Cap</t>
        </is>
      </c>
      <c r="F55" s="36" t="n">
        <v>0</v>
      </c>
      <c r="G55" s="36" t="n">
        <v>0</v>
      </c>
      <c r="H55" s="36" t="n">
        <v>0</v>
      </c>
      <c r="I55" s="36" t="n">
        <v>0</v>
      </c>
      <c r="J55" s="36" t="n">
        <v>0</v>
      </c>
      <c r="K55" s="36" t="n">
        <v>0</v>
      </c>
      <c r="L55" s="36" t="n">
        <v>0</v>
      </c>
      <c r="M55" s="36" t="n">
        <v>0</v>
      </c>
      <c r="N55" s="36" t="n">
        <v>0</v>
      </c>
      <c r="O55" s="36" t="n">
        <v>0</v>
      </c>
      <c r="P55" s="36" t="n">
        <v>0</v>
      </c>
      <c r="Q55" s="36" t="n">
        <v>0</v>
      </c>
      <c r="R55" s="36" t="n">
        <v>0</v>
      </c>
      <c r="S55" s="36" t="n">
        <v>0</v>
      </c>
      <c r="T55" s="36" t="n">
        <v>0</v>
      </c>
      <c r="U55" s="36" t="n">
        <v>0</v>
      </c>
      <c r="V55" s="36" t="n">
        <v>0</v>
      </c>
      <c r="W55" s="36" t="n">
        <v>0</v>
      </c>
      <c r="X55" s="36" t="n">
        <v>0</v>
      </c>
      <c r="Y55" s="36" t="n">
        <v>0</v>
      </c>
      <c r="Z55" s="36" t="n">
        <v>0</v>
      </c>
      <c r="AA55" s="36" t="n">
        <v>0</v>
      </c>
      <c r="AB55" s="36" t="n">
        <v>0</v>
      </c>
      <c r="AC55" s="36" t="n">
        <v>0</v>
      </c>
      <c r="AD55" s="36" t="n">
        <v>0</v>
      </c>
      <c r="AE55" s="36" t="n">
        <v>0</v>
      </c>
    </row>
    <row r="56">
      <c r="B56" s="13" t="inlineStr">
        <is>
          <t>Fence</t>
        </is>
      </c>
      <c r="F56" s="36" t="n">
        <v>0</v>
      </c>
      <c r="G56" s="36" t="n">
        <v>0</v>
      </c>
      <c r="H56" s="36" t="n">
        <v>0</v>
      </c>
      <c r="I56" s="36" t="n">
        <v>0</v>
      </c>
      <c r="J56" s="36" t="n">
        <v>0</v>
      </c>
      <c r="K56" s="36" t="n">
        <v>0</v>
      </c>
      <c r="L56" s="36" t="n">
        <v>0</v>
      </c>
      <c r="M56" s="36" t="n">
        <v>0</v>
      </c>
      <c r="N56" s="36" t="n">
        <v>0</v>
      </c>
      <c r="O56" s="36" t="n">
        <v>0</v>
      </c>
      <c r="P56" s="36" t="n">
        <v>0</v>
      </c>
      <c r="Q56" s="36" t="n">
        <v>0</v>
      </c>
      <c r="R56" s="36" t="n">
        <v>0</v>
      </c>
      <c r="S56" s="36" t="n">
        <v>0</v>
      </c>
      <c r="T56" s="36" t="n">
        <v>0</v>
      </c>
      <c r="U56" s="36" t="n">
        <v>0</v>
      </c>
      <c r="V56" s="36" t="n">
        <v>0</v>
      </c>
      <c r="W56" s="36" t="n">
        <v>0</v>
      </c>
      <c r="X56" s="36" t="n">
        <v>0</v>
      </c>
      <c r="Y56" s="36" t="n">
        <v>0</v>
      </c>
      <c r="Z56" s="36" t="n">
        <v>0</v>
      </c>
      <c r="AA56" s="36" t="n">
        <v>0</v>
      </c>
      <c r="AB56" s="36" t="n">
        <v>0</v>
      </c>
      <c r="AC56" s="36" t="n">
        <v>0</v>
      </c>
      <c r="AD56" s="36" t="n">
        <v>0</v>
      </c>
      <c r="AE56" s="36" t="n">
        <v>0</v>
      </c>
    </row>
    <row r="57">
      <c r="B57" s="13" t="inlineStr">
        <is>
          <t>TPD</t>
        </is>
      </c>
      <c r="F57" s="36" t="n">
        <v>0</v>
      </c>
      <c r="G57" s="36" t="n">
        <v>0</v>
      </c>
      <c r="H57" s="36" t="n">
        <v>0</v>
      </c>
      <c r="I57" s="36" t="n">
        <v>0</v>
      </c>
      <c r="J57" s="36" t="n">
        <v>1</v>
      </c>
      <c r="K57" s="36" t="n">
        <v>1</v>
      </c>
      <c r="L57" s="36" t="n">
        <v>0</v>
      </c>
      <c r="M57" s="36" t="n">
        <v>0</v>
      </c>
      <c r="N57" s="36" t="n">
        <v>0</v>
      </c>
      <c r="O57" s="36" t="n">
        <v>0</v>
      </c>
      <c r="P57" s="36" t="n">
        <v>0</v>
      </c>
      <c r="Q57" s="36" t="n">
        <v>0</v>
      </c>
      <c r="R57" s="36" t="n">
        <v>0</v>
      </c>
      <c r="S57" s="36" t="n">
        <v>0</v>
      </c>
      <c r="T57" s="36" t="n">
        <v>0</v>
      </c>
      <c r="U57" s="36" t="n">
        <v>0</v>
      </c>
      <c r="V57" s="36" t="n">
        <v>0</v>
      </c>
      <c r="W57" s="36" t="n">
        <v>0</v>
      </c>
      <c r="X57" s="36" t="n">
        <v>0</v>
      </c>
      <c r="Y57" s="36" t="n">
        <v>0</v>
      </c>
      <c r="Z57" s="36" t="n">
        <v>0</v>
      </c>
      <c r="AA57" s="36" t="n">
        <v>0</v>
      </c>
      <c r="AB57" s="36" t="n">
        <v>0</v>
      </c>
      <c r="AC57" s="36" t="n">
        <v>0</v>
      </c>
      <c r="AD57" s="36" t="n">
        <v>0</v>
      </c>
      <c r="AE57" s="36" t="n">
        <v>0</v>
      </c>
    </row>
    <row r="58">
      <c r="B58" s="13" t="inlineStr">
        <is>
          <t>Markdown</t>
        </is>
      </c>
      <c r="F58" s="36" t="n">
        <v>0</v>
      </c>
      <c r="G58" s="36" t="n">
        <v>0</v>
      </c>
      <c r="H58" s="36" t="n">
        <v>0</v>
      </c>
      <c r="I58" s="36" t="n">
        <v>0</v>
      </c>
      <c r="J58" s="36" t="n">
        <v>0</v>
      </c>
      <c r="K58" s="36" t="n">
        <v>0</v>
      </c>
      <c r="L58" s="36" t="n">
        <v>0</v>
      </c>
      <c r="M58" s="36" t="n">
        <v>0</v>
      </c>
      <c r="N58" s="36" t="n">
        <v>0</v>
      </c>
      <c r="O58" s="36" t="n">
        <v>0</v>
      </c>
      <c r="P58" s="36" t="n">
        <v>0</v>
      </c>
      <c r="Q58" s="36" t="n">
        <v>0</v>
      </c>
      <c r="R58" s="36" t="n">
        <v>0</v>
      </c>
      <c r="S58" s="36" t="n">
        <v>0</v>
      </c>
      <c r="T58" s="36" t="n">
        <v>0</v>
      </c>
      <c r="U58" s="36" t="n">
        <v>0</v>
      </c>
      <c r="V58" s="36" t="n">
        <v>0</v>
      </c>
      <c r="W58" s="36" t="n">
        <v>0</v>
      </c>
      <c r="X58" s="36" t="n">
        <v>0</v>
      </c>
      <c r="Y58" s="36" t="n">
        <v>0</v>
      </c>
      <c r="Z58" s="36" t="n">
        <v>0</v>
      </c>
      <c r="AA58" s="36" t="n">
        <v>0</v>
      </c>
      <c r="AB58" s="36" t="n">
        <v>0</v>
      </c>
      <c r="AC58" s="36" t="n">
        <v>0</v>
      </c>
      <c r="AD58" s="36" t="n">
        <v>0</v>
      </c>
      <c r="AE58" s="36" t="n">
        <v>0</v>
      </c>
    </row>
    <row r="59">
      <c r="B59" s="13" t="inlineStr">
        <is>
          <t>Advert</t>
        </is>
      </c>
      <c r="F59" s="36" t="n">
        <v>0</v>
      </c>
      <c r="G59" s="36" t="n">
        <v>0</v>
      </c>
      <c r="H59" s="36" t="n">
        <v>0</v>
      </c>
      <c r="I59" s="36" t="n">
        <v>0</v>
      </c>
      <c r="J59" s="36" t="n">
        <v>0</v>
      </c>
      <c r="K59" s="36" t="n">
        <v>0</v>
      </c>
      <c r="L59" s="36" t="n">
        <v>0</v>
      </c>
      <c r="M59" s="36" t="n">
        <v>0</v>
      </c>
      <c r="N59" s="36" t="n">
        <v>0</v>
      </c>
      <c r="O59" s="36" t="n">
        <v>0</v>
      </c>
      <c r="P59" s="36" t="n">
        <v>0</v>
      </c>
      <c r="Q59" s="36" t="n">
        <v>0</v>
      </c>
      <c r="R59" s="36" t="n">
        <v>0</v>
      </c>
      <c r="S59" s="36" t="n">
        <v>0</v>
      </c>
      <c r="T59" s="36" t="n">
        <v>0</v>
      </c>
      <c r="U59" s="36" t="n">
        <v>0</v>
      </c>
      <c r="V59" s="36" t="n">
        <v>0</v>
      </c>
      <c r="W59" s="36" t="n">
        <v>0</v>
      </c>
      <c r="X59" s="36" t="n">
        <v>0</v>
      </c>
      <c r="Y59" s="36" t="n">
        <v>0</v>
      </c>
      <c r="Z59" s="36" t="n">
        <v>0</v>
      </c>
      <c r="AA59" s="36" t="n">
        <v>0</v>
      </c>
      <c r="AB59" s="36" t="n">
        <v>0</v>
      </c>
      <c r="AC59" s="36" t="n">
        <v>0</v>
      </c>
      <c r="AD59" s="36" t="n">
        <v>0</v>
      </c>
      <c r="AE59" s="36" t="n">
        <v>0</v>
      </c>
    </row>
    <row r="60">
      <c r="B60" s="13" t="inlineStr">
        <is>
          <t>Lift Multiplier (x base)</t>
        </is>
      </c>
      <c r="F60" s="37" t="n">
        <v>1</v>
      </c>
      <c r="G60" s="37" t="n">
        <v>1</v>
      </c>
      <c r="H60" s="37" t="n">
        <v>1</v>
      </c>
      <c r="I60" s="37" t="n">
        <v>1</v>
      </c>
      <c r="J60" s="37" t="n">
        <v>3</v>
      </c>
      <c r="K60" s="37" t="n">
        <v>3</v>
      </c>
      <c r="L60" s="37" t="n">
        <v>1</v>
      </c>
      <c r="M60" s="37" t="n">
        <v>1</v>
      </c>
      <c r="N60" s="37" t="n">
        <v>1</v>
      </c>
      <c r="O60" s="37" t="n">
        <v>1</v>
      </c>
      <c r="P60" s="37" t="n">
        <v>1</v>
      </c>
      <c r="Q60" s="37" t="n">
        <v>1</v>
      </c>
      <c r="R60" s="37" t="n">
        <v>1</v>
      </c>
      <c r="S60" s="37" t="n">
        <v>1</v>
      </c>
      <c r="T60" s="37" t="n">
        <v>1</v>
      </c>
      <c r="U60" s="37" t="n">
        <v>1</v>
      </c>
      <c r="V60" s="37" t="n">
        <v>1</v>
      </c>
      <c r="W60" s="37" t="n">
        <v>1</v>
      </c>
      <c r="X60" s="37" t="n">
        <v>1</v>
      </c>
      <c r="Y60" s="37" t="n">
        <v>1</v>
      </c>
      <c r="Z60" s="37" t="n">
        <v>1</v>
      </c>
      <c r="AA60" s="37" t="n">
        <v>1</v>
      </c>
      <c r="AB60" s="37" t="n">
        <v>1</v>
      </c>
      <c r="AC60" s="37" t="n">
        <v>1</v>
      </c>
      <c r="AD60" s="37" t="n">
        <v>1</v>
      </c>
      <c r="AE60" s="37" t="n">
        <v>1</v>
      </c>
    </row>
    <row r="62" ht="22" customHeight="1">
      <c r="B62" s="33" t="inlineStr">
        <is>
          <t>IDEAL – x2 Demo + End Cap (Wks 5-6) + TPD</t>
        </is>
      </c>
    </row>
    <row r="63" ht="30" customHeight="1">
      <c r="B63" s="15" t="inlineStr">
        <is>
          <t>Rationale: Demo + end cap + TPD stacked for two weeks. Combined velocity ~3.6x base.</t>
        </is>
      </c>
    </row>
    <row r="64">
      <c r="B64" s="34" t="inlineStr">
        <is>
          <t>Week</t>
        </is>
      </c>
      <c r="F64" s="18" t="inlineStr">
        <is>
          <t>W1</t>
        </is>
      </c>
      <c r="G64" s="18" t="inlineStr">
        <is>
          <t>W2</t>
        </is>
      </c>
      <c r="H64" s="18" t="inlineStr">
        <is>
          <t>W3</t>
        </is>
      </c>
      <c r="I64" s="18" t="inlineStr">
        <is>
          <t>W4</t>
        </is>
      </c>
      <c r="J64" s="18" t="inlineStr">
        <is>
          <t>W5</t>
        </is>
      </c>
      <c r="K64" s="18" t="inlineStr">
        <is>
          <t>W6</t>
        </is>
      </c>
      <c r="L64" s="18" t="inlineStr">
        <is>
          <t>W7</t>
        </is>
      </c>
      <c r="M64" s="18" t="inlineStr">
        <is>
          <t>W8</t>
        </is>
      </c>
      <c r="N64" s="18" t="inlineStr">
        <is>
          <t>W9</t>
        </is>
      </c>
      <c r="O64" s="18" t="inlineStr">
        <is>
          <t>W10</t>
        </is>
      </c>
      <c r="P64" s="18" t="inlineStr">
        <is>
          <t>W11</t>
        </is>
      </c>
      <c r="Q64" s="18" t="inlineStr">
        <is>
          <t>W12</t>
        </is>
      </c>
      <c r="R64" s="18" t="inlineStr">
        <is>
          <t>W13</t>
        </is>
      </c>
      <c r="S64" s="18" t="inlineStr">
        <is>
          <t>W14</t>
        </is>
      </c>
      <c r="T64" s="18" t="inlineStr">
        <is>
          <t>W15</t>
        </is>
      </c>
      <c r="U64" s="18" t="inlineStr">
        <is>
          <t>W16</t>
        </is>
      </c>
      <c r="V64" s="18" t="inlineStr">
        <is>
          <t>W17</t>
        </is>
      </c>
      <c r="W64" s="18" t="inlineStr">
        <is>
          <t>W18</t>
        </is>
      </c>
      <c r="X64" s="18" t="inlineStr">
        <is>
          <t>W19</t>
        </is>
      </c>
      <c r="Y64" s="18" t="inlineStr">
        <is>
          <t>W20</t>
        </is>
      </c>
      <c r="Z64" s="18" t="inlineStr">
        <is>
          <t>W21</t>
        </is>
      </c>
      <c r="AA64" s="18" t="inlineStr">
        <is>
          <t>W22</t>
        </is>
      </c>
      <c r="AB64" s="18" t="inlineStr">
        <is>
          <t>W23</t>
        </is>
      </c>
      <c r="AC64" s="18" t="inlineStr">
        <is>
          <t>W24</t>
        </is>
      </c>
      <c r="AD64" s="18" t="inlineStr">
        <is>
          <t>W25</t>
        </is>
      </c>
      <c r="AE64" s="18" t="inlineStr">
        <is>
          <t>W26</t>
        </is>
      </c>
    </row>
    <row r="65">
      <c r="B65" s="34" t="inlineStr">
        <is>
          <t>Wk-commencing</t>
        </is>
      </c>
      <c r="F65" s="35">
        <f>StartDate+7*0</f>
        <v/>
      </c>
      <c r="G65" s="35">
        <f>StartDate+7*1</f>
        <v/>
      </c>
      <c r="H65" s="35">
        <f>StartDate+7*2</f>
        <v/>
      </c>
      <c r="I65" s="35">
        <f>StartDate+7*3</f>
        <v/>
      </c>
      <c r="J65" s="35">
        <f>StartDate+7*4</f>
        <v/>
      </c>
      <c r="K65" s="35">
        <f>StartDate+7*5</f>
        <v/>
      </c>
      <c r="L65" s="35">
        <f>StartDate+7*6</f>
        <v/>
      </c>
      <c r="M65" s="35">
        <f>StartDate+7*7</f>
        <v/>
      </c>
      <c r="N65" s="35">
        <f>StartDate+7*8</f>
        <v/>
      </c>
      <c r="O65" s="35">
        <f>StartDate+7*9</f>
        <v/>
      </c>
      <c r="P65" s="35">
        <f>StartDate+7*10</f>
        <v/>
      </c>
      <c r="Q65" s="35">
        <f>StartDate+7*11</f>
        <v/>
      </c>
      <c r="R65" s="35">
        <f>StartDate+7*12</f>
        <v/>
      </c>
      <c r="S65" s="35">
        <f>StartDate+7*13</f>
        <v/>
      </c>
      <c r="T65" s="35">
        <f>StartDate+7*14</f>
        <v/>
      </c>
      <c r="U65" s="35">
        <f>StartDate+7*15</f>
        <v/>
      </c>
      <c r="V65" s="35">
        <f>StartDate+7*16</f>
        <v/>
      </c>
      <c r="W65" s="35">
        <f>StartDate+7*17</f>
        <v/>
      </c>
      <c r="X65" s="35">
        <f>StartDate+7*18</f>
        <v/>
      </c>
      <c r="Y65" s="35">
        <f>StartDate+7*19</f>
        <v/>
      </c>
      <c r="Z65" s="35">
        <f>StartDate+7*20</f>
        <v/>
      </c>
      <c r="AA65" s="35">
        <f>StartDate+7*21</f>
        <v/>
      </c>
      <c r="AB65" s="35">
        <f>StartDate+7*22</f>
        <v/>
      </c>
      <c r="AC65" s="35">
        <f>StartDate+7*23</f>
        <v/>
      </c>
      <c r="AD65" s="35">
        <f>StartDate+7*24</f>
        <v/>
      </c>
      <c r="AE65" s="35">
        <f>StartDate+7*25</f>
        <v/>
      </c>
    </row>
    <row r="66">
      <c r="B66" s="13" t="inlineStr">
        <is>
          <t>Demo</t>
        </is>
      </c>
      <c r="F66" s="36" t="n">
        <v>0</v>
      </c>
      <c r="G66" s="36" t="n">
        <v>0</v>
      </c>
      <c r="H66" s="36" t="n">
        <v>0</v>
      </c>
      <c r="I66" s="36" t="n">
        <v>0</v>
      </c>
      <c r="J66" s="36" t="n">
        <v>1</v>
      </c>
      <c r="K66" s="36" t="n">
        <v>1</v>
      </c>
      <c r="L66" s="36" t="n">
        <v>0</v>
      </c>
      <c r="M66" s="36" t="n">
        <v>0</v>
      </c>
      <c r="N66" s="36" t="n">
        <v>0</v>
      </c>
      <c r="O66" s="36" t="n">
        <v>0</v>
      </c>
      <c r="P66" s="36" t="n">
        <v>0</v>
      </c>
      <c r="Q66" s="36" t="n">
        <v>0</v>
      </c>
      <c r="R66" s="36" t="n">
        <v>0</v>
      </c>
      <c r="S66" s="36" t="n">
        <v>0</v>
      </c>
      <c r="T66" s="36" t="n">
        <v>0</v>
      </c>
      <c r="U66" s="36" t="n">
        <v>0</v>
      </c>
      <c r="V66" s="36" t="n">
        <v>0</v>
      </c>
      <c r="W66" s="36" t="n">
        <v>0</v>
      </c>
      <c r="X66" s="36" t="n">
        <v>0</v>
      </c>
      <c r="Y66" s="36" t="n">
        <v>0</v>
      </c>
      <c r="Z66" s="36" t="n">
        <v>0</v>
      </c>
      <c r="AA66" s="36" t="n">
        <v>0</v>
      </c>
      <c r="AB66" s="36" t="n">
        <v>0</v>
      </c>
      <c r="AC66" s="36" t="n">
        <v>0</v>
      </c>
      <c r="AD66" s="36" t="n">
        <v>0</v>
      </c>
      <c r="AE66" s="36" t="n">
        <v>0</v>
      </c>
    </row>
    <row r="67">
      <c r="B67" s="13" t="inlineStr">
        <is>
          <t>End Cap</t>
        </is>
      </c>
      <c r="F67" s="36" t="n">
        <v>0</v>
      </c>
      <c r="G67" s="36" t="n">
        <v>0</v>
      </c>
      <c r="H67" s="36" t="n">
        <v>0</v>
      </c>
      <c r="I67" s="36" t="n">
        <v>0</v>
      </c>
      <c r="J67" s="36" t="n">
        <v>1</v>
      </c>
      <c r="K67" s="36" t="n">
        <v>1</v>
      </c>
      <c r="L67" s="36" t="n">
        <v>0</v>
      </c>
      <c r="M67" s="36" t="n">
        <v>0</v>
      </c>
      <c r="N67" s="36" t="n">
        <v>0</v>
      </c>
      <c r="O67" s="36" t="n">
        <v>0</v>
      </c>
      <c r="P67" s="36" t="n">
        <v>0</v>
      </c>
      <c r="Q67" s="36" t="n">
        <v>0</v>
      </c>
      <c r="R67" s="36" t="n">
        <v>0</v>
      </c>
      <c r="S67" s="36" t="n">
        <v>0</v>
      </c>
      <c r="T67" s="36" t="n">
        <v>0</v>
      </c>
      <c r="U67" s="36" t="n">
        <v>0</v>
      </c>
      <c r="V67" s="36" t="n">
        <v>0</v>
      </c>
      <c r="W67" s="36" t="n">
        <v>0</v>
      </c>
      <c r="X67" s="36" t="n">
        <v>0</v>
      </c>
      <c r="Y67" s="36" t="n">
        <v>0</v>
      </c>
      <c r="Z67" s="36" t="n">
        <v>0</v>
      </c>
      <c r="AA67" s="36" t="n">
        <v>0</v>
      </c>
      <c r="AB67" s="36" t="n">
        <v>0</v>
      </c>
      <c r="AC67" s="36" t="n">
        <v>0</v>
      </c>
      <c r="AD67" s="36" t="n">
        <v>0</v>
      </c>
      <c r="AE67" s="36" t="n">
        <v>0</v>
      </c>
    </row>
    <row r="68">
      <c r="B68" s="13" t="inlineStr">
        <is>
          <t>Fence</t>
        </is>
      </c>
      <c r="F68" s="36" t="n">
        <v>0</v>
      </c>
      <c r="G68" s="36" t="n">
        <v>0</v>
      </c>
      <c r="H68" s="36" t="n">
        <v>0</v>
      </c>
      <c r="I68" s="36" t="n">
        <v>0</v>
      </c>
      <c r="J68" s="36" t="n">
        <v>0</v>
      </c>
      <c r="K68" s="36" t="n">
        <v>0</v>
      </c>
      <c r="L68" s="36" t="n">
        <v>0</v>
      </c>
      <c r="M68" s="36" t="n">
        <v>0</v>
      </c>
      <c r="N68" s="36" t="n">
        <v>0</v>
      </c>
      <c r="O68" s="36" t="n">
        <v>0</v>
      </c>
      <c r="P68" s="36" t="n">
        <v>0</v>
      </c>
      <c r="Q68" s="36" t="n">
        <v>0</v>
      </c>
      <c r="R68" s="36" t="n">
        <v>0</v>
      </c>
      <c r="S68" s="36" t="n">
        <v>0</v>
      </c>
      <c r="T68" s="36" t="n">
        <v>0</v>
      </c>
      <c r="U68" s="36" t="n">
        <v>0</v>
      </c>
      <c r="V68" s="36" t="n">
        <v>0</v>
      </c>
      <c r="W68" s="36" t="n">
        <v>0</v>
      </c>
      <c r="X68" s="36" t="n">
        <v>0</v>
      </c>
      <c r="Y68" s="36" t="n">
        <v>0</v>
      </c>
      <c r="Z68" s="36" t="n">
        <v>0</v>
      </c>
      <c r="AA68" s="36" t="n">
        <v>0</v>
      </c>
      <c r="AB68" s="36" t="n">
        <v>0</v>
      </c>
      <c r="AC68" s="36" t="n">
        <v>0</v>
      </c>
      <c r="AD68" s="36" t="n">
        <v>0</v>
      </c>
      <c r="AE68" s="36" t="n">
        <v>0</v>
      </c>
    </row>
    <row r="69">
      <c r="B69" s="13" t="inlineStr">
        <is>
          <t>TPD</t>
        </is>
      </c>
      <c r="F69" s="36" t="n">
        <v>0</v>
      </c>
      <c r="G69" s="36" t="n">
        <v>0</v>
      </c>
      <c r="H69" s="36" t="n">
        <v>0</v>
      </c>
      <c r="I69" s="36" t="n">
        <v>0</v>
      </c>
      <c r="J69" s="36" t="n">
        <v>1</v>
      </c>
      <c r="K69" s="36" t="n">
        <v>1</v>
      </c>
      <c r="L69" s="36" t="n">
        <v>0</v>
      </c>
      <c r="M69" s="36" t="n">
        <v>0</v>
      </c>
      <c r="N69" s="36" t="n">
        <v>0</v>
      </c>
      <c r="O69" s="36" t="n">
        <v>0</v>
      </c>
      <c r="P69" s="36" t="n">
        <v>0</v>
      </c>
      <c r="Q69" s="36" t="n">
        <v>0</v>
      </c>
      <c r="R69" s="36" t="n">
        <v>0</v>
      </c>
      <c r="S69" s="36" t="n">
        <v>0</v>
      </c>
      <c r="T69" s="36" t="n">
        <v>0</v>
      </c>
      <c r="U69" s="36" t="n">
        <v>0</v>
      </c>
      <c r="V69" s="36" t="n">
        <v>0</v>
      </c>
      <c r="W69" s="36" t="n">
        <v>0</v>
      </c>
      <c r="X69" s="36" t="n">
        <v>0</v>
      </c>
      <c r="Y69" s="36" t="n">
        <v>0</v>
      </c>
      <c r="Z69" s="36" t="n">
        <v>0</v>
      </c>
      <c r="AA69" s="36" t="n">
        <v>0</v>
      </c>
      <c r="AB69" s="36" t="n">
        <v>0</v>
      </c>
      <c r="AC69" s="36" t="n">
        <v>0</v>
      </c>
      <c r="AD69" s="36" t="n">
        <v>0</v>
      </c>
      <c r="AE69" s="36" t="n">
        <v>0</v>
      </c>
    </row>
    <row r="70">
      <c r="B70" s="13" t="inlineStr">
        <is>
          <t>Markdown</t>
        </is>
      </c>
      <c r="F70" s="36" t="n">
        <v>0</v>
      </c>
      <c r="G70" s="36" t="n">
        <v>0</v>
      </c>
      <c r="H70" s="36" t="n">
        <v>0</v>
      </c>
      <c r="I70" s="36" t="n">
        <v>0</v>
      </c>
      <c r="J70" s="36" t="n">
        <v>0</v>
      </c>
      <c r="K70" s="36" t="n">
        <v>0</v>
      </c>
      <c r="L70" s="36" t="n">
        <v>0</v>
      </c>
      <c r="M70" s="36" t="n">
        <v>0</v>
      </c>
      <c r="N70" s="36" t="n">
        <v>0</v>
      </c>
      <c r="O70" s="36" t="n">
        <v>0</v>
      </c>
      <c r="P70" s="36" t="n">
        <v>0</v>
      </c>
      <c r="Q70" s="36" t="n">
        <v>0</v>
      </c>
      <c r="R70" s="36" t="n">
        <v>0</v>
      </c>
      <c r="S70" s="36" t="n">
        <v>0</v>
      </c>
      <c r="T70" s="36" t="n">
        <v>0</v>
      </c>
      <c r="U70" s="36" t="n">
        <v>0</v>
      </c>
      <c r="V70" s="36" t="n">
        <v>0</v>
      </c>
      <c r="W70" s="36" t="n">
        <v>0</v>
      </c>
      <c r="X70" s="36" t="n">
        <v>0</v>
      </c>
      <c r="Y70" s="36" t="n">
        <v>0</v>
      </c>
      <c r="Z70" s="36" t="n">
        <v>0</v>
      </c>
      <c r="AA70" s="36" t="n">
        <v>0</v>
      </c>
      <c r="AB70" s="36" t="n">
        <v>0</v>
      </c>
      <c r="AC70" s="36" t="n">
        <v>0</v>
      </c>
      <c r="AD70" s="36" t="n">
        <v>0</v>
      </c>
      <c r="AE70" s="36" t="n">
        <v>0</v>
      </c>
    </row>
    <row r="71">
      <c r="B71" s="13" t="inlineStr">
        <is>
          <t>Advert</t>
        </is>
      </c>
      <c r="F71" s="36" t="n">
        <v>0</v>
      </c>
      <c r="G71" s="36" t="n">
        <v>0</v>
      </c>
      <c r="H71" s="36" t="n">
        <v>0</v>
      </c>
      <c r="I71" s="36" t="n">
        <v>0</v>
      </c>
      <c r="J71" s="36" t="n">
        <v>0</v>
      </c>
      <c r="K71" s="36" t="n">
        <v>0</v>
      </c>
      <c r="L71" s="36" t="n">
        <v>0</v>
      </c>
      <c r="M71" s="36" t="n">
        <v>0</v>
      </c>
      <c r="N71" s="36" t="n">
        <v>0</v>
      </c>
      <c r="O71" s="36" t="n">
        <v>0</v>
      </c>
      <c r="P71" s="36" t="n">
        <v>0</v>
      </c>
      <c r="Q71" s="36" t="n">
        <v>0</v>
      </c>
      <c r="R71" s="36" t="n">
        <v>0</v>
      </c>
      <c r="S71" s="36" t="n">
        <v>0</v>
      </c>
      <c r="T71" s="36" t="n">
        <v>0</v>
      </c>
      <c r="U71" s="36" t="n">
        <v>0</v>
      </c>
      <c r="V71" s="36" t="n">
        <v>0</v>
      </c>
      <c r="W71" s="36" t="n">
        <v>0</v>
      </c>
      <c r="X71" s="36" t="n">
        <v>0</v>
      </c>
      <c r="Y71" s="36" t="n">
        <v>0</v>
      </c>
      <c r="Z71" s="36" t="n">
        <v>0</v>
      </c>
      <c r="AA71" s="36" t="n">
        <v>0</v>
      </c>
      <c r="AB71" s="36" t="n">
        <v>0</v>
      </c>
      <c r="AC71" s="36" t="n">
        <v>0</v>
      </c>
      <c r="AD71" s="36" t="n">
        <v>0</v>
      </c>
      <c r="AE71" s="36" t="n">
        <v>0</v>
      </c>
    </row>
    <row r="72">
      <c r="B72" s="13" t="inlineStr">
        <is>
          <t>Lift Multiplier (x base)</t>
        </is>
      </c>
      <c r="F72" s="37" t="n">
        <v>1</v>
      </c>
      <c r="G72" s="37" t="n">
        <v>1</v>
      </c>
      <c r="H72" s="37" t="n">
        <v>1</v>
      </c>
      <c r="I72" s="37" t="n">
        <v>1</v>
      </c>
      <c r="J72" s="37" t="n">
        <v>3.6</v>
      </c>
      <c r="K72" s="37" t="n">
        <v>3.6</v>
      </c>
      <c r="L72" s="37" t="n">
        <v>1</v>
      </c>
      <c r="M72" s="37" t="n">
        <v>1</v>
      </c>
      <c r="N72" s="37" t="n">
        <v>1</v>
      </c>
      <c r="O72" s="37" t="n">
        <v>1</v>
      </c>
      <c r="P72" s="37" t="n">
        <v>1</v>
      </c>
      <c r="Q72" s="37" t="n">
        <v>1</v>
      </c>
      <c r="R72" s="37" t="n">
        <v>1</v>
      </c>
      <c r="S72" s="37" t="n">
        <v>1</v>
      </c>
      <c r="T72" s="37" t="n">
        <v>1</v>
      </c>
      <c r="U72" s="37" t="n">
        <v>1</v>
      </c>
      <c r="V72" s="37" t="n">
        <v>1</v>
      </c>
      <c r="W72" s="37" t="n">
        <v>1</v>
      </c>
      <c r="X72" s="37" t="n">
        <v>1</v>
      </c>
      <c r="Y72" s="37" t="n">
        <v>1</v>
      </c>
      <c r="Z72" s="37" t="n">
        <v>1</v>
      </c>
      <c r="AA72" s="37" t="n">
        <v>1</v>
      </c>
      <c r="AB72" s="37" t="n">
        <v>1</v>
      </c>
      <c r="AC72" s="37" t="n">
        <v>1</v>
      </c>
      <c r="AD72" s="37" t="n">
        <v>1</v>
      </c>
      <c r="AE72" s="37" t="n">
        <v>1</v>
      </c>
    </row>
    <row r="74" ht="22" customHeight="1">
      <c r="B74" s="33" t="inlineStr">
        <is>
          <t>WORST – Demo+EndCap+TPD then Markdown (Wks 18-20)</t>
        </is>
      </c>
    </row>
    <row r="75" ht="30" customHeight="1">
      <c r="B75" s="15" t="inlineStr">
        <is>
          <t>Rationale: Promo plan as IDEAL but residual inventory clears at 50% off over Wks 18-20.</t>
        </is>
      </c>
    </row>
    <row r="76">
      <c r="B76" s="34" t="inlineStr">
        <is>
          <t>Week</t>
        </is>
      </c>
      <c r="F76" s="18" t="inlineStr">
        <is>
          <t>W1</t>
        </is>
      </c>
      <c r="G76" s="18" t="inlineStr">
        <is>
          <t>W2</t>
        </is>
      </c>
      <c r="H76" s="18" t="inlineStr">
        <is>
          <t>W3</t>
        </is>
      </c>
      <c r="I76" s="18" t="inlineStr">
        <is>
          <t>W4</t>
        </is>
      </c>
      <c r="J76" s="18" t="inlineStr">
        <is>
          <t>W5</t>
        </is>
      </c>
      <c r="K76" s="18" t="inlineStr">
        <is>
          <t>W6</t>
        </is>
      </c>
      <c r="L76" s="18" t="inlineStr">
        <is>
          <t>W7</t>
        </is>
      </c>
      <c r="M76" s="18" t="inlineStr">
        <is>
          <t>W8</t>
        </is>
      </c>
      <c r="N76" s="18" t="inlineStr">
        <is>
          <t>W9</t>
        </is>
      </c>
      <c r="O76" s="18" t="inlineStr">
        <is>
          <t>W10</t>
        </is>
      </c>
      <c r="P76" s="18" t="inlineStr">
        <is>
          <t>W11</t>
        </is>
      </c>
      <c r="Q76" s="18" t="inlineStr">
        <is>
          <t>W12</t>
        </is>
      </c>
      <c r="R76" s="18" t="inlineStr">
        <is>
          <t>W13</t>
        </is>
      </c>
      <c r="S76" s="18" t="inlineStr">
        <is>
          <t>W14</t>
        </is>
      </c>
      <c r="T76" s="18" t="inlineStr">
        <is>
          <t>W15</t>
        </is>
      </c>
      <c r="U76" s="18" t="inlineStr">
        <is>
          <t>W16</t>
        </is>
      </c>
      <c r="V76" s="18" t="inlineStr">
        <is>
          <t>W17</t>
        </is>
      </c>
      <c r="W76" s="18" t="inlineStr">
        <is>
          <t>W18</t>
        </is>
      </c>
      <c r="X76" s="18" t="inlineStr">
        <is>
          <t>W19</t>
        </is>
      </c>
      <c r="Y76" s="18" t="inlineStr">
        <is>
          <t>W20</t>
        </is>
      </c>
      <c r="Z76" s="18" t="inlineStr">
        <is>
          <t>W21</t>
        </is>
      </c>
      <c r="AA76" s="18" t="inlineStr">
        <is>
          <t>W22</t>
        </is>
      </c>
      <c r="AB76" s="18" t="inlineStr">
        <is>
          <t>W23</t>
        </is>
      </c>
      <c r="AC76" s="18" t="inlineStr">
        <is>
          <t>W24</t>
        </is>
      </c>
      <c r="AD76" s="18" t="inlineStr">
        <is>
          <t>W25</t>
        </is>
      </c>
      <c r="AE76" s="18" t="inlineStr">
        <is>
          <t>W26</t>
        </is>
      </c>
    </row>
    <row r="77">
      <c r="B77" s="34" t="inlineStr">
        <is>
          <t>Wk-commencing</t>
        </is>
      </c>
      <c r="F77" s="35">
        <f>StartDate+7*0</f>
        <v/>
      </c>
      <c r="G77" s="35">
        <f>StartDate+7*1</f>
        <v/>
      </c>
      <c r="H77" s="35">
        <f>StartDate+7*2</f>
        <v/>
      </c>
      <c r="I77" s="35">
        <f>StartDate+7*3</f>
        <v/>
      </c>
      <c r="J77" s="35">
        <f>StartDate+7*4</f>
        <v/>
      </c>
      <c r="K77" s="35">
        <f>StartDate+7*5</f>
        <v/>
      </c>
      <c r="L77" s="35">
        <f>StartDate+7*6</f>
        <v/>
      </c>
      <c r="M77" s="35">
        <f>StartDate+7*7</f>
        <v/>
      </c>
      <c r="N77" s="35">
        <f>StartDate+7*8</f>
        <v/>
      </c>
      <c r="O77" s="35">
        <f>StartDate+7*9</f>
        <v/>
      </c>
      <c r="P77" s="35">
        <f>StartDate+7*10</f>
        <v/>
      </c>
      <c r="Q77" s="35">
        <f>StartDate+7*11</f>
        <v/>
      </c>
      <c r="R77" s="35">
        <f>StartDate+7*12</f>
        <v/>
      </c>
      <c r="S77" s="35">
        <f>StartDate+7*13</f>
        <v/>
      </c>
      <c r="T77" s="35">
        <f>StartDate+7*14</f>
        <v/>
      </c>
      <c r="U77" s="35">
        <f>StartDate+7*15</f>
        <v/>
      </c>
      <c r="V77" s="35">
        <f>StartDate+7*16</f>
        <v/>
      </c>
      <c r="W77" s="35">
        <f>StartDate+7*17</f>
        <v/>
      </c>
      <c r="X77" s="35">
        <f>StartDate+7*18</f>
        <v/>
      </c>
      <c r="Y77" s="35">
        <f>StartDate+7*19</f>
        <v/>
      </c>
      <c r="Z77" s="35">
        <f>StartDate+7*20</f>
        <v/>
      </c>
      <c r="AA77" s="35">
        <f>StartDate+7*21</f>
        <v/>
      </c>
      <c r="AB77" s="35">
        <f>StartDate+7*22</f>
        <v/>
      </c>
      <c r="AC77" s="35">
        <f>StartDate+7*23</f>
        <v/>
      </c>
      <c r="AD77" s="35">
        <f>StartDate+7*24</f>
        <v/>
      </c>
      <c r="AE77" s="35">
        <f>StartDate+7*25</f>
        <v/>
      </c>
    </row>
    <row r="78">
      <c r="B78" s="13" t="inlineStr">
        <is>
          <t>Demo</t>
        </is>
      </c>
      <c r="F78" s="36" t="n">
        <v>0</v>
      </c>
      <c r="G78" s="36" t="n">
        <v>0</v>
      </c>
      <c r="H78" s="36" t="n">
        <v>0</v>
      </c>
      <c r="I78" s="36" t="n">
        <v>0</v>
      </c>
      <c r="J78" s="36" t="n">
        <v>1</v>
      </c>
      <c r="K78" s="36" t="n">
        <v>1</v>
      </c>
      <c r="L78" s="36" t="n">
        <v>0</v>
      </c>
      <c r="M78" s="36" t="n">
        <v>0</v>
      </c>
      <c r="N78" s="36" t="n">
        <v>0</v>
      </c>
      <c r="O78" s="36" t="n">
        <v>0</v>
      </c>
      <c r="P78" s="36" t="n">
        <v>0</v>
      </c>
      <c r="Q78" s="36" t="n">
        <v>0</v>
      </c>
      <c r="R78" s="36" t="n">
        <v>0</v>
      </c>
      <c r="S78" s="36" t="n">
        <v>0</v>
      </c>
      <c r="T78" s="36" t="n">
        <v>0</v>
      </c>
      <c r="U78" s="36" t="n">
        <v>0</v>
      </c>
      <c r="V78" s="36" t="n">
        <v>0</v>
      </c>
      <c r="W78" s="36" t="n">
        <v>0</v>
      </c>
      <c r="X78" s="36" t="n">
        <v>0</v>
      </c>
      <c r="Y78" s="36" t="n">
        <v>0</v>
      </c>
      <c r="Z78" s="36" t="n">
        <v>0</v>
      </c>
      <c r="AA78" s="36" t="n">
        <v>0</v>
      </c>
      <c r="AB78" s="36" t="n">
        <v>0</v>
      </c>
      <c r="AC78" s="36" t="n">
        <v>0</v>
      </c>
      <c r="AD78" s="36" t="n">
        <v>0</v>
      </c>
      <c r="AE78" s="36" t="n">
        <v>0</v>
      </c>
    </row>
    <row r="79">
      <c r="B79" s="13" t="inlineStr">
        <is>
          <t>End Cap</t>
        </is>
      </c>
      <c r="F79" s="36" t="n">
        <v>0</v>
      </c>
      <c r="G79" s="36" t="n">
        <v>0</v>
      </c>
      <c r="H79" s="36" t="n">
        <v>0</v>
      </c>
      <c r="I79" s="36" t="n">
        <v>0</v>
      </c>
      <c r="J79" s="36" t="n">
        <v>1</v>
      </c>
      <c r="K79" s="36" t="n">
        <v>1</v>
      </c>
      <c r="L79" s="36" t="n">
        <v>0</v>
      </c>
      <c r="M79" s="36" t="n">
        <v>0</v>
      </c>
      <c r="N79" s="36" t="n">
        <v>0</v>
      </c>
      <c r="O79" s="36" t="n">
        <v>0</v>
      </c>
      <c r="P79" s="36" t="n">
        <v>0</v>
      </c>
      <c r="Q79" s="36" t="n">
        <v>0</v>
      </c>
      <c r="R79" s="36" t="n">
        <v>0</v>
      </c>
      <c r="S79" s="36" t="n">
        <v>0</v>
      </c>
      <c r="T79" s="36" t="n">
        <v>0</v>
      </c>
      <c r="U79" s="36" t="n">
        <v>0</v>
      </c>
      <c r="V79" s="36" t="n">
        <v>0</v>
      </c>
      <c r="W79" s="36" t="n">
        <v>0</v>
      </c>
      <c r="X79" s="36" t="n">
        <v>0</v>
      </c>
      <c r="Y79" s="36" t="n">
        <v>0</v>
      </c>
      <c r="Z79" s="36" t="n">
        <v>0</v>
      </c>
      <c r="AA79" s="36" t="n">
        <v>0</v>
      </c>
      <c r="AB79" s="36" t="n">
        <v>0</v>
      </c>
      <c r="AC79" s="36" t="n">
        <v>0</v>
      </c>
      <c r="AD79" s="36" t="n">
        <v>0</v>
      </c>
      <c r="AE79" s="36" t="n">
        <v>0</v>
      </c>
    </row>
    <row r="80">
      <c r="B80" s="13" t="inlineStr">
        <is>
          <t>Fence</t>
        </is>
      </c>
      <c r="F80" s="36" t="n">
        <v>0</v>
      </c>
      <c r="G80" s="36" t="n">
        <v>0</v>
      </c>
      <c r="H80" s="36" t="n">
        <v>0</v>
      </c>
      <c r="I80" s="36" t="n">
        <v>0</v>
      </c>
      <c r="J80" s="36" t="n">
        <v>0</v>
      </c>
      <c r="K80" s="36" t="n">
        <v>0</v>
      </c>
      <c r="L80" s="36" t="n">
        <v>0</v>
      </c>
      <c r="M80" s="36" t="n">
        <v>0</v>
      </c>
      <c r="N80" s="36" t="n">
        <v>0</v>
      </c>
      <c r="O80" s="36" t="n">
        <v>0</v>
      </c>
      <c r="P80" s="36" t="n">
        <v>0</v>
      </c>
      <c r="Q80" s="36" t="n">
        <v>0</v>
      </c>
      <c r="R80" s="36" t="n">
        <v>0</v>
      </c>
      <c r="S80" s="36" t="n">
        <v>0</v>
      </c>
      <c r="T80" s="36" t="n">
        <v>0</v>
      </c>
      <c r="U80" s="36" t="n">
        <v>0</v>
      </c>
      <c r="V80" s="36" t="n">
        <v>0</v>
      </c>
      <c r="W80" s="36" t="n">
        <v>0</v>
      </c>
      <c r="X80" s="36" t="n">
        <v>0</v>
      </c>
      <c r="Y80" s="36" t="n">
        <v>0</v>
      </c>
      <c r="Z80" s="36" t="n">
        <v>0</v>
      </c>
      <c r="AA80" s="36" t="n">
        <v>0</v>
      </c>
      <c r="AB80" s="36" t="n">
        <v>0</v>
      </c>
      <c r="AC80" s="36" t="n">
        <v>0</v>
      </c>
      <c r="AD80" s="36" t="n">
        <v>0</v>
      </c>
      <c r="AE80" s="36" t="n">
        <v>0</v>
      </c>
    </row>
    <row r="81">
      <c r="B81" s="13" t="inlineStr">
        <is>
          <t>TPD</t>
        </is>
      </c>
      <c r="F81" s="36" t="n">
        <v>0</v>
      </c>
      <c r="G81" s="36" t="n">
        <v>0</v>
      </c>
      <c r="H81" s="36" t="n">
        <v>0</v>
      </c>
      <c r="I81" s="36" t="n">
        <v>0</v>
      </c>
      <c r="J81" s="36" t="n">
        <v>1</v>
      </c>
      <c r="K81" s="36" t="n">
        <v>1</v>
      </c>
      <c r="L81" s="36" t="n">
        <v>0</v>
      </c>
      <c r="M81" s="36" t="n">
        <v>0</v>
      </c>
      <c r="N81" s="36" t="n">
        <v>0</v>
      </c>
      <c r="O81" s="36" t="n">
        <v>0</v>
      </c>
      <c r="P81" s="36" t="n">
        <v>0</v>
      </c>
      <c r="Q81" s="36" t="n">
        <v>0</v>
      </c>
      <c r="R81" s="36" t="n">
        <v>0</v>
      </c>
      <c r="S81" s="36" t="n">
        <v>0</v>
      </c>
      <c r="T81" s="36" t="n">
        <v>0</v>
      </c>
      <c r="U81" s="36" t="n">
        <v>0</v>
      </c>
      <c r="V81" s="36" t="n">
        <v>0</v>
      </c>
      <c r="W81" s="36" t="n">
        <v>0</v>
      </c>
      <c r="X81" s="36" t="n">
        <v>0</v>
      </c>
      <c r="Y81" s="36" t="n">
        <v>0</v>
      </c>
      <c r="Z81" s="36" t="n">
        <v>0</v>
      </c>
      <c r="AA81" s="36" t="n">
        <v>0</v>
      </c>
      <c r="AB81" s="36" t="n">
        <v>0</v>
      </c>
      <c r="AC81" s="36" t="n">
        <v>0</v>
      </c>
      <c r="AD81" s="36" t="n">
        <v>0</v>
      </c>
      <c r="AE81" s="36" t="n">
        <v>0</v>
      </c>
    </row>
    <row r="82">
      <c r="B82" s="13" t="inlineStr">
        <is>
          <t>Markdown</t>
        </is>
      </c>
      <c r="F82" s="36" t="n">
        <v>0</v>
      </c>
      <c r="G82" s="36" t="n">
        <v>0</v>
      </c>
      <c r="H82" s="36" t="n">
        <v>0</v>
      </c>
      <c r="I82" s="36" t="n">
        <v>0</v>
      </c>
      <c r="J82" s="36" t="n">
        <v>0</v>
      </c>
      <c r="K82" s="36" t="n">
        <v>0</v>
      </c>
      <c r="L82" s="36" t="n">
        <v>0</v>
      </c>
      <c r="M82" s="36" t="n">
        <v>0</v>
      </c>
      <c r="N82" s="36" t="n">
        <v>0</v>
      </c>
      <c r="O82" s="36" t="n">
        <v>0</v>
      </c>
      <c r="P82" s="36" t="n">
        <v>0</v>
      </c>
      <c r="Q82" s="36" t="n">
        <v>0</v>
      </c>
      <c r="R82" s="36" t="n">
        <v>0</v>
      </c>
      <c r="S82" s="36" t="n">
        <v>0</v>
      </c>
      <c r="T82" s="36" t="n">
        <v>0</v>
      </c>
      <c r="U82" s="36" t="n">
        <v>0</v>
      </c>
      <c r="V82" s="36" t="n">
        <v>0</v>
      </c>
      <c r="W82" s="36" t="n">
        <v>1</v>
      </c>
      <c r="X82" s="36" t="n">
        <v>1</v>
      </c>
      <c r="Y82" s="36" t="n">
        <v>1</v>
      </c>
      <c r="Z82" s="36" t="n">
        <v>0</v>
      </c>
      <c r="AA82" s="36" t="n">
        <v>0</v>
      </c>
      <c r="AB82" s="36" t="n">
        <v>0</v>
      </c>
      <c r="AC82" s="36" t="n">
        <v>0</v>
      </c>
      <c r="AD82" s="36" t="n">
        <v>0</v>
      </c>
      <c r="AE82" s="36" t="n">
        <v>0</v>
      </c>
    </row>
    <row r="83">
      <c r="B83" s="13" t="inlineStr">
        <is>
          <t>Advert</t>
        </is>
      </c>
      <c r="F83" s="36" t="n">
        <v>0</v>
      </c>
      <c r="G83" s="36" t="n">
        <v>0</v>
      </c>
      <c r="H83" s="36" t="n">
        <v>0</v>
      </c>
      <c r="I83" s="36" t="n">
        <v>0</v>
      </c>
      <c r="J83" s="36" t="n">
        <v>0</v>
      </c>
      <c r="K83" s="36" t="n">
        <v>0</v>
      </c>
      <c r="L83" s="36" t="n">
        <v>0</v>
      </c>
      <c r="M83" s="36" t="n">
        <v>0</v>
      </c>
      <c r="N83" s="36" t="n">
        <v>0</v>
      </c>
      <c r="O83" s="36" t="n">
        <v>0</v>
      </c>
      <c r="P83" s="36" t="n">
        <v>0</v>
      </c>
      <c r="Q83" s="36" t="n">
        <v>0</v>
      </c>
      <c r="R83" s="36" t="n">
        <v>0</v>
      </c>
      <c r="S83" s="36" t="n">
        <v>0</v>
      </c>
      <c r="T83" s="36" t="n">
        <v>0</v>
      </c>
      <c r="U83" s="36" t="n">
        <v>0</v>
      </c>
      <c r="V83" s="36" t="n">
        <v>0</v>
      </c>
      <c r="W83" s="36" t="n">
        <v>0</v>
      </c>
      <c r="X83" s="36" t="n">
        <v>0</v>
      </c>
      <c r="Y83" s="36" t="n">
        <v>0</v>
      </c>
      <c r="Z83" s="36" t="n">
        <v>0</v>
      </c>
      <c r="AA83" s="36" t="n">
        <v>0</v>
      </c>
      <c r="AB83" s="36" t="n">
        <v>0</v>
      </c>
      <c r="AC83" s="36" t="n">
        <v>0</v>
      </c>
      <c r="AD83" s="36" t="n">
        <v>0</v>
      </c>
      <c r="AE83" s="36" t="n">
        <v>0</v>
      </c>
    </row>
    <row r="84">
      <c r="B84" s="13" t="inlineStr">
        <is>
          <t>Lift Multiplier (x base)</t>
        </is>
      </c>
      <c r="F84" s="37" t="n">
        <v>1</v>
      </c>
      <c r="G84" s="37" t="n">
        <v>1</v>
      </c>
      <c r="H84" s="37" t="n">
        <v>1</v>
      </c>
      <c r="I84" s="37" t="n">
        <v>1</v>
      </c>
      <c r="J84" s="37" t="n">
        <v>3</v>
      </c>
      <c r="K84" s="37" t="n">
        <v>3</v>
      </c>
      <c r="L84" s="37" t="n">
        <v>1</v>
      </c>
      <c r="M84" s="37" t="n">
        <v>1</v>
      </c>
      <c r="N84" s="37" t="n">
        <v>1</v>
      </c>
      <c r="O84" s="37" t="n">
        <v>1</v>
      </c>
      <c r="P84" s="37" t="n">
        <v>1</v>
      </c>
      <c r="Q84" s="37" t="n">
        <v>1</v>
      </c>
      <c r="R84" s="37" t="n">
        <v>1</v>
      </c>
      <c r="S84" s="37" t="n">
        <v>1</v>
      </c>
      <c r="T84" s="37" t="n">
        <v>1</v>
      </c>
      <c r="U84" s="37" t="n">
        <v>1</v>
      </c>
      <c r="V84" s="37" t="n">
        <v>1</v>
      </c>
      <c r="W84" s="37" t="n">
        <v>1</v>
      </c>
      <c r="X84" s="37" t="n">
        <v>0.3</v>
      </c>
      <c r="Y84" s="37" t="n">
        <v>8.699999999999999</v>
      </c>
      <c r="Z84" s="37" t="n">
        <v>1</v>
      </c>
      <c r="AA84" s="37" t="n">
        <v>1</v>
      </c>
      <c r="AB84" s="37" t="n">
        <v>1</v>
      </c>
      <c r="AC84" s="37" t="n">
        <v>1</v>
      </c>
      <c r="AD84" s="37" t="n">
        <v>1</v>
      </c>
      <c r="AE84" s="37" t="n">
        <v>1</v>
      </c>
    </row>
  </sheetData>
  <mergeCells count="15">
    <mergeCell ref="B10:D10"/>
    <mergeCell ref="B47:D47"/>
    <mergeCell ref="B5:D5"/>
    <mergeCell ref="B50:AE50"/>
    <mergeCell ref="B63:AE63"/>
    <mergeCell ref="B75:AE75"/>
    <mergeCell ref="B74:AE74"/>
    <mergeCell ref="B48:D48"/>
    <mergeCell ref="B62:AE62"/>
    <mergeCell ref="B18:D18"/>
    <mergeCell ref="B51:AE51"/>
    <mergeCell ref="B30:D30"/>
    <mergeCell ref="B24:D24"/>
    <mergeCell ref="B2:D2"/>
    <mergeCell ref="B34:D34"/>
  </mergeCells>
  <dataValidations count="1">
    <dataValidation sqref="C6" showDropDown="0" showInputMessage="0" showErrorMessage="0" allowBlank="0" type="list">
      <formula1>"GBP,USD,CAD,EUR"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F5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4" customWidth="1" min="32" max="32"/>
  </cols>
  <sheetData>
    <row r="2" ht="32" customHeight="1">
      <c r="B2" s="9">
        <f>"FORECAST — Weekly P&amp;L by Scenario  (Display: "&amp;$G$3&amp;" "&amp;$C$3&amp;")"</f>
        <v/>
      </c>
    </row>
    <row r="3" ht="22" customHeight="1">
      <c r="B3" s="38" t="inlineStr">
        <is>
          <t>Display Currency:</t>
        </is>
      </c>
      <c r="C3" s="14" t="inlineStr">
        <is>
          <t>GBP</t>
        </is>
      </c>
      <c r="D3" s="38" t="inlineStr">
        <is>
          <t>FX Rate (× GBP):</t>
        </is>
      </c>
      <c r="E3" s="39">
        <f>VLOOKUP(C3,Inputs!$B$13:$D$16,3,FALSE)</f>
        <v/>
      </c>
      <c r="F3" s="38" t="inlineStr">
        <is>
          <t>Symbol:</t>
        </is>
      </c>
      <c r="G3" s="17">
        <f>VLOOKUP(C3,Inputs!$B$13:$D$16,2,FALSE)</f>
        <v/>
      </c>
    </row>
    <row r="5" ht="22" customHeight="1">
      <c r="B5" s="33" t="inlineStr">
        <is>
          <t>BEST – x2 Demo (Wks 5-6) + TPD</t>
        </is>
      </c>
    </row>
    <row r="6">
      <c r="B6" s="34" t="inlineStr">
        <is>
          <t>Week</t>
        </is>
      </c>
      <c r="F6" s="18" t="inlineStr">
        <is>
          <t>W1</t>
        </is>
      </c>
      <c r="G6" s="18" t="inlineStr">
        <is>
          <t>W2</t>
        </is>
      </c>
      <c r="H6" s="18" t="inlineStr">
        <is>
          <t>W3</t>
        </is>
      </c>
      <c r="I6" s="18" t="inlineStr">
        <is>
          <t>W4</t>
        </is>
      </c>
      <c r="J6" s="18" t="inlineStr">
        <is>
          <t>W5</t>
        </is>
      </c>
      <c r="K6" s="18" t="inlineStr">
        <is>
          <t>W6</t>
        </is>
      </c>
      <c r="L6" s="18" t="inlineStr">
        <is>
          <t>W7</t>
        </is>
      </c>
      <c r="M6" s="18" t="inlineStr">
        <is>
          <t>W8</t>
        </is>
      </c>
      <c r="N6" s="18" t="inlineStr">
        <is>
          <t>W9</t>
        </is>
      </c>
      <c r="O6" s="18" t="inlineStr">
        <is>
          <t>W10</t>
        </is>
      </c>
      <c r="P6" s="18" t="inlineStr">
        <is>
          <t>W11</t>
        </is>
      </c>
      <c r="Q6" s="18" t="inlineStr">
        <is>
          <t>W12</t>
        </is>
      </c>
      <c r="R6" s="18" t="inlineStr">
        <is>
          <t>W13</t>
        </is>
      </c>
      <c r="S6" s="18" t="inlineStr">
        <is>
          <t>W14</t>
        </is>
      </c>
      <c r="T6" s="18" t="inlineStr">
        <is>
          <t>W15</t>
        </is>
      </c>
      <c r="U6" s="18" t="inlineStr">
        <is>
          <t>W16</t>
        </is>
      </c>
      <c r="V6" s="18" t="inlineStr">
        <is>
          <t>W17</t>
        </is>
      </c>
      <c r="W6" s="18" t="inlineStr">
        <is>
          <t>W18</t>
        </is>
      </c>
      <c r="X6" s="18" t="inlineStr">
        <is>
          <t>W19</t>
        </is>
      </c>
      <c r="Y6" s="18" t="inlineStr">
        <is>
          <t>W20</t>
        </is>
      </c>
      <c r="Z6" s="18" t="inlineStr">
        <is>
          <t>W21</t>
        </is>
      </c>
      <c r="AA6" s="18" t="inlineStr">
        <is>
          <t>W22</t>
        </is>
      </c>
      <c r="AB6" s="18" t="inlineStr">
        <is>
          <t>W23</t>
        </is>
      </c>
      <c r="AC6" s="18" t="inlineStr">
        <is>
          <t>W24</t>
        </is>
      </c>
      <c r="AD6" s="18" t="inlineStr">
        <is>
          <t>W25</t>
        </is>
      </c>
      <c r="AE6" s="18" t="inlineStr">
        <is>
          <t>W26</t>
        </is>
      </c>
      <c r="AF6" s="40" t="inlineStr">
        <is>
          <t>TOTAL</t>
        </is>
      </c>
    </row>
    <row r="7">
      <c r="B7" s="34" t="inlineStr">
        <is>
          <t>Wk-commencing</t>
        </is>
      </c>
      <c r="F7" s="35">
        <f>StartDate+7*0</f>
        <v/>
      </c>
      <c r="G7" s="35">
        <f>StartDate+7*1</f>
        <v/>
      </c>
      <c r="H7" s="35">
        <f>StartDate+7*2</f>
        <v/>
      </c>
      <c r="I7" s="35">
        <f>StartDate+7*3</f>
        <v/>
      </c>
      <c r="J7" s="35">
        <f>StartDate+7*4</f>
        <v/>
      </c>
      <c r="K7" s="35">
        <f>StartDate+7*5</f>
        <v/>
      </c>
      <c r="L7" s="35">
        <f>StartDate+7*6</f>
        <v/>
      </c>
      <c r="M7" s="35">
        <f>StartDate+7*7</f>
        <v/>
      </c>
      <c r="N7" s="35">
        <f>StartDate+7*8</f>
        <v/>
      </c>
      <c r="O7" s="35">
        <f>StartDate+7*9</f>
        <v/>
      </c>
      <c r="P7" s="35">
        <f>StartDate+7*10</f>
        <v/>
      </c>
      <c r="Q7" s="35">
        <f>StartDate+7*11</f>
        <v/>
      </c>
      <c r="R7" s="35">
        <f>StartDate+7*12</f>
        <v/>
      </c>
      <c r="S7" s="35">
        <f>StartDate+7*13</f>
        <v/>
      </c>
      <c r="T7" s="35">
        <f>StartDate+7*14</f>
        <v/>
      </c>
      <c r="U7" s="35">
        <f>StartDate+7*15</f>
        <v/>
      </c>
      <c r="V7" s="35">
        <f>StartDate+7*16</f>
        <v/>
      </c>
      <c r="W7" s="35">
        <f>StartDate+7*17</f>
        <v/>
      </c>
      <c r="X7" s="35">
        <f>StartDate+7*18</f>
        <v/>
      </c>
      <c r="Y7" s="35">
        <f>StartDate+7*19</f>
        <v/>
      </c>
      <c r="Z7" s="35">
        <f>StartDate+7*20</f>
        <v/>
      </c>
      <c r="AA7" s="35">
        <f>StartDate+7*21</f>
        <v/>
      </c>
      <c r="AB7" s="35">
        <f>StartDate+7*22</f>
        <v/>
      </c>
      <c r="AC7" s="35">
        <f>StartDate+7*23</f>
        <v/>
      </c>
      <c r="AD7" s="35">
        <f>StartDate+7*24</f>
        <v/>
      </c>
      <c r="AE7" s="35">
        <f>StartDate+7*25</f>
        <v/>
      </c>
      <c r="AF7" s="41" t="inlineStr"/>
    </row>
    <row r="8">
      <c r="B8" s="13" t="inlineStr">
        <is>
          <t>POS Units</t>
        </is>
      </c>
      <c r="F8" s="42">
        <f>ROUND(BaseUnits*Inputs!F60,0)</f>
        <v/>
      </c>
      <c r="G8" s="42">
        <f>ROUND(BaseUnits*Inputs!G60,0)</f>
        <v/>
      </c>
      <c r="H8" s="42">
        <f>ROUND(BaseUnits*Inputs!H60,0)</f>
        <v/>
      </c>
      <c r="I8" s="42">
        <f>ROUND(BaseUnits*Inputs!I60,0)</f>
        <v/>
      </c>
      <c r="J8" s="42">
        <f>ROUND(BaseUnits*Inputs!J60,0)</f>
        <v/>
      </c>
      <c r="K8" s="42">
        <f>ROUND(BaseUnits*Inputs!K60,0)</f>
        <v/>
      </c>
      <c r="L8" s="42">
        <f>ROUND(BaseUnits*Inputs!L60,0)</f>
        <v/>
      </c>
      <c r="M8" s="42">
        <f>ROUND(BaseUnits*Inputs!M60,0)</f>
        <v/>
      </c>
      <c r="N8" s="42">
        <f>ROUND(BaseUnits*Inputs!N60,0)</f>
        <v/>
      </c>
      <c r="O8" s="42">
        <f>ROUND(BaseUnits*Inputs!O60,0)</f>
        <v/>
      </c>
      <c r="P8" s="42">
        <f>ROUND(BaseUnits*Inputs!P60,0)</f>
        <v/>
      </c>
      <c r="Q8" s="42">
        <f>ROUND(BaseUnits*Inputs!Q60,0)</f>
        <v/>
      </c>
      <c r="R8" s="42">
        <f>ROUND(BaseUnits*Inputs!R60,0)</f>
        <v/>
      </c>
      <c r="S8" s="42">
        <f>ROUND(BaseUnits*Inputs!S60,0)</f>
        <v/>
      </c>
      <c r="T8" s="42">
        <f>ROUND(BaseUnits*Inputs!T60,0)</f>
        <v/>
      </c>
      <c r="U8" s="42">
        <f>ROUND(BaseUnits*Inputs!U60,0)</f>
        <v/>
      </c>
      <c r="V8" s="42">
        <f>ROUND(BaseUnits*Inputs!V60,0)</f>
        <v/>
      </c>
      <c r="W8" s="42">
        <f>ROUND(BaseUnits*Inputs!W60,0)</f>
        <v/>
      </c>
      <c r="X8" s="42">
        <f>ROUND(BaseUnits*Inputs!X60,0)</f>
        <v/>
      </c>
      <c r="Y8" s="42">
        <f>ROUND(BaseUnits*Inputs!Y60,0)</f>
        <v/>
      </c>
      <c r="Z8" s="42">
        <f>ROUND(BaseUnits*Inputs!Z60,0)</f>
        <v/>
      </c>
      <c r="AA8" s="42">
        <f>ROUND(BaseUnits*Inputs!AA60,0)</f>
        <v/>
      </c>
      <c r="AB8" s="42">
        <f>ROUND(BaseUnits*Inputs!AB60,0)</f>
        <v/>
      </c>
      <c r="AC8" s="42">
        <f>ROUND(BaseUnits*Inputs!AC60,0)</f>
        <v/>
      </c>
      <c r="AD8" s="42">
        <f>ROUND(BaseUnits*Inputs!AD60,0)</f>
        <v/>
      </c>
      <c r="AE8" s="42">
        <f>ROUND(BaseUnits*Inputs!AE60,0)</f>
        <v/>
      </c>
      <c r="AF8" s="43">
        <f>SUM(F8:AE8)</f>
        <v/>
      </c>
    </row>
    <row r="9">
      <c r="B9" s="44">
        <f>"Selling Price ("&amp;$G$3&amp;")"</f>
        <v/>
      </c>
      <c r="F9" s="45">
        <f>Price*$E$3</f>
        <v/>
      </c>
      <c r="G9" s="45">
        <f>Price*$E$3</f>
        <v/>
      </c>
      <c r="H9" s="45">
        <f>Price*$E$3</f>
        <v/>
      </c>
      <c r="I9" s="45">
        <f>Price*$E$3</f>
        <v/>
      </c>
      <c r="J9" s="45">
        <f>Price*$E$3</f>
        <v/>
      </c>
      <c r="K9" s="45">
        <f>Price*$E$3</f>
        <v/>
      </c>
      <c r="L9" s="45">
        <f>Price*$E$3</f>
        <v/>
      </c>
      <c r="M9" s="45">
        <f>Price*$E$3</f>
        <v/>
      </c>
      <c r="N9" s="45">
        <f>Price*$E$3</f>
        <v/>
      </c>
      <c r="O9" s="45">
        <f>Price*$E$3</f>
        <v/>
      </c>
      <c r="P9" s="45">
        <f>Price*$E$3</f>
        <v/>
      </c>
      <c r="Q9" s="45">
        <f>Price*$E$3</f>
        <v/>
      </c>
      <c r="R9" s="45">
        <f>Price*$E$3</f>
        <v/>
      </c>
      <c r="S9" s="45">
        <f>Price*$E$3</f>
        <v/>
      </c>
      <c r="T9" s="45">
        <f>Price*$E$3</f>
        <v/>
      </c>
      <c r="U9" s="45">
        <f>Price*$E$3</f>
        <v/>
      </c>
      <c r="V9" s="45">
        <f>Price*$E$3</f>
        <v/>
      </c>
      <c r="W9" s="45">
        <f>Price*$E$3</f>
        <v/>
      </c>
      <c r="X9" s="45">
        <f>Price*$E$3</f>
        <v/>
      </c>
      <c r="Y9" s="45">
        <f>Price*$E$3</f>
        <v/>
      </c>
      <c r="Z9" s="45">
        <f>Price*$E$3</f>
        <v/>
      </c>
      <c r="AA9" s="45">
        <f>Price*$E$3</f>
        <v/>
      </c>
      <c r="AB9" s="45">
        <f>Price*$E$3</f>
        <v/>
      </c>
      <c r="AC9" s="45">
        <f>Price*$E$3</f>
        <v/>
      </c>
      <c r="AD9" s="45">
        <f>Price*$E$3</f>
        <v/>
      </c>
      <c r="AE9" s="45">
        <f>Price*$E$3</f>
        <v/>
      </c>
      <c r="AF9" s="46">
        <f>Price*$E$3</f>
        <v/>
      </c>
    </row>
    <row r="10">
      <c r="B10" s="13">
        <f>"Revenue ("&amp;$G$3&amp;")"</f>
        <v/>
      </c>
      <c r="F10" s="47">
        <f>F8*F9</f>
        <v/>
      </c>
      <c r="G10" s="47">
        <f>G8*G9</f>
        <v/>
      </c>
      <c r="H10" s="47">
        <f>H8*H9</f>
        <v/>
      </c>
      <c r="I10" s="47">
        <f>I8*I9</f>
        <v/>
      </c>
      <c r="J10" s="47">
        <f>J8*J9</f>
        <v/>
      </c>
      <c r="K10" s="47">
        <f>K8*K9</f>
        <v/>
      </c>
      <c r="L10" s="47">
        <f>L8*L9</f>
        <v/>
      </c>
      <c r="M10" s="47">
        <f>M8*M9</f>
        <v/>
      </c>
      <c r="N10" s="47">
        <f>N8*N9</f>
        <v/>
      </c>
      <c r="O10" s="47">
        <f>O8*O9</f>
        <v/>
      </c>
      <c r="P10" s="47">
        <f>P8*P9</f>
        <v/>
      </c>
      <c r="Q10" s="47">
        <f>Q8*Q9</f>
        <v/>
      </c>
      <c r="R10" s="47">
        <f>R8*R9</f>
        <v/>
      </c>
      <c r="S10" s="47">
        <f>S8*S9</f>
        <v/>
      </c>
      <c r="T10" s="47">
        <f>T8*T9</f>
        <v/>
      </c>
      <c r="U10" s="47">
        <f>U8*U9</f>
        <v/>
      </c>
      <c r="V10" s="47">
        <f>V8*V9</f>
        <v/>
      </c>
      <c r="W10" s="47">
        <f>W8*W9</f>
        <v/>
      </c>
      <c r="X10" s="47">
        <f>X8*X9</f>
        <v/>
      </c>
      <c r="Y10" s="47">
        <f>Y8*Y9</f>
        <v/>
      </c>
      <c r="Z10" s="47">
        <f>Z8*Z9</f>
        <v/>
      </c>
      <c r="AA10" s="47">
        <f>AA8*AA9</f>
        <v/>
      </c>
      <c r="AB10" s="47">
        <f>AB8*AB9</f>
        <v/>
      </c>
      <c r="AC10" s="47">
        <f>AC8*AC9</f>
        <v/>
      </c>
      <c r="AD10" s="47">
        <f>AD8*AD9</f>
        <v/>
      </c>
      <c r="AE10" s="47">
        <f>AE8*AE9</f>
        <v/>
      </c>
      <c r="AF10" s="48">
        <f>SUM(F10:AE10)</f>
        <v/>
      </c>
    </row>
    <row r="11">
      <c r="B11" s="44">
        <f>"Cost Price ("&amp;$G$3&amp;")"</f>
        <v/>
      </c>
      <c r="F11" s="45">
        <f>Cost*$E$3</f>
        <v/>
      </c>
      <c r="G11" s="45">
        <f>Cost*$E$3</f>
        <v/>
      </c>
      <c r="H11" s="45">
        <f>Cost*$E$3</f>
        <v/>
      </c>
      <c r="I11" s="45">
        <f>Cost*$E$3</f>
        <v/>
      </c>
      <c r="J11" s="45">
        <f>Cost*$E$3</f>
        <v/>
      </c>
      <c r="K11" s="45">
        <f>Cost*$E$3</f>
        <v/>
      </c>
      <c r="L11" s="45">
        <f>Cost*$E$3</f>
        <v/>
      </c>
      <c r="M11" s="45">
        <f>Cost*$E$3</f>
        <v/>
      </c>
      <c r="N11" s="45">
        <f>Cost*$E$3</f>
        <v/>
      </c>
      <c r="O11" s="45">
        <f>Cost*$E$3</f>
        <v/>
      </c>
      <c r="P11" s="45">
        <f>Cost*$E$3</f>
        <v/>
      </c>
      <c r="Q11" s="45">
        <f>Cost*$E$3</f>
        <v/>
      </c>
      <c r="R11" s="45">
        <f>Cost*$E$3</f>
        <v/>
      </c>
      <c r="S11" s="45">
        <f>Cost*$E$3</f>
        <v/>
      </c>
      <c r="T11" s="45">
        <f>Cost*$E$3</f>
        <v/>
      </c>
      <c r="U11" s="45">
        <f>Cost*$E$3</f>
        <v/>
      </c>
      <c r="V11" s="45">
        <f>Cost*$E$3</f>
        <v/>
      </c>
      <c r="W11" s="45">
        <f>Cost*$E$3</f>
        <v/>
      </c>
      <c r="X11" s="45">
        <f>Cost*$E$3</f>
        <v/>
      </c>
      <c r="Y11" s="45">
        <f>Cost*$E$3</f>
        <v/>
      </c>
      <c r="Z11" s="45">
        <f>Cost*$E$3</f>
        <v/>
      </c>
      <c r="AA11" s="45">
        <f>Cost*$E$3</f>
        <v/>
      </c>
      <c r="AB11" s="45">
        <f>Cost*$E$3</f>
        <v/>
      </c>
      <c r="AC11" s="45">
        <f>Cost*$E$3</f>
        <v/>
      </c>
      <c r="AD11" s="45">
        <f>Cost*$E$3</f>
        <v/>
      </c>
      <c r="AE11" s="45">
        <f>Cost*$E$3</f>
        <v/>
      </c>
      <c r="AF11" s="46">
        <f>Cost*$E$3</f>
        <v/>
      </c>
    </row>
    <row r="12">
      <c r="B12" s="13">
        <f>"Raw COGS ("&amp;$G$3&amp;")"</f>
        <v/>
      </c>
      <c r="F12" s="47">
        <f>F8*F11</f>
        <v/>
      </c>
      <c r="G12" s="47">
        <f>G8*G11</f>
        <v/>
      </c>
      <c r="H12" s="47">
        <f>H8*H11</f>
        <v/>
      </c>
      <c r="I12" s="47">
        <f>I8*I11</f>
        <v/>
      </c>
      <c r="J12" s="47">
        <f>J8*J11</f>
        <v/>
      </c>
      <c r="K12" s="47">
        <f>K8*K11</f>
        <v/>
      </c>
      <c r="L12" s="47">
        <f>L8*L11</f>
        <v/>
      </c>
      <c r="M12" s="47">
        <f>M8*M11</f>
        <v/>
      </c>
      <c r="N12" s="47">
        <f>N8*N11</f>
        <v/>
      </c>
      <c r="O12" s="47">
        <f>O8*O11</f>
        <v/>
      </c>
      <c r="P12" s="47">
        <f>P8*P11</f>
        <v/>
      </c>
      <c r="Q12" s="47">
        <f>Q8*Q11</f>
        <v/>
      </c>
      <c r="R12" s="47">
        <f>R8*R11</f>
        <v/>
      </c>
      <c r="S12" s="47">
        <f>S8*S11</f>
        <v/>
      </c>
      <c r="T12" s="47">
        <f>T8*T11</f>
        <v/>
      </c>
      <c r="U12" s="47">
        <f>U8*U11</f>
        <v/>
      </c>
      <c r="V12" s="47">
        <f>V8*V11</f>
        <v/>
      </c>
      <c r="W12" s="47">
        <f>W8*W11</f>
        <v/>
      </c>
      <c r="X12" s="47">
        <f>X8*X11</f>
        <v/>
      </c>
      <c r="Y12" s="47">
        <f>Y8*Y11</f>
        <v/>
      </c>
      <c r="Z12" s="47">
        <f>Z8*Z11</f>
        <v/>
      </c>
      <c r="AA12" s="47">
        <f>AA8*AA11</f>
        <v/>
      </c>
      <c r="AB12" s="47">
        <f>AB8*AB11</f>
        <v/>
      </c>
      <c r="AC12" s="47">
        <f>AC8*AC11</f>
        <v/>
      </c>
      <c r="AD12" s="47">
        <f>AD8*AD11</f>
        <v/>
      </c>
      <c r="AE12" s="47">
        <f>AE8*AE11</f>
        <v/>
      </c>
      <c r="AF12" s="48">
        <f>SUM(F12:AE12)</f>
        <v/>
      </c>
    </row>
    <row r="13">
      <c r="B13" s="44">
        <f>"— Demo Spend ("&amp;$G$3&amp;")"</f>
        <v/>
      </c>
      <c r="F13" s="47">
        <f>Inputs!F54*DemoCost*$E$3</f>
        <v/>
      </c>
      <c r="G13" s="47">
        <f>Inputs!G54*DemoCost*$E$3</f>
        <v/>
      </c>
      <c r="H13" s="47">
        <f>Inputs!H54*DemoCost*$E$3</f>
        <v/>
      </c>
      <c r="I13" s="47">
        <f>Inputs!I54*DemoCost*$E$3</f>
        <v/>
      </c>
      <c r="J13" s="47">
        <f>Inputs!J54*DemoCost*$E$3</f>
        <v/>
      </c>
      <c r="K13" s="47">
        <f>Inputs!K54*DemoCost*$E$3</f>
        <v/>
      </c>
      <c r="L13" s="47">
        <f>Inputs!L54*DemoCost*$E$3</f>
        <v/>
      </c>
      <c r="M13" s="47">
        <f>Inputs!M54*DemoCost*$E$3</f>
        <v/>
      </c>
      <c r="N13" s="47">
        <f>Inputs!N54*DemoCost*$E$3</f>
        <v/>
      </c>
      <c r="O13" s="47">
        <f>Inputs!O54*DemoCost*$E$3</f>
        <v/>
      </c>
      <c r="P13" s="47">
        <f>Inputs!P54*DemoCost*$E$3</f>
        <v/>
      </c>
      <c r="Q13" s="47">
        <f>Inputs!Q54*DemoCost*$E$3</f>
        <v/>
      </c>
      <c r="R13" s="47">
        <f>Inputs!R54*DemoCost*$E$3</f>
        <v/>
      </c>
      <c r="S13" s="47">
        <f>Inputs!S54*DemoCost*$E$3</f>
        <v/>
      </c>
      <c r="T13" s="47">
        <f>Inputs!T54*DemoCost*$E$3</f>
        <v/>
      </c>
      <c r="U13" s="47">
        <f>Inputs!U54*DemoCost*$E$3</f>
        <v/>
      </c>
      <c r="V13" s="47">
        <f>Inputs!V54*DemoCost*$E$3</f>
        <v/>
      </c>
      <c r="W13" s="47">
        <f>Inputs!W54*DemoCost*$E$3</f>
        <v/>
      </c>
      <c r="X13" s="47">
        <f>Inputs!X54*DemoCost*$E$3</f>
        <v/>
      </c>
      <c r="Y13" s="47">
        <f>Inputs!Y54*DemoCost*$E$3</f>
        <v/>
      </c>
      <c r="Z13" s="47">
        <f>Inputs!Z54*DemoCost*$E$3</f>
        <v/>
      </c>
      <c r="AA13" s="47">
        <f>Inputs!AA54*DemoCost*$E$3</f>
        <v/>
      </c>
      <c r="AB13" s="47">
        <f>Inputs!AB54*DemoCost*$E$3</f>
        <v/>
      </c>
      <c r="AC13" s="47">
        <f>Inputs!AC54*DemoCost*$E$3</f>
        <v/>
      </c>
      <c r="AD13" s="47">
        <f>Inputs!AD54*DemoCost*$E$3</f>
        <v/>
      </c>
      <c r="AE13" s="47">
        <f>Inputs!AE54*DemoCost*$E$3</f>
        <v/>
      </c>
      <c r="AF13" s="48">
        <f>SUM(F13:AE13)</f>
        <v/>
      </c>
    </row>
    <row r="14">
      <c r="B14" s="44">
        <f>"— End Cap Spend ("&amp;$G$3&amp;")"</f>
        <v/>
      </c>
      <c r="F14" s="47">
        <f>Inputs!F55*EndCapCost*$E$3</f>
        <v/>
      </c>
      <c r="G14" s="47">
        <f>Inputs!G55*EndCapCost*$E$3</f>
        <v/>
      </c>
      <c r="H14" s="47">
        <f>Inputs!H55*EndCapCost*$E$3</f>
        <v/>
      </c>
      <c r="I14" s="47">
        <f>Inputs!I55*EndCapCost*$E$3</f>
        <v/>
      </c>
      <c r="J14" s="47">
        <f>Inputs!J55*EndCapCost*$E$3</f>
        <v/>
      </c>
      <c r="K14" s="47">
        <f>Inputs!K55*EndCapCost*$E$3</f>
        <v/>
      </c>
      <c r="L14" s="47">
        <f>Inputs!L55*EndCapCost*$E$3</f>
        <v/>
      </c>
      <c r="M14" s="47">
        <f>Inputs!M55*EndCapCost*$E$3</f>
        <v/>
      </c>
      <c r="N14" s="47">
        <f>Inputs!N55*EndCapCost*$E$3</f>
        <v/>
      </c>
      <c r="O14" s="47">
        <f>Inputs!O55*EndCapCost*$E$3</f>
        <v/>
      </c>
      <c r="P14" s="47">
        <f>Inputs!P55*EndCapCost*$E$3</f>
        <v/>
      </c>
      <c r="Q14" s="47">
        <f>Inputs!Q55*EndCapCost*$E$3</f>
        <v/>
      </c>
      <c r="R14" s="47">
        <f>Inputs!R55*EndCapCost*$E$3</f>
        <v/>
      </c>
      <c r="S14" s="47">
        <f>Inputs!S55*EndCapCost*$E$3</f>
        <v/>
      </c>
      <c r="T14" s="47">
        <f>Inputs!T55*EndCapCost*$E$3</f>
        <v/>
      </c>
      <c r="U14" s="47">
        <f>Inputs!U55*EndCapCost*$E$3</f>
        <v/>
      </c>
      <c r="V14" s="47">
        <f>Inputs!V55*EndCapCost*$E$3</f>
        <v/>
      </c>
      <c r="W14" s="47">
        <f>Inputs!W55*EndCapCost*$E$3</f>
        <v/>
      </c>
      <c r="X14" s="47">
        <f>Inputs!X55*EndCapCost*$E$3</f>
        <v/>
      </c>
      <c r="Y14" s="47">
        <f>Inputs!Y55*EndCapCost*$E$3</f>
        <v/>
      </c>
      <c r="Z14" s="47">
        <f>Inputs!Z55*EndCapCost*$E$3</f>
        <v/>
      </c>
      <c r="AA14" s="47">
        <f>Inputs!AA55*EndCapCost*$E$3</f>
        <v/>
      </c>
      <c r="AB14" s="47">
        <f>Inputs!AB55*EndCapCost*$E$3</f>
        <v/>
      </c>
      <c r="AC14" s="47">
        <f>Inputs!AC55*EndCapCost*$E$3</f>
        <v/>
      </c>
      <c r="AD14" s="47">
        <f>Inputs!AD55*EndCapCost*$E$3</f>
        <v/>
      </c>
      <c r="AE14" s="47">
        <f>Inputs!AE55*EndCapCost*$E$3</f>
        <v/>
      </c>
      <c r="AF14" s="48">
        <f>SUM(F14:AE14)</f>
        <v/>
      </c>
    </row>
    <row r="15">
      <c r="B15" s="44">
        <f>"— Fence Spend ("&amp;$G$3&amp;")"</f>
        <v/>
      </c>
      <c r="F15" s="47">
        <f>Inputs!F56*FenceCost*$E$3</f>
        <v/>
      </c>
      <c r="G15" s="47">
        <f>Inputs!G56*FenceCost*$E$3</f>
        <v/>
      </c>
      <c r="H15" s="47">
        <f>Inputs!H56*FenceCost*$E$3</f>
        <v/>
      </c>
      <c r="I15" s="47">
        <f>Inputs!I56*FenceCost*$E$3</f>
        <v/>
      </c>
      <c r="J15" s="47">
        <f>Inputs!J56*FenceCost*$E$3</f>
        <v/>
      </c>
      <c r="K15" s="47">
        <f>Inputs!K56*FenceCost*$E$3</f>
        <v/>
      </c>
      <c r="L15" s="47">
        <f>Inputs!L56*FenceCost*$E$3</f>
        <v/>
      </c>
      <c r="M15" s="47">
        <f>Inputs!M56*FenceCost*$E$3</f>
        <v/>
      </c>
      <c r="N15" s="47">
        <f>Inputs!N56*FenceCost*$E$3</f>
        <v/>
      </c>
      <c r="O15" s="47">
        <f>Inputs!O56*FenceCost*$E$3</f>
        <v/>
      </c>
      <c r="P15" s="47">
        <f>Inputs!P56*FenceCost*$E$3</f>
        <v/>
      </c>
      <c r="Q15" s="47">
        <f>Inputs!Q56*FenceCost*$E$3</f>
        <v/>
      </c>
      <c r="R15" s="47">
        <f>Inputs!R56*FenceCost*$E$3</f>
        <v/>
      </c>
      <c r="S15" s="47">
        <f>Inputs!S56*FenceCost*$E$3</f>
        <v/>
      </c>
      <c r="T15" s="47">
        <f>Inputs!T56*FenceCost*$E$3</f>
        <v/>
      </c>
      <c r="U15" s="47">
        <f>Inputs!U56*FenceCost*$E$3</f>
        <v/>
      </c>
      <c r="V15" s="47">
        <f>Inputs!V56*FenceCost*$E$3</f>
        <v/>
      </c>
      <c r="W15" s="47">
        <f>Inputs!W56*FenceCost*$E$3</f>
        <v/>
      </c>
      <c r="X15" s="47">
        <f>Inputs!X56*FenceCost*$E$3</f>
        <v/>
      </c>
      <c r="Y15" s="47">
        <f>Inputs!Y56*FenceCost*$E$3</f>
        <v/>
      </c>
      <c r="Z15" s="47">
        <f>Inputs!Z56*FenceCost*$E$3</f>
        <v/>
      </c>
      <c r="AA15" s="47">
        <f>Inputs!AA56*FenceCost*$E$3</f>
        <v/>
      </c>
      <c r="AB15" s="47">
        <f>Inputs!AB56*FenceCost*$E$3</f>
        <v/>
      </c>
      <c r="AC15" s="47">
        <f>Inputs!AC56*FenceCost*$E$3</f>
        <v/>
      </c>
      <c r="AD15" s="47">
        <f>Inputs!AD56*FenceCost*$E$3</f>
        <v/>
      </c>
      <c r="AE15" s="47">
        <f>Inputs!AE56*FenceCost*$E$3</f>
        <v/>
      </c>
      <c r="AF15" s="48">
        <f>SUM(F15:AE15)</f>
        <v/>
      </c>
    </row>
    <row r="16">
      <c r="B16" s="44">
        <f>"— TPD Spend ("&amp;$G$3&amp;")"</f>
        <v/>
      </c>
      <c r="F16" s="47">
        <f>Inputs!F57*F8*F9*TPDPct</f>
        <v/>
      </c>
      <c r="G16" s="47">
        <f>Inputs!G57*G8*G9*TPDPct</f>
        <v/>
      </c>
      <c r="H16" s="47">
        <f>Inputs!H57*H8*H9*TPDPct</f>
        <v/>
      </c>
      <c r="I16" s="47">
        <f>Inputs!I57*I8*I9*TPDPct</f>
        <v/>
      </c>
      <c r="J16" s="47">
        <f>Inputs!J57*J8*J9*TPDPct</f>
        <v/>
      </c>
      <c r="K16" s="47">
        <f>Inputs!K57*K8*K9*TPDPct</f>
        <v/>
      </c>
      <c r="L16" s="47">
        <f>Inputs!L57*L8*L9*TPDPct</f>
        <v/>
      </c>
      <c r="M16" s="47">
        <f>Inputs!M57*M8*M9*TPDPct</f>
        <v/>
      </c>
      <c r="N16" s="47">
        <f>Inputs!N57*N8*N9*TPDPct</f>
        <v/>
      </c>
      <c r="O16" s="47">
        <f>Inputs!O57*O8*O9*TPDPct</f>
        <v/>
      </c>
      <c r="P16" s="47">
        <f>Inputs!P57*P8*P9*TPDPct</f>
        <v/>
      </c>
      <c r="Q16" s="47">
        <f>Inputs!Q57*Q8*Q9*TPDPct</f>
        <v/>
      </c>
      <c r="R16" s="47">
        <f>Inputs!R57*R8*R9*TPDPct</f>
        <v/>
      </c>
      <c r="S16" s="47">
        <f>Inputs!S57*S8*S9*TPDPct</f>
        <v/>
      </c>
      <c r="T16" s="47">
        <f>Inputs!T57*T8*T9*TPDPct</f>
        <v/>
      </c>
      <c r="U16" s="47">
        <f>Inputs!U57*U8*U9*TPDPct</f>
        <v/>
      </c>
      <c r="V16" s="47">
        <f>Inputs!V57*V8*V9*TPDPct</f>
        <v/>
      </c>
      <c r="W16" s="47">
        <f>Inputs!W57*W8*W9*TPDPct</f>
        <v/>
      </c>
      <c r="X16" s="47">
        <f>Inputs!X57*X8*X9*TPDPct</f>
        <v/>
      </c>
      <c r="Y16" s="47">
        <f>Inputs!Y57*Y8*Y9*TPDPct</f>
        <v/>
      </c>
      <c r="Z16" s="47">
        <f>Inputs!Z57*Z8*Z9*TPDPct</f>
        <v/>
      </c>
      <c r="AA16" s="47">
        <f>Inputs!AA57*AA8*AA9*TPDPct</f>
        <v/>
      </c>
      <c r="AB16" s="47">
        <f>Inputs!AB57*AB8*AB9*TPDPct</f>
        <v/>
      </c>
      <c r="AC16" s="47">
        <f>Inputs!AC57*AC8*AC9*TPDPct</f>
        <v/>
      </c>
      <c r="AD16" s="47">
        <f>Inputs!AD57*AD8*AD9*TPDPct</f>
        <v/>
      </c>
      <c r="AE16" s="47">
        <f>Inputs!AE57*AE8*AE9*TPDPct</f>
        <v/>
      </c>
      <c r="AF16" s="48">
        <f>SUM(F16:AE16)</f>
        <v/>
      </c>
    </row>
    <row r="17">
      <c r="B17" s="44">
        <f>"— Markdown Spend ("&amp;$G$3&amp;")"</f>
        <v/>
      </c>
      <c r="F17" s="47">
        <f>Inputs!F58*F8*F9*MdPct</f>
        <v/>
      </c>
      <c r="G17" s="47">
        <f>Inputs!G58*G8*G9*MdPct</f>
        <v/>
      </c>
      <c r="H17" s="47">
        <f>Inputs!H58*H8*H9*MdPct</f>
        <v/>
      </c>
      <c r="I17" s="47">
        <f>Inputs!I58*I8*I9*MdPct</f>
        <v/>
      </c>
      <c r="J17" s="47">
        <f>Inputs!J58*J8*J9*MdPct</f>
        <v/>
      </c>
      <c r="K17" s="47">
        <f>Inputs!K58*K8*K9*MdPct</f>
        <v/>
      </c>
      <c r="L17" s="47">
        <f>Inputs!L58*L8*L9*MdPct</f>
        <v/>
      </c>
      <c r="M17" s="47">
        <f>Inputs!M58*M8*M9*MdPct</f>
        <v/>
      </c>
      <c r="N17" s="47">
        <f>Inputs!N58*N8*N9*MdPct</f>
        <v/>
      </c>
      <c r="O17" s="47">
        <f>Inputs!O58*O8*O9*MdPct</f>
        <v/>
      </c>
      <c r="P17" s="47">
        <f>Inputs!P58*P8*P9*MdPct</f>
        <v/>
      </c>
      <c r="Q17" s="47">
        <f>Inputs!Q58*Q8*Q9*MdPct</f>
        <v/>
      </c>
      <c r="R17" s="47">
        <f>Inputs!R58*R8*R9*MdPct</f>
        <v/>
      </c>
      <c r="S17" s="47">
        <f>Inputs!S58*S8*S9*MdPct</f>
        <v/>
      </c>
      <c r="T17" s="47">
        <f>Inputs!T58*T8*T9*MdPct</f>
        <v/>
      </c>
      <c r="U17" s="47">
        <f>Inputs!U58*U8*U9*MdPct</f>
        <v/>
      </c>
      <c r="V17" s="47">
        <f>Inputs!V58*V8*V9*MdPct</f>
        <v/>
      </c>
      <c r="W17" s="47">
        <f>Inputs!W58*W8*W9*MdPct</f>
        <v/>
      </c>
      <c r="X17" s="47">
        <f>Inputs!X58*X8*X9*MdPct</f>
        <v/>
      </c>
      <c r="Y17" s="47">
        <f>Inputs!Y58*Y8*Y9*MdPct</f>
        <v/>
      </c>
      <c r="Z17" s="47">
        <f>Inputs!Z58*Z8*Z9*MdPct</f>
        <v/>
      </c>
      <c r="AA17" s="47">
        <f>Inputs!AA58*AA8*AA9*MdPct</f>
        <v/>
      </c>
      <c r="AB17" s="47">
        <f>Inputs!AB58*AB8*AB9*MdPct</f>
        <v/>
      </c>
      <c r="AC17" s="47">
        <f>Inputs!AC58*AC8*AC9*MdPct</f>
        <v/>
      </c>
      <c r="AD17" s="47">
        <f>Inputs!AD58*AD8*AD9*MdPct</f>
        <v/>
      </c>
      <c r="AE17" s="47">
        <f>Inputs!AE58*AE8*AE9*MdPct</f>
        <v/>
      </c>
      <c r="AF17" s="48">
        <f>SUM(F17:AE17)</f>
        <v/>
      </c>
    </row>
    <row r="18">
      <c r="B18" s="44">
        <f>"— Advertising Spend ("&amp;$G$3&amp;")"</f>
        <v/>
      </c>
      <c r="F18" s="47">
        <f>Inputs!F59*AdvertCost*$E$3</f>
        <v/>
      </c>
      <c r="G18" s="47">
        <f>Inputs!G59*AdvertCost*$E$3</f>
        <v/>
      </c>
      <c r="H18" s="47">
        <f>Inputs!H59*AdvertCost*$E$3</f>
        <v/>
      </c>
      <c r="I18" s="47">
        <f>Inputs!I59*AdvertCost*$E$3</f>
        <v/>
      </c>
      <c r="J18" s="47">
        <f>Inputs!J59*AdvertCost*$E$3</f>
        <v/>
      </c>
      <c r="K18" s="47">
        <f>Inputs!K59*AdvertCost*$E$3</f>
        <v/>
      </c>
      <c r="L18" s="47">
        <f>Inputs!L59*AdvertCost*$E$3</f>
        <v/>
      </c>
      <c r="M18" s="47">
        <f>Inputs!M59*AdvertCost*$E$3</f>
        <v/>
      </c>
      <c r="N18" s="47">
        <f>Inputs!N59*AdvertCost*$E$3</f>
        <v/>
      </c>
      <c r="O18" s="47">
        <f>Inputs!O59*AdvertCost*$E$3</f>
        <v/>
      </c>
      <c r="P18" s="47">
        <f>Inputs!P59*AdvertCost*$E$3</f>
        <v/>
      </c>
      <c r="Q18" s="47">
        <f>Inputs!Q59*AdvertCost*$E$3</f>
        <v/>
      </c>
      <c r="R18" s="47">
        <f>Inputs!R59*AdvertCost*$E$3</f>
        <v/>
      </c>
      <c r="S18" s="47">
        <f>Inputs!S59*AdvertCost*$E$3</f>
        <v/>
      </c>
      <c r="T18" s="47">
        <f>Inputs!T59*AdvertCost*$E$3</f>
        <v/>
      </c>
      <c r="U18" s="47">
        <f>Inputs!U59*AdvertCost*$E$3</f>
        <v/>
      </c>
      <c r="V18" s="47">
        <f>Inputs!V59*AdvertCost*$E$3</f>
        <v/>
      </c>
      <c r="W18" s="47">
        <f>Inputs!W59*AdvertCost*$E$3</f>
        <v/>
      </c>
      <c r="X18" s="47">
        <f>Inputs!X59*AdvertCost*$E$3</f>
        <v/>
      </c>
      <c r="Y18" s="47">
        <f>Inputs!Y59*AdvertCost*$E$3</f>
        <v/>
      </c>
      <c r="Z18" s="47">
        <f>Inputs!Z59*AdvertCost*$E$3</f>
        <v/>
      </c>
      <c r="AA18" s="47">
        <f>Inputs!AA59*AdvertCost*$E$3</f>
        <v/>
      </c>
      <c r="AB18" s="47">
        <f>Inputs!AB59*AdvertCost*$E$3</f>
        <v/>
      </c>
      <c r="AC18" s="47">
        <f>Inputs!AC59*AdvertCost*$E$3</f>
        <v/>
      </c>
      <c r="AD18" s="47">
        <f>Inputs!AD59*AdvertCost*$E$3</f>
        <v/>
      </c>
      <c r="AE18" s="47">
        <f>Inputs!AE59*AdvertCost*$E$3</f>
        <v/>
      </c>
      <c r="AF18" s="48">
        <f>SUM(F18:AE18)</f>
        <v/>
      </c>
    </row>
    <row r="19">
      <c r="B19" s="13">
        <f>"Total Promo Spend ("&amp;$G$3&amp;")"</f>
        <v/>
      </c>
      <c r="F19" s="47">
        <f>SUM(F13:F18)</f>
        <v/>
      </c>
      <c r="G19" s="47">
        <f>SUM(G13:G18)</f>
        <v/>
      </c>
      <c r="H19" s="47">
        <f>SUM(H13:H18)</f>
        <v/>
      </c>
      <c r="I19" s="47">
        <f>SUM(I13:I18)</f>
        <v/>
      </c>
      <c r="J19" s="47">
        <f>SUM(J13:J18)</f>
        <v/>
      </c>
      <c r="K19" s="47">
        <f>SUM(K13:K18)</f>
        <v/>
      </c>
      <c r="L19" s="47">
        <f>SUM(L13:L18)</f>
        <v/>
      </c>
      <c r="M19" s="47">
        <f>SUM(M13:M18)</f>
        <v/>
      </c>
      <c r="N19" s="47">
        <f>SUM(N13:N18)</f>
        <v/>
      </c>
      <c r="O19" s="47">
        <f>SUM(O13:O18)</f>
        <v/>
      </c>
      <c r="P19" s="47">
        <f>SUM(P13:P18)</f>
        <v/>
      </c>
      <c r="Q19" s="47">
        <f>SUM(Q13:Q18)</f>
        <v/>
      </c>
      <c r="R19" s="47">
        <f>SUM(R13:R18)</f>
        <v/>
      </c>
      <c r="S19" s="47">
        <f>SUM(S13:S18)</f>
        <v/>
      </c>
      <c r="T19" s="47">
        <f>SUM(T13:T18)</f>
        <v/>
      </c>
      <c r="U19" s="47">
        <f>SUM(U13:U18)</f>
        <v/>
      </c>
      <c r="V19" s="47">
        <f>SUM(V13:V18)</f>
        <v/>
      </c>
      <c r="W19" s="47">
        <f>SUM(W13:W18)</f>
        <v/>
      </c>
      <c r="X19" s="47">
        <f>SUM(X13:X18)</f>
        <v/>
      </c>
      <c r="Y19" s="47">
        <f>SUM(Y13:Y18)</f>
        <v/>
      </c>
      <c r="Z19" s="47">
        <f>SUM(Z13:Z18)</f>
        <v/>
      </c>
      <c r="AA19" s="47">
        <f>SUM(AA13:AA18)</f>
        <v/>
      </c>
      <c r="AB19" s="47">
        <f>SUM(AB13:AB18)</f>
        <v/>
      </c>
      <c r="AC19" s="47">
        <f>SUM(AC13:AC18)</f>
        <v/>
      </c>
      <c r="AD19" s="47">
        <f>SUM(AD13:AD18)</f>
        <v/>
      </c>
      <c r="AE19" s="47">
        <f>SUM(AE13:AE18)</f>
        <v/>
      </c>
      <c r="AF19" s="48">
        <f>SUM(F19:AE19)</f>
        <v/>
      </c>
    </row>
    <row r="20">
      <c r="B20" s="49">
        <f>"Gross Profit ("&amp;$G$3&amp;")"</f>
        <v/>
      </c>
      <c r="F20" s="47">
        <f>F10-F12</f>
        <v/>
      </c>
      <c r="G20" s="47">
        <f>G10-G12</f>
        <v/>
      </c>
      <c r="H20" s="47">
        <f>H10-H12</f>
        <v/>
      </c>
      <c r="I20" s="47">
        <f>I10-I12</f>
        <v/>
      </c>
      <c r="J20" s="47">
        <f>J10-J12</f>
        <v/>
      </c>
      <c r="K20" s="47">
        <f>K10-K12</f>
        <v/>
      </c>
      <c r="L20" s="47">
        <f>L10-L12</f>
        <v/>
      </c>
      <c r="M20" s="47">
        <f>M10-M12</f>
        <v/>
      </c>
      <c r="N20" s="47">
        <f>N10-N12</f>
        <v/>
      </c>
      <c r="O20" s="47">
        <f>O10-O12</f>
        <v/>
      </c>
      <c r="P20" s="47">
        <f>P10-P12</f>
        <v/>
      </c>
      <c r="Q20" s="47">
        <f>Q10-Q12</f>
        <v/>
      </c>
      <c r="R20" s="47">
        <f>R10-R12</f>
        <v/>
      </c>
      <c r="S20" s="47">
        <f>S10-S12</f>
        <v/>
      </c>
      <c r="T20" s="47">
        <f>T10-T12</f>
        <v/>
      </c>
      <c r="U20" s="47">
        <f>U10-U12</f>
        <v/>
      </c>
      <c r="V20" s="47">
        <f>V10-V12</f>
        <v/>
      </c>
      <c r="W20" s="47">
        <f>W10-W12</f>
        <v/>
      </c>
      <c r="X20" s="47">
        <f>X10-X12</f>
        <v/>
      </c>
      <c r="Y20" s="47">
        <f>Y10-Y12</f>
        <v/>
      </c>
      <c r="Z20" s="47">
        <f>Z10-Z12</f>
        <v/>
      </c>
      <c r="AA20" s="47">
        <f>AA10-AA12</f>
        <v/>
      </c>
      <c r="AB20" s="47">
        <f>AB10-AB12</f>
        <v/>
      </c>
      <c r="AC20" s="47">
        <f>AC10-AC12</f>
        <v/>
      </c>
      <c r="AD20" s="47">
        <f>AD10-AD12</f>
        <v/>
      </c>
      <c r="AE20" s="47">
        <f>AE10-AE12</f>
        <v/>
      </c>
      <c r="AF20" s="48">
        <f>SUM(F20:AE20)</f>
        <v/>
      </c>
    </row>
    <row r="21">
      <c r="B21" s="49">
        <f>"Net Profit after promo ("&amp;$G$3&amp;")"</f>
        <v/>
      </c>
      <c r="F21" s="47">
        <f>F20-F19</f>
        <v/>
      </c>
      <c r="G21" s="47">
        <f>G20-G19</f>
        <v/>
      </c>
      <c r="H21" s="47">
        <f>H20-H19</f>
        <v/>
      </c>
      <c r="I21" s="47">
        <f>I20-I19</f>
        <v/>
      </c>
      <c r="J21" s="47">
        <f>J20-J19</f>
        <v/>
      </c>
      <c r="K21" s="47">
        <f>K20-K19</f>
        <v/>
      </c>
      <c r="L21" s="47">
        <f>L20-L19</f>
        <v/>
      </c>
      <c r="M21" s="47">
        <f>M20-M19</f>
        <v/>
      </c>
      <c r="N21" s="47">
        <f>N20-N19</f>
        <v/>
      </c>
      <c r="O21" s="47">
        <f>O20-O19</f>
        <v/>
      </c>
      <c r="P21" s="47">
        <f>P20-P19</f>
        <v/>
      </c>
      <c r="Q21" s="47">
        <f>Q20-Q19</f>
        <v/>
      </c>
      <c r="R21" s="47">
        <f>R20-R19</f>
        <v/>
      </c>
      <c r="S21" s="47">
        <f>S20-S19</f>
        <v/>
      </c>
      <c r="T21" s="47">
        <f>T20-T19</f>
        <v/>
      </c>
      <c r="U21" s="47">
        <f>U20-U19</f>
        <v/>
      </c>
      <c r="V21" s="47">
        <f>V20-V19</f>
        <v/>
      </c>
      <c r="W21" s="47">
        <f>W20-W19</f>
        <v/>
      </c>
      <c r="X21" s="47">
        <f>X20-X19</f>
        <v/>
      </c>
      <c r="Y21" s="47">
        <f>Y20-Y19</f>
        <v/>
      </c>
      <c r="Z21" s="47">
        <f>Z20-Z19</f>
        <v/>
      </c>
      <c r="AA21" s="47">
        <f>AA20-AA19</f>
        <v/>
      </c>
      <c r="AB21" s="47">
        <f>AB20-AB19</f>
        <v/>
      </c>
      <c r="AC21" s="47">
        <f>AC20-AC19</f>
        <v/>
      </c>
      <c r="AD21" s="47">
        <f>AD20-AD19</f>
        <v/>
      </c>
      <c r="AE21" s="47">
        <f>AE20-AE19</f>
        <v/>
      </c>
      <c r="AF21" s="48">
        <f>SUM(F21:AE21)</f>
        <v/>
      </c>
    </row>
    <row r="24" ht="22" customHeight="1">
      <c r="B24" s="33" t="inlineStr">
        <is>
          <t>IDEAL – x2 Demo + End Cap (Wks 5-6) + TPD</t>
        </is>
      </c>
    </row>
    <row r="25">
      <c r="B25" s="34" t="inlineStr">
        <is>
          <t>Week</t>
        </is>
      </c>
      <c r="F25" s="18" t="inlineStr">
        <is>
          <t>W1</t>
        </is>
      </c>
      <c r="G25" s="18" t="inlineStr">
        <is>
          <t>W2</t>
        </is>
      </c>
      <c r="H25" s="18" t="inlineStr">
        <is>
          <t>W3</t>
        </is>
      </c>
      <c r="I25" s="18" t="inlineStr">
        <is>
          <t>W4</t>
        </is>
      </c>
      <c r="J25" s="18" t="inlineStr">
        <is>
          <t>W5</t>
        </is>
      </c>
      <c r="K25" s="18" t="inlineStr">
        <is>
          <t>W6</t>
        </is>
      </c>
      <c r="L25" s="18" t="inlineStr">
        <is>
          <t>W7</t>
        </is>
      </c>
      <c r="M25" s="18" t="inlineStr">
        <is>
          <t>W8</t>
        </is>
      </c>
      <c r="N25" s="18" t="inlineStr">
        <is>
          <t>W9</t>
        </is>
      </c>
      <c r="O25" s="18" t="inlineStr">
        <is>
          <t>W10</t>
        </is>
      </c>
      <c r="P25" s="18" t="inlineStr">
        <is>
          <t>W11</t>
        </is>
      </c>
      <c r="Q25" s="18" t="inlineStr">
        <is>
          <t>W12</t>
        </is>
      </c>
      <c r="R25" s="18" t="inlineStr">
        <is>
          <t>W13</t>
        </is>
      </c>
      <c r="S25" s="18" t="inlineStr">
        <is>
          <t>W14</t>
        </is>
      </c>
      <c r="T25" s="18" t="inlineStr">
        <is>
          <t>W15</t>
        </is>
      </c>
      <c r="U25" s="18" t="inlineStr">
        <is>
          <t>W16</t>
        </is>
      </c>
      <c r="V25" s="18" t="inlineStr">
        <is>
          <t>W17</t>
        </is>
      </c>
      <c r="W25" s="18" t="inlineStr">
        <is>
          <t>W18</t>
        </is>
      </c>
      <c r="X25" s="18" t="inlineStr">
        <is>
          <t>W19</t>
        </is>
      </c>
      <c r="Y25" s="18" t="inlineStr">
        <is>
          <t>W20</t>
        </is>
      </c>
      <c r="Z25" s="18" t="inlineStr">
        <is>
          <t>W21</t>
        </is>
      </c>
      <c r="AA25" s="18" t="inlineStr">
        <is>
          <t>W22</t>
        </is>
      </c>
      <c r="AB25" s="18" t="inlineStr">
        <is>
          <t>W23</t>
        </is>
      </c>
      <c r="AC25" s="18" t="inlineStr">
        <is>
          <t>W24</t>
        </is>
      </c>
      <c r="AD25" s="18" t="inlineStr">
        <is>
          <t>W25</t>
        </is>
      </c>
      <c r="AE25" s="18" t="inlineStr">
        <is>
          <t>W26</t>
        </is>
      </c>
      <c r="AF25" s="40" t="inlineStr">
        <is>
          <t>TOTAL</t>
        </is>
      </c>
    </row>
    <row r="26">
      <c r="B26" s="34" t="inlineStr">
        <is>
          <t>Wk-commencing</t>
        </is>
      </c>
      <c r="F26" s="35">
        <f>StartDate+7*0</f>
        <v/>
      </c>
      <c r="G26" s="35">
        <f>StartDate+7*1</f>
        <v/>
      </c>
      <c r="H26" s="35">
        <f>StartDate+7*2</f>
        <v/>
      </c>
      <c r="I26" s="35">
        <f>StartDate+7*3</f>
        <v/>
      </c>
      <c r="J26" s="35">
        <f>StartDate+7*4</f>
        <v/>
      </c>
      <c r="K26" s="35">
        <f>StartDate+7*5</f>
        <v/>
      </c>
      <c r="L26" s="35">
        <f>StartDate+7*6</f>
        <v/>
      </c>
      <c r="M26" s="35">
        <f>StartDate+7*7</f>
        <v/>
      </c>
      <c r="N26" s="35">
        <f>StartDate+7*8</f>
        <v/>
      </c>
      <c r="O26" s="35">
        <f>StartDate+7*9</f>
        <v/>
      </c>
      <c r="P26" s="35">
        <f>StartDate+7*10</f>
        <v/>
      </c>
      <c r="Q26" s="35">
        <f>StartDate+7*11</f>
        <v/>
      </c>
      <c r="R26" s="35">
        <f>StartDate+7*12</f>
        <v/>
      </c>
      <c r="S26" s="35">
        <f>StartDate+7*13</f>
        <v/>
      </c>
      <c r="T26" s="35">
        <f>StartDate+7*14</f>
        <v/>
      </c>
      <c r="U26" s="35">
        <f>StartDate+7*15</f>
        <v/>
      </c>
      <c r="V26" s="35">
        <f>StartDate+7*16</f>
        <v/>
      </c>
      <c r="W26" s="35">
        <f>StartDate+7*17</f>
        <v/>
      </c>
      <c r="X26" s="35">
        <f>StartDate+7*18</f>
        <v/>
      </c>
      <c r="Y26" s="35">
        <f>StartDate+7*19</f>
        <v/>
      </c>
      <c r="Z26" s="35">
        <f>StartDate+7*20</f>
        <v/>
      </c>
      <c r="AA26" s="35">
        <f>StartDate+7*21</f>
        <v/>
      </c>
      <c r="AB26" s="35">
        <f>StartDate+7*22</f>
        <v/>
      </c>
      <c r="AC26" s="35">
        <f>StartDate+7*23</f>
        <v/>
      </c>
      <c r="AD26" s="35">
        <f>StartDate+7*24</f>
        <v/>
      </c>
      <c r="AE26" s="35">
        <f>StartDate+7*25</f>
        <v/>
      </c>
      <c r="AF26" s="41" t="inlineStr"/>
    </row>
    <row r="27">
      <c r="B27" s="13" t="inlineStr">
        <is>
          <t>POS Units</t>
        </is>
      </c>
      <c r="F27" s="42">
        <f>ROUND(BaseUnits*Inputs!F72,0)</f>
        <v/>
      </c>
      <c r="G27" s="42">
        <f>ROUND(BaseUnits*Inputs!G72,0)</f>
        <v/>
      </c>
      <c r="H27" s="42">
        <f>ROUND(BaseUnits*Inputs!H72,0)</f>
        <v/>
      </c>
      <c r="I27" s="42">
        <f>ROUND(BaseUnits*Inputs!I72,0)</f>
        <v/>
      </c>
      <c r="J27" s="42">
        <f>ROUND(BaseUnits*Inputs!J72,0)</f>
        <v/>
      </c>
      <c r="K27" s="42">
        <f>ROUND(BaseUnits*Inputs!K72,0)</f>
        <v/>
      </c>
      <c r="L27" s="42">
        <f>ROUND(BaseUnits*Inputs!L72,0)</f>
        <v/>
      </c>
      <c r="M27" s="42">
        <f>ROUND(BaseUnits*Inputs!M72,0)</f>
        <v/>
      </c>
      <c r="N27" s="42">
        <f>ROUND(BaseUnits*Inputs!N72,0)</f>
        <v/>
      </c>
      <c r="O27" s="42">
        <f>ROUND(BaseUnits*Inputs!O72,0)</f>
        <v/>
      </c>
      <c r="P27" s="42">
        <f>ROUND(BaseUnits*Inputs!P72,0)</f>
        <v/>
      </c>
      <c r="Q27" s="42">
        <f>ROUND(BaseUnits*Inputs!Q72,0)</f>
        <v/>
      </c>
      <c r="R27" s="42">
        <f>ROUND(BaseUnits*Inputs!R72,0)</f>
        <v/>
      </c>
      <c r="S27" s="42">
        <f>ROUND(BaseUnits*Inputs!S72,0)</f>
        <v/>
      </c>
      <c r="T27" s="42">
        <f>ROUND(BaseUnits*Inputs!T72,0)</f>
        <v/>
      </c>
      <c r="U27" s="42">
        <f>ROUND(BaseUnits*Inputs!U72,0)</f>
        <v/>
      </c>
      <c r="V27" s="42">
        <f>ROUND(BaseUnits*Inputs!V72,0)</f>
        <v/>
      </c>
      <c r="W27" s="42">
        <f>ROUND(BaseUnits*Inputs!W72,0)</f>
        <v/>
      </c>
      <c r="X27" s="42">
        <f>ROUND(BaseUnits*Inputs!X72,0)</f>
        <v/>
      </c>
      <c r="Y27" s="42">
        <f>ROUND(BaseUnits*Inputs!Y72,0)</f>
        <v/>
      </c>
      <c r="Z27" s="42">
        <f>ROUND(BaseUnits*Inputs!Z72,0)</f>
        <v/>
      </c>
      <c r="AA27" s="42">
        <f>ROUND(BaseUnits*Inputs!AA72,0)</f>
        <v/>
      </c>
      <c r="AB27" s="42">
        <f>ROUND(BaseUnits*Inputs!AB72,0)</f>
        <v/>
      </c>
      <c r="AC27" s="42">
        <f>ROUND(BaseUnits*Inputs!AC72,0)</f>
        <v/>
      </c>
      <c r="AD27" s="42">
        <f>ROUND(BaseUnits*Inputs!AD72,0)</f>
        <v/>
      </c>
      <c r="AE27" s="42">
        <f>ROUND(BaseUnits*Inputs!AE72,0)</f>
        <v/>
      </c>
      <c r="AF27" s="43">
        <f>SUM(F27:AE27)</f>
        <v/>
      </c>
    </row>
    <row r="28">
      <c r="B28" s="44">
        <f>"Selling Price ("&amp;$G$3&amp;")"</f>
        <v/>
      </c>
      <c r="F28" s="45">
        <f>Price*$E$3</f>
        <v/>
      </c>
      <c r="G28" s="45">
        <f>Price*$E$3</f>
        <v/>
      </c>
      <c r="H28" s="45">
        <f>Price*$E$3</f>
        <v/>
      </c>
      <c r="I28" s="45">
        <f>Price*$E$3</f>
        <v/>
      </c>
      <c r="J28" s="45">
        <f>Price*$E$3</f>
        <v/>
      </c>
      <c r="K28" s="45">
        <f>Price*$E$3</f>
        <v/>
      </c>
      <c r="L28" s="45">
        <f>Price*$E$3</f>
        <v/>
      </c>
      <c r="M28" s="45">
        <f>Price*$E$3</f>
        <v/>
      </c>
      <c r="N28" s="45">
        <f>Price*$E$3</f>
        <v/>
      </c>
      <c r="O28" s="45">
        <f>Price*$E$3</f>
        <v/>
      </c>
      <c r="P28" s="45">
        <f>Price*$E$3</f>
        <v/>
      </c>
      <c r="Q28" s="45">
        <f>Price*$E$3</f>
        <v/>
      </c>
      <c r="R28" s="45">
        <f>Price*$E$3</f>
        <v/>
      </c>
      <c r="S28" s="45">
        <f>Price*$E$3</f>
        <v/>
      </c>
      <c r="T28" s="45">
        <f>Price*$E$3</f>
        <v/>
      </c>
      <c r="U28" s="45">
        <f>Price*$E$3</f>
        <v/>
      </c>
      <c r="V28" s="45">
        <f>Price*$E$3</f>
        <v/>
      </c>
      <c r="W28" s="45">
        <f>Price*$E$3</f>
        <v/>
      </c>
      <c r="X28" s="45">
        <f>Price*$E$3</f>
        <v/>
      </c>
      <c r="Y28" s="45">
        <f>Price*$E$3</f>
        <v/>
      </c>
      <c r="Z28" s="45">
        <f>Price*$E$3</f>
        <v/>
      </c>
      <c r="AA28" s="45">
        <f>Price*$E$3</f>
        <v/>
      </c>
      <c r="AB28" s="45">
        <f>Price*$E$3</f>
        <v/>
      </c>
      <c r="AC28" s="45">
        <f>Price*$E$3</f>
        <v/>
      </c>
      <c r="AD28" s="45">
        <f>Price*$E$3</f>
        <v/>
      </c>
      <c r="AE28" s="45">
        <f>Price*$E$3</f>
        <v/>
      </c>
      <c r="AF28" s="46">
        <f>Price*$E$3</f>
        <v/>
      </c>
    </row>
    <row r="29">
      <c r="B29" s="13">
        <f>"Revenue ("&amp;$G$3&amp;")"</f>
        <v/>
      </c>
      <c r="F29" s="47">
        <f>F27*F28</f>
        <v/>
      </c>
      <c r="G29" s="47">
        <f>G27*G28</f>
        <v/>
      </c>
      <c r="H29" s="47">
        <f>H27*H28</f>
        <v/>
      </c>
      <c r="I29" s="47">
        <f>I27*I28</f>
        <v/>
      </c>
      <c r="J29" s="47">
        <f>J27*J28</f>
        <v/>
      </c>
      <c r="K29" s="47">
        <f>K27*K28</f>
        <v/>
      </c>
      <c r="L29" s="47">
        <f>L27*L28</f>
        <v/>
      </c>
      <c r="M29" s="47">
        <f>M27*M28</f>
        <v/>
      </c>
      <c r="N29" s="47">
        <f>N27*N28</f>
        <v/>
      </c>
      <c r="O29" s="47">
        <f>O27*O28</f>
        <v/>
      </c>
      <c r="P29" s="47">
        <f>P27*P28</f>
        <v/>
      </c>
      <c r="Q29" s="47">
        <f>Q27*Q28</f>
        <v/>
      </c>
      <c r="R29" s="47">
        <f>R27*R28</f>
        <v/>
      </c>
      <c r="S29" s="47">
        <f>S27*S28</f>
        <v/>
      </c>
      <c r="T29" s="47">
        <f>T27*T28</f>
        <v/>
      </c>
      <c r="U29" s="47">
        <f>U27*U28</f>
        <v/>
      </c>
      <c r="V29" s="47">
        <f>V27*V28</f>
        <v/>
      </c>
      <c r="W29" s="47">
        <f>W27*W28</f>
        <v/>
      </c>
      <c r="X29" s="47">
        <f>X27*X28</f>
        <v/>
      </c>
      <c r="Y29" s="47">
        <f>Y27*Y28</f>
        <v/>
      </c>
      <c r="Z29" s="47">
        <f>Z27*Z28</f>
        <v/>
      </c>
      <c r="AA29" s="47">
        <f>AA27*AA28</f>
        <v/>
      </c>
      <c r="AB29" s="47">
        <f>AB27*AB28</f>
        <v/>
      </c>
      <c r="AC29" s="47">
        <f>AC27*AC28</f>
        <v/>
      </c>
      <c r="AD29" s="47">
        <f>AD27*AD28</f>
        <v/>
      </c>
      <c r="AE29" s="47">
        <f>AE27*AE28</f>
        <v/>
      </c>
      <c r="AF29" s="48">
        <f>SUM(F29:AE29)</f>
        <v/>
      </c>
    </row>
    <row r="30">
      <c r="B30" s="44">
        <f>"Cost Price ("&amp;$G$3&amp;")"</f>
        <v/>
      </c>
      <c r="F30" s="45">
        <f>Cost*$E$3</f>
        <v/>
      </c>
      <c r="G30" s="45">
        <f>Cost*$E$3</f>
        <v/>
      </c>
      <c r="H30" s="45">
        <f>Cost*$E$3</f>
        <v/>
      </c>
      <c r="I30" s="45">
        <f>Cost*$E$3</f>
        <v/>
      </c>
      <c r="J30" s="45">
        <f>Cost*$E$3</f>
        <v/>
      </c>
      <c r="K30" s="45">
        <f>Cost*$E$3</f>
        <v/>
      </c>
      <c r="L30" s="45">
        <f>Cost*$E$3</f>
        <v/>
      </c>
      <c r="M30" s="45">
        <f>Cost*$E$3</f>
        <v/>
      </c>
      <c r="N30" s="45">
        <f>Cost*$E$3</f>
        <v/>
      </c>
      <c r="O30" s="45">
        <f>Cost*$E$3</f>
        <v/>
      </c>
      <c r="P30" s="45">
        <f>Cost*$E$3</f>
        <v/>
      </c>
      <c r="Q30" s="45">
        <f>Cost*$E$3</f>
        <v/>
      </c>
      <c r="R30" s="45">
        <f>Cost*$E$3</f>
        <v/>
      </c>
      <c r="S30" s="45">
        <f>Cost*$E$3</f>
        <v/>
      </c>
      <c r="T30" s="45">
        <f>Cost*$E$3</f>
        <v/>
      </c>
      <c r="U30" s="45">
        <f>Cost*$E$3</f>
        <v/>
      </c>
      <c r="V30" s="45">
        <f>Cost*$E$3</f>
        <v/>
      </c>
      <c r="W30" s="45">
        <f>Cost*$E$3</f>
        <v/>
      </c>
      <c r="X30" s="45">
        <f>Cost*$E$3</f>
        <v/>
      </c>
      <c r="Y30" s="45">
        <f>Cost*$E$3</f>
        <v/>
      </c>
      <c r="Z30" s="45">
        <f>Cost*$E$3</f>
        <v/>
      </c>
      <c r="AA30" s="45">
        <f>Cost*$E$3</f>
        <v/>
      </c>
      <c r="AB30" s="45">
        <f>Cost*$E$3</f>
        <v/>
      </c>
      <c r="AC30" s="45">
        <f>Cost*$E$3</f>
        <v/>
      </c>
      <c r="AD30" s="45">
        <f>Cost*$E$3</f>
        <v/>
      </c>
      <c r="AE30" s="45">
        <f>Cost*$E$3</f>
        <v/>
      </c>
      <c r="AF30" s="46">
        <f>Cost*$E$3</f>
        <v/>
      </c>
    </row>
    <row r="31">
      <c r="B31" s="13">
        <f>"Raw COGS ("&amp;$G$3&amp;")"</f>
        <v/>
      </c>
      <c r="F31" s="47">
        <f>F27*F30</f>
        <v/>
      </c>
      <c r="G31" s="47">
        <f>G27*G30</f>
        <v/>
      </c>
      <c r="H31" s="47">
        <f>H27*H30</f>
        <v/>
      </c>
      <c r="I31" s="47">
        <f>I27*I30</f>
        <v/>
      </c>
      <c r="J31" s="47">
        <f>J27*J30</f>
        <v/>
      </c>
      <c r="K31" s="47">
        <f>K27*K30</f>
        <v/>
      </c>
      <c r="L31" s="47">
        <f>L27*L30</f>
        <v/>
      </c>
      <c r="M31" s="47">
        <f>M27*M30</f>
        <v/>
      </c>
      <c r="N31" s="47">
        <f>N27*N30</f>
        <v/>
      </c>
      <c r="O31" s="47">
        <f>O27*O30</f>
        <v/>
      </c>
      <c r="P31" s="47">
        <f>P27*P30</f>
        <v/>
      </c>
      <c r="Q31" s="47">
        <f>Q27*Q30</f>
        <v/>
      </c>
      <c r="R31" s="47">
        <f>R27*R30</f>
        <v/>
      </c>
      <c r="S31" s="47">
        <f>S27*S30</f>
        <v/>
      </c>
      <c r="T31" s="47">
        <f>T27*T30</f>
        <v/>
      </c>
      <c r="U31" s="47">
        <f>U27*U30</f>
        <v/>
      </c>
      <c r="V31" s="47">
        <f>V27*V30</f>
        <v/>
      </c>
      <c r="W31" s="47">
        <f>W27*W30</f>
        <v/>
      </c>
      <c r="X31" s="47">
        <f>X27*X30</f>
        <v/>
      </c>
      <c r="Y31" s="47">
        <f>Y27*Y30</f>
        <v/>
      </c>
      <c r="Z31" s="47">
        <f>Z27*Z30</f>
        <v/>
      </c>
      <c r="AA31" s="47">
        <f>AA27*AA30</f>
        <v/>
      </c>
      <c r="AB31" s="47">
        <f>AB27*AB30</f>
        <v/>
      </c>
      <c r="AC31" s="47">
        <f>AC27*AC30</f>
        <v/>
      </c>
      <c r="AD31" s="47">
        <f>AD27*AD30</f>
        <v/>
      </c>
      <c r="AE31" s="47">
        <f>AE27*AE30</f>
        <v/>
      </c>
      <c r="AF31" s="48">
        <f>SUM(F31:AE31)</f>
        <v/>
      </c>
    </row>
    <row r="32">
      <c r="B32" s="44">
        <f>"— Demo Spend ("&amp;$G$3&amp;")"</f>
        <v/>
      </c>
      <c r="F32" s="47">
        <f>Inputs!F66*DemoCost*$E$3</f>
        <v/>
      </c>
      <c r="G32" s="47">
        <f>Inputs!G66*DemoCost*$E$3</f>
        <v/>
      </c>
      <c r="H32" s="47">
        <f>Inputs!H66*DemoCost*$E$3</f>
        <v/>
      </c>
      <c r="I32" s="47">
        <f>Inputs!I66*DemoCost*$E$3</f>
        <v/>
      </c>
      <c r="J32" s="47">
        <f>Inputs!J66*DemoCost*$E$3</f>
        <v/>
      </c>
      <c r="K32" s="47">
        <f>Inputs!K66*DemoCost*$E$3</f>
        <v/>
      </c>
      <c r="L32" s="47">
        <f>Inputs!L66*DemoCost*$E$3</f>
        <v/>
      </c>
      <c r="M32" s="47">
        <f>Inputs!M66*DemoCost*$E$3</f>
        <v/>
      </c>
      <c r="N32" s="47">
        <f>Inputs!N66*DemoCost*$E$3</f>
        <v/>
      </c>
      <c r="O32" s="47">
        <f>Inputs!O66*DemoCost*$E$3</f>
        <v/>
      </c>
      <c r="P32" s="47">
        <f>Inputs!P66*DemoCost*$E$3</f>
        <v/>
      </c>
      <c r="Q32" s="47">
        <f>Inputs!Q66*DemoCost*$E$3</f>
        <v/>
      </c>
      <c r="R32" s="47">
        <f>Inputs!R66*DemoCost*$E$3</f>
        <v/>
      </c>
      <c r="S32" s="47">
        <f>Inputs!S66*DemoCost*$E$3</f>
        <v/>
      </c>
      <c r="T32" s="47">
        <f>Inputs!T66*DemoCost*$E$3</f>
        <v/>
      </c>
      <c r="U32" s="47">
        <f>Inputs!U66*DemoCost*$E$3</f>
        <v/>
      </c>
      <c r="V32" s="47">
        <f>Inputs!V66*DemoCost*$E$3</f>
        <v/>
      </c>
      <c r="W32" s="47">
        <f>Inputs!W66*DemoCost*$E$3</f>
        <v/>
      </c>
      <c r="X32" s="47">
        <f>Inputs!X66*DemoCost*$E$3</f>
        <v/>
      </c>
      <c r="Y32" s="47">
        <f>Inputs!Y66*DemoCost*$E$3</f>
        <v/>
      </c>
      <c r="Z32" s="47">
        <f>Inputs!Z66*DemoCost*$E$3</f>
        <v/>
      </c>
      <c r="AA32" s="47">
        <f>Inputs!AA66*DemoCost*$E$3</f>
        <v/>
      </c>
      <c r="AB32" s="47">
        <f>Inputs!AB66*DemoCost*$E$3</f>
        <v/>
      </c>
      <c r="AC32" s="47">
        <f>Inputs!AC66*DemoCost*$E$3</f>
        <v/>
      </c>
      <c r="AD32" s="47">
        <f>Inputs!AD66*DemoCost*$E$3</f>
        <v/>
      </c>
      <c r="AE32" s="47">
        <f>Inputs!AE66*DemoCost*$E$3</f>
        <v/>
      </c>
      <c r="AF32" s="48">
        <f>SUM(F32:AE32)</f>
        <v/>
      </c>
    </row>
    <row r="33">
      <c r="B33" s="44">
        <f>"— End Cap Spend ("&amp;$G$3&amp;")"</f>
        <v/>
      </c>
      <c r="F33" s="47">
        <f>Inputs!F67*EndCapCost*$E$3</f>
        <v/>
      </c>
      <c r="G33" s="47">
        <f>Inputs!G67*EndCapCost*$E$3</f>
        <v/>
      </c>
      <c r="H33" s="47">
        <f>Inputs!H67*EndCapCost*$E$3</f>
        <v/>
      </c>
      <c r="I33" s="47">
        <f>Inputs!I67*EndCapCost*$E$3</f>
        <v/>
      </c>
      <c r="J33" s="47">
        <f>Inputs!J67*EndCapCost*$E$3</f>
        <v/>
      </c>
      <c r="K33" s="47">
        <f>Inputs!K67*EndCapCost*$E$3</f>
        <v/>
      </c>
      <c r="L33" s="47">
        <f>Inputs!L67*EndCapCost*$E$3</f>
        <v/>
      </c>
      <c r="M33" s="47">
        <f>Inputs!M67*EndCapCost*$E$3</f>
        <v/>
      </c>
      <c r="N33" s="47">
        <f>Inputs!N67*EndCapCost*$E$3</f>
        <v/>
      </c>
      <c r="O33" s="47">
        <f>Inputs!O67*EndCapCost*$E$3</f>
        <v/>
      </c>
      <c r="P33" s="47">
        <f>Inputs!P67*EndCapCost*$E$3</f>
        <v/>
      </c>
      <c r="Q33" s="47">
        <f>Inputs!Q67*EndCapCost*$E$3</f>
        <v/>
      </c>
      <c r="R33" s="47">
        <f>Inputs!R67*EndCapCost*$E$3</f>
        <v/>
      </c>
      <c r="S33" s="47">
        <f>Inputs!S67*EndCapCost*$E$3</f>
        <v/>
      </c>
      <c r="T33" s="47">
        <f>Inputs!T67*EndCapCost*$E$3</f>
        <v/>
      </c>
      <c r="U33" s="47">
        <f>Inputs!U67*EndCapCost*$E$3</f>
        <v/>
      </c>
      <c r="V33" s="47">
        <f>Inputs!V67*EndCapCost*$E$3</f>
        <v/>
      </c>
      <c r="W33" s="47">
        <f>Inputs!W67*EndCapCost*$E$3</f>
        <v/>
      </c>
      <c r="X33" s="47">
        <f>Inputs!X67*EndCapCost*$E$3</f>
        <v/>
      </c>
      <c r="Y33" s="47">
        <f>Inputs!Y67*EndCapCost*$E$3</f>
        <v/>
      </c>
      <c r="Z33" s="47">
        <f>Inputs!Z67*EndCapCost*$E$3</f>
        <v/>
      </c>
      <c r="AA33" s="47">
        <f>Inputs!AA67*EndCapCost*$E$3</f>
        <v/>
      </c>
      <c r="AB33" s="47">
        <f>Inputs!AB67*EndCapCost*$E$3</f>
        <v/>
      </c>
      <c r="AC33" s="47">
        <f>Inputs!AC67*EndCapCost*$E$3</f>
        <v/>
      </c>
      <c r="AD33" s="47">
        <f>Inputs!AD67*EndCapCost*$E$3</f>
        <v/>
      </c>
      <c r="AE33" s="47">
        <f>Inputs!AE67*EndCapCost*$E$3</f>
        <v/>
      </c>
      <c r="AF33" s="48">
        <f>SUM(F33:AE33)</f>
        <v/>
      </c>
    </row>
    <row r="34">
      <c r="B34" s="44">
        <f>"— Fence Spend ("&amp;$G$3&amp;")"</f>
        <v/>
      </c>
      <c r="F34" s="47">
        <f>Inputs!F68*FenceCost*$E$3</f>
        <v/>
      </c>
      <c r="G34" s="47">
        <f>Inputs!G68*FenceCost*$E$3</f>
        <v/>
      </c>
      <c r="H34" s="47">
        <f>Inputs!H68*FenceCost*$E$3</f>
        <v/>
      </c>
      <c r="I34" s="47">
        <f>Inputs!I68*FenceCost*$E$3</f>
        <v/>
      </c>
      <c r="J34" s="47">
        <f>Inputs!J68*FenceCost*$E$3</f>
        <v/>
      </c>
      <c r="K34" s="47">
        <f>Inputs!K68*FenceCost*$E$3</f>
        <v/>
      </c>
      <c r="L34" s="47">
        <f>Inputs!L68*FenceCost*$E$3</f>
        <v/>
      </c>
      <c r="M34" s="47">
        <f>Inputs!M68*FenceCost*$E$3</f>
        <v/>
      </c>
      <c r="N34" s="47">
        <f>Inputs!N68*FenceCost*$E$3</f>
        <v/>
      </c>
      <c r="O34" s="47">
        <f>Inputs!O68*FenceCost*$E$3</f>
        <v/>
      </c>
      <c r="P34" s="47">
        <f>Inputs!P68*FenceCost*$E$3</f>
        <v/>
      </c>
      <c r="Q34" s="47">
        <f>Inputs!Q68*FenceCost*$E$3</f>
        <v/>
      </c>
      <c r="R34" s="47">
        <f>Inputs!R68*FenceCost*$E$3</f>
        <v/>
      </c>
      <c r="S34" s="47">
        <f>Inputs!S68*FenceCost*$E$3</f>
        <v/>
      </c>
      <c r="T34" s="47">
        <f>Inputs!T68*FenceCost*$E$3</f>
        <v/>
      </c>
      <c r="U34" s="47">
        <f>Inputs!U68*FenceCost*$E$3</f>
        <v/>
      </c>
      <c r="V34" s="47">
        <f>Inputs!V68*FenceCost*$E$3</f>
        <v/>
      </c>
      <c r="W34" s="47">
        <f>Inputs!W68*FenceCost*$E$3</f>
        <v/>
      </c>
      <c r="X34" s="47">
        <f>Inputs!X68*FenceCost*$E$3</f>
        <v/>
      </c>
      <c r="Y34" s="47">
        <f>Inputs!Y68*FenceCost*$E$3</f>
        <v/>
      </c>
      <c r="Z34" s="47">
        <f>Inputs!Z68*FenceCost*$E$3</f>
        <v/>
      </c>
      <c r="AA34" s="47">
        <f>Inputs!AA68*FenceCost*$E$3</f>
        <v/>
      </c>
      <c r="AB34" s="47">
        <f>Inputs!AB68*FenceCost*$E$3</f>
        <v/>
      </c>
      <c r="AC34" s="47">
        <f>Inputs!AC68*FenceCost*$E$3</f>
        <v/>
      </c>
      <c r="AD34" s="47">
        <f>Inputs!AD68*FenceCost*$E$3</f>
        <v/>
      </c>
      <c r="AE34" s="47">
        <f>Inputs!AE68*FenceCost*$E$3</f>
        <v/>
      </c>
      <c r="AF34" s="48">
        <f>SUM(F34:AE34)</f>
        <v/>
      </c>
    </row>
    <row r="35">
      <c r="B35" s="44">
        <f>"— TPD Spend ("&amp;$G$3&amp;")"</f>
        <v/>
      </c>
      <c r="F35" s="47">
        <f>Inputs!F69*F27*F28*TPDPct</f>
        <v/>
      </c>
      <c r="G35" s="47">
        <f>Inputs!G69*G27*G28*TPDPct</f>
        <v/>
      </c>
      <c r="H35" s="47">
        <f>Inputs!H69*H27*H28*TPDPct</f>
        <v/>
      </c>
      <c r="I35" s="47">
        <f>Inputs!I69*I27*I28*TPDPct</f>
        <v/>
      </c>
      <c r="J35" s="47">
        <f>Inputs!J69*J27*J28*TPDPct</f>
        <v/>
      </c>
      <c r="K35" s="47">
        <f>Inputs!K69*K27*K28*TPDPct</f>
        <v/>
      </c>
      <c r="L35" s="47">
        <f>Inputs!L69*L27*L28*TPDPct</f>
        <v/>
      </c>
      <c r="M35" s="47">
        <f>Inputs!M69*M27*M28*TPDPct</f>
        <v/>
      </c>
      <c r="N35" s="47">
        <f>Inputs!N69*N27*N28*TPDPct</f>
        <v/>
      </c>
      <c r="O35" s="47">
        <f>Inputs!O69*O27*O28*TPDPct</f>
        <v/>
      </c>
      <c r="P35" s="47">
        <f>Inputs!P69*P27*P28*TPDPct</f>
        <v/>
      </c>
      <c r="Q35" s="47">
        <f>Inputs!Q69*Q27*Q28*TPDPct</f>
        <v/>
      </c>
      <c r="R35" s="47">
        <f>Inputs!R69*R27*R28*TPDPct</f>
        <v/>
      </c>
      <c r="S35" s="47">
        <f>Inputs!S69*S27*S28*TPDPct</f>
        <v/>
      </c>
      <c r="T35" s="47">
        <f>Inputs!T69*T27*T28*TPDPct</f>
        <v/>
      </c>
      <c r="U35" s="47">
        <f>Inputs!U69*U27*U28*TPDPct</f>
        <v/>
      </c>
      <c r="V35" s="47">
        <f>Inputs!V69*V27*V28*TPDPct</f>
        <v/>
      </c>
      <c r="W35" s="47">
        <f>Inputs!W69*W27*W28*TPDPct</f>
        <v/>
      </c>
      <c r="X35" s="47">
        <f>Inputs!X69*X27*X28*TPDPct</f>
        <v/>
      </c>
      <c r="Y35" s="47">
        <f>Inputs!Y69*Y27*Y28*TPDPct</f>
        <v/>
      </c>
      <c r="Z35" s="47">
        <f>Inputs!Z69*Z27*Z28*TPDPct</f>
        <v/>
      </c>
      <c r="AA35" s="47">
        <f>Inputs!AA69*AA27*AA28*TPDPct</f>
        <v/>
      </c>
      <c r="AB35" s="47">
        <f>Inputs!AB69*AB27*AB28*TPDPct</f>
        <v/>
      </c>
      <c r="AC35" s="47">
        <f>Inputs!AC69*AC27*AC28*TPDPct</f>
        <v/>
      </c>
      <c r="AD35" s="47">
        <f>Inputs!AD69*AD27*AD28*TPDPct</f>
        <v/>
      </c>
      <c r="AE35" s="47">
        <f>Inputs!AE69*AE27*AE28*TPDPct</f>
        <v/>
      </c>
      <c r="AF35" s="48">
        <f>SUM(F35:AE35)</f>
        <v/>
      </c>
    </row>
    <row r="36">
      <c r="B36" s="44">
        <f>"— Markdown Spend ("&amp;$G$3&amp;")"</f>
        <v/>
      </c>
      <c r="F36" s="47">
        <f>Inputs!F70*F27*F28*MdPct</f>
        <v/>
      </c>
      <c r="G36" s="47">
        <f>Inputs!G70*G27*G28*MdPct</f>
        <v/>
      </c>
      <c r="H36" s="47">
        <f>Inputs!H70*H27*H28*MdPct</f>
        <v/>
      </c>
      <c r="I36" s="47">
        <f>Inputs!I70*I27*I28*MdPct</f>
        <v/>
      </c>
      <c r="J36" s="47">
        <f>Inputs!J70*J27*J28*MdPct</f>
        <v/>
      </c>
      <c r="K36" s="47">
        <f>Inputs!K70*K27*K28*MdPct</f>
        <v/>
      </c>
      <c r="L36" s="47">
        <f>Inputs!L70*L27*L28*MdPct</f>
        <v/>
      </c>
      <c r="M36" s="47">
        <f>Inputs!M70*M27*M28*MdPct</f>
        <v/>
      </c>
      <c r="N36" s="47">
        <f>Inputs!N70*N27*N28*MdPct</f>
        <v/>
      </c>
      <c r="O36" s="47">
        <f>Inputs!O70*O27*O28*MdPct</f>
        <v/>
      </c>
      <c r="P36" s="47">
        <f>Inputs!P70*P27*P28*MdPct</f>
        <v/>
      </c>
      <c r="Q36" s="47">
        <f>Inputs!Q70*Q27*Q28*MdPct</f>
        <v/>
      </c>
      <c r="R36" s="47">
        <f>Inputs!R70*R27*R28*MdPct</f>
        <v/>
      </c>
      <c r="S36" s="47">
        <f>Inputs!S70*S27*S28*MdPct</f>
        <v/>
      </c>
      <c r="T36" s="47">
        <f>Inputs!T70*T27*T28*MdPct</f>
        <v/>
      </c>
      <c r="U36" s="47">
        <f>Inputs!U70*U27*U28*MdPct</f>
        <v/>
      </c>
      <c r="V36" s="47">
        <f>Inputs!V70*V27*V28*MdPct</f>
        <v/>
      </c>
      <c r="W36" s="47">
        <f>Inputs!W70*W27*W28*MdPct</f>
        <v/>
      </c>
      <c r="X36" s="47">
        <f>Inputs!X70*X27*X28*MdPct</f>
        <v/>
      </c>
      <c r="Y36" s="47">
        <f>Inputs!Y70*Y27*Y28*MdPct</f>
        <v/>
      </c>
      <c r="Z36" s="47">
        <f>Inputs!Z70*Z27*Z28*MdPct</f>
        <v/>
      </c>
      <c r="AA36" s="47">
        <f>Inputs!AA70*AA27*AA28*MdPct</f>
        <v/>
      </c>
      <c r="AB36" s="47">
        <f>Inputs!AB70*AB27*AB28*MdPct</f>
        <v/>
      </c>
      <c r="AC36" s="47">
        <f>Inputs!AC70*AC27*AC28*MdPct</f>
        <v/>
      </c>
      <c r="AD36" s="47">
        <f>Inputs!AD70*AD27*AD28*MdPct</f>
        <v/>
      </c>
      <c r="AE36" s="47">
        <f>Inputs!AE70*AE27*AE28*MdPct</f>
        <v/>
      </c>
      <c r="AF36" s="48">
        <f>SUM(F36:AE36)</f>
        <v/>
      </c>
    </row>
    <row r="37">
      <c r="B37" s="44">
        <f>"— Advertising Spend ("&amp;$G$3&amp;")"</f>
        <v/>
      </c>
      <c r="F37" s="47">
        <f>Inputs!F71*AdvertCost*$E$3</f>
        <v/>
      </c>
      <c r="G37" s="47">
        <f>Inputs!G71*AdvertCost*$E$3</f>
        <v/>
      </c>
      <c r="H37" s="47">
        <f>Inputs!H71*AdvertCost*$E$3</f>
        <v/>
      </c>
      <c r="I37" s="47">
        <f>Inputs!I71*AdvertCost*$E$3</f>
        <v/>
      </c>
      <c r="J37" s="47">
        <f>Inputs!J71*AdvertCost*$E$3</f>
        <v/>
      </c>
      <c r="K37" s="47">
        <f>Inputs!K71*AdvertCost*$E$3</f>
        <v/>
      </c>
      <c r="L37" s="47">
        <f>Inputs!L71*AdvertCost*$E$3</f>
        <v/>
      </c>
      <c r="M37" s="47">
        <f>Inputs!M71*AdvertCost*$E$3</f>
        <v/>
      </c>
      <c r="N37" s="47">
        <f>Inputs!N71*AdvertCost*$E$3</f>
        <v/>
      </c>
      <c r="O37" s="47">
        <f>Inputs!O71*AdvertCost*$E$3</f>
        <v/>
      </c>
      <c r="P37" s="47">
        <f>Inputs!P71*AdvertCost*$E$3</f>
        <v/>
      </c>
      <c r="Q37" s="47">
        <f>Inputs!Q71*AdvertCost*$E$3</f>
        <v/>
      </c>
      <c r="R37" s="47">
        <f>Inputs!R71*AdvertCost*$E$3</f>
        <v/>
      </c>
      <c r="S37" s="47">
        <f>Inputs!S71*AdvertCost*$E$3</f>
        <v/>
      </c>
      <c r="T37" s="47">
        <f>Inputs!T71*AdvertCost*$E$3</f>
        <v/>
      </c>
      <c r="U37" s="47">
        <f>Inputs!U71*AdvertCost*$E$3</f>
        <v/>
      </c>
      <c r="V37" s="47">
        <f>Inputs!V71*AdvertCost*$E$3</f>
        <v/>
      </c>
      <c r="W37" s="47">
        <f>Inputs!W71*AdvertCost*$E$3</f>
        <v/>
      </c>
      <c r="X37" s="47">
        <f>Inputs!X71*AdvertCost*$E$3</f>
        <v/>
      </c>
      <c r="Y37" s="47">
        <f>Inputs!Y71*AdvertCost*$E$3</f>
        <v/>
      </c>
      <c r="Z37" s="47">
        <f>Inputs!Z71*AdvertCost*$E$3</f>
        <v/>
      </c>
      <c r="AA37" s="47">
        <f>Inputs!AA71*AdvertCost*$E$3</f>
        <v/>
      </c>
      <c r="AB37" s="47">
        <f>Inputs!AB71*AdvertCost*$E$3</f>
        <v/>
      </c>
      <c r="AC37" s="47">
        <f>Inputs!AC71*AdvertCost*$E$3</f>
        <v/>
      </c>
      <c r="AD37" s="47">
        <f>Inputs!AD71*AdvertCost*$E$3</f>
        <v/>
      </c>
      <c r="AE37" s="47">
        <f>Inputs!AE71*AdvertCost*$E$3</f>
        <v/>
      </c>
      <c r="AF37" s="48">
        <f>SUM(F37:AE37)</f>
        <v/>
      </c>
    </row>
    <row r="38">
      <c r="B38" s="13">
        <f>"Total Promo Spend ("&amp;$G$3&amp;")"</f>
        <v/>
      </c>
      <c r="F38" s="47">
        <f>SUM(F32:F37)</f>
        <v/>
      </c>
      <c r="G38" s="47">
        <f>SUM(G32:G37)</f>
        <v/>
      </c>
      <c r="H38" s="47">
        <f>SUM(H32:H37)</f>
        <v/>
      </c>
      <c r="I38" s="47">
        <f>SUM(I32:I37)</f>
        <v/>
      </c>
      <c r="J38" s="47">
        <f>SUM(J32:J37)</f>
        <v/>
      </c>
      <c r="K38" s="47">
        <f>SUM(K32:K37)</f>
        <v/>
      </c>
      <c r="L38" s="47">
        <f>SUM(L32:L37)</f>
        <v/>
      </c>
      <c r="M38" s="47">
        <f>SUM(M32:M37)</f>
        <v/>
      </c>
      <c r="N38" s="47">
        <f>SUM(N32:N37)</f>
        <v/>
      </c>
      <c r="O38" s="47">
        <f>SUM(O32:O37)</f>
        <v/>
      </c>
      <c r="P38" s="47">
        <f>SUM(P32:P37)</f>
        <v/>
      </c>
      <c r="Q38" s="47">
        <f>SUM(Q32:Q37)</f>
        <v/>
      </c>
      <c r="R38" s="47">
        <f>SUM(R32:R37)</f>
        <v/>
      </c>
      <c r="S38" s="47">
        <f>SUM(S32:S37)</f>
        <v/>
      </c>
      <c r="T38" s="47">
        <f>SUM(T32:T37)</f>
        <v/>
      </c>
      <c r="U38" s="47">
        <f>SUM(U32:U37)</f>
        <v/>
      </c>
      <c r="V38" s="47">
        <f>SUM(V32:V37)</f>
        <v/>
      </c>
      <c r="W38" s="47">
        <f>SUM(W32:W37)</f>
        <v/>
      </c>
      <c r="X38" s="47">
        <f>SUM(X32:X37)</f>
        <v/>
      </c>
      <c r="Y38" s="47">
        <f>SUM(Y32:Y37)</f>
        <v/>
      </c>
      <c r="Z38" s="47">
        <f>SUM(Z32:Z37)</f>
        <v/>
      </c>
      <c r="AA38" s="47">
        <f>SUM(AA32:AA37)</f>
        <v/>
      </c>
      <c r="AB38" s="47">
        <f>SUM(AB32:AB37)</f>
        <v/>
      </c>
      <c r="AC38" s="47">
        <f>SUM(AC32:AC37)</f>
        <v/>
      </c>
      <c r="AD38" s="47">
        <f>SUM(AD32:AD37)</f>
        <v/>
      </c>
      <c r="AE38" s="47">
        <f>SUM(AE32:AE37)</f>
        <v/>
      </c>
      <c r="AF38" s="48">
        <f>SUM(F38:AE38)</f>
        <v/>
      </c>
    </row>
    <row r="39">
      <c r="B39" s="49">
        <f>"Gross Profit ("&amp;$G$3&amp;")"</f>
        <v/>
      </c>
      <c r="F39" s="47">
        <f>F29-F31</f>
        <v/>
      </c>
      <c r="G39" s="47">
        <f>G29-G31</f>
        <v/>
      </c>
      <c r="H39" s="47">
        <f>H29-H31</f>
        <v/>
      </c>
      <c r="I39" s="47">
        <f>I29-I31</f>
        <v/>
      </c>
      <c r="J39" s="47">
        <f>J29-J31</f>
        <v/>
      </c>
      <c r="K39" s="47">
        <f>K29-K31</f>
        <v/>
      </c>
      <c r="L39" s="47">
        <f>L29-L31</f>
        <v/>
      </c>
      <c r="M39" s="47">
        <f>M29-M31</f>
        <v/>
      </c>
      <c r="N39" s="47">
        <f>N29-N31</f>
        <v/>
      </c>
      <c r="O39" s="47">
        <f>O29-O31</f>
        <v/>
      </c>
      <c r="P39" s="47">
        <f>P29-P31</f>
        <v/>
      </c>
      <c r="Q39" s="47">
        <f>Q29-Q31</f>
        <v/>
      </c>
      <c r="R39" s="47">
        <f>R29-R31</f>
        <v/>
      </c>
      <c r="S39" s="47">
        <f>S29-S31</f>
        <v/>
      </c>
      <c r="T39" s="47">
        <f>T29-T31</f>
        <v/>
      </c>
      <c r="U39" s="47">
        <f>U29-U31</f>
        <v/>
      </c>
      <c r="V39" s="47">
        <f>V29-V31</f>
        <v/>
      </c>
      <c r="W39" s="47">
        <f>W29-W31</f>
        <v/>
      </c>
      <c r="X39" s="47">
        <f>X29-X31</f>
        <v/>
      </c>
      <c r="Y39" s="47">
        <f>Y29-Y31</f>
        <v/>
      </c>
      <c r="Z39" s="47">
        <f>Z29-Z31</f>
        <v/>
      </c>
      <c r="AA39" s="47">
        <f>AA29-AA31</f>
        <v/>
      </c>
      <c r="AB39" s="47">
        <f>AB29-AB31</f>
        <v/>
      </c>
      <c r="AC39" s="47">
        <f>AC29-AC31</f>
        <v/>
      </c>
      <c r="AD39" s="47">
        <f>AD29-AD31</f>
        <v/>
      </c>
      <c r="AE39" s="47">
        <f>AE29-AE31</f>
        <v/>
      </c>
      <c r="AF39" s="48">
        <f>SUM(F39:AE39)</f>
        <v/>
      </c>
    </row>
    <row r="40">
      <c r="B40" s="49">
        <f>"Net Profit after promo ("&amp;$G$3&amp;")"</f>
        <v/>
      </c>
      <c r="F40" s="47">
        <f>F39-F38</f>
        <v/>
      </c>
      <c r="G40" s="47">
        <f>G39-G38</f>
        <v/>
      </c>
      <c r="H40" s="47">
        <f>H39-H38</f>
        <v/>
      </c>
      <c r="I40" s="47">
        <f>I39-I38</f>
        <v/>
      </c>
      <c r="J40" s="47">
        <f>J39-J38</f>
        <v/>
      </c>
      <c r="K40" s="47">
        <f>K39-K38</f>
        <v/>
      </c>
      <c r="L40" s="47">
        <f>L39-L38</f>
        <v/>
      </c>
      <c r="M40" s="47">
        <f>M39-M38</f>
        <v/>
      </c>
      <c r="N40" s="47">
        <f>N39-N38</f>
        <v/>
      </c>
      <c r="O40" s="47">
        <f>O39-O38</f>
        <v/>
      </c>
      <c r="P40" s="47">
        <f>P39-P38</f>
        <v/>
      </c>
      <c r="Q40" s="47">
        <f>Q39-Q38</f>
        <v/>
      </c>
      <c r="R40" s="47">
        <f>R39-R38</f>
        <v/>
      </c>
      <c r="S40" s="47">
        <f>S39-S38</f>
        <v/>
      </c>
      <c r="T40" s="47">
        <f>T39-T38</f>
        <v/>
      </c>
      <c r="U40" s="47">
        <f>U39-U38</f>
        <v/>
      </c>
      <c r="V40" s="47">
        <f>V39-V38</f>
        <v/>
      </c>
      <c r="W40" s="47">
        <f>W39-W38</f>
        <v/>
      </c>
      <c r="X40" s="47">
        <f>X39-X38</f>
        <v/>
      </c>
      <c r="Y40" s="47">
        <f>Y39-Y38</f>
        <v/>
      </c>
      <c r="Z40" s="47">
        <f>Z39-Z38</f>
        <v/>
      </c>
      <c r="AA40" s="47">
        <f>AA39-AA38</f>
        <v/>
      </c>
      <c r="AB40" s="47">
        <f>AB39-AB38</f>
        <v/>
      </c>
      <c r="AC40" s="47">
        <f>AC39-AC38</f>
        <v/>
      </c>
      <c r="AD40" s="47">
        <f>AD39-AD38</f>
        <v/>
      </c>
      <c r="AE40" s="47">
        <f>AE39-AE38</f>
        <v/>
      </c>
      <c r="AF40" s="48">
        <f>SUM(F40:AE40)</f>
        <v/>
      </c>
    </row>
    <row r="43" ht="22" customHeight="1">
      <c r="B43" s="33" t="inlineStr">
        <is>
          <t>WORST – Demo+EndCap+TPD then Markdown (Wks 18-20)</t>
        </is>
      </c>
    </row>
    <row r="44">
      <c r="B44" s="34" t="inlineStr">
        <is>
          <t>Week</t>
        </is>
      </c>
      <c r="F44" s="18" t="inlineStr">
        <is>
          <t>W1</t>
        </is>
      </c>
      <c r="G44" s="18" t="inlineStr">
        <is>
          <t>W2</t>
        </is>
      </c>
      <c r="H44" s="18" t="inlineStr">
        <is>
          <t>W3</t>
        </is>
      </c>
      <c r="I44" s="18" t="inlineStr">
        <is>
          <t>W4</t>
        </is>
      </c>
      <c r="J44" s="18" t="inlineStr">
        <is>
          <t>W5</t>
        </is>
      </c>
      <c r="K44" s="18" t="inlineStr">
        <is>
          <t>W6</t>
        </is>
      </c>
      <c r="L44" s="18" t="inlineStr">
        <is>
          <t>W7</t>
        </is>
      </c>
      <c r="M44" s="18" t="inlineStr">
        <is>
          <t>W8</t>
        </is>
      </c>
      <c r="N44" s="18" t="inlineStr">
        <is>
          <t>W9</t>
        </is>
      </c>
      <c r="O44" s="18" t="inlineStr">
        <is>
          <t>W10</t>
        </is>
      </c>
      <c r="P44" s="18" t="inlineStr">
        <is>
          <t>W11</t>
        </is>
      </c>
      <c r="Q44" s="18" t="inlineStr">
        <is>
          <t>W12</t>
        </is>
      </c>
      <c r="R44" s="18" t="inlineStr">
        <is>
          <t>W13</t>
        </is>
      </c>
      <c r="S44" s="18" t="inlineStr">
        <is>
          <t>W14</t>
        </is>
      </c>
      <c r="T44" s="18" t="inlineStr">
        <is>
          <t>W15</t>
        </is>
      </c>
      <c r="U44" s="18" t="inlineStr">
        <is>
          <t>W16</t>
        </is>
      </c>
      <c r="V44" s="18" t="inlineStr">
        <is>
          <t>W17</t>
        </is>
      </c>
      <c r="W44" s="18" t="inlineStr">
        <is>
          <t>W18</t>
        </is>
      </c>
      <c r="X44" s="18" t="inlineStr">
        <is>
          <t>W19</t>
        </is>
      </c>
      <c r="Y44" s="18" t="inlineStr">
        <is>
          <t>W20</t>
        </is>
      </c>
      <c r="Z44" s="18" t="inlineStr">
        <is>
          <t>W21</t>
        </is>
      </c>
      <c r="AA44" s="18" t="inlineStr">
        <is>
          <t>W22</t>
        </is>
      </c>
      <c r="AB44" s="18" t="inlineStr">
        <is>
          <t>W23</t>
        </is>
      </c>
      <c r="AC44" s="18" t="inlineStr">
        <is>
          <t>W24</t>
        </is>
      </c>
      <c r="AD44" s="18" t="inlineStr">
        <is>
          <t>W25</t>
        </is>
      </c>
      <c r="AE44" s="18" t="inlineStr">
        <is>
          <t>W26</t>
        </is>
      </c>
      <c r="AF44" s="40" t="inlineStr">
        <is>
          <t>TOTAL</t>
        </is>
      </c>
    </row>
    <row r="45">
      <c r="B45" s="34" t="inlineStr">
        <is>
          <t>Wk-commencing</t>
        </is>
      </c>
      <c r="F45" s="35">
        <f>StartDate+7*0</f>
        <v/>
      </c>
      <c r="G45" s="35">
        <f>StartDate+7*1</f>
        <v/>
      </c>
      <c r="H45" s="35">
        <f>StartDate+7*2</f>
        <v/>
      </c>
      <c r="I45" s="35">
        <f>StartDate+7*3</f>
        <v/>
      </c>
      <c r="J45" s="35">
        <f>StartDate+7*4</f>
        <v/>
      </c>
      <c r="K45" s="35">
        <f>StartDate+7*5</f>
        <v/>
      </c>
      <c r="L45" s="35">
        <f>StartDate+7*6</f>
        <v/>
      </c>
      <c r="M45" s="35">
        <f>StartDate+7*7</f>
        <v/>
      </c>
      <c r="N45" s="35">
        <f>StartDate+7*8</f>
        <v/>
      </c>
      <c r="O45" s="35">
        <f>StartDate+7*9</f>
        <v/>
      </c>
      <c r="P45" s="35">
        <f>StartDate+7*10</f>
        <v/>
      </c>
      <c r="Q45" s="35">
        <f>StartDate+7*11</f>
        <v/>
      </c>
      <c r="R45" s="35">
        <f>StartDate+7*12</f>
        <v/>
      </c>
      <c r="S45" s="35">
        <f>StartDate+7*13</f>
        <v/>
      </c>
      <c r="T45" s="35">
        <f>StartDate+7*14</f>
        <v/>
      </c>
      <c r="U45" s="35">
        <f>StartDate+7*15</f>
        <v/>
      </c>
      <c r="V45" s="35">
        <f>StartDate+7*16</f>
        <v/>
      </c>
      <c r="W45" s="35">
        <f>StartDate+7*17</f>
        <v/>
      </c>
      <c r="X45" s="35">
        <f>StartDate+7*18</f>
        <v/>
      </c>
      <c r="Y45" s="35">
        <f>StartDate+7*19</f>
        <v/>
      </c>
      <c r="Z45" s="35">
        <f>StartDate+7*20</f>
        <v/>
      </c>
      <c r="AA45" s="35">
        <f>StartDate+7*21</f>
        <v/>
      </c>
      <c r="AB45" s="35">
        <f>StartDate+7*22</f>
        <v/>
      </c>
      <c r="AC45" s="35">
        <f>StartDate+7*23</f>
        <v/>
      </c>
      <c r="AD45" s="35">
        <f>StartDate+7*24</f>
        <v/>
      </c>
      <c r="AE45" s="35">
        <f>StartDate+7*25</f>
        <v/>
      </c>
      <c r="AF45" s="41" t="inlineStr"/>
    </row>
    <row r="46">
      <c r="B46" s="13" t="inlineStr">
        <is>
          <t>POS Units</t>
        </is>
      </c>
      <c r="F46" s="42">
        <f>ROUND(BaseUnits*Inputs!F84,0)</f>
        <v/>
      </c>
      <c r="G46" s="42">
        <f>ROUND(BaseUnits*Inputs!G84,0)</f>
        <v/>
      </c>
      <c r="H46" s="42">
        <f>ROUND(BaseUnits*Inputs!H84,0)</f>
        <v/>
      </c>
      <c r="I46" s="42">
        <f>ROUND(BaseUnits*Inputs!I84,0)</f>
        <v/>
      </c>
      <c r="J46" s="42">
        <f>ROUND(BaseUnits*Inputs!J84,0)</f>
        <v/>
      </c>
      <c r="K46" s="42">
        <f>ROUND(BaseUnits*Inputs!K84,0)</f>
        <v/>
      </c>
      <c r="L46" s="42">
        <f>ROUND(BaseUnits*Inputs!L84,0)</f>
        <v/>
      </c>
      <c r="M46" s="42">
        <f>ROUND(BaseUnits*Inputs!M84,0)</f>
        <v/>
      </c>
      <c r="N46" s="42">
        <f>ROUND(BaseUnits*Inputs!N84,0)</f>
        <v/>
      </c>
      <c r="O46" s="42">
        <f>ROUND(BaseUnits*Inputs!O84,0)</f>
        <v/>
      </c>
      <c r="P46" s="42">
        <f>ROUND(BaseUnits*Inputs!P84,0)</f>
        <v/>
      </c>
      <c r="Q46" s="42">
        <f>ROUND(BaseUnits*Inputs!Q84,0)</f>
        <v/>
      </c>
      <c r="R46" s="42">
        <f>ROUND(BaseUnits*Inputs!R84,0)</f>
        <v/>
      </c>
      <c r="S46" s="42">
        <f>ROUND(BaseUnits*Inputs!S84,0)</f>
        <v/>
      </c>
      <c r="T46" s="42">
        <f>ROUND(BaseUnits*Inputs!T84,0)</f>
        <v/>
      </c>
      <c r="U46" s="42">
        <f>ROUND(BaseUnits*Inputs!U84,0)</f>
        <v/>
      </c>
      <c r="V46" s="42">
        <f>ROUND(BaseUnits*Inputs!V84,0)</f>
        <v/>
      </c>
      <c r="W46" s="42">
        <f>ROUND(BaseUnits*Inputs!W84,0)</f>
        <v/>
      </c>
      <c r="X46" s="42">
        <f>ROUND(BaseUnits*Inputs!X84,0)</f>
        <v/>
      </c>
      <c r="Y46" s="42">
        <f>ROUND(BaseUnits*Inputs!Y84,0)</f>
        <v/>
      </c>
      <c r="Z46" s="42">
        <f>ROUND(BaseUnits*Inputs!Z84,0)</f>
        <v/>
      </c>
      <c r="AA46" s="42">
        <f>ROUND(BaseUnits*Inputs!AA84,0)</f>
        <v/>
      </c>
      <c r="AB46" s="42">
        <f>ROUND(BaseUnits*Inputs!AB84,0)</f>
        <v/>
      </c>
      <c r="AC46" s="42">
        <f>ROUND(BaseUnits*Inputs!AC84,0)</f>
        <v/>
      </c>
      <c r="AD46" s="42">
        <f>ROUND(BaseUnits*Inputs!AD84,0)</f>
        <v/>
      </c>
      <c r="AE46" s="42">
        <f>ROUND(BaseUnits*Inputs!AE84,0)</f>
        <v/>
      </c>
      <c r="AF46" s="43">
        <f>SUM(F46:AE46)</f>
        <v/>
      </c>
    </row>
    <row r="47">
      <c r="B47" s="44">
        <f>"Selling Price ("&amp;$G$3&amp;")"</f>
        <v/>
      </c>
      <c r="F47" s="45">
        <f>Price*$E$3</f>
        <v/>
      </c>
      <c r="G47" s="45">
        <f>Price*$E$3</f>
        <v/>
      </c>
      <c r="H47" s="45">
        <f>Price*$E$3</f>
        <v/>
      </c>
      <c r="I47" s="45">
        <f>Price*$E$3</f>
        <v/>
      </c>
      <c r="J47" s="45">
        <f>Price*$E$3</f>
        <v/>
      </c>
      <c r="K47" s="45">
        <f>Price*$E$3</f>
        <v/>
      </c>
      <c r="L47" s="45">
        <f>Price*$E$3</f>
        <v/>
      </c>
      <c r="M47" s="45">
        <f>Price*$E$3</f>
        <v/>
      </c>
      <c r="N47" s="45">
        <f>Price*$E$3</f>
        <v/>
      </c>
      <c r="O47" s="45">
        <f>Price*$E$3</f>
        <v/>
      </c>
      <c r="P47" s="45">
        <f>Price*$E$3</f>
        <v/>
      </c>
      <c r="Q47" s="45">
        <f>Price*$E$3</f>
        <v/>
      </c>
      <c r="R47" s="45">
        <f>Price*$E$3</f>
        <v/>
      </c>
      <c r="S47" s="45">
        <f>Price*$E$3</f>
        <v/>
      </c>
      <c r="T47" s="45">
        <f>Price*$E$3</f>
        <v/>
      </c>
      <c r="U47" s="45">
        <f>Price*$E$3</f>
        <v/>
      </c>
      <c r="V47" s="45">
        <f>Price*$E$3</f>
        <v/>
      </c>
      <c r="W47" s="45">
        <f>Price*$E$3</f>
        <v/>
      </c>
      <c r="X47" s="45">
        <f>Price*$E$3</f>
        <v/>
      </c>
      <c r="Y47" s="45">
        <f>Price*$E$3</f>
        <v/>
      </c>
      <c r="Z47" s="45">
        <f>Price*$E$3</f>
        <v/>
      </c>
      <c r="AA47" s="45">
        <f>Price*$E$3</f>
        <v/>
      </c>
      <c r="AB47" s="45">
        <f>Price*$E$3</f>
        <v/>
      </c>
      <c r="AC47" s="45">
        <f>Price*$E$3</f>
        <v/>
      </c>
      <c r="AD47" s="45">
        <f>Price*$E$3</f>
        <v/>
      </c>
      <c r="AE47" s="45">
        <f>Price*$E$3</f>
        <v/>
      </c>
      <c r="AF47" s="46">
        <f>Price*$E$3</f>
        <v/>
      </c>
    </row>
    <row r="48">
      <c r="B48" s="13">
        <f>"Revenue ("&amp;$G$3&amp;")"</f>
        <v/>
      </c>
      <c r="F48" s="47">
        <f>F46*F47</f>
        <v/>
      </c>
      <c r="G48" s="47">
        <f>G46*G47</f>
        <v/>
      </c>
      <c r="H48" s="47">
        <f>H46*H47</f>
        <v/>
      </c>
      <c r="I48" s="47">
        <f>I46*I47</f>
        <v/>
      </c>
      <c r="J48" s="47">
        <f>J46*J47</f>
        <v/>
      </c>
      <c r="K48" s="47">
        <f>K46*K47</f>
        <v/>
      </c>
      <c r="L48" s="47">
        <f>L46*L47</f>
        <v/>
      </c>
      <c r="M48" s="47">
        <f>M46*M47</f>
        <v/>
      </c>
      <c r="N48" s="47">
        <f>N46*N47</f>
        <v/>
      </c>
      <c r="O48" s="47">
        <f>O46*O47</f>
        <v/>
      </c>
      <c r="P48" s="47">
        <f>P46*P47</f>
        <v/>
      </c>
      <c r="Q48" s="47">
        <f>Q46*Q47</f>
        <v/>
      </c>
      <c r="R48" s="47">
        <f>R46*R47</f>
        <v/>
      </c>
      <c r="S48" s="47">
        <f>S46*S47</f>
        <v/>
      </c>
      <c r="T48" s="47">
        <f>T46*T47</f>
        <v/>
      </c>
      <c r="U48" s="47">
        <f>U46*U47</f>
        <v/>
      </c>
      <c r="V48" s="47">
        <f>V46*V47</f>
        <v/>
      </c>
      <c r="W48" s="47">
        <f>W46*W47</f>
        <v/>
      </c>
      <c r="X48" s="47">
        <f>X46*X47</f>
        <v/>
      </c>
      <c r="Y48" s="47">
        <f>Y46*Y47</f>
        <v/>
      </c>
      <c r="Z48" s="47">
        <f>Z46*Z47</f>
        <v/>
      </c>
      <c r="AA48" s="47">
        <f>AA46*AA47</f>
        <v/>
      </c>
      <c r="AB48" s="47">
        <f>AB46*AB47</f>
        <v/>
      </c>
      <c r="AC48" s="47">
        <f>AC46*AC47</f>
        <v/>
      </c>
      <c r="AD48" s="47">
        <f>AD46*AD47</f>
        <v/>
      </c>
      <c r="AE48" s="47">
        <f>AE46*AE47</f>
        <v/>
      </c>
      <c r="AF48" s="48">
        <f>SUM(F48:AE48)</f>
        <v/>
      </c>
    </row>
    <row r="49">
      <c r="B49" s="44">
        <f>"Cost Price ("&amp;$G$3&amp;")"</f>
        <v/>
      </c>
      <c r="F49" s="45">
        <f>Cost*$E$3</f>
        <v/>
      </c>
      <c r="G49" s="45">
        <f>Cost*$E$3</f>
        <v/>
      </c>
      <c r="H49" s="45">
        <f>Cost*$E$3</f>
        <v/>
      </c>
      <c r="I49" s="45">
        <f>Cost*$E$3</f>
        <v/>
      </c>
      <c r="J49" s="45">
        <f>Cost*$E$3</f>
        <v/>
      </c>
      <c r="K49" s="45">
        <f>Cost*$E$3</f>
        <v/>
      </c>
      <c r="L49" s="45">
        <f>Cost*$E$3</f>
        <v/>
      </c>
      <c r="M49" s="45">
        <f>Cost*$E$3</f>
        <v/>
      </c>
      <c r="N49" s="45">
        <f>Cost*$E$3</f>
        <v/>
      </c>
      <c r="O49" s="45">
        <f>Cost*$E$3</f>
        <v/>
      </c>
      <c r="P49" s="45">
        <f>Cost*$E$3</f>
        <v/>
      </c>
      <c r="Q49" s="45">
        <f>Cost*$E$3</f>
        <v/>
      </c>
      <c r="R49" s="45">
        <f>Cost*$E$3</f>
        <v/>
      </c>
      <c r="S49" s="45">
        <f>Cost*$E$3</f>
        <v/>
      </c>
      <c r="T49" s="45">
        <f>Cost*$E$3</f>
        <v/>
      </c>
      <c r="U49" s="45">
        <f>Cost*$E$3</f>
        <v/>
      </c>
      <c r="V49" s="45">
        <f>Cost*$E$3</f>
        <v/>
      </c>
      <c r="W49" s="45">
        <f>Cost*$E$3</f>
        <v/>
      </c>
      <c r="X49" s="45">
        <f>Cost*$E$3</f>
        <v/>
      </c>
      <c r="Y49" s="45">
        <f>Cost*$E$3</f>
        <v/>
      </c>
      <c r="Z49" s="45">
        <f>Cost*$E$3</f>
        <v/>
      </c>
      <c r="AA49" s="45">
        <f>Cost*$E$3</f>
        <v/>
      </c>
      <c r="AB49" s="45">
        <f>Cost*$E$3</f>
        <v/>
      </c>
      <c r="AC49" s="45">
        <f>Cost*$E$3</f>
        <v/>
      </c>
      <c r="AD49" s="45">
        <f>Cost*$E$3</f>
        <v/>
      </c>
      <c r="AE49" s="45">
        <f>Cost*$E$3</f>
        <v/>
      </c>
      <c r="AF49" s="46">
        <f>Cost*$E$3</f>
        <v/>
      </c>
    </row>
    <row r="50">
      <c r="B50" s="13">
        <f>"Raw COGS ("&amp;$G$3&amp;")"</f>
        <v/>
      </c>
      <c r="F50" s="47">
        <f>F46*F49</f>
        <v/>
      </c>
      <c r="G50" s="47">
        <f>G46*G49</f>
        <v/>
      </c>
      <c r="H50" s="47">
        <f>H46*H49</f>
        <v/>
      </c>
      <c r="I50" s="47">
        <f>I46*I49</f>
        <v/>
      </c>
      <c r="J50" s="47">
        <f>J46*J49</f>
        <v/>
      </c>
      <c r="K50" s="47">
        <f>K46*K49</f>
        <v/>
      </c>
      <c r="L50" s="47">
        <f>L46*L49</f>
        <v/>
      </c>
      <c r="M50" s="47">
        <f>M46*M49</f>
        <v/>
      </c>
      <c r="N50" s="47">
        <f>N46*N49</f>
        <v/>
      </c>
      <c r="O50" s="47">
        <f>O46*O49</f>
        <v/>
      </c>
      <c r="P50" s="47">
        <f>P46*P49</f>
        <v/>
      </c>
      <c r="Q50" s="47">
        <f>Q46*Q49</f>
        <v/>
      </c>
      <c r="R50" s="47">
        <f>R46*R49</f>
        <v/>
      </c>
      <c r="S50" s="47">
        <f>S46*S49</f>
        <v/>
      </c>
      <c r="T50" s="47">
        <f>T46*T49</f>
        <v/>
      </c>
      <c r="U50" s="47">
        <f>U46*U49</f>
        <v/>
      </c>
      <c r="V50" s="47">
        <f>V46*V49</f>
        <v/>
      </c>
      <c r="W50" s="47">
        <f>W46*W49</f>
        <v/>
      </c>
      <c r="X50" s="47">
        <f>X46*X49</f>
        <v/>
      </c>
      <c r="Y50" s="47">
        <f>Y46*Y49</f>
        <v/>
      </c>
      <c r="Z50" s="47">
        <f>Z46*Z49</f>
        <v/>
      </c>
      <c r="AA50" s="47">
        <f>AA46*AA49</f>
        <v/>
      </c>
      <c r="AB50" s="47">
        <f>AB46*AB49</f>
        <v/>
      </c>
      <c r="AC50" s="47">
        <f>AC46*AC49</f>
        <v/>
      </c>
      <c r="AD50" s="47">
        <f>AD46*AD49</f>
        <v/>
      </c>
      <c r="AE50" s="47">
        <f>AE46*AE49</f>
        <v/>
      </c>
      <c r="AF50" s="48">
        <f>SUM(F50:AE50)</f>
        <v/>
      </c>
    </row>
    <row r="51">
      <c r="B51" s="44">
        <f>"— Demo Spend ("&amp;$G$3&amp;")"</f>
        <v/>
      </c>
      <c r="F51" s="47">
        <f>Inputs!F78*DemoCost*$E$3</f>
        <v/>
      </c>
      <c r="G51" s="47">
        <f>Inputs!G78*DemoCost*$E$3</f>
        <v/>
      </c>
      <c r="H51" s="47">
        <f>Inputs!H78*DemoCost*$E$3</f>
        <v/>
      </c>
      <c r="I51" s="47">
        <f>Inputs!I78*DemoCost*$E$3</f>
        <v/>
      </c>
      <c r="J51" s="47">
        <f>Inputs!J78*DemoCost*$E$3</f>
        <v/>
      </c>
      <c r="K51" s="47">
        <f>Inputs!K78*DemoCost*$E$3</f>
        <v/>
      </c>
      <c r="L51" s="47">
        <f>Inputs!L78*DemoCost*$E$3</f>
        <v/>
      </c>
      <c r="M51" s="47">
        <f>Inputs!M78*DemoCost*$E$3</f>
        <v/>
      </c>
      <c r="N51" s="47">
        <f>Inputs!N78*DemoCost*$E$3</f>
        <v/>
      </c>
      <c r="O51" s="47">
        <f>Inputs!O78*DemoCost*$E$3</f>
        <v/>
      </c>
      <c r="P51" s="47">
        <f>Inputs!P78*DemoCost*$E$3</f>
        <v/>
      </c>
      <c r="Q51" s="47">
        <f>Inputs!Q78*DemoCost*$E$3</f>
        <v/>
      </c>
      <c r="R51" s="47">
        <f>Inputs!R78*DemoCost*$E$3</f>
        <v/>
      </c>
      <c r="S51" s="47">
        <f>Inputs!S78*DemoCost*$E$3</f>
        <v/>
      </c>
      <c r="T51" s="47">
        <f>Inputs!T78*DemoCost*$E$3</f>
        <v/>
      </c>
      <c r="U51" s="47">
        <f>Inputs!U78*DemoCost*$E$3</f>
        <v/>
      </c>
      <c r="V51" s="47">
        <f>Inputs!V78*DemoCost*$E$3</f>
        <v/>
      </c>
      <c r="W51" s="47">
        <f>Inputs!W78*DemoCost*$E$3</f>
        <v/>
      </c>
      <c r="X51" s="47">
        <f>Inputs!X78*DemoCost*$E$3</f>
        <v/>
      </c>
      <c r="Y51" s="47">
        <f>Inputs!Y78*DemoCost*$E$3</f>
        <v/>
      </c>
      <c r="Z51" s="47">
        <f>Inputs!Z78*DemoCost*$E$3</f>
        <v/>
      </c>
      <c r="AA51" s="47">
        <f>Inputs!AA78*DemoCost*$E$3</f>
        <v/>
      </c>
      <c r="AB51" s="47">
        <f>Inputs!AB78*DemoCost*$E$3</f>
        <v/>
      </c>
      <c r="AC51" s="47">
        <f>Inputs!AC78*DemoCost*$E$3</f>
        <v/>
      </c>
      <c r="AD51" s="47">
        <f>Inputs!AD78*DemoCost*$E$3</f>
        <v/>
      </c>
      <c r="AE51" s="47">
        <f>Inputs!AE78*DemoCost*$E$3</f>
        <v/>
      </c>
      <c r="AF51" s="48">
        <f>SUM(F51:AE51)</f>
        <v/>
      </c>
    </row>
    <row r="52">
      <c r="B52" s="44">
        <f>"— End Cap Spend ("&amp;$G$3&amp;")"</f>
        <v/>
      </c>
      <c r="F52" s="47">
        <f>Inputs!F79*EndCapCost*$E$3</f>
        <v/>
      </c>
      <c r="G52" s="47">
        <f>Inputs!G79*EndCapCost*$E$3</f>
        <v/>
      </c>
      <c r="H52" s="47">
        <f>Inputs!H79*EndCapCost*$E$3</f>
        <v/>
      </c>
      <c r="I52" s="47">
        <f>Inputs!I79*EndCapCost*$E$3</f>
        <v/>
      </c>
      <c r="J52" s="47">
        <f>Inputs!J79*EndCapCost*$E$3</f>
        <v/>
      </c>
      <c r="K52" s="47">
        <f>Inputs!K79*EndCapCost*$E$3</f>
        <v/>
      </c>
      <c r="L52" s="47">
        <f>Inputs!L79*EndCapCost*$E$3</f>
        <v/>
      </c>
      <c r="M52" s="47">
        <f>Inputs!M79*EndCapCost*$E$3</f>
        <v/>
      </c>
      <c r="N52" s="47">
        <f>Inputs!N79*EndCapCost*$E$3</f>
        <v/>
      </c>
      <c r="O52" s="47">
        <f>Inputs!O79*EndCapCost*$E$3</f>
        <v/>
      </c>
      <c r="P52" s="47">
        <f>Inputs!P79*EndCapCost*$E$3</f>
        <v/>
      </c>
      <c r="Q52" s="47">
        <f>Inputs!Q79*EndCapCost*$E$3</f>
        <v/>
      </c>
      <c r="R52" s="47">
        <f>Inputs!R79*EndCapCost*$E$3</f>
        <v/>
      </c>
      <c r="S52" s="47">
        <f>Inputs!S79*EndCapCost*$E$3</f>
        <v/>
      </c>
      <c r="T52" s="47">
        <f>Inputs!T79*EndCapCost*$E$3</f>
        <v/>
      </c>
      <c r="U52" s="47">
        <f>Inputs!U79*EndCapCost*$E$3</f>
        <v/>
      </c>
      <c r="V52" s="47">
        <f>Inputs!V79*EndCapCost*$E$3</f>
        <v/>
      </c>
      <c r="W52" s="47">
        <f>Inputs!W79*EndCapCost*$E$3</f>
        <v/>
      </c>
      <c r="X52" s="47">
        <f>Inputs!X79*EndCapCost*$E$3</f>
        <v/>
      </c>
      <c r="Y52" s="47">
        <f>Inputs!Y79*EndCapCost*$E$3</f>
        <v/>
      </c>
      <c r="Z52" s="47">
        <f>Inputs!Z79*EndCapCost*$E$3</f>
        <v/>
      </c>
      <c r="AA52" s="47">
        <f>Inputs!AA79*EndCapCost*$E$3</f>
        <v/>
      </c>
      <c r="AB52" s="47">
        <f>Inputs!AB79*EndCapCost*$E$3</f>
        <v/>
      </c>
      <c r="AC52" s="47">
        <f>Inputs!AC79*EndCapCost*$E$3</f>
        <v/>
      </c>
      <c r="AD52" s="47">
        <f>Inputs!AD79*EndCapCost*$E$3</f>
        <v/>
      </c>
      <c r="AE52" s="47">
        <f>Inputs!AE79*EndCapCost*$E$3</f>
        <v/>
      </c>
      <c r="AF52" s="48">
        <f>SUM(F52:AE52)</f>
        <v/>
      </c>
    </row>
    <row r="53">
      <c r="B53" s="44">
        <f>"— Fence Spend ("&amp;$G$3&amp;")"</f>
        <v/>
      </c>
      <c r="F53" s="47">
        <f>Inputs!F80*FenceCost*$E$3</f>
        <v/>
      </c>
      <c r="G53" s="47">
        <f>Inputs!G80*FenceCost*$E$3</f>
        <v/>
      </c>
      <c r="H53" s="47">
        <f>Inputs!H80*FenceCost*$E$3</f>
        <v/>
      </c>
      <c r="I53" s="47">
        <f>Inputs!I80*FenceCost*$E$3</f>
        <v/>
      </c>
      <c r="J53" s="47">
        <f>Inputs!J80*FenceCost*$E$3</f>
        <v/>
      </c>
      <c r="K53" s="47">
        <f>Inputs!K80*FenceCost*$E$3</f>
        <v/>
      </c>
      <c r="L53" s="47">
        <f>Inputs!L80*FenceCost*$E$3</f>
        <v/>
      </c>
      <c r="M53" s="47">
        <f>Inputs!M80*FenceCost*$E$3</f>
        <v/>
      </c>
      <c r="N53" s="47">
        <f>Inputs!N80*FenceCost*$E$3</f>
        <v/>
      </c>
      <c r="O53" s="47">
        <f>Inputs!O80*FenceCost*$E$3</f>
        <v/>
      </c>
      <c r="P53" s="47">
        <f>Inputs!P80*FenceCost*$E$3</f>
        <v/>
      </c>
      <c r="Q53" s="47">
        <f>Inputs!Q80*FenceCost*$E$3</f>
        <v/>
      </c>
      <c r="R53" s="47">
        <f>Inputs!R80*FenceCost*$E$3</f>
        <v/>
      </c>
      <c r="S53" s="47">
        <f>Inputs!S80*FenceCost*$E$3</f>
        <v/>
      </c>
      <c r="T53" s="47">
        <f>Inputs!T80*FenceCost*$E$3</f>
        <v/>
      </c>
      <c r="U53" s="47">
        <f>Inputs!U80*FenceCost*$E$3</f>
        <v/>
      </c>
      <c r="V53" s="47">
        <f>Inputs!V80*FenceCost*$E$3</f>
        <v/>
      </c>
      <c r="W53" s="47">
        <f>Inputs!W80*FenceCost*$E$3</f>
        <v/>
      </c>
      <c r="X53" s="47">
        <f>Inputs!X80*FenceCost*$E$3</f>
        <v/>
      </c>
      <c r="Y53" s="47">
        <f>Inputs!Y80*FenceCost*$E$3</f>
        <v/>
      </c>
      <c r="Z53" s="47">
        <f>Inputs!Z80*FenceCost*$E$3</f>
        <v/>
      </c>
      <c r="AA53" s="47">
        <f>Inputs!AA80*FenceCost*$E$3</f>
        <v/>
      </c>
      <c r="AB53" s="47">
        <f>Inputs!AB80*FenceCost*$E$3</f>
        <v/>
      </c>
      <c r="AC53" s="47">
        <f>Inputs!AC80*FenceCost*$E$3</f>
        <v/>
      </c>
      <c r="AD53" s="47">
        <f>Inputs!AD80*FenceCost*$E$3</f>
        <v/>
      </c>
      <c r="AE53" s="47">
        <f>Inputs!AE80*FenceCost*$E$3</f>
        <v/>
      </c>
      <c r="AF53" s="48">
        <f>SUM(F53:AE53)</f>
        <v/>
      </c>
    </row>
    <row r="54">
      <c r="B54" s="44">
        <f>"— TPD Spend ("&amp;$G$3&amp;")"</f>
        <v/>
      </c>
      <c r="F54" s="47">
        <f>Inputs!F81*F46*F47*TPDPct</f>
        <v/>
      </c>
      <c r="G54" s="47">
        <f>Inputs!G81*G46*G47*TPDPct</f>
        <v/>
      </c>
      <c r="H54" s="47">
        <f>Inputs!H81*H46*H47*TPDPct</f>
        <v/>
      </c>
      <c r="I54" s="47">
        <f>Inputs!I81*I46*I47*TPDPct</f>
        <v/>
      </c>
      <c r="J54" s="47">
        <f>Inputs!J81*J46*J47*TPDPct</f>
        <v/>
      </c>
      <c r="K54" s="47">
        <f>Inputs!K81*K46*K47*TPDPct</f>
        <v/>
      </c>
      <c r="L54" s="47">
        <f>Inputs!L81*L46*L47*TPDPct</f>
        <v/>
      </c>
      <c r="M54" s="47">
        <f>Inputs!M81*M46*M47*TPDPct</f>
        <v/>
      </c>
      <c r="N54" s="47">
        <f>Inputs!N81*N46*N47*TPDPct</f>
        <v/>
      </c>
      <c r="O54" s="47">
        <f>Inputs!O81*O46*O47*TPDPct</f>
        <v/>
      </c>
      <c r="P54" s="47">
        <f>Inputs!P81*P46*P47*TPDPct</f>
        <v/>
      </c>
      <c r="Q54" s="47">
        <f>Inputs!Q81*Q46*Q47*TPDPct</f>
        <v/>
      </c>
      <c r="R54" s="47">
        <f>Inputs!R81*R46*R47*TPDPct</f>
        <v/>
      </c>
      <c r="S54" s="47">
        <f>Inputs!S81*S46*S47*TPDPct</f>
        <v/>
      </c>
      <c r="T54" s="47">
        <f>Inputs!T81*T46*T47*TPDPct</f>
        <v/>
      </c>
      <c r="U54" s="47">
        <f>Inputs!U81*U46*U47*TPDPct</f>
        <v/>
      </c>
      <c r="V54" s="47">
        <f>Inputs!V81*V46*V47*TPDPct</f>
        <v/>
      </c>
      <c r="W54" s="47">
        <f>Inputs!W81*W46*W47*TPDPct</f>
        <v/>
      </c>
      <c r="X54" s="47">
        <f>Inputs!X81*X46*X47*TPDPct</f>
        <v/>
      </c>
      <c r="Y54" s="47">
        <f>Inputs!Y81*Y46*Y47*TPDPct</f>
        <v/>
      </c>
      <c r="Z54" s="47">
        <f>Inputs!Z81*Z46*Z47*TPDPct</f>
        <v/>
      </c>
      <c r="AA54" s="47">
        <f>Inputs!AA81*AA46*AA47*TPDPct</f>
        <v/>
      </c>
      <c r="AB54" s="47">
        <f>Inputs!AB81*AB46*AB47*TPDPct</f>
        <v/>
      </c>
      <c r="AC54" s="47">
        <f>Inputs!AC81*AC46*AC47*TPDPct</f>
        <v/>
      </c>
      <c r="AD54" s="47">
        <f>Inputs!AD81*AD46*AD47*TPDPct</f>
        <v/>
      </c>
      <c r="AE54" s="47">
        <f>Inputs!AE81*AE46*AE47*TPDPct</f>
        <v/>
      </c>
      <c r="AF54" s="48">
        <f>SUM(F54:AE54)</f>
        <v/>
      </c>
    </row>
    <row r="55">
      <c r="B55" s="44">
        <f>"— Markdown Spend ("&amp;$G$3&amp;")"</f>
        <v/>
      </c>
      <c r="F55" s="47">
        <f>Inputs!F82*F46*F47*MdPct</f>
        <v/>
      </c>
      <c r="G55" s="47">
        <f>Inputs!G82*G46*G47*MdPct</f>
        <v/>
      </c>
      <c r="H55" s="47">
        <f>Inputs!H82*H46*H47*MdPct</f>
        <v/>
      </c>
      <c r="I55" s="47">
        <f>Inputs!I82*I46*I47*MdPct</f>
        <v/>
      </c>
      <c r="J55" s="47">
        <f>Inputs!J82*J46*J47*MdPct</f>
        <v/>
      </c>
      <c r="K55" s="47">
        <f>Inputs!K82*K46*K47*MdPct</f>
        <v/>
      </c>
      <c r="L55" s="47">
        <f>Inputs!L82*L46*L47*MdPct</f>
        <v/>
      </c>
      <c r="M55" s="47">
        <f>Inputs!M82*M46*M47*MdPct</f>
        <v/>
      </c>
      <c r="N55" s="47">
        <f>Inputs!N82*N46*N47*MdPct</f>
        <v/>
      </c>
      <c r="O55" s="47">
        <f>Inputs!O82*O46*O47*MdPct</f>
        <v/>
      </c>
      <c r="P55" s="47">
        <f>Inputs!P82*P46*P47*MdPct</f>
        <v/>
      </c>
      <c r="Q55" s="47">
        <f>Inputs!Q82*Q46*Q47*MdPct</f>
        <v/>
      </c>
      <c r="R55" s="47">
        <f>Inputs!R82*R46*R47*MdPct</f>
        <v/>
      </c>
      <c r="S55" s="47">
        <f>Inputs!S82*S46*S47*MdPct</f>
        <v/>
      </c>
      <c r="T55" s="47">
        <f>Inputs!T82*T46*T47*MdPct</f>
        <v/>
      </c>
      <c r="U55" s="47">
        <f>Inputs!U82*U46*U47*MdPct</f>
        <v/>
      </c>
      <c r="V55" s="47">
        <f>Inputs!V82*V46*V47*MdPct</f>
        <v/>
      </c>
      <c r="W55" s="47">
        <f>Inputs!W82*W46*W47*MdPct</f>
        <v/>
      </c>
      <c r="X55" s="47">
        <f>Inputs!X82*X46*X47*MdPct</f>
        <v/>
      </c>
      <c r="Y55" s="47">
        <f>Inputs!Y82*Y46*Y47*MdPct</f>
        <v/>
      </c>
      <c r="Z55" s="47">
        <f>Inputs!Z82*Z46*Z47*MdPct</f>
        <v/>
      </c>
      <c r="AA55" s="47">
        <f>Inputs!AA82*AA46*AA47*MdPct</f>
        <v/>
      </c>
      <c r="AB55" s="47">
        <f>Inputs!AB82*AB46*AB47*MdPct</f>
        <v/>
      </c>
      <c r="AC55" s="47">
        <f>Inputs!AC82*AC46*AC47*MdPct</f>
        <v/>
      </c>
      <c r="AD55" s="47">
        <f>Inputs!AD82*AD46*AD47*MdPct</f>
        <v/>
      </c>
      <c r="AE55" s="47">
        <f>Inputs!AE82*AE46*AE47*MdPct</f>
        <v/>
      </c>
      <c r="AF55" s="48">
        <f>SUM(F55:AE55)</f>
        <v/>
      </c>
    </row>
    <row r="56">
      <c r="B56" s="44">
        <f>"— Advertising Spend ("&amp;$G$3&amp;")"</f>
        <v/>
      </c>
      <c r="F56" s="47">
        <f>Inputs!F83*AdvertCost*$E$3</f>
        <v/>
      </c>
      <c r="G56" s="47">
        <f>Inputs!G83*AdvertCost*$E$3</f>
        <v/>
      </c>
      <c r="H56" s="47">
        <f>Inputs!H83*AdvertCost*$E$3</f>
        <v/>
      </c>
      <c r="I56" s="47">
        <f>Inputs!I83*AdvertCost*$E$3</f>
        <v/>
      </c>
      <c r="J56" s="47">
        <f>Inputs!J83*AdvertCost*$E$3</f>
        <v/>
      </c>
      <c r="K56" s="47">
        <f>Inputs!K83*AdvertCost*$E$3</f>
        <v/>
      </c>
      <c r="L56" s="47">
        <f>Inputs!L83*AdvertCost*$E$3</f>
        <v/>
      </c>
      <c r="M56" s="47">
        <f>Inputs!M83*AdvertCost*$E$3</f>
        <v/>
      </c>
      <c r="N56" s="47">
        <f>Inputs!N83*AdvertCost*$E$3</f>
        <v/>
      </c>
      <c r="O56" s="47">
        <f>Inputs!O83*AdvertCost*$E$3</f>
        <v/>
      </c>
      <c r="P56" s="47">
        <f>Inputs!P83*AdvertCost*$E$3</f>
        <v/>
      </c>
      <c r="Q56" s="47">
        <f>Inputs!Q83*AdvertCost*$E$3</f>
        <v/>
      </c>
      <c r="R56" s="47">
        <f>Inputs!R83*AdvertCost*$E$3</f>
        <v/>
      </c>
      <c r="S56" s="47">
        <f>Inputs!S83*AdvertCost*$E$3</f>
        <v/>
      </c>
      <c r="T56" s="47">
        <f>Inputs!T83*AdvertCost*$E$3</f>
        <v/>
      </c>
      <c r="U56" s="47">
        <f>Inputs!U83*AdvertCost*$E$3</f>
        <v/>
      </c>
      <c r="V56" s="47">
        <f>Inputs!V83*AdvertCost*$E$3</f>
        <v/>
      </c>
      <c r="W56" s="47">
        <f>Inputs!W83*AdvertCost*$E$3</f>
        <v/>
      </c>
      <c r="X56" s="47">
        <f>Inputs!X83*AdvertCost*$E$3</f>
        <v/>
      </c>
      <c r="Y56" s="47">
        <f>Inputs!Y83*AdvertCost*$E$3</f>
        <v/>
      </c>
      <c r="Z56" s="47">
        <f>Inputs!Z83*AdvertCost*$E$3</f>
        <v/>
      </c>
      <c r="AA56" s="47">
        <f>Inputs!AA83*AdvertCost*$E$3</f>
        <v/>
      </c>
      <c r="AB56" s="47">
        <f>Inputs!AB83*AdvertCost*$E$3</f>
        <v/>
      </c>
      <c r="AC56" s="47">
        <f>Inputs!AC83*AdvertCost*$E$3</f>
        <v/>
      </c>
      <c r="AD56" s="47">
        <f>Inputs!AD83*AdvertCost*$E$3</f>
        <v/>
      </c>
      <c r="AE56" s="47">
        <f>Inputs!AE83*AdvertCost*$E$3</f>
        <v/>
      </c>
      <c r="AF56" s="48">
        <f>SUM(F56:AE56)</f>
        <v/>
      </c>
    </row>
    <row r="57">
      <c r="B57" s="13">
        <f>"Total Promo Spend ("&amp;$G$3&amp;")"</f>
        <v/>
      </c>
      <c r="F57" s="47">
        <f>SUM(F51:F56)</f>
        <v/>
      </c>
      <c r="G57" s="47">
        <f>SUM(G51:G56)</f>
        <v/>
      </c>
      <c r="H57" s="47">
        <f>SUM(H51:H56)</f>
        <v/>
      </c>
      <c r="I57" s="47">
        <f>SUM(I51:I56)</f>
        <v/>
      </c>
      <c r="J57" s="47">
        <f>SUM(J51:J56)</f>
        <v/>
      </c>
      <c r="K57" s="47">
        <f>SUM(K51:K56)</f>
        <v/>
      </c>
      <c r="L57" s="47">
        <f>SUM(L51:L56)</f>
        <v/>
      </c>
      <c r="M57" s="47">
        <f>SUM(M51:M56)</f>
        <v/>
      </c>
      <c r="N57" s="47">
        <f>SUM(N51:N56)</f>
        <v/>
      </c>
      <c r="O57" s="47">
        <f>SUM(O51:O56)</f>
        <v/>
      </c>
      <c r="P57" s="47">
        <f>SUM(P51:P56)</f>
        <v/>
      </c>
      <c r="Q57" s="47">
        <f>SUM(Q51:Q56)</f>
        <v/>
      </c>
      <c r="R57" s="47">
        <f>SUM(R51:R56)</f>
        <v/>
      </c>
      <c r="S57" s="47">
        <f>SUM(S51:S56)</f>
        <v/>
      </c>
      <c r="T57" s="47">
        <f>SUM(T51:T56)</f>
        <v/>
      </c>
      <c r="U57" s="47">
        <f>SUM(U51:U56)</f>
        <v/>
      </c>
      <c r="V57" s="47">
        <f>SUM(V51:V56)</f>
        <v/>
      </c>
      <c r="W57" s="47">
        <f>SUM(W51:W56)</f>
        <v/>
      </c>
      <c r="X57" s="47">
        <f>SUM(X51:X56)</f>
        <v/>
      </c>
      <c r="Y57" s="47">
        <f>SUM(Y51:Y56)</f>
        <v/>
      </c>
      <c r="Z57" s="47">
        <f>SUM(Z51:Z56)</f>
        <v/>
      </c>
      <c r="AA57" s="47">
        <f>SUM(AA51:AA56)</f>
        <v/>
      </c>
      <c r="AB57" s="47">
        <f>SUM(AB51:AB56)</f>
        <v/>
      </c>
      <c r="AC57" s="47">
        <f>SUM(AC51:AC56)</f>
        <v/>
      </c>
      <c r="AD57" s="47">
        <f>SUM(AD51:AD56)</f>
        <v/>
      </c>
      <c r="AE57" s="47">
        <f>SUM(AE51:AE56)</f>
        <v/>
      </c>
      <c r="AF57" s="48">
        <f>SUM(F57:AE57)</f>
        <v/>
      </c>
    </row>
    <row r="58">
      <c r="B58" s="49">
        <f>"Gross Profit ("&amp;$G$3&amp;")"</f>
        <v/>
      </c>
      <c r="F58" s="47">
        <f>F48-F50</f>
        <v/>
      </c>
      <c r="G58" s="47">
        <f>G48-G50</f>
        <v/>
      </c>
      <c r="H58" s="47">
        <f>H48-H50</f>
        <v/>
      </c>
      <c r="I58" s="47">
        <f>I48-I50</f>
        <v/>
      </c>
      <c r="J58" s="47">
        <f>J48-J50</f>
        <v/>
      </c>
      <c r="K58" s="47">
        <f>K48-K50</f>
        <v/>
      </c>
      <c r="L58" s="47">
        <f>L48-L50</f>
        <v/>
      </c>
      <c r="M58" s="47">
        <f>M48-M50</f>
        <v/>
      </c>
      <c r="N58" s="47">
        <f>N48-N50</f>
        <v/>
      </c>
      <c r="O58" s="47">
        <f>O48-O50</f>
        <v/>
      </c>
      <c r="P58" s="47">
        <f>P48-P50</f>
        <v/>
      </c>
      <c r="Q58" s="47">
        <f>Q48-Q50</f>
        <v/>
      </c>
      <c r="R58" s="47">
        <f>R48-R50</f>
        <v/>
      </c>
      <c r="S58" s="47">
        <f>S48-S50</f>
        <v/>
      </c>
      <c r="T58" s="47">
        <f>T48-T50</f>
        <v/>
      </c>
      <c r="U58" s="47">
        <f>U48-U50</f>
        <v/>
      </c>
      <c r="V58" s="47">
        <f>V48-V50</f>
        <v/>
      </c>
      <c r="W58" s="47">
        <f>W48-W50</f>
        <v/>
      </c>
      <c r="X58" s="47">
        <f>X48-X50</f>
        <v/>
      </c>
      <c r="Y58" s="47">
        <f>Y48-Y50</f>
        <v/>
      </c>
      <c r="Z58" s="47">
        <f>Z48-Z50</f>
        <v/>
      </c>
      <c r="AA58" s="47">
        <f>AA48-AA50</f>
        <v/>
      </c>
      <c r="AB58" s="47">
        <f>AB48-AB50</f>
        <v/>
      </c>
      <c r="AC58" s="47">
        <f>AC48-AC50</f>
        <v/>
      </c>
      <c r="AD58" s="47">
        <f>AD48-AD50</f>
        <v/>
      </c>
      <c r="AE58" s="47">
        <f>AE48-AE50</f>
        <v/>
      </c>
      <c r="AF58" s="48">
        <f>SUM(F58:AE58)</f>
        <v/>
      </c>
    </row>
    <row r="59">
      <c r="B59" s="49">
        <f>"Net Profit after promo ("&amp;$G$3&amp;")"</f>
        <v/>
      </c>
      <c r="F59" s="47">
        <f>F58-F57</f>
        <v/>
      </c>
      <c r="G59" s="47">
        <f>G58-G57</f>
        <v/>
      </c>
      <c r="H59" s="47">
        <f>H58-H57</f>
        <v/>
      </c>
      <c r="I59" s="47">
        <f>I58-I57</f>
        <v/>
      </c>
      <c r="J59" s="47">
        <f>J58-J57</f>
        <v/>
      </c>
      <c r="K59" s="47">
        <f>K58-K57</f>
        <v/>
      </c>
      <c r="L59" s="47">
        <f>L58-L57</f>
        <v/>
      </c>
      <c r="M59" s="47">
        <f>M58-M57</f>
        <v/>
      </c>
      <c r="N59" s="47">
        <f>N58-N57</f>
        <v/>
      </c>
      <c r="O59" s="47">
        <f>O58-O57</f>
        <v/>
      </c>
      <c r="P59" s="47">
        <f>P58-P57</f>
        <v/>
      </c>
      <c r="Q59" s="47">
        <f>Q58-Q57</f>
        <v/>
      </c>
      <c r="R59" s="47">
        <f>R58-R57</f>
        <v/>
      </c>
      <c r="S59" s="47">
        <f>S58-S57</f>
        <v/>
      </c>
      <c r="T59" s="47">
        <f>T58-T57</f>
        <v/>
      </c>
      <c r="U59" s="47">
        <f>U58-U57</f>
        <v/>
      </c>
      <c r="V59" s="47">
        <f>V58-V57</f>
        <v/>
      </c>
      <c r="W59" s="47">
        <f>W58-W57</f>
        <v/>
      </c>
      <c r="X59" s="47">
        <f>X58-X57</f>
        <v/>
      </c>
      <c r="Y59" s="47">
        <f>Y58-Y57</f>
        <v/>
      </c>
      <c r="Z59" s="47">
        <f>Z58-Z57</f>
        <v/>
      </c>
      <c r="AA59" s="47">
        <f>AA58-AA57</f>
        <v/>
      </c>
      <c r="AB59" s="47">
        <f>AB58-AB57</f>
        <v/>
      </c>
      <c r="AC59" s="47">
        <f>AC58-AC57</f>
        <v/>
      </c>
      <c r="AD59" s="47">
        <f>AD58-AD57</f>
        <v/>
      </c>
      <c r="AE59" s="47">
        <f>AE58-AE57</f>
        <v/>
      </c>
      <c r="AF59" s="48">
        <f>SUM(F59:AE59)</f>
        <v/>
      </c>
    </row>
  </sheetData>
  <mergeCells count="4">
    <mergeCell ref="B5:AF5"/>
    <mergeCell ref="B2:AF2"/>
    <mergeCell ref="B24:AF24"/>
    <mergeCell ref="B43:AF43"/>
  </mergeCells>
  <dataValidations count="1">
    <dataValidation sqref="C3" showDropDown="0" showInputMessage="0" showErrorMessage="0" allowBlank="0" errorTitle="Invalid currency" error="Pick one of GBP, USD, CAD, EUR." type="list">
      <formula1>"GBP,USD,CAD,EUR"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28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6" customWidth="1" min="2" max="2"/>
    <col width="22" customWidth="1" min="3" max="3"/>
    <col width="22" customWidth="1" min="4" max="4"/>
    <col width="22" customWidth="1" min="5" max="5"/>
  </cols>
  <sheetData>
    <row r="2" ht="32" customHeight="1">
      <c r="B2" s="9">
        <f>"ROI SUMMARY — Bee Propolis Scenario Comparison  (Display: "&amp;$G$3&amp;" "&amp;$C$3&amp;")"</f>
        <v/>
      </c>
    </row>
    <row r="3" ht="22" customHeight="1">
      <c r="B3" s="38" t="inlineStr">
        <is>
          <t>Display Currency:</t>
        </is>
      </c>
      <c r="C3" s="14" t="inlineStr">
        <is>
          <t>GBP</t>
        </is>
      </c>
      <c r="D3" s="38" t="inlineStr">
        <is>
          <t>FX Rate (× GBP):</t>
        </is>
      </c>
      <c r="E3" s="39">
        <f>VLOOKUP(C3,Inputs!$B$13:$D$16,3,FALSE)</f>
        <v/>
      </c>
      <c r="F3" s="38" t="inlineStr">
        <is>
          <t>Symbol:</t>
        </is>
      </c>
      <c r="G3" s="17">
        <f>VLOOKUP(C3,Inputs!$B$13:$D$16,2,FALSE)</f>
        <v/>
      </c>
    </row>
    <row r="4">
      <c r="B4" s="50">
        <f>"Test window: W1 ("&amp;TEXT(StartDate,"dd-mmm-yyyy")&amp;")  →  W"&amp;Period&amp;" ("&amp;TEXT(StartDate+7*(Period-1),"dd-mmm-yyyy")&amp;")"</f>
        <v/>
      </c>
    </row>
    <row r="6" ht="24" customHeight="1">
      <c r="B6" s="51" t="inlineStr">
        <is>
          <t>Metric</t>
        </is>
      </c>
      <c r="C6" s="52" t="inlineStr">
        <is>
          <t>BEST</t>
        </is>
      </c>
      <c r="D6" s="52" t="inlineStr">
        <is>
          <t>IDEAL</t>
        </is>
      </c>
      <c r="E6" s="52" t="inlineStr">
        <is>
          <t>WORST</t>
        </is>
      </c>
    </row>
    <row r="7" ht="22" customHeight="1">
      <c r="B7" s="53" t="inlineStr">
        <is>
          <t>Units Sold</t>
        </is>
      </c>
      <c r="C7" s="54">
        <f>Forecast!AF8</f>
        <v/>
      </c>
      <c r="D7" s="54">
        <f>Forecast!AF27</f>
        <v/>
      </c>
      <c r="E7" s="54">
        <f>Forecast!AF46</f>
        <v/>
      </c>
    </row>
    <row r="8" ht="22" customHeight="1">
      <c r="B8" s="53">
        <f>"Revenue ("&amp;$G$3&amp;")"</f>
        <v/>
      </c>
      <c r="C8" s="55">
        <f>Forecast!AF10*($E$3/Forecast!$E$3)</f>
        <v/>
      </c>
      <c r="D8" s="55">
        <f>Forecast!AF29*($E$3/Forecast!$E$3)</f>
        <v/>
      </c>
      <c r="E8" s="55">
        <f>Forecast!AF48*($E$3/Forecast!$E$3)</f>
        <v/>
      </c>
    </row>
    <row r="9" ht="22" customHeight="1">
      <c r="B9" s="53">
        <f>"Raw COGS ("&amp;$G$3&amp;")"</f>
        <v/>
      </c>
      <c r="C9" s="55">
        <f>Forecast!AF12*($E$3/Forecast!$E$3)</f>
        <v/>
      </c>
      <c r="D9" s="55">
        <f>Forecast!AF31*($E$3/Forecast!$E$3)</f>
        <v/>
      </c>
      <c r="E9" s="55">
        <f>Forecast!AF50*($E$3/Forecast!$E$3)</f>
        <v/>
      </c>
    </row>
    <row r="10" ht="26" customHeight="1">
      <c r="B10" s="56">
        <f>"Gross Profit ("&amp;$G$3&amp;")"</f>
        <v/>
      </c>
      <c r="C10" s="57">
        <f>Forecast!AF20*($E$3/Forecast!$E$3)</f>
        <v/>
      </c>
      <c r="D10" s="57">
        <f>Forecast!AF39*($E$3/Forecast!$E$3)</f>
        <v/>
      </c>
      <c r="E10" s="57">
        <f>Forecast!AF58*($E$3/Forecast!$E$3)</f>
        <v/>
      </c>
    </row>
    <row r="11" ht="26" customHeight="1">
      <c r="B11" s="56" t="inlineStr">
        <is>
          <t>Gross Margin %</t>
        </is>
      </c>
      <c r="C11" s="58">
        <f>IFERROR(Forecast!AF20/Forecast!AF10,0)</f>
        <v/>
      </c>
      <c r="D11" s="58">
        <f>IFERROR(Forecast!AF39/Forecast!AF29,0)</f>
        <v/>
      </c>
      <c r="E11" s="58">
        <f>IFERROR(Forecast!AF58/Forecast!AF48,0)</f>
        <v/>
      </c>
    </row>
    <row r="12" ht="22" customHeight="1">
      <c r="B12" s="53">
        <f>"Demo Spend ("&amp;$G$3&amp;")"</f>
        <v/>
      </c>
      <c r="C12" s="55">
        <f>Forecast!AF13*($E$3/Forecast!$E$3)</f>
        <v/>
      </c>
      <c r="D12" s="55">
        <f>Forecast!AF32*($E$3/Forecast!$E$3)</f>
        <v/>
      </c>
      <c r="E12" s="55">
        <f>Forecast!AF51*($E$3/Forecast!$E$3)</f>
        <v/>
      </c>
    </row>
    <row r="13" ht="22" customHeight="1">
      <c r="B13" s="53">
        <f>"End Cap Spend ("&amp;$G$3&amp;")"</f>
        <v/>
      </c>
      <c r="C13" s="55">
        <f>Forecast!AF14*($E$3/Forecast!$E$3)</f>
        <v/>
      </c>
      <c r="D13" s="55">
        <f>Forecast!AF33*($E$3/Forecast!$E$3)</f>
        <v/>
      </c>
      <c r="E13" s="55">
        <f>Forecast!AF52*($E$3/Forecast!$E$3)</f>
        <v/>
      </c>
    </row>
    <row r="14" ht="22" customHeight="1">
      <c r="B14" s="53">
        <f>"Fence Spend ("&amp;$G$3&amp;")"</f>
        <v/>
      </c>
      <c r="C14" s="55">
        <f>Forecast!AF15*($E$3/Forecast!$E$3)</f>
        <v/>
      </c>
      <c r="D14" s="55">
        <f>Forecast!AF34*($E$3/Forecast!$E$3)</f>
        <v/>
      </c>
      <c r="E14" s="55">
        <f>Forecast!AF53*($E$3/Forecast!$E$3)</f>
        <v/>
      </c>
    </row>
    <row r="15" ht="22" customHeight="1">
      <c r="B15" s="53">
        <f>"TPD Spend ("&amp;$G$3&amp;")"</f>
        <v/>
      </c>
      <c r="C15" s="55">
        <f>Forecast!AF16*($E$3/Forecast!$E$3)</f>
        <v/>
      </c>
      <c r="D15" s="55">
        <f>Forecast!AF35*($E$3/Forecast!$E$3)</f>
        <v/>
      </c>
      <c r="E15" s="55">
        <f>Forecast!AF54*($E$3/Forecast!$E$3)</f>
        <v/>
      </c>
    </row>
    <row r="16" ht="22" customHeight="1">
      <c r="B16" s="53">
        <f>"Markdown Spend ("&amp;$G$3&amp;")"</f>
        <v/>
      </c>
      <c r="C16" s="55">
        <f>Forecast!AF17*($E$3/Forecast!$E$3)</f>
        <v/>
      </c>
      <c r="D16" s="55">
        <f>Forecast!AF36*($E$3/Forecast!$E$3)</f>
        <v/>
      </c>
      <c r="E16" s="55">
        <f>Forecast!AF55*($E$3/Forecast!$E$3)</f>
        <v/>
      </c>
    </row>
    <row r="17" ht="22" customHeight="1">
      <c r="B17" s="53">
        <f>"Advertising Spend ("&amp;$G$3&amp;")"</f>
        <v/>
      </c>
      <c r="C17" s="55">
        <f>Forecast!AF18*($E$3/Forecast!$E$3)</f>
        <v/>
      </c>
      <c r="D17" s="55">
        <f>Forecast!AF37*($E$3/Forecast!$E$3)</f>
        <v/>
      </c>
      <c r="E17" s="55">
        <f>Forecast!AF56*($E$3/Forecast!$E$3)</f>
        <v/>
      </c>
    </row>
    <row r="18" ht="26" customHeight="1">
      <c r="B18" s="56">
        <f>"Total Promo Spend ("&amp;$G$3&amp;")"</f>
        <v/>
      </c>
      <c r="C18" s="57">
        <f>Forecast!AF19*($E$3/Forecast!$E$3)</f>
        <v/>
      </c>
      <c r="D18" s="57">
        <f>Forecast!AF38*($E$3/Forecast!$E$3)</f>
        <v/>
      </c>
      <c r="E18" s="57">
        <f>Forecast!AF57*($E$3/Forecast!$E$3)</f>
        <v/>
      </c>
    </row>
    <row r="19" ht="26" customHeight="1">
      <c r="B19" s="56">
        <f>"Net Profit ("&amp;$G$3&amp;")"</f>
        <v/>
      </c>
      <c r="C19" s="57">
        <f>Forecast!AF21*($E$3/Forecast!$E$3)</f>
        <v/>
      </c>
      <c r="D19" s="57">
        <f>Forecast!AF40*($E$3/Forecast!$E$3)</f>
        <v/>
      </c>
      <c r="E19" s="57">
        <f>Forecast!AF59*($E$3/Forecast!$E$3)</f>
        <v/>
      </c>
    </row>
    <row r="20" ht="26" customHeight="1">
      <c r="B20" s="56" t="inlineStr">
        <is>
          <t>Net Margin %</t>
        </is>
      </c>
      <c r="C20" s="58">
        <f>IFERROR(Forecast!AF21/Forecast!AF10,0)</f>
        <v/>
      </c>
      <c r="D20" s="58">
        <f>IFERROR(Forecast!AF40/Forecast!AF29,0)</f>
        <v/>
      </c>
      <c r="E20" s="58">
        <f>IFERROR(Forecast!AF59/Forecast!AF48,0)</f>
        <v/>
      </c>
    </row>
    <row r="21" ht="26" customHeight="1">
      <c r="B21" s="56" t="inlineStr">
        <is>
          <t>ROI on Promo Spend</t>
        </is>
      </c>
      <c r="C21" s="58">
        <f>IFERROR(Forecast!AF21/Forecast!AF19,0)</f>
        <v/>
      </c>
      <c r="D21" s="58">
        <f>IFERROR(Forecast!AF40/Forecast!AF38,0)</f>
        <v/>
      </c>
      <c r="E21" s="58">
        <f>IFERROR(Forecast!AF59/Forecast!AF57,0)</f>
        <v/>
      </c>
    </row>
    <row r="22" ht="22" customHeight="1">
      <c r="B22" s="53" t="inlineStr">
        <is>
          <t>Avg Units / WH / Week</t>
        </is>
      </c>
      <c r="C22" s="54">
        <f>IFERROR(Forecast!AF8/WHs/Period,0)</f>
        <v/>
      </c>
      <c r="D22" s="54">
        <f>IFERROR(Forecast!AF27/WHs/Period,0)</f>
        <v/>
      </c>
      <c r="E22" s="54">
        <f>IFERROR(Forecast!AF46/WHs/Period,0)</f>
        <v/>
      </c>
    </row>
    <row r="25" ht="22" customHeight="1">
      <c r="B25" s="12" t="inlineStr">
        <is>
          <t>Why each scenario?</t>
        </is>
      </c>
    </row>
    <row r="26" ht="38" customHeight="1">
      <c r="B26" s="59" t="inlineStr">
        <is>
          <t>BEST</t>
        </is>
      </c>
      <c r="C26" s="15" t="inlineStr">
        <is>
          <t>Two demo weekends with TPD. Demo lifts ~3x in-week. No end cap, no markdown.</t>
        </is>
      </c>
    </row>
    <row r="27" ht="38" customHeight="1">
      <c r="B27" s="59" t="inlineStr">
        <is>
          <t>IDEAL</t>
        </is>
      </c>
      <c r="C27" s="15" t="inlineStr">
        <is>
          <t>Demo + end cap + TPD stacked for two weeks. Combined velocity ~3.6x base.</t>
        </is>
      </c>
    </row>
    <row r="28" ht="38" customHeight="1">
      <c r="B28" s="59" t="inlineStr">
        <is>
          <t>WORST</t>
        </is>
      </c>
      <c r="C28" s="15" t="inlineStr">
        <is>
          <t>Promo plan as IDEAL but residual inventory clears at 50% off over Wks 18-20.</t>
        </is>
      </c>
    </row>
  </sheetData>
  <mergeCells count="6">
    <mergeCell ref="C28:E28"/>
    <mergeCell ref="C27:E27"/>
    <mergeCell ref="B4:E4"/>
    <mergeCell ref="B25:E25"/>
    <mergeCell ref="C26:E26"/>
    <mergeCell ref="B2:E2"/>
  </mergeCells>
  <conditionalFormatting sqref="C19:E19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C21:E21">
    <cfRule type="cellIs" priority="3" operator="lessThan" dxfId="0">
      <formula>0</formula>
    </cfRule>
    <cfRule type="cellIs" priority="4" operator="greaterThanOrEqual" dxfId="1">
      <formula>0</formula>
    </cfRule>
  </conditionalFormatting>
  <dataValidations count="1">
    <dataValidation sqref="C3" showDropDown="0" showInputMessage="0" showErrorMessage="0" allowBlank="0" errorTitle="Invalid currency" error="Pick one of GBP, USD, CAD, EUR." type="list">
      <formula1>"GBP,USD,CAD,EUR"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R14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2" customWidth="1" min="3" max="3"/>
    <col width="32" customWidth="1" min="4" max="4"/>
    <col width="12" customWidth="1" min="5" max="5"/>
    <col width="9" customWidth="1" min="6" max="6"/>
    <col width="9" customWidth="1" min="7" max="7"/>
    <col width="9" customWidth="1" min="8" max="8"/>
    <col width="8" customWidth="1" min="9" max="9"/>
    <col width="11" customWidth="1" min="10" max="10"/>
    <col width="13" customWidth="1" min="11" max="11"/>
    <col width="13" customWidth="1" min="12" max="12"/>
    <col width="13" customWidth="1" min="13" max="13"/>
    <col width="12" customWidth="1" min="14" max="14"/>
    <col width="13" customWidth="1" min="15" max="15"/>
    <col width="8" customWidth="1" min="16" max="16"/>
    <col width="8" customWidth="1" min="17" max="17"/>
    <col width="40" customWidth="1" min="18" max="18"/>
  </cols>
  <sheetData>
    <row r="2" ht="32" customHeight="1">
      <c r="B2" s="9">
        <f>"PORTFOLIO — D93 Pitch SKUs · Annual Y1 Roll-Up  (Display: "&amp;$G$3&amp;" "&amp;$C$3&amp;")"</f>
        <v/>
      </c>
    </row>
    <row r="3" ht="22" customHeight="1">
      <c r="B3" s="38" t="inlineStr">
        <is>
          <t>Display Currency:</t>
        </is>
      </c>
      <c r="C3" s="14" t="inlineStr">
        <is>
          <t>GBP</t>
        </is>
      </c>
      <c r="D3" s="38" t="inlineStr">
        <is>
          <t>FX Rate (× GBP):</t>
        </is>
      </c>
      <c r="E3" s="39">
        <f>VLOOKUP(C3,Inputs!$B$13:$D$16,3,FALSE)</f>
        <v/>
      </c>
      <c r="F3" s="38" t="inlineStr">
        <is>
          <t>Symbol:</t>
        </is>
      </c>
      <c r="G3" s="17">
        <f>VLOOKUP(C3,Inputs!$B$13:$D$16,2,FALSE)</f>
        <v/>
      </c>
    </row>
    <row r="4" ht="30" customHeight="1">
      <c r="B4" s="60" t="inlineStr">
        <is>
          <t>SP / Cost / Promo are entered in the currently-selected display currency. Bee Propolis pre-filled; fill SKUs 2-7 from Asana into the yellow cells. Bottom row blends across SKUs.</t>
        </is>
      </c>
    </row>
    <row r="6">
      <c r="B6" s="18" t="inlineStr">
        <is>
          <t>#</t>
        </is>
      </c>
      <c r="C6" s="61" t="inlineStr">
        <is>
          <t>Code</t>
        </is>
      </c>
      <c r="D6" s="61" t="inlineStr">
        <is>
          <t>SKU</t>
        </is>
      </c>
      <c r="E6" s="61" t="inlineStr">
        <is>
          <t>Pack</t>
        </is>
      </c>
      <c r="F6" s="18">
        <f>"SP ("&amp;$G$3&amp;")"</f>
        <v/>
      </c>
      <c r="G6" s="18">
        <f>"Cost ("&amp;$G$3&amp;")"</f>
        <v/>
      </c>
      <c r="H6" s="18">
        <f>"GM/u ("&amp;$G$3&amp;")"</f>
        <v/>
      </c>
      <c r="I6" s="18" t="inlineStr">
        <is>
          <t>GM %</t>
        </is>
      </c>
      <c r="J6" s="18" t="inlineStr">
        <is>
          <t>Y1 Units</t>
        </is>
      </c>
      <c r="K6" s="18">
        <f>"Revenue ("&amp;$G$3&amp;")"</f>
        <v/>
      </c>
      <c r="L6" s="18">
        <f>"COGS ("&amp;$G$3&amp;")"</f>
        <v/>
      </c>
      <c r="M6" s="18">
        <f>"GP ("&amp;$G$3&amp;")"</f>
        <v/>
      </c>
      <c r="N6" s="18">
        <f>"Promo ("&amp;$G$3&amp;")"</f>
        <v/>
      </c>
      <c r="O6" s="18">
        <f>"Net Profit ("&amp;$G$3&amp;")"</f>
        <v/>
      </c>
      <c r="P6" s="18" t="inlineStr">
        <is>
          <t>Net %</t>
        </is>
      </c>
      <c r="Q6" s="18" t="inlineStr">
        <is>
          <t>ROI %</t>
        </is>
      </c>
      <c r="R6" s="61" t="inlineStr">
        <is>
          <t>Rationale / status</t>
        </is>
      </c>
    </row>
    <row r="7" ht="20" customHeight="1">
      <c r="B7" s="62" t="n">
        <v>1</v>
      </c>
      <c r="C7" s="63" t="inlineStr">
        <is>
          <t>UK-D93-#1</t>
        </is>
      </c>
      <c r="D7" s="63" t="inlineStr">
        <is>
          <t>Bee Propolis Spray 30ml x2</t>
        </is>
      </c>
      <c r="E7" s="64" t="inlineStr">
        <is>
          <t>30ml x 2</t>
        </is>
      </c>
      <c r="F7" s="65" t="n">
        <v>15.99</v>
      </c>
      <c r="G7" s="65" t="n">
        <v>7.29</v>
      </c>
      <c r="H7" s="45">
        <f>IFERROR(F7-G7,0)</f>
        <v/>
      </c>
      <c r="I7" s="66">
        <f>IFERROR((F7-G7)/F7,0)</f>
        <v/>
      </c>
      <c r="J7" s="23" t="n">
        <v>17000</v>
      </c>
      <c r="K7" s="47">
        <f>IFERROR(J7*F7,0)</f>
        <v/>
      </c>
      <c r="L7" s="47">
        <f>IFERROR(J7*G7,0)</f>
        <v/>
      </c>
      <c r="M7" s="48">
        <f>IFERROR(K7-L7,0)</f>
        <v/>
      </c>
      <c r="N7" s="67" t="n">
        <v>25000</v>
      </c>
      <c r="O7" s="48">
        <f>IFERROR(M7-N7,0)</f>
        <v/>
      </c>
      <c r="P7" s="66">
        <f>IFERROR(O7/K7,0)</f>
        <v/>
      </c>
      <c r="Q7" s="66">
        <f>IFERROR(O7/N7,0)</f>
        <v/>
      </c>
      <c r="R7" s="64" t="inlineStr">
        <is>
          <t>Lead pitch — strong GP%, supported by demo + TPD.</t>
        </is>
      </c>
    </row>
    <row r="8" ht="20" customHeight="1">
      <c r="B8" s="62" t="n">
        <v>2</v>
      </c>
      <c r="C8" s="63" t="inlineStr">
        <is>
          <t>UK-D93-#2</t>
        </is>
      </c>
      <c r="D8" s="63" t="inlineStr">
        <is>
          <t>Mag 8-in-1 90's/120's</t>
        </is>
      </c>
      <c r="E8" s="64" t="n"/>
      <c r="F8" s="65" t="n"/>
      <c r="G8" s="65" t="n"/>
      <c r="H8" s="45">
        <f>IFERROR(F8-G8,0)</f>
        <v/>
      </c>
      <c r="I8" s="66">
        <f>IFERROR((F8-G8)/F8,0)</f>
        <v/>
      </c>
      <c r="J8" s="23" t="n"/>
      <c r="K8" s="47">
        <f>IFERROR(J8*F8,0)</f>
        <v/>
      </c>
      <c r="L8" s="47">
        <f>IFERROR(J8*G8,0)</f>
        <v/>
      </c>
      <c r="M8" s="48">
        <f>IFERROR(K8-L8,0)</f>
        <v/>
      </c>
      <c r="N8" s="67" t="n"/>
      <c r="O8" s="48">
        <f>IFERROR(M8-N8,0)</f>
        <v/>
      </c>
      <c r="P8" s="66">
        <f>IFERROR(O8/K8,0)</f>
        <v/>
      </c>
      <c r="Q8" s="66">
        <f>IFERROR(O8/N8,0)</f>
        <v/>
      </c>
      <c r="R8" s="64" t="n"/>
    </row>
    <row r="9" ht="20" customHeight="1">
      <c r="B9" s="62" t="n">
        <v>3</v>
      </c>
      <c r="C9" s="63" t="inlineStr">
        <is>
          <t>UK-D93-#3</t>
        </is>
      </c>
      <c r="D9" s="63" t="inlineStr">
        <is>
          <t>O1 450g</t>
        </is>
      </c>
      <c r="E9" s="64" t="n"/>
      <c r="F9" s="65" t="n"/>
      <c r="G9" s="65" t="n"/>
      <c r="H9" s="45">
        <f>IFERROR(F9-G9,0)</f>
        <v/>
      </c>
      <c r="I9" s="66">
        <f>IFERROR((F9-G9)/F9,0)</f>
        <v/>
      </c>
      <c r="J9" s="23" t="n"/>
      <c r="K9" s="47">
        <f>IFERROR(J9*F9,0)</f>
        <v/>
      </c>
      <c r="L9" s="47">
        <f>IFERROR(J9*G9,0)</f>
        <v/>
      </c>
      <c r="M9" s="48">
        <f>IFERROR(K9-L9,0)</f>
        <v/>
      </c>
      <c r="N9" s="67" t="n"/>
      <c r="O9" s="48">
        <f>IFERROR(M9-N9,0)</f>
        <v/>
      </c>
      <c r="P9" s="66">
        <f>IFERROR(O9/K9,0)</f>
        <v/>
      </c>
      <c r="Q9" s="66">
        <f>IFERROR(O9/N9,0)</f>
        <v/>
      </c>
      <c r="R9" s="64" t="n"/>
    </row>
    <row r="10" ht="20" customHeight="1">
      <c r="B10" s="62" t="n">
        <v>4</v>
      </c>
      <c r="C10" s="63" t="inlineStr">
        <is>
          <t>UK-D93-#4</t>
        </is>
      </c>
      <c r="D10" s="63" t="inlineStr">
        <is>
          <t>Belli Bliss Raspberry, 450g</t>
        </is>
      </c>
      <c r="E10" s="64" t="n"/>
      <c r="F10" s="65" t="n"/>
      <c r="G10" s="65" t="n"/>
      <c r="H10" s="45">
        <f>IFERROR(F10-G10,0)</f>
        <v/>
      </c>
      <c r="I10" s="66">
        <f>IFERROR((F10-G10)/F10,0)</f>
        <v/>
      </c>
      <c r="J10" s="23" t="n"/>
      <c r="K10" s="47">
        <f>IFERROR(J10*F10,0)</f>
        <v/>
      </c>
      <c r="L10" s="47">
        <f>IFERROR(J10*G10,0)</f>
        <v/>
      </c>
      <c r="M10" s="48">
        <f>IFERROR(K10-L10,0)</f>
        <v/>
      </c>
      <c r="N10" s="67" t="n"/>
      <c r="O10" s="48">
        <f>IFERROR(M10-N10,0)</f>
        <v/>
      </c>
      <c r="P10" s="66">
        <f>IFERROR(O10/K10,0)</f>
        <v/>
      </c>
      <c r="Q10" s="66">
        <f>IFERROR(O10/N10,0)</f>
        <v/>
      </c>
      <c r="R10" s="64" t="n"/>
    </row>
    <row r="11" ht="20" customHeight="1">
      <c r="B11" s="62" t="n">
        <v>5</v>
      </c>
      <c r="C11" s="63" t="inlineStr">
        <is>
          <t>UK-D93-#5</t>
        </is>
      </c>
      <c r="D11" s="63" t="inlineStr">
        <is>
          <t>Daily Boost</t>
        </is>
      </c>
      <c r="E11" s="64" t="n"/>
      <c r="F11" s="65" t="n"/>
      <c r="G11" s="65" t="n"/>
      <c r="H11" s="45">
        <f>IFERROR(F11-G11,0)</f>
        <v/>
      </c>
      <c r="I11" s="66">
        <f>IFERROR((F11-G11)/F11,0)</f>
        <v/>
      </c>
      <c r="J11" s="23" t="n"/>
      <c r="K11" s="47">
        <f>IFERROR(J11*F11,0)</f>
        <v/>
      </c>
      <c r="L11" s="47">
        <f>IFERROR(J11*G11,0)</f>
        <v/>
      </c>
      <c r="M11" s="48">
        <f>IFERROR(K11-L11,0)</f>
        <v/>
      </c>
      <c r="N11" s="67" t="n"/>
      <c r="O11" s="48">
        <f>IFERROR(M11-N11,0)</f>
        <v/>
      </c>
      <c r="P11" s="66">
        <f>IFERROR(O11/K11,0)</f>
        <v/>
      </c>
      <c r="Q11" s="66">
        <f>IFERROR(O11/N11,0)</f>
        <v/>
      </c>
      <c r="R11" s="64" t="n"/>
    </row>
    <row r="12" ht="20" customHeight="1">
      <c r="B12" s="62" t="n">
        <v>6</v>
      </c>
      <c r="C12" s="63" t="inlineStr">
        <is>
          <t>UK-D93-#6</t>
        </is>
      </c>
      <c r="D12" s="63" t="inlineStr">
        <is>
          <t>Berberine 90's/120's</t>
        </is>
      </c>
      <c r="E12" s="64" t="n"/>
      <c r="F12" s="65" t="n"/>
      <c r="G12" s="65" t="n"/>
      <c r="H12" s="45">
        <f>IFERROR(F12-G12,0)</f>
        <v/>
      </c>
      <c r="I12" s="66">
        <f>IFERROR((F12-G12)/F12,0)</f>
        <v/>
      </c>
      <c r="J12" s="23" t="n"/>
      <c r="K12" s="47">
        <f>IFERROR(J12*F12,0)</f>
        <v/>
      </c>
      <c r="L12" s="47">
        <f>IFERROR(J12*G12,0)</f>
        <v/>
      </c>
      <c r="M12" s="48">
        <f>IFERROR(K12-L12,0)</f>
        <v/>
      </c>
      <c r="N12" s="67" t="n"/>
      <c r="O12" s="48">
        <f>IFERROR(M12-N12,0)</f>
        <v/>
      </c>
      <c r="P12" s="66">
        <f>IFERROR(O12/K12,0)</f>
        <v/>
      </c>
      <c r="Q12" s="66">
        <f>IFERROR(O12/N12,0)</f>
        <v/>
      </c>
      <c r="R12" s="64" t="n"/>
    </row>
    <row r="13" ht="20" customHeight="1">
      <c r="B13" s="62" t="n">
        <v>7</v>
      </c>
      <c r="C13" s="63" t="inlineStr">
        <is>
          <t>UK-D93-#7</t>
        </is>
      </c>
      <c r="D13" s="63" t="inlineStr">
        <is>
          <t>L-theanine Capsules 90's/120's</t>
        </is>
      </c>
      <c r="E13" s="64" t="n"/>
      <c r="F13" s="65" t="n"/>
      <c r="G13" s="65" t="n"/>
      <c r="H13" s="45">
        <f>IFERROR(F13-G13,0)</f>
        <v/>
      </c>
      <c r="I13" s="66">
        <f>IFERROR((F13-G13)/F13,0)</f>
        <v/>
      </c>
      <c r="J13" s="23" t="n"/>
      <c r="K13" s="47">
        <f>IFERROR(J13*F13,0)</f>
        <v/>
      </c>
      <c r="L13" s="47">
        <f>IFERROR(J13*G13,0)</f>
        <v/>
      </c>
      <c r="M13" s="48">
        <f>IFERROR(K13-L13,0)</f>
        <v/>
      </c>
      <c r="N13" s="67" t="n"/>
      <c r="O13" s="48">
        <f>IFERROR(M13-N13,0)</f>
        <v/>
      </c>
      <c r="P13" s="66">
        <f>IFERROR(O13/K13,0)</f>
        <v/>
      </c>
      <c r="Q13" s="66">
        <f>IFERROR(O13/N13,0)</f>
        <v/>
      </c>
      <c r="R13" s="64" t="n"/>
    </row>
    <row r="14" ht="26" customHeight="1">
      <c r="B14" s="68" t="inlineStr"/>
      <c r="C14" s="68" t="inlineStr"/>
      <c r="D14" s="69" t="inlineStr">
        <is>
          <t>PORTFOLIO TOTAL / BLENDED</t>
        </is>
      </c>
      <c r="E14" s="68" t="inlineStr"/>
      <c r="F14" s="68" t="inlineStr"/>
      <c r="G14" s="68" t="inlineStr"/>
      <c r="I14" s="70">
        <f>IFERROR(SUM(M7:M13)/SUM(K7:K13),0)</f>
        <v/>
      </c>
      <c r="J14" s="71">
        <f>SUM(J7:J13)</f>
        <v/>
      </c>
      <c r="K14" s="72">
        <f>SUM(K7:K13)</f>
        <v/>
      </c>
      <c r="L14" s="72">
        <f>SUM(L7:L13)</f>
        <v/>
      </c>
      <c r="M14" s="72">
        <f>SUM(M7:M13)</f>
        <v/>
      </c>
      <c r="N14" s="72">
        <f>SUM(N7:N13)</f>
        <v/>
      </c>
      <c r="O14" s="72">
        <f>SUM(O7:O13)</f>
        <v/>
      </c>
      <c r="P14" s="70">
        <f>IFERROR(O14/K14,0)</f>
        <v/>
      </c>
      <c r="Q14" s="70">
        <f>IFERROR(O14/N14,0)</f>
        <v/>
      </c>
      <c r="R14" s="69" t="inlineStr">
        <is>
          <t>Blended across SKUs</t>
        </is>
      </c>
    </row>
  </sheetData>
  <mergeCells count="2">
    <mergeCell ref="B2:R2"/>
    <mergeCell ref="B4:R4"/>
  </mergeCells>
  <dataValidations count="1">
    <dataValidation sqref="C3" showDropDown="0" showInputMessage="0" showErrorMessage="0" allowBlank="0" errorTitle="Invalid currency" error="Pick one of GBP, USD, CAD, EUR." type="list">
      <formula1>"GBP,USD,CAD,EUR"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2026-05-26T22:54:09Z</dcterms:created>
  <dcterms:modified xsi:type="dcterms:W3CDTF">2026-05-26T22:54:09Z</dcterms:modified>
</cp:coreProperties>
</file>