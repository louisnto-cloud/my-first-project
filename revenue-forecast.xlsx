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Channel Comparison" sheetId="2" state="visible" r:id="rId2"/>
    <sheet name="Sensitivity" sheetId="3" state="visible" r:id="rId3"/>
    <sheet name="Monthly Pl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&quot;$&quot;#,##0.00"/>
    <numFmt numFmtId="166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808080"/>
      <sz val="9"/>
    </font>
    <font>
      <b val="1"/>
      <color rgb="001F3864"/>
      <sz val="12"/>
    </font>
    <font>
      <b val="1"/>
      <color rgb="00404040"/>
    </font>
    <font>
      <b val="1"/>
      <color rgb="001F3864"/>
    </font>
    <font>
      <b val="1"/>
      <color rgb="00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pivotButton="0" quotePrefix="0" xfId="0"/>
    <xf numFmtId="3" fontId="5" fillId="3" borderId="1" pivotButton="0" quotePrefix="0" xfId="0"/>
    <xf numFmtId="164" fontId="4" fillId="4" borderId="1" pivotButton="0" quotePrefix="0" xfId="0"/>
    <xf numFmtId="3" fontId="4" fillId="4" borderId="1" pivotButton="0" quotePrefix="0" xfId="0"/>
    <xf numFmtId="165" fontId="4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0" fontId="7" fillId="2" borderId="1" pivotButton="0" quotePrefix="0" xfId="0"/>
    <xf numFmtId="0" fontId="0" fillId="2" borderId="1" pivotButton="0" quotePrefix="0" xfId="0"/>
    <xf numFmtId="3" fontId="7" fillId="2" borderId="1" pivotButton="0" quotePrefix="0" xfId="0"/>
    <xf numFmtId="166" fontId="7" fillId="2" borderId="1" pivotButton="0" quotePrefix="0" xfId="0"/>
    <xf numFmtId="164" fontId="7" fillId="2" borderId="1" pivotButton="0" quotePrefix="0" xfId="0"/>
    <xf numFmtId="0" fontId="6" fillId="5" borderId="1" applyAlignment="1" pivotButton="0" quotePrefix="0" xfId="0">
      <alignment horizontal="center" vertical="center"/>
    </xf>
    <xf numFmtId="3" fontId="6" fillId="5" borderId="1" applyAlignment="1" pivotButton="0" quotePrefix="0" xfId="0">
      <alignment horizontal="center" vertical="center"/>
    </xf>
    <xf numFmtId="164" fontId="0" fillId="6" borderId="1" pivotButton="0" quotePrefix="0" xfId="0"/>
    <xf numFmtId="164" fontId="2" fillId="3" borderId="1" pivotButton="0" quotePrefix="0" xfId="0"/>
    <xf numFmtId="0" fontId="4" fillId="0" borderId="1" pivotButton="0" quotePrefix="0" xfId="0"/>
    <xf numFmtId="2" fontId="5" fillId="3" borderId="1" pivotButton="0" quotePrefix="0" xfId="0"/>
    <xf numFmtId="2" fontId="7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2" customWidth="1" min="4" max="4"/>
    <col width="14" customWidth="1" min="5" max="5"/>
    <col width="16" customWidth="1" min="6" max="6"/>
    <col width="13" customWidth="1" min="7" max="7"/>
  </cols>
  <sheetData>
    <row r="1" ht="28" customHeight="1">
      <c r="A1" s="1" t="inlineStr">
        <is>
          <t>Revenue Forecast  —  Cases-Sold Model</t>
        </is>
      </c>
    </row>
    <row r="2">
      <c r="A2" s="2" t="inlineStr">
        <is>
          <t>Yellow cells are inputs — overwrite them. Grey cells are live formulas.</t>
        </is>
      </c>
    </row>
    <row r="4">
      <c r="A4" s="3" t="inlineStr">
        <is>
          <t>ASSUMPTIONS</t>
        </is>
      </c>
    </row>
    <row r="5">
      <c r="A5" s="4" t="inlineStr">
        <is>
          <t>Annual gross revenue target</t>
        </is>
      </c>
      <c r="B5" s="5" t="n">
        <v>2500000</v>
      </c>
    </row>
    <row r="6">
      <c r="A6" s="4" t="inlineStr">
        <is>
          <t>Units per case (e.g. bottles)</t>
        </is>
      </c>
      <c r="B6" s="6" t="n">
        <v>12</v>
      </c>
    </row>
    <row r="7">
      <c r="A7" s="4" t="inlineStr">
        <is>
          <t>Blended avg price / case</t>
        </is>
      </c>
      <c r="B7" s="7">
        <f>SUMPRODUCT(B16:B20,C16:C20)/SUM(C16:C20)</f>
        <v/>
      </c>
    </row>
    <row r="8">
      <c r="A8" s="4" t="inlineStr">
        <is>
          <t>TOTAL cases needed to hit target</t>
        </is>
      </c>
      <c r="B8" s="8">
        <f>B5/B7</f>
        <v/>
      </c>
    </row>
    <row r="9">
      <c r="A9" s="4" t="inlineStr">
        <is>
          <t>Implied price / unit</t>
        </is>
      </c>
      <c r="B9" s="9">
        <f>B7/B6</f>
        <v/>
      </c>
    </row>
    <row r="10">
      <c r="A10" s="4" t="inlineStr">
        <is>
          <t>Cases / month (avg)</t>
        </is>
      </c>
      <c r="B10" s="8">
        <f>B8/12</f>
        <v/>
      </c>
    </row>
    <row r="11">
      <c r="A11" s="4" t="inlineStr">
        <is>
          <t>Cases / week (avg)</t>
        </is>
      </c>
      <c r="B11" s="8">
        <f>B8/52</f>
        <v/>
      </c>
    </row>
    <row r="12">
      <c r="A12" s="4" t="inlineStr">
        <is>
          <t>Cases / selling-day (260/yr)</t>
        </is>
      </c>
      <c r="B12" s="8">
        <f>B8/260</f>
        <v/>
      </c>
    </row>
    <row r="14">
      <c r="A14" s="3" t="inlineStr">
        <is>
          <t>CHANNEL MIX &amp; PRICING</t>
        </is>
      </c>
    </row>
    <row r="15" ht="30" customHeight="1">
      <c r="A15" s="10" t="inlineStr">
        <is>
          <t>Channel</t>
        </is>
      </c>
      <c r="B15" s="10" t="inlineStr">
        <is>
          <t>Price / Case</t>
        </is>
      </c>
      <c r="C15" s="10" t="inlineStr">
        <is>
          <t>Volume Mix
(weight)</t>
        </is>
      </c>
      <c r="D15" s="10" t="inlineStr">
        <is>
          <t>Mix %</t>
        </is>
      </c>
      <c r="E15" s="10" t="inlineStr">
        <is>
          <t>Cases</t>
        </is>
      </c>
      <c r="F15" s="10" t="inlineStr">
        <is>
          <t>Revenue</t>
        </is>
      </c>
      <c r="G15" s="10" t="inlineStr">
        <is>
          <t>% of Rev</t>
        </is>
      </c>
    </row>
    <row r="16">
      <c r="A16" s="11" t="inlineStr">
        <is>
          <t>Direct-to-Consumer (DTC)</t>
        </is>
      </c>
      <c r="B16" s="5" t="n">
        <v>300</v>
      </c>
      <c r="C16" s="6" t="n">
        <v>20</v>
      </c>
      <c r="D16" s="12">
        <f>C16/SUM($C$16:$C$20)</f>
        <v/>
      </c>
      <c r="E16" s="13">
        <f>$B$8*D16</f>
        <v/>
      </c>
      <c r="F16" s="14">
        <f>E16*B16</f>
        <v/>
      </c>
      <c r="G16" s="12">
        <f>F16/$B$5</f>
        <v/>
      </c>
    </row>
    <row r="17">
      <c r="A17" s="11" t="inlineStr">
        <is>
          <t>On-Premise / Food Service</t>
        </is>
      </c>
      <c r="B17" s="5" t="n">
        <v>216</v>
      </c>
      <c r="C17" s="6" t="n">
        <v>15</v>
      </c>
      <c r="D17" s="12">
        <f>C17/SUM($C$16:$C$20)</f>
        <v/>
      </c>
      <c r="E17" s="13">
        <f>$B$8*D17</f>
        <v/>
      </c>
      <c r="F17" s="14">
        <f>E17*B17</f>
        <v/>
      </c>
      <c r="G17" s="12">
        <f>F17/$B$5</f>
        <v/>
      </c>
    </row>
    <row r="18">
      <c r="A18" s="11" t="inlineStr">
        <is>
          <t>Off-Premise Retail</t>
        </is>
      </c>
      <c r="B18" s="5" t="n">
        <v>180</v>
      </c>
      <c r="C18" s="6" t="n">
        <v>30</v>
      </c>
      <c r="D18" s="12">
        <f>C18/SUM($C$16:$C$20)</f>
        <v/>
      </c>
      <c r="E18" s="13">
        <f>$B$8*D18</f>
        <v/>
      </c>
      <c r="F18" s="14">
        <f>E18*B18</f>
        <v/>
      </c>
      <c r="G18" s="12">
        <f>F18/$B$5</f>
        <v/>
      </c>
    </row>
    <row r="19">
      <c r="A19" s="11" t="inlineStr">
        <is>
          <t>Wholesale / Distributor</t>
        </is>
      </c>
      <c r="B19" s="5" t="n">
        <v>120</v>
      </c>
      <c r="C19" s="6" t="n">
        <v>30</v>
      </c>
      <c r="D19" s="12">
        <f>C19/SUM($C$16:$C$20)</f>
        <v/>
      </c>
      <c r="E19" s="13">
        <f>$B$8*D19</f>
        <v/>
      </c>
      <c r="F19" s="14">
        <f>E19*B19</f>
        <v/>
      </c>
      <c r="G19" s="12">
        <f>F19/$B$5</f>
        <v/>
      </c>
    </row>
    <row r="20">
      <c r="A20" s="11" t="inlineStr">
        <is>
          <t>Online Marketplace</t>
        </is>
      </c>
      <c r="B20" s="5" t="n">
        <v>150</v>
      </c>
      <c r="C20" s="6" t="n">
        <v>5</v>
      </c>
      <c r="D20" s="12">
        <f>C20/SUM($C$16:$C$20)</f>
        <v/>
      </c>
      <c r="E20" s="13">
        <f>$B$8*D20</f>
        <v/>
      </c>
      <c r="F20" s="14">
        <f>E20*B20</f>
        <v/>
      </c>
      <c r="G20" s="12">
        <f>F20/$B$5</f>
        <v/>
      </c>
    </row>
    <row r="21">
      <c r="A21" s="15" t="inlineStr">
        <is>
          <t>TOTAL</t>
        </is>
      </c>
      <c r="B21" s="16" t="inlineStr"/>
      <c r="C21" s="17">
        <f>SUM(C16:C20)</f>
        <v/>
      </c>
      <c r="D21" s="18">
        <f>SUM(D16:D20)</f>
        <v/>
      </c>
      <c r="E21" s="17">
        <f>SUM(E16:E20)</f>
        <v/>
      </c>
      <c r="F21" s="19">
        <f>SUM(F16:F20)</f>
        <v/>
      </c>
      <c r="G21" s="18">
        <f>SUM(G16:G20)</f>
        <v/>
      </c>
    </row>
    <row r="23">
      <c r="A23" s="2" t="inlineStr">
        <is>
          <t>Note: revenue always sums to the target — change the mix to see how the CASE COUNT shifts.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Channel Comparison  —  “if I sold at this price, what does it look like?”</t>
        </is>
      </c>
    </row>
    <row r="3">
      <c r="A3" s="2" t="inlineStr">
        <is>
          <t>Same product, very different economics per channel. Two views below.</t>
        </is>
      </c>
    </row>
    <row r="5">
      <c r="A5" s="3" t="inlineStr">
        <is>
          <t>A)  Cases to hit target if 100% sold through one channel</t>
        </is>
      </c>
    </row>
    <row r="6" ht="28" customHeight="1">
      <c r="A6" s="10" t="inlineStr">
        <is>
          <t>Channel</t>
        </is>
      </c>
      <c r="B6" s="10" t="inlineStr">
        <is>
          <t>Price / Case</t>
        </is>
      </c>
      <c r="C6" s="10" t="inlineStr">
        <is>
          <t>Cases needed</t>
        </is>
      </c>
      <c r="D6" s="10" t="inlineStr">
        <is>
          <t>Units needed</t>
        </is>
      </c>
      <c r="E6" s="10" t="inlineStr">
        <is>
          <t>Rev / 1,000 cases</t>
        </is>
      </c>
    </row>
    <row r="7">
      <c r="A7" s="11">
        <f>Model!A16</f>
        <v/>
      </c>
      <c r="B7" s="14">
        <f>Model!B16</f>
        <v/>
      </c>
      <c r="C7" s="13">
        <f>Model!$B$5/B7</f>
        <v/>
      </c>
      <c r="D7" s="13">
        <f>C7*Model!$B$6</f>
        <v/>
      </c>
      <c r="E7" s="14">
        <f>1000*B7</f>
        <v/>
      </c>
    </row>
    <row r="8">
      <c r="A8" s="11">
        <f>Model!A17</f>
        <v/>
      </c>
      <c r="B8" s="14">
        <f>Model!B17</f>
        <v/>
      </c>
      <c r="C8" s="13">
        <f>Model!$B$5/B8</f>
        <v/>
      </c>
      <c r="D8" s="13">
        <f>C8*Model!$B$6</f>
        <v/>
      </c>
      <c r="E8" s="14">
        <f>1000*B8</f>
        <v/>
      </c>
    </row>
    <row r="9">
      <c r="A9" s="11">
        <f>Model!A18</f>
        <v/>
      </c>
      <c r="B9" s="14">
        <f>Model!B18</f>
        <v/>
      </c>
      <c r="C9" s="13">
        <f>Model!$B$5/B9</f>
        <v/>
      </c>
      <c r="D9" s="13">
        <f>C9*Model!$B$6</f>
        <v/>
      </c>
      <c r="E9" s="14">
        <f>1000*B9</f>
        <v/>
      </c>
    </row>
    <row r="10">
      <c r="A10" s="11">
        <f>Model!A19</f>
        <v/>
      </c>
      <c r="B10" s="14">
        <f>Model!B19</f>
        <v/>
      </c>
      <c r="C10" s="13">
        <f>Model!$B$5/B10</f>
        <v/>
      </c>
      <c r="D10" s="13">
        <f>C10*Model!$B$6</f>
        <v/>
      </c>
      <c r="E10" s="14">
        <f>1000*B10</f>
        <v/>
      </c>
    </row>
    <row r="11">
      <c r="A11" s="11">
        <f>Model!A20</f>
        <v/>
      </c>
      <c r="B11" s="14">
        <f>Model!B20</f>
        <v/>
      </c>
      <c r="C11" s="13">
        <f>Model!$B$5/B11</f>
        <v/>
      </c>
      <c r="D11" s="13">
        <f>C11*Model!$B$6</f>
        <v/>
      </c>
      <c r="E11" s="14">
        <f>1000*B11</f>
        <v/>
      </c>
    </row>
    <row r="13">
      <c r="A13" s="3" t="inlineStr">
        <is>
          <t>B)  Gross revenue at a given number of cases sold</t>
        </is>
      </c>
    </row>
    <row r="14">
      <c r="A14" s="20" t="inlineStr">
        <is>
          <t>Channel</t>
        </is>
      </c>
      <c r="B14" s="10" t="inlineStr">
        <is>
          <t>Price / Case</t>
        </is>
      </c>
      <c r="C14" s="21" t="n">
        <v>5000</v>
      </c>
      <c r="D14" s="21" t="n">
        <v>10000</v>
      </c>
      <c r="E14" s="21" t="n">
        <v>15000</v>
      </c>
      <c r="F14" s="21" t="n">
        <v>20000</v>
      </c>
      <c r="G14" s="21" t="n">
        <v>25000</v>
      </c>
      <c r="H14" s="21" t="n">
        <v>30000</v>
      </c>
    </row>
    <row r="15">
      <c r="A15" s="11">
        <f>Model!A16</f>
        <v/>
      </c>
      <c r="B15" s="14">
        <f>Model!B16</f>
        <v/>
      </c>
      <c r="C15" s="14">
        <f>C$14*$B15</f>
        <v/>
      </c>
      <c r="D15" s="22">
        <f>D$14*$B15</f>
        <v/>
      </c>
      <c r="E15" s="14">
        <f>E$14*$B15</f>
        <v/>
      </c>
      <c r="F15" s="22">
        <f>F$14*$B15</f>
        <v/>
      </c>
      <c r="G15" s="14">
        <f>G$14*$B15</f>
        <v/>
      </c>
      <c r="H15" s="22">
        <f>H$14*$B15</f>
        <v/>
      </c>
    </row>
    <row r="16">
      <c r="A16" s="11">
        <f>Model!A17</f>
        <v/>
      </c>
      <c r="B16" s="14">
        <f>Model!B17</f>
        <v/>
      </c>
      <c r="C16" s="22">
        <f>C$14*$B16</f>
        <v/>
      </c>
      <c r="D16" s="14">
        <f>D$14*$B16</f>
        <v/>
      </c>
      <c r="E16" s="22">
        <f>E$14*$B16</f>
        <v/>
      </c>
      <c r="F16" s="14">
        <f>F$14*$B16</f>
        <v/>
      </c>
      <c r="G16" s="22">
        <f>G$14*$B16</f>
        <v/>
      </c>
      <c r="H16" s="14">
        <f>H$14*$B16</f>
        <v/>
      </c>
    </row>
    <row r="17">
      <c r="A17" s="11">
        <f>Model!A18</f>
        <v/>
      </c>
      <c r="B17" s="14">
        <f>Model!B18</f>
        <v/>
      </c>
      <c r="C17" s="14">
        <f>C$14*$B17</f>
        <v/>
      </c>
      <c r="D17" s="22">
        <f>D$14*$B17</f>
        <v/>
      </c>
      <c r="E17" s="14">
        <f>E$14*$B17</f>
        <v/>
      </c>
      <c r="F17" s="22">
        <f>F$14*$B17</f>
        <v/>
      </c>
      <c r="G17" s="14">
        <f>G$14*$B17</f>
        <v/>
      </c>
      <c r="H17" s="22">
        <f>H$14*$B17</f>
        <v/>
      </c>
    </row>
    <row r="18">
      <c r="A18" s="11">
        <f>Model!A19</f>
        <v/>
      </c>
      <c r="B18" s="14">
        <f>Model!B19</f>
        <v/>
      </c>
      <c r="C18" s="22">
        <f>C$14*$B18</f>
        <v/>
      </c>
      <c r="D18" s="14">
        <f>D$14*$B18</f>
        <v/>
      </c>
      <c r="E18" s="22">
        <f>E$14*$B18</f>
        <v/>
      </c>
      <c r="F18" s="14">
        <f>F$14*$B18</f>
        <v/>
      </c>
      <c r="G18" s="22">
        <f>G$14*$B18</f>
        <v/>
      </c>
      <c r="H18" s="14">
        <f>H$14*$B18</f>
        <v/>
      </c>
    </row>
    <row r="19">
      <c r="A19" s="11">
        <f>Model!A20</f>
        <v/>
      </c>
      <c r="B19" s="14">
        <f>Model!B20</f>
        <v/>
      </c>
      <c r="C19" s="14">
        <f>C$14*$B19</f>
        <v/>
      </c>
      <c r="D19" s="22">
        <f>D$14*$B19</f>
        <v/>
      </c>
      <c r="E19" s="14">
        <f>E$14*$B19</f>
        <v/>
      </c>
      <c r="F19" s="22">
        <f>F$14*$B19</f>
        <v/>
      </c>
      <c r="G19" s="14">
        <f>G$14*$B19</f>
        <v/>
      </c>
      <c r="H19" s="22">
        <f>H$14*$B19</f>
        <v/>
      </c>
    </row>
    <row r="21">
      <c r="A21" s="2" t="inlineStr">
        <is>
          <t>Header row = case volumes (editable). Cells = volume × that channel's price.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5" max="5"/>
    <col width="18" customWidth="1" min="6" max="6"/>
  </cols>
  <sheetData>
    <row r="1" ht="26" customHeight="1">
      <c r="A1" s="1" t="inlineStr">
        <is>
          <t>Sensitivity  —  price vs. cases, and cases vs. revenue</t>
        </is>
      </c>
    </row>
    <row r="3">
      <c r="A3" s="3" t="inlineStr">
        <is>
          <t>Price / Case → Cases needed</t>
        </is>
      </c>
      <c r="E3" s="3" t="inlineStr">
        <is>
          <t>Cases sold → Revenue (@ blended price)</t>
        </is>
      </c>
    </row>
    <row r="4">
      <c r="A4" s="10" t="inlineStr">
        <is>
          <t>Price / Case</t>
        </is>
      </c>
      <c r="B4" s="10" t="inlineStr">
        <is>
          <t>Cases needed</t>
        </is>
      </c>
      <c r="C4" s="10" t="inlineStr">
        <is>
          <t>Units needed</t>
        </is>
      </c>
      <c r="E4" s="20" t="inlineStr">
        <is>
          <t>Cases sold</t>
        </is>
      </c>
      <c r="F4" s="20" t="inlineStr">
        <is>
          <t>Gross revenue</t>
        </is>
      </c>
    </row>
    <row r="5">
      <c r="A5" s="5" t="n">
        <v>100</v>
      </c>
      <c r="B5" s="13">
        <f>Model!$B$5/A5</f>
        <v/>
      </c>
      <c r="C5" s="13">
        <f>B5*Model!$B$6</f>
        <v/>
      </c>
      <c r="E5" s="6" t="n">
        <v>5000</v>
      </c>
      <c r="F5" s="14">
        <f>E5*Model!$B$7</f>
        <v/>
      </c>
    </row>
    <row r="6">
      <c r="A6" s="5" t="n">
        <v>120</v>
      </c>
      <c r="B6" s="13">
        <f>Model!$B$5/A6</f>
        <v/>
      </c>
      <c r="C6" s="13">
        <f>B6*Model!$B$6</f>
        <v/>
      </c>
      <c r="E6" s="6" t="n">
        <v>10000</v>
      </c>
      <c r="F6" s="14">
        <f>E6*Model!$B$7</f>
        <v/>
      </c>
    </row>
    <row r="7">
      <c r="A7" s="5" t="n">
        <v>140</v>
      </c>
      <c r="B7" s="13">
        <f>Model!$B$5/A7</f>
        <v/>
      </c>
      <c r="C7" s="13">
        <f>B7*Model!$B$6</f>
        <v/>
      </c>
      <c r="E7" s="6" t="n">
        <v>15000</v>
      </c>
      <c r="F7" s="14">
        <f>E7*Model!$B$7</f>
        <v/>
      </c>
    </row>
    <row r="8">
      <c r="A8" s="5" t="n">
        <v>160</v>
      </c>
      <c r="B8" s="13">
        <f>Model!$B$5/A8</f>
        <v/>
      </c>
      <c r="C8" s="13">
        <f>B8*Model!$B$6</f>
        <v/>
      </c>
      <c r="E8" s="6" t="n">
        <v>20000</v>
      </c>
      <c r="F8" s="14">
        <f>E8*Model!$B$7</f>
        <v/>
      </c>
    </row>
    <row r="9">
      <c r="A9" s="5" t="n">
        <v>180</v>
      </c>
      <c r="B9" s="13">
        <f>Model!$B$5/A9</f>
        <v/>
      </c>
      <c r="C9" s="13">
        <f>B9*Model!$B$6</f>
        <v/>
      </c>
      <c r="E9" s="6" t="n">
        <v>25000</v>
      </c>
      <c r="F9" s="14">
        <f>E9*Model!$B$7</f>
        <v/>
      </c>
    </row>
    <row r="10">
      <c r="A10" s="5" t="n">
        <v>200</v>
      </c>
      <c r="B10" s="13">
        <f>Model!$B$5/A10</f>
        <v/>
      </c>
      <c r="C10" s="13">
        <f>B10*Model!$B$6</f>
        <v/>
      </c>
      <c r="E10" s="6" t="n">
        <v>30000</v>
      </c>
      <c r="F10" s="14">
        <f>E10*Model!$B$7</f>
        <v/>
      </c>
    </row>
    <row r="11">
      <c r="A11" s="5" t="n">
        <v>220</v>
      </c>
      <c r="B11" s="13">
        <f>Model!$B$5/A11</f>
        <v/>
      </c>
      <c r="C11" s="13">
        <f>B11*Model!$B$6</f>
        <v/>
      </c>
      <c r="E11" s="6" t="n">
        <v>35000</v>
      </c>
      <c r="F11" s="14">
        <f>E11*Model!$B$7</f>
        <v/>
      </c>
    </row>
    <row r="12">
      <c r="A12" s="5" t="n">
        <v>240</v>
      </c>
      <c r="B12" s="13">
        <f>Model!$B$5/A12</f>
        <v/>
      </c>
      <c r="C12" s="13">
        <f>B12*Model!$B$6</f>
        <v/>
      </c>
      <c r="E12" s="6" t="n">
        <v>40000</v>
      </c>
      <c r="F12" s="14">
        <f>E12*Model!$B$7</f>
        <v/>
      </c>
    </row>
    <row r="13">
      <c r="A13" s="23" t="inlineStr">
        <is>
          <t>Tip: change the price ladder or volumes (yellow) to fit your range.</t>
        </is>
      </c>
      <c r="B13" s="13">
        <f>Model!$B$5/A13</f>
        <v/>
      </c>
      <c r="C13" s="13">
        <f>B13*Model!$B$6</f>
        <v/>
      </c>
    </row>
    <row r="14">
      <c r="A14" s="5" t="n">
        <v>280</v>
      </c>
      <c r="B14" s="13">
        <f>Model!$B$5/A14</f>
        <v/>
      </c>
      <c r="C14" s="13">
        <f>B14*Model!$B$6</f>
        <v/>
      </c>
    </row>
    <row r="15">
      <c r="A15" s="5" t="n">
        <v>300</v>
      </c>
      <c r="B15" s="13">
        <f>Model!$B$5/A15</f>
        <v/>
      </c>
      <c r="C15" s="13">
        <f>B15*Model!$B$6</f>
        <v/>
      </c>
    </row>
    <row r="16">
      <c r="A16" s="5" t="n">
        <v>320</v>
      </c>
      <c r="B16" s="13">
        <f>Model!$B$5/A16</f>
        <v/>
      </c>
      <c r="C16" s="13">
        <f>B16*Model!$B$6</f>
        <v/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2" customWidth="1" min="3" max="3"/>
    <col width="14" customWidth="1" min="4" max="4"/>
    <col width="16" customWidth="1" min="5" max="5"/>
    <col width="16" customWidth="1" min="6" max="6"/>
    <col width="18" customWidth="1" min="7" max="7"/>
  </cols>
  <sheetData>
    <row r="1" ht="26" customHeight="1">
      <c r="A1" s="1" t="inlineStr">
        <is>
          <t>Monthly Plan  —  spread the annual target across the year</t>
        </is>
      </c>
    </row>
    <row r="2">
      <c r="A2" s="2" t="inlineStr">
        <is>
          <t>Seasonality weights are inputs (default = 1 each = even split). Edit to model ramp/peaks.</t>
        </is>
      </c>
    </row>
    <row r="4" ht="30" customHeight="1">
      <c r="A4" s="10" t="inlineStr">
        <is>
          <t>Month</t>
        </is>
      </c>
      <c r="B4" s="10" t="inlineStr">
        <is>
          <t>Seasonality
(weight)</t>
        </is>
      </c>
      <c r="C4" s="10" t="inlineStr">
        <is>
          <t>Mix %</t>
        </is>
      </c>
      <c r="D4" s="10" t="inlineStr">
        <is>
          <t>Cases</t>
        </is>
      </c>
      <c r="E4" s="10" t="inlineStr">
        <is>
          <t>Revenue</t>
        </is>
      </c>
      <c r="F4" s="10" t="inlineStr">
        <is>
          <t>Cumulative
cases</t>
        </is>
      </c>
      <c r="G4" s="10" t="inlineStr">
        <is>
          <t>Cumulative
revenue</t>
        </is>
      </c>
    </row>
    <row r="5">
      <c r="A5" s="24" t="inlineStr">
        <is>
          <t>Jan</t>
        </is>
      </c>
      <c r="B5" s="25" t="n">
        <v>1</v>
      </c>
      <c r="C5" s="12">
        <f>B5/SUM($B$5:$B$16)</f>
        <v/>
      </c>
      <c r="D5" s="13">
        <f>Model!$B$8*C5</f>
        <v/>
      </c>
      <c r="E5" s="14">
        <f>Model!$B$5*C5</f>
        <v/>
      </c>
      <c r="F5" s="13">
        <f>SUM($D$5:D5)</f>
        <v/>
      </c>
      <c r="G5" s="14">
        <f>SUM($E$5:E5)</f>
        <v/>
      </c>
    </row>
    <row r="6">
      <c r="A6" s="24" t="inlineStr">
        <is>
          <t>Feb</t>
        </is>
      </c>
      <c r="B6" s="25" t="n">
        <v>1</v>
      </c>
      <c r="C6" s="12">
        <f>B6/SUM($B$5:$B$16)</f>
        <v/>
      </c>
      <c r="D6" s="13">
        <f>Model!$B$8*C6</f>
        <v/>
      </c>
      <c r="E6" s="14">
        <f>Model!$B$5*C6</f>
        <v/>
      </c>
      <c r="F6" s="13">
        <f>SUM($D$5:D6)</f>
        <v/>
      </c>
      <c r="G6" s="14">
        <f>SUM($E$5:E6)</f>
        <v/>
      </c>
    </row>
    <row r="7">
      <c r="A7" s="24" t="inlineStr">
        <is>
          <t>Mar</t>
        </is>
      </c>
      <c r="B7" s="25" t="n">
        <v>1</v>
      </c>
      <c r="C7" s="12">
        <f>B7/SUM($B$5:$B$16)</f>
        <v/>
      </c>
      <c r="D7" s="13">
        <f>Model!$B$8*C7</f>
        <v/>
      </c>
      <c r="E7" s="14">
        <f>Model!$B$5*C7</f>
        <v/>
      </c>
      <c r="F7" s="13">
        <f>SUM($D$5:D7)</f>
        <v/>
      </c>
      <c r="G7" s="14">
        <f>SUM($E$5:E7)</f>
        <v/>
      </c>
    </row>
    <row r="8">
      <c r="A8" s="24" t="inlineStr">
        <is>
          <t>Apr</t>
        </is>
      </c>
      <c r="B8" s="25" t="n">
        <v>1</v>
      </c>
      <c r="C8" s="12">
        <f>B8/SUM($B$5:$B$16)</f>
        <v/>
      </c>
      <c r="D8" s="13">
        <f>Model!$B$8*C8</f>
        <v/>
      </c>
      <c r="E8" s="14">
        <f>Model!$B$5*C8</f>
        <v/>
      </c>
      <c r="F8" s="13">
        <f>SUM($D$5:D8)</f>
        <v/>
      </c>
      <c r="G8" s="14">
        <f>SUM($E$5:E8)</f>
        <v/>
      </c>
    </row>
    <row r="9">
      <c r="A9" s="24" t="inlineStr">
        <is>
          <t>May</t>
        </is>
      </c>
      <c r="B9" s="25" t="n">
        <v>1</v>
      </c>
      <c r="C9" s="12">
        <f>B9/SUM($B$5:$B$16)</f>
        <v/>
      </c>
      <c r="D9" s="13">
        <f>Model!$B$8*C9</f>
        <v/>
      </c>
      <c r="E9" s="14">
        <f>Model!$B$5*C9</f>
        <v/>
      </c>
      <c r="F9" s="13">
        <f>SUM($D$5:D9)</f>
        <v/>
      </c>
      <c r="G9" s="14">
        <f>SUM($E$5:E9)</f>
        <v/>
      </c>
    </row>
    <row r="10">
      <c r="A10" s="24" t="inlineStr">
        <is>
          <t>Jun</t>
        </is>
      </c>
      <c r="B10" s="25" t="n">
        <v>1</v>
      </c>
      <c r="C10" s="12">
        <f>B10/SUM($B$5:$B$16)</f>
        <v/>
      </c>
      <c r="D10" s="13">
        <f>Model!$B$8*C10</f>
        <v/>
      </c>
      <c r="E10" s="14">
        <f>Model!$B$5*C10</f>
        <v/>
      </c>
      <c r="F10" s="13">
        <f>SUM($D$5:D10)</f>
        <v/>
      </c>
      <c r="G10" s="14">
        <f>SUM($E$5:E10)</f>
        <v/>
      </c>
    </row>
    <row r="11">
      <c r="A11" s="24" t="inlineStr">
        <is>
          <t>Jul</t>
        </is>
      </c>
      <c r="B11" s="25" t="n">
        <v>1</v>
      </c>
      <c r="C11" s="12">
        <f>B11/SUM($B$5:$B$16)</f>
        <v/>
      </c>
      <c r="D11" s="13">
        <f>Model!$B$8*C11</f>
        <v/>
      </c>
      <c r="E11" s="14">
        <f>Model!$B$5*C11</f>
        <v/>
      </c>
      <c r="F11" s="13">
        <f>SUM($D$5:D11)</f>
        <v/>
      </c>
      <c r="G11" s="14">
        <f>SUM($E$5:E11)</f>
        <v/>
      </c>
    </row>
    <row r="12">
      <c r="A12" s="24" t="inlineStr">
        <is>
          <t>Aug</t>
        </is>
      </c>
      <c r="B12" s="25" t="n">
        <v>1</v>
      </c>
      <c r="C12" s="12">
        <f>B12/SUM($B$5:$B$16)</f>
        <v/>
      </c>
      <c r="D12" s="13">
        <f>Model!$B$8*C12</f>
        <v/>
      </c>
      <c r="E12" s="14">
        <f>Model!$B$5*C12</f>
        <v/>
      </c>
      <c r="F12" s="13">
        <f>SUM($D$5:D12)</f>
        <v/>
      </c>
      <c r="G12" s="14">
        <f>SUM($E$5:E12)</f>
        <v/>
      </c>
    </row>
    <row r="13">
      <c r="A13" s="24" t="inlineStr">
        <is>
          <t>Sep</t>
        </is>
      </c>
      <c r="B13" s="25" t="n">
        <v>1</v>
      </c>
      <c r="C13" s="12">
        <f>B13/SUM($B$5:$B$16)</f>
        <v/>
      </c>
      <c r="D13" s="13">
        <f>Model!$B$8*C13</f>
        <v/>
      </c>
      <c r="E13" s="14">
        <f>Model!$B$5*C13</f>
        <v/>
      </c>
      <c r="F13" s="13">
        <f>SUM($D$5:D13)</f>
        <v/>
      </c>
      <c r="G13" s="14">
        <f>SUM($E$5:E13)</f>
        <v/>
      </c>
    </row>
    <row r="14">
      <c r="A14" s="24" t="inlineStr">
        <is>
          <t>Oct</t>
        </is>
      </c>
      <c r="B14" s="25" t="n">
        <v>1</v>
      </c>
      <c r="C14" s="12">
        <f>B14/SUM($B$5:$B$16)</f>
        <v/>
      </c>
      <c r="D14" s="13">
        <f>Model!$B$8*C14</f>
        <v/>
      </c>
      <c r="E14" s="14">
        <f>Model!$B$5*C14</f>
        <v/>
      </c>
      <c r="F14" s="13">
        <f>SUM($D$5:D14)</f>
        <v/>
      </c>
      <c r="G14" s="14">
        <f>SUM($E$5:E14)</f>
        <v/>
      </c>
    </row>
    <row r="15">
      <c r="A15" s="24" t="inlineStr">
        <is>
          <t>Nov</t>
        </is>
      </c>
      <c r="B15" s="25" t="n">
        <v>1</v>
      </c>
      <c r="C15" s="12">
        <f>B15/SUM($B$5:$B$16)</f>
        <v/>
      </c>
      <c r="D15" s="13">
        <f>Model!$B$8*C15</f>
        <v/>
      </c>
      <c r="E15" s="14">
        <f>Model!$B$5*C15</f>
        <v/>
      </c>
      <c r="F15" s="13">
        <f>SUM($D$5:D15)</f>
        <v/>
      </c>
      <c r="G15" s="14">
        <f>SUM($E$5:E15)</f>
        <v/>
      </c>
    </row>
    <row r="16">
      <c r="A16" s="24" t="inlineStr">
        <is>
          <t>Dec</t>
        </is>
      </c>
      <c r="B16" s="25" t="n">
        <v>1</v>
      </c>
      <c r="C16" s="12">
        <f>B16/SUM($B$5:$B$16)</f>
        <v/>
      </c>
      <c r="D16" s="13">
        <f>Model!$B$8*C16</f>
        <v/>
      </c>
      <c r="E16" s="14">
        <f>Model!$B$5*C16</f>
        <v/>
      </c>
      <c r="F16" s="13">
        <f>SUM($D$5:D16)</f>
        <v/>
      </c>
      <c r="G16" s="14">
        <f>SUM($E$5:E16)</f>
        <v/>
      </c>
    </row>
    <row r="17">
      <c r="A17" s="15" t="inlineStr">
        <is>
          <t>TOTAL</t>
        </is>
      </c>
      <c r="B17" s="26">
        <f>SUM(B5:B16)</f>
        <v/>
      </c>
      <c r="C17" s="18">
        <f>SUM(C5:C16)</f>
        <v/>
      </c>
      <c r="D17" s="17">
        <f>SUM(D5:D16)</f>
        <v/>
      </c>
      <c r="E17" s="19">
        <f>SUM(E5:E16)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2026-06-08T17:18:44Z</dcterms:created>
  <dcterms:modified xsi:type="dcterms:W3CDTF">2026-06-08T17:18:44Z</dcterms:modified>
</cp:coreProperties>
</file>