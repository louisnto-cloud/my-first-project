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cenarios" sheetId="2" state="visible" r:id="rId2"/>
    <sheet name="Projection" sheetId="3" state="visible" r:id="rId3"/>
    <sheet name="Profit Grid" sheetId="4" state="visible" r:id="rId4"/>
    <sheet name="Monthly Plan" sheetId="5" state="visible" r:id="rId5"/>
    <sheet name="Channel View" sheetId="6" state="visible" r:id="rId6"/>
    <sheet name="Goal-Seek &amp; Sensitiv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8A93A6"/>
      <sz val="9"/>
    </font>
    <font>
      <b val="1"/>
      <color rgb="0016243D"/>
      <sz val="12"/>
    </font>
    <font>
      <b val="1"/>
      <color rgb="003A4456"/>
    </font>
    <font>
      <b val="1"/>
      <color rgb="0016243D"/>
    </font>
    <font>
      <b val="1"/>
      <color rgb="00FFFFFF"/>
      <sz val="10.5"/>
    </font>
    <font>
      <color rgb="003A445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6243D"/>
      </patternFill>
    </fill>
    <fill>
      <patternFill patternType="solid">
        <fgColor rgb="00FFF8E1"/>
      </patternFill>
    </fill>
    <fill>
      <patternFill patternType="solid">
        <fgColor rgb="002E5496"/>
      </patternFill>
    </fill>
    <fill>
      <patternFill patternType="solid">
        <fgColor rgb="00F2F4F8"/>
      </patternFill>
    </fill>
    <fill>
      <patternFill patternType="solid">
        <fgColor rgb="00E2EFDA"/>
      </patternFill>
    </fill>
    <fill>
      <patternFill patternType="solid">
        <fgColor rgb="00DBE4F3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3" borderId="1" pivotButton="0" quotePrefix="0" xfId="0"/>
    <xf numFmtId="3" fontId="5" fillId="3" borderId="1" pivotButton="0" quotePrefix="0" xfId="0"/>
    <xf numFmtId="165" fontId="5" fillId="3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166" fontId="7" fillId="5" borderId="1" pivotButton="0" quotePrefix="0" xfId="0"/>
    <xf numFmtId="165" fontId="7" fillId="5" borderId="1" pivotButton="0" quotePrefix="0" xfId="0"/>
    <xf numFmtId="3" fontId="7" fillId="5" borderId="1" pivotButton="0" quotePrefix="0" xfId="0"/>
    <xf numFmtId="164" fontId="7" fillId="5" borderId="1" pivotButton="0" quotePrefix="0" xfId="0"/>
    <xf numFmtId="0" fontId="8" fillId="2" borderId="1" pivotButton="0" quotePrefix="0" xfId="0"/>
    <xf numFmtId="166" fontId="8" fillId="2" borderId="1" pivotButton="0" quotePrefix="0" xfId="0"/>
    <xf numFmtId="3" fontId="8" fillId="2" borderId="1" pivotButton="0" quotePrefix="0" xfId="0"/>
    <xf numFmtId="165" fontId="8" fillId="2" borderId="1" pivotButton="0" quotePrefix="0" xfId="0"/>
    <xf numFmtId="164" fontId="8" fillId="2" borderId="1" pivotButton="0" quotePrefix="0" xfId="0"/>
    <xf numFmtId="164" fontId="8" fillId="6" borderId="1" pivotButton="0" quotePrefix="0" xfId="0"/>
    <xf numFmtId="166" fontId="7" fillId="7" borderId="1" pivotButton="0" quotePrefix="0" xfId="0"/>
    <xf numFmtId="3" fontId="8" fillId="4" borderId="1" pivotButton="0" quotePrefix="0" xfId="0"/>
    <xf numFmtId="3" fontId="7" fillId="7" borderId="1" pivotButton="0" quotePrefix="0" xfId="0"/>
    <xf numFmtId="164" fontId="7" fillId="7" borderId="1" pivotButton="0" quotePrefix="0" xfId="0"/>
    <xf numFmtId="165" fontId="7" fillId="7" borderId="1" pivotButton="0" quotePrefix="0" xfId="0"/>
    <xf numFmtId="0" fontId="4" fillId="0" borderId="1" pivotButton="0" quotePrefix="0" xfId="0"/>
    <xf numFmtId="164" fontId="7" fillId="6" borderId="1" pivotButton="0" quotePrefix="0" xfId="0"/>
    <xf numFmtId="0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164" fontId="4" fillId="7" borderId="1" pivotButton="0" quotePrefix="0" xfId="0"/>
    <xf numFmtId="164" fontId="7" fillId="0" borderId="1" pivotButton="0" quotePrefix="0" xfId="0"/>
    <xf numFmtId="167" fontId="5" fillId="3" borderId="1" pivotButton="0" quotePrefix="0" xfId="0"/>
    <xf numFmtId="167" fontId="8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10" customWidth="1" min="9" max="9"/>
    <col width="1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6" customHeight="1">
      <c r="A1" s="1" t="inlineStr">
        <is>
          <t>Revenue &amp; Profit Forecast  —  Cases-Sold Model</t>
        </is>
      </c>
    </row>
    <row r="2">
      <c r="A2" s="2" t="inlineStr">
        <is>
          <t>Yellow = inputs. Everything else is live formulas. Profit layers in discounts, COGS, cost-to-serve &amp; fixed costs.</t>
        </is>
      </c>
    </row>
    <row r="4">
      <c r="A4" s="3" t="inlineStr">
        <is>
          <t>ASSUMPTIONS</t>
        </is>
      </c>
    </row>
    <row r="5">
      <c r="A5" s="4" t="inlineStr">
        <is>
          <t>Annual gross revenue target</t>
        </is>
      </c>
      <c r="B5" s="5" t="n">
        <v>2500000</v>
      </c>
    </row>
    <row r="6">
      <c r="A6" s="4" t="inlineStr">
        <is>
          <t>Units per case</t>
        </is>
      </c>
      <c r="B6" s="6" t="n">
        <v>12</v>
      </c>
    </row>
    <row r="7">
      <c r="A7" s="4" t="inlineStr">
        <is>
          <t>Selling days / year</t>
        </is>
      </c>
      <c r="B7" s="6" t="n">
        <v>260</v>
      </c>
    </row>
    <row r="8">
      <c r="A8" s="4" t="inlineStr">
        <is>
          <t>Annual fixed costs</t>
        </is>
      </c>
      <c r="B8" s="5" t="n">
        <v>600000</v>
      </c>
    </row>
    <row r="9">
      <c r="A9" s="4" t="inlineStr">
        <is>
          <t>YoY growth (projection)</t>
        </is>
      </c>
      <c r="B9" s="7" t="n">
        <v>0.15</v>
      </c>
    </row>
    <row r="10">
      <c r="A10" s="4" t="inlineStr">
        <is>
          <t>Projection years</t>
        </is>
      </c>
      <c r="B10" s="6" t="n">
        <v>3</v>
      </c>
    </row>
    <row r="11">
      <c r="A11" s="3" t="inlineStr">
        <is>
          <t>CHANNELS — pricing &amp; unit economics</t>
        </is>
      </c>
    </row>
    <row r="12" ht="28" customHeight="1">
      <c r="A12" s="8" t="inlineStr">
        <is>
          <t>Channel</t>
        </is>
      </c>
      <c r="B12" s="8" t="inlineStr">
        <is>
          <t>Gross/case</t>
        </is>
      </c>
      <c r="C12" s="8" t="inlineStr">
        <is>
          <t>Mix</t>
        </is>
      </c>
      <c r="D12" s="8" t="inlineStr">
        <is>
          <t>COGS/case</t>
        </is>
      </c>
      <c r="E12" s="8" t="inlineStr">
        <is>
          <t>Disc %</t>
        </is>
      </c>
      <c r="F12" s="8" t="inlineStr">
        <is>
          <t>Sell %</t>
        </is>
      </c>
      <c r="G12" s="9" t="inlineStr">
        <is>
          <t>Net/case</t>
        </is>
      </c>
      <c r="H12" s="9" t="inlineStr">
        <is>
          <t>Contrib/case</t>
        </is>
      </c>
      <c r="I12" s="9" t="inlineStr">
        <is>
          <t>Margin</t>
        </is>
      </c>
      <c r="J12" s="9" t="inlineStr">
        <is>
          <t>Cases</t>
        </is>
      </c>
      <c r="K12" s="9" t="inlineStr">
        <is>
          <t>Gross $</t>
        </is>
      </c>
      <c r="L12" s="9" t="inlineStr">
        <is>
          <t>Net $</t>
        </is>
      </c>
      <c r="M12" s="9" t="inlineStr">
        <is>
          <t>COGS $</t>
        </is>
      </c>
      <c r="N12" s="9" t="inlineStr">
        <is>
          <t>Sell $</t>
        </is>
      </c>
      <c r="O12" s="9" t="inlineStr">
        <is>
          <t>Contrib $</t>
        </is>
      </c>
    </row>
    <row r="13">
      <c r="A13" s="10" t="inlineStr">
        <is>
          <t>Direct-to-Consumer (DTC)</t>
        </is>
      </c>
      <c r="B13" s="5" t="n">
        <v>300</v>
      </c>
      <c r="C13" s="6" t="n">
        <v>20</v>
      </c>
      <c r="D13" s="5" t="n">
        <v>90</v>
      </c>
      <c r="E13" s="7" t="n">
        <v>0.05</v>
      </c>
      <c r="F13" s="7" t="n">
        <v>0.18</v>
      </c>
      <c r="G13" s="11">
        <f>B13*(1-E13)</f>
        <v/>
      </c>
      <c r="H13" s="11">
        <f>G13*(1-F13)-D13</f>
        <v/>
      </c>
      <c r="I13" s="12">
        <f>IF(G13=0,0,H13/G13)</f>
        <v/>
      </c>
      <c r="J13" s="13">
        <f>$B$37*(C13/SUM($C$13:$C$17))</f>
        <v/>
      </c>
      <c r="K13" s="14">
        <f>J13*B13</f>
        <v/>
      </c>
      <c r="L13" s="14">
        <f>J13*G13</f>
        <v/>
      </c>
      <c r="M13" s="14">
        <f>J13*D13</f>
        <v/>
      </c>
      <c r="N13" s="14">
        <f>J13*G13*F13</f>
        <v/>
      </c>
      <c r="O13" s="14">
        <f>J13*H13</f>
        <v/>
      </c>
    </row>
    <row r="14">
      <c r="A14" s="10" t="inlineStr">
        <is>
          <t>On-Premise / Food Service</t>
        </is>
      </c>
      <c r="B14" s="5" t="n">
        <v>216</v>
      </c>
      <c r="C14" s="6" t="n">
        <v>15</v>
      </c>
      <c r="D14" s="5" t="n">
        <v>90</v>
      </c>
      <c r="E14" s="7" t="n">
        <v>0.1</v>
      </c>
      <c r="F14" s="7" t="n">
        <v>0.05</v>
      </c>
      <c r="G14" s="11">
        <f>B14*(1-E14)</f>
        <v/>
      </c>
      <c r="H14" s="11">
        <f>G14*(1-F14)-D14</f>
        <v/>
      </c>
      <c r="I14" s="12">
        <f>IF(G14=0,0,H14/G14)</f>
        <v/>
      </c>
      <c r="J14" s="13">
        <f>$B$37*(C14/SUM($C$13:$C$17))</f>
        <v/>
      </c>
      <c r="K14" s="14">
        <f>J14*B14</f>
        <v/>
      </c>
      <c r="L14" s="14">
        <f>J14*G14</f>
        <v/>
      </c>
      <c r="M14" s="14">
        <f>J14*D14</f>
        <v/>
      </c>
      <c r="N14" s="14">
        <f>J14*G14*F14</f>
        <v/>
      </c>
      <c r="O14" s="14">
        <f>J14*H14</f>
        <v/>
      </c>
    </row>
    <row r="15">
      <c r="A15" s="10" t="inlineStr">
        <is>
          <t>Off-Premise Retail</t>
        </is>
      </c>
      <c r="B15" s="5" t="n">
        <v>180</v>
      </c>
      <c r="C15" s="6" t="n">
        <v>30</v>
      </c>
      <c r="D15" s="5" t="n">
        <v>90</v>
      </c>
      <c r="E15" s="7" t="n">
        <v>0.12</v>
      </c>
      <c r="F15" s="7" t="n">
        <v>0.04</v>
      </c>
      <c r="G15" s="11">
        <f>B15*(1-E15)</f>
        <v/>
      </c>
      <c r="H15" s="11">
        <f>G15*(1-F15)-D15</f>
        <v/>
      </c>
      <c r="I15" s="12">
        <f>IF(G15=0,0,H15/G15)</f>
        <v/>
      </c>
      <c r="J15" s="13">
        <f>$B$37*(C15/SUM($C$13:$C$17))</f>
        <v/>
      </c>
      <c r="K15" s="14">
        <f>J15*B15</f>
        <v/>
      </c>
      <c r="L15" s="14">
        <f>J15*G15</f>
        <v/>
      </c>
      <c r="M15" s="14">
        <f>J15*D15</f>
        <v/>
      </c>
      <c r="N15" s="14">
        <f>J15*G15*F15</f>
        <v/>
      </c>
      <c r="O15" s="14">
        <f>J15*H15</f>
        <v/>
      </c>
    </row>
    <row r="16">
      <c r="A16" s="10" t="inlineStr">
        <is>
          <t>Wholesale / Distributor</t>
        </is>
      </c>
      <c r="B16" s="5" t="n">
        <v>120</v>
      </c>
      <c r="C16" s="6" t="n">
        <v>30</v>
      </c>
      <c r="D16" s="5" t="n">
        <v>90</v>
      </c>
      <c r="E16" s="7" t="n">
        <v>0</v>
      </c>
      <c r="F16" s="7" t="n">
        <v>0.03</v>
      </c>
      <c r="G16" s="11">
        <f>B16*(1-E16)</f>
        <v/>
      </c>
      <c r="H16" s="11">
        <f>G16*(1-F16)-D16</f>
        <v/>
      </c>
      <c r="I16" s="12">
        <f>IF(G16=0,0,H16/G16)</f>
        <v/>
      </c>
      <c r="J16" s="13">
        <f>$B$37*(C16/SUM($C$13:$C$17))</f>
        <v/>
      </c>
      <c r="K16" s="14">
        <f>J16*B16</f>
        <v/>
      </c>
      <c r="L16" s="14">
        <f>J16*G16</f>
        <v/>
      </c>
      <c r="M16" s="14">
        <f>J16*D16</f>
        <v/>
      </c>
      <c r="N16" s="14">
        <f>J16*G16*F16</f>
        <v/>
      </c>
      <c r="O16" s="14">
        <f>J16*H16</f>
        <v/>
      </c>
    </row>
    <row r="17">
      <c r="A17" s="10" t="inlineStr">
        <is>
          <t>Online Marketplace</t>
        </is>
      </c>
      <c r="B17" s="5" t="n">
        <v>150</v>
      </c>
      <c r="C17" s="6" t="n">
        <v>5</v>
      </c>
      <c r="D17" s="5" t="n">
        <v>90</v>
      </c>
      <c r="E17" s="7" t="n">
        <v>0.08</v>
      </c>
      <c r="F17" s="7" t="n">
        <v>0.15</v>
      </c>
      <c r="G17" s="11">
        <f>B17*(1-E17)</f>
        <v/>
      </c>
      <c r="H17" s="11">
        <f>G17*(1-F17)-D17</f>
        <v/>
      </c>
      <c r="I17" s="12">
        <f>IF(G17=0,0,H17/G17)</f>
        <v/>
      </c>
      <c r="J17" s="13">
        <f>$B$37*(C17/SUM($C$13:$C$17))</f>
        <v/>
      </c>
      <c r="K17" s="14">
        <f>J17*B17</f>
        <v/>
      </c>
      <c r="L17" s="14">
        <f>J17*G17</f>
        <v/>
      </c>
      <c r="M17" s="14">
        <f>J17*D17</f>
        <v/>
      </c>
      <c r="N17" s="14">
        <f>J17*G17*F17</f>
        <v/>
      </c>
      <c r="O17" s="14">
        <f>J17*H17</f>
        <v/>
      </c>
    </row>
    <row r="18">
      <c r="A18" s="15" t="inlineStr">
        <is>
          <t>Blended / Total</t>
        </is>
      </c>
      <c r="B18" s="16">
        <f>SUMPRODUCT(B13:B17,C13:C17)/SUM(C13:C17)</f>
        <v/>
      </c>
      <c r="C18" s="17">
        <f>SUM(C13:C17)</f>
        <v/>
      </c>
      <c r="D18" s="16">
        <f>SUMPRODUCT(D13:D17,C13:C17)/SUM(C13:C17)</f>
        <v/>
      </c>
      <c r="E18" s="18">
        <f>SUMPRODUCT(E13:E17,C13:C17)/SUM(C13:C17)</f>
        <v/>
      </c>
      <c r="F18" s="18">
        <f>SUMPRODUCT(F13:F17,C13:C17)/SUM(C13:C17)</f>
        <v/>
      </c>
      <c r="G18" s="16">
        <f>SUMPRODUCT(G13:G17,C13:C17)/SUM(C13:C17)</f>
        <v/>
      </c>
      <c r="H18" s="16">
        <f>SUMPRODUCT(H13:H17,C13:C17)/SUM(C13:C17)</f>
        <v/>
      </c>
      <c r="I18" s="18">
        <f>IF(B18=0,0,H18/G18)</f>
        <v/>
      </c>
      <c r="J18" s="17">
        <f>SUM(J13:J17)</f>
        <v/>
      </c>
      <c r="K18" s="19">
        <f>SUM(K13:K17)</f>
        <v/>
      </c>
      <c r="L18" s="19">
        <f>SUM(L13:L17)</f>
        <v/>
      </c>
      <c r="M18" s="19">
        <f>SUM(M13:M17)</f>
        <v/>
      </c>
      <c r="N18" s="19">
        <f>SUM(N13:N17)</f>
        <v/>
      </c>
      <c r="O18" s="19">
        <f>SUM(O13:O17)</f>
        <v/>
      </c>
    </row>
    <row r="21">
      <c r="A21" s="3" t="inlineStr">
        <is>
          <t>PROFIT CASCADE (at target)</t>
        </is>
      </c>
    </row>
    <row r="22">
      <c r="A22" s="4" t="inlineStr">
        <is>
          <t>Gross revenue</t>
        </is>
      </c>
      <c r="B22" s="14">
        <f>SUM(K13:K17)</f>
        <v/>
      </c>
    </row>
    <row r="23">
      <c r="A23" s="4" t="inlineStr">
        <is>
          <t>Trade discounts</t>
        </is>
      </c>
      <c r="B23" s="14">
        <f>B24-B22</f>
        <v/>
      </c>
    </row>
    <row r="24">
      <c r="A24" s="4" t="inlineStr">
        <is>
          <t>Net revenue</t>
        </is>
      </c>
      <c r="B24" s="14">
        <f>SUM(L13:L17)</f>
        <v/>
      </c>
    </row>
    <row r="25">
      <c r="A25" s="4" t="inlineStr">
        <is>
          <t>COGS</t>
        </is>
      </c>
      <c r="B25" s="14">
        <f>-SUM(M13:M17)</f>
        <v/>
      </c>
    </row>
    <row r="26">
      <c r="A26" s="4" t="inlineStr">
        <is>
          <t>Selling / cost-to-serve</t>
        </is>
      </c>
      <c r="B26" s="14">
        <f>-SUM(N13:N17)</f>
        <v/>
      </c>
    </row>
    <row r="27">
      <c r="A27" s="4" t="inlineStr">
        <is>
          <t>Contribution</t>
        </is>
      </c>
      <c r="B27" s="14">
        <f>SUM(O13:O17)</f>
        <v/>
      </c>
    </row>
    <row r="28">
      <c r="A28" s="4" t="inlineStr">
        <is>
          <t>Fixed costs</t>
        </is>
      </c>
      <c r="B28" s="14">
        <f>-B8</f>
        <v/>
      </c>
    </row>
    <row r="29">
      <c r="A29" s="4" t="inlineStr">
        <is>
          <t>Operating profit</t>
        </is>
      </c>
      <c r="B29" s="20">
        <f>B27+B28</f>
        <v/>
      </c>
    </row>
    <row r="30">
      <c r="A30" s="4" t="inlineStr">
        <is>
          <t>Contribution margin</t>
        </is>
      </c>
      <c r="B30" s="12">
        <f>B27/B24</f>
        <v/>
      </c>
    </row>
    <row r="31">
      <c r="A31" s="4" t="inlineStr">
        <is>
          <t>Operating margin</t>
        </is>
      </c>
      <c r="B31" s="12">
        <f>B29/B24</f>
        <v/>
      </c>
    </row>
    <row r="33">
      <c r="A33" s="3" t="inlineStr">
        <is>
          <t>KEY METRICS</t>
        </is>
      </c>
    </row>
    <row r="34">
      <c r="A34" s="4" t="inlineStr">
        <is>
          <t>Blended gross / case</t>
        </is>
      </c>
      <c r="B34" s="21">
        <f>SUMPRODUCT(B13:B17,C13:C17)/SUM(C13:C17)</f>
        <v/>
      </c>
    </row>
    <row r="35">
      <c r="A35" s="4" t="inlineStr">
        <is>
          <t>Blended net / case</t>
        </is>
      </c>
      <c r="B35" s="21">
        <f>SUMPRODUCT(G13:G17,C13:C17)/SUM(C13:C17)</f>
        <v/>
      </c>
    </row>
    <row r="36">
      <c r="A36" s="4" t="inlineStr">
        <is>
          <t>Blended contribution / case</t>
        </is>
      </c>
      <c r="B36" s="21">
        <f>SUMPRODUCT(H13:H17,C13:C17)/SUM(C13:C17)</f>
        <v/>
      </c>
    </row>
    <row r="37">
      <c r="A37" s="4" t="inlineStr">
        <is>
          <t>TOTAL cases to hit target</t>
        </is>
      </c>
      <c r="B37" s="22">
        <f>B5/B34</f>
        <v/>
      </c>
    </row>
    <row r="38">
      <c r="A38" s="4" t="inlineStr">
        <is>
          <t>Cases / month</t>
        </is>
      </c>
      <c r="B38" s="23">
        <f>B37/12</f>
        <v/>
      </c>
    </row>
    <row r="39">
      <c r="A39" s="4" t="inlineStr">
        <is>
          <t>Cases / week</t>
        </is>
      </c>
      <c r="B39" s="23">
        <f>B37/52</f>
        <v/>
      </c>
    </row>
    <row r="40">
      <c r="A40" s="4" t="inlineStr">
        <is>
          <t>Cases / selling-day</t>
        </is>
      </c>
      <c r="B40" s="23">
        <f>B37/B7</f>
        <v/>
      </c>
    </row>
    <row r="41">
      <c r="A41" s="4" t="inlineStr">
        <is>
          <t>Price / unit</t>
        </is>
      </c>
      <c r="B41" s="21">
        <f>B34/B6</f>
        <v/>
      </c>
    </row>
    <row r="42">
      <c r="A42" s="4" t="inlineStr">
        <is>
          <t>Break-even cases</t>
        </is>
      </c>
      <c r="B42" s="23">
        <f>B8/B36</f>
        <v/>
      </c>
    </row>
    <row r="43">
      <c r="A43" s="4" t="inlineStr">
        <is>
          <t>Break-even revenue</t>
        </is>
      </c>
      <c r="B43" s="24">
        <f>B42*B34</f>
        <v/>
      </c>
    </row>
    <row r="44">
      <c r="A44" s="4" t="inlineStr">
        <is>
          <t>Blended discount %</t>
        </is>
      </c>
      <c r="B44" s="25">
        <f>SUMPRODUCT(E13:E17,C13:C17)/SUM(C13:C17)</f>
        <v/>
      </c>
    </row>
    <row r="45">
      <c r="A45" s="4" t="inlineStr">
        <is>
          <t>Blended selling %</t>
        </is>
      </c>
      <c r="B45" s="25">
        <f>SUMPRODUCT(F13:F17,C13:C17)/SUM(C13:C17)</f>
        <v/>
      </c>
    </row>
    <row r="46">
      <c r="A46" s="4" t="inlineStr">
        <is>
          <t>Blended COGS / case</t>
        </is>
      </c>
      <c r="B46" s="21">
        <f>SUMPRODUCT(D13:D17,C13:C17)/SUM(C13:C17)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1" ht="26" customHeight="1">
      <c r="A1" s="1" t="inlineStr">
        <is>
          <t>Scenarios  —  same economics, three goals</t>
        </is>
      </c>
    </row>
    <row r="3" ht="26" customHeight="1">
      <c r="A3" s="9" t="inlineStr">
        <is>
          <t>Scenario</t>
        </is>
      </c>
      <c r="B3" s="9" t="inlineStr">
        <is>
          <t>Revenue target</t>
        </is>
      </c>
      <c r="C3" s="9" t="inlineStr">
        <is>
          <t>Cases</t>
        </is>
      </c>
      <c r="D3" s="9" t="inlineStr">
        <is>
          <t>Net revenue</t>
        </is>
      </c>
      <c r="E3" s="9" t="inlineStr">
        <is>
          <t>Contribution</t>
        </is>
      </c>
      <c r="F3" s="9" t="inlineStr">
        <is>
          <t>Operating profit</t>
        </is>
      </c>
      <c r="G3" s="9" t="inlineStr">
        <is>
          <t>Op margin</t>
        </is>
      </c>
    </row>
    <row r="4">
      <c r="A4" s="26" t="inlineStr">
        <is>
          <t>Conservative</t>
        </is>
      </c>
      <c r="B4" s="5" t="n">
        <v>2000000</v>
      </c>
      <c r="C4" s="13">
        <f>B4/Model!$B$34</f>
        <v/>
      </c>
      <c r="D4" s="14">
        <f>C4*Model!$B$35</f>
        <v/>
      </c>
      <c r="E4" s="14">
        <f>C4*Model!$B$36</f>
        <v/>
      </c>
      <c r="F4" s="27">
        <f>E4-Model!$B$8</f>
        <v/>
      </c>
      <c r="G4" s="12">
        <f>IF(D4=0,0,F4/D4)</f>
        <v/>
      </c>
    </row>
    <row r="5">
      <c r="A5" s="26" t="inlineStr">
        <is>
          <t>Base</t>
        </is>
      </c>
      <c r="B5" s="5" t="n">
        <v>2500000</v>
      </c>
      <c r="C5" s="13">
        <f>B5/Model!$B$34</f>
        <v/>
      </c>
      <c r="D5" s="14">
        <f>C5*Model!$B$35</f>
        <v/>
      </c>
      <c r="E5" s="14">
        <f>C5*Model!$B$36</f>
        <v/>
      </c>
      <c r="F5" s="27">
        <f>E5-Model!$B$8</f>
        <v/>
      </c>
      <c r="G5" s="12">
        <f>IF(D5=0,0,F5/D5)</f>
        <v/>
      </c>
    </row>
    <row r="6">
      <c r="A6" s="26" t="inlineStr">
        <is>
          <t>Aggressive</t>
        </is>
      </c>
      <c r="B6" s="5" t="n">
        <v>3200000</v>
      </c>
      <c r="C6" s="13">
        <f>B6/Model!$B$34</f>
        <v/>
      </c>
      <c r="D6" s="14">
        <f>C6*Model!$B$35</f>
        <v/>
      </c>
      <c r="E6" s="14">
        <f>C6*Model!$B$36</f>
        <v/>
      </c>
      <c r="F6" s="27">
        <f>E6-Model!$B$8</f>
        <v/>
      </c>
      <c r="G6" s="12">
        <f>IF(D6=0,0,F6/D6)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6" customWidth="1" min="4" max="4"/>
    <col width="16" customWidth="1" min="5" max="5"/>
  </cols>
  <sheetData>
    <row r="1" ht="26" customHeight="1">
      <c r="A1" s="1" t="inlineStr">
        <is>
          <t>Multi-year projection  (constant price &amp; cost structure)</t>
        </is>
      </c>
    </row>
    <row r="3">
      <c r="A3" s="28" t="inlineStr">
        <is>
          <t>Year</t>
        </is>
      </c>
      <c r="B3" s="28" t="inlineStr">
        <is>
          <t>Revenue</t>
        </is>
      </c>
      <c r="C3" s="28" t="inlineStr">
        <is>
          <t>Cases</t>
        </is>
      </c>
      <c r="D3" s="28" t="inlineStr">
        <is>
          <t>Contribution</t>
        </is>
      </c>
      <c r="E3" s="28" t="inlineStr">
        <is>
          <t>Operating profit</t>
        </is>
      </c>
    </row>
    <row r="4">
      <c r="A4" s="26" t="inlineStr">
        <is>
          <t>Y1</t>
        </is>
      </c>
      <c r="B4" s="14">
        <f>Model!$B$5*(1+Model!$B$9)^0</f>
        <v/>
      </c>
      <c r="C4" s="13">
        <f>B4/Model!$B$34</f>
        <v/>
      </c>
      <c r="D4" s="14">
        <f>C4*Model!$B$36</f>
        <v/>
      </c>
      <c r="E4" s="27">
        <f>D4-Model!$B$8</f>
        <v/>
      </c>
    </row>
    <row r="5">
      <c r="A5" s="26" t="inlineStr">
        <is>
          <t>Y2</t>
        </is>
      </c>
      <c r="B5" s="14">
        <f>Model!$B$5*(1+Model!$B$9)^1</f>
        <v/>
      </c>
      <c r="C5" s="13">
        <f>B5/Model!$B$34</f>
        <v/>
      </c>
      <c r="D5" s="14">
        <f>C5*Model!$B$36</f>
        <v/>
      </c>
      <c r="E5" s="27">
        <f>D5-Model!$B$8</f>
        <v/>
      </c>
    </row>
    <row r="6">
      <c r="A6" s="26" t="inlineStr">
        <is>
          <t>Y3</t>
        </is>
      </c>
      <c r="B6" s="14">
        <f>Model!$B$5*(1+Model!$B$9)^2</f>
        <v/>
      </c>
      <c r="C6" s="13">
        <f>B6/Model!$B$34</f>
        <v/>
      </c>
      <c r="D6" s="14">
        <f>C6*Model!$B$36</f>
        <v/>
      </c>
      <c r="E6" s="27">
        <f>D6-Model!$B$8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6" customHeight="1">
      <c r="A1" s="1" t="inlineStr">
        <is>
          <t>Profit grid  —  price/case × cases → operating profit</t>
        </is>
      </c>
    </row>
    <row r="2">
      <c r="A2" s="2" t="inlineStr">
        <is>
          <t>Green = profit, red = loss. Uses blended discount/selling/COGS.</t>
        </is>
      </c>
    </row>
    <row r="4">
      <c r="A4" s="8" t="inlineStr">
        <is>
          <t>Price ╲ Cases</t>
        </is>
      </c>
      <c r="B4" s="29">
        <f>ROUND(Model!$B$37*0.5/100,0)*100</f>
        <v/>
      </c>
      <c r="C4" s="29">
        <f>ROUND(Model!$B$37*0.75/100,0)*100</f>
        <v/>
      </c>
      <c r="D4" s="29">
        <f>ROUND(Model!$B$37*1.0/100,0)*100</f>
        <v/>
      </c>
      <c r="E4" s="29">
        <f>ROUND(Model!$B$37*1.25/100,0)*100</f>
        <v/>
      </c>
      <c r="F4" s="29">
        <f>ROUND(Model!$B$37*1.5/100,0)*100</f>
        <v/>
      </c>
      <c r="G4" s="29">
        <f>ROUND(Model!$B$37*1.75/100,0)*100</f>
        <v/>
      </c>
    </row>
    <row r="5">
      <c r="A5" s="30">
        <f>ROUND(Model!$B$34*0.6/5,0)*5</f>
        <v/>
      </c>
      <c r="B5" s="31">
        <f>B$4*($A5*(1-Model!$B$44)*(1-Model!$B$45)-Model!$B$46)-Model!$B$8</f>
        <v/>
      </c>
      <c r="C5" s="31">
        <f>C$4*($A5*(1-Model!$B$44)*(1-Model!$B$45)-Model!$B$46)-Model!$B$8</f>
        <v/>
      </c>
      <c r="D5" s="31">
        <f>D$4*($A5*(1-Model!$B$44)*(1-Model!$B$45)-Model!$B$46)-Model!$B$8</f>
        <v/>
      </c>
      <c r="E5" s="31">
        <f>E$4*($A5*(1-Model!$B$44)*(1-Model!$B$45)-Model!$B$46)-Model!$B$8</f>
        <v/>
      </c>
      <c r="F5" s="31">
        <f>F$4*($A5*(1-Model!$B$44)*(1-Model!$B$45)-Model!$B$46)-Model!$B$8</f>
        <v/>
      </c>
      <c r="G5" s="31">
        <f>G$4*($A5*(1-Model!$B$44)*(1-Model!$B$45)-Model!$B$46)-Model!$B$8</f>
        <v/>
      </c>
    </row>
    <row r="6">
      <c r="A6" s="30">
        <f>ROUND(Model!$B$34*0.8/5,0)*5</f>
        <v/>
      </c>
      <c r="B6" s="31">
        <f>B$4*($A6*(1-Model!$B$44)*(1-Model!$B$45)-Model!$B$46)-Model!$B$8</f>
        <v/>
      </c>
      <c r="C6" s="31">
        <f>C$4*($A6*(1-Model!$B$44)*(1-Model!$B$45)-Model!$B$46)-Model!$B$8</f>
        <v/>
      </c>
      <c r="D6" s="31">
        <f>D$4*($A6*(1-Model!$B$44)*(1-Model!$B$45)-Model!$B$46)-Model!$B$8</f>
        <v/>
      </c>
      <c r="E6" s="31">
        <f>E$4*($A6*(1-Model!$B$44)*(1-Model!$B$45)-Model!$B$46)-Model!$B$8</f>
        <v/>
      </c>
      <c r="F6" s="31">
        <f>F$4*($A6*(1-Model!$B$44)*(1-Model!$B$45)-Model!$B$46)-Model!$B$8</f>
        <v/>
      </c>
      <c r="G6" s="31">
        <f>G$4*($A6*(1-Model!$B$44)*(1-Model!$B$45)-Model!$B$46)-Model!$B$8</f>
        <v/>
      </c>
    </row>
    <row r="7">
      <c r="A7" s="30">
        <f>ROUND(Model!$B$34*1.0/5,0)*5</f>
        <v/>
      </c>
      <c r="B7" s="31">
        <f>B$4*($A7*(1-Model!$B$44)*(1-Model!$B$45)-Model!$B$46)-Model!$B$8</f>
        <v/>
      </c>
      <c r="C7" s="31">
        <f>C$4*($A7*(1-Model!$B$44)*(1-Model!$B$45)-Model!$B$46)-Model!$B$8</f>
        <v/>
      </c>
      <c r="D7" s="31">
        <f>D$4*($A7*(1-Model!$B$44)*(1-Model!$B$45)-Model!$B$46)-Model!$B$8</f>
        <v/>
      </c>
      <c r="E7" s="31">
        <f>E$4*($A7*(1-Model!$B$44)*(1-Model!$B$45)-Model!$B$46)-Model!$B$8</f>
        <v/>
      </c>
      <c r="F7" s="31">
        <f>F$4*($A7*(1-Model!$B$44)*(1-Model!$B$45)-Model!$B$46)-Model!$B$8</f>
        <v/>
      </c>
      <c r="G7" s="31">
        <f>G$4*($A7*(1-Model!$B$44)*(1-Model!$B$45)-Model!$B$46)-Model!$B$8</f>
        <v/>
      </c>
    </row>
    <row r="8">
      <c r="A8" s="30">
        <f>ROUND(Model!$B$34*1.2/5,0)*5</f>
        <v/>
      </c>
      <c r="B8" s="31">
        <f>B$4*($A8*(1-Model!$B$44)*(1-Model!$B$45)-Model!$B$46)-Model!$B$8</f>
        <v/>
      </c>
      <c r="C8" s="31">
        <f>C$4*($A8*(1-Model!$B$44)*(1-Model!$B$45)-Model!$B$46)-Model!$B$8</f>
        <v/>
      </c>
      <c r="D8" s="31">
        <f>D$4*($A8*(1-Model!$B$44)*(1-Model!$B$45)-Model!$B$46)-Model!$B$8</f>
        <v/>
      </c>
      <c r="E8" s="31">
        <f>E$4*($A8*(1-Model!$B$44)*(1-Model!$B$45)-Model!$B$46)-Model!$B$8</f>
        <v/>
      </c>
      <c r="F8" s="31">
        <f>F$4*($A8*(1-Model!$B$44)*(1-Model!$B$45)-Model!$B$46)-Model!$B$8</f>
        <v/>
      </c>
      <c r="G8" s="31">
        <f>G$4*($A8*(1-Model!$B$44)*(1-Model!$B$45)-Model!$B$46)-Model!$B$8</f>
        <v/>
      </c>
    </row>
    <row r="9">
      <c r="A9" s="30">
        <f>ROUND(Model!$B$34*1.4/5,0)*5</f>
        <v/>
      </c>
      <c r="B9" s="31">
        <f>B$4*($A9*(1-Model!$B$44)*(1-Model!$B$45)-Model!$B$46)-Model!$B$8</f>
        <v/>
      </c>
      <c r="C9" s="31">
        <f>C$4*($A9*(1-Model!$B$44)*(1-Model!$B$45)-Model!$B$46)-Model!$B$8</f>
        <v/>
      </c>
      <c r="D9" s="31">
        <f>D$4*($A9*(1-Model!$B$44)*(1-Model!$B$45)-Model!$B$46)-Model!$B$8</f>
        <v/>
      </c>
      <c r="E9" s="31">
        <f>E$4*($A9*(1-Model!$B$44)*(1-Model!$B$45)-Model!$B$46)-Model!$B$8</f>
        <v/>
      </c>
      <c r="F9" s="31">
        <f>F$4*($A9*(1-Model!$B$44)*(1-Model!$B$45)-Model!$B$46)-Model!$B$8</f>
        <v/>
      </c>
      <c r="G9" s="31">
        <f>G$4*($A9*(1-Model!$B$44)*(1-Model!$B$45)-Model!$B$46)-Model!$B$8</f>
        <v/>
      </c>
    </row>
  </sheetData>
  <mergeCells count="1">
    <mergeCell ref="A1:G1"/>
  </mergeCells>
  <conditionalFormatting sqref="B5:G9">
    <cfRule type="colorScale" priority="1">
      <colorScale>
        <cfvo type="min"/>
        <cfvo type="num" val="0"/>
        <cfvo type="max"/>
        <color rgb="00E8A0A0"/>
        <color rgb="00FFFFFF"/>
        <color rgb="0093C47D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12" customWidth="1" min="4" max="4"/>
    <col width="15" customWidth="1" min="5" max="5"/>
    <col width="15" customWidth="1" min="6" max="6"/>
    <col width="14" customWidth="1" min="7" max="7"/>
    <col width="15" customWidth="1" min="8" max="8"/>
  </cols>
  <sheetData>
    <row r="1" ht="26" customHeight="1">
      <c r="A1" s="1" t="inlineStr">
        <is>
          <t>Monthly plan  —  seasonality spread</t>
        </is>
      </c>
    </row>
    <row r="2">
      <c r="A2" s="2" t="inlineStr">
        <is>
          <t>Weights are inputs (relative). Edit to model peaks &amp; ramp-ups.</t>
        </is>
      </c>
    </row>
    <row r="4" ht="26" customHeight="1">
      <c r="A4" s="9" t="inlineStr">
        <is>
          <t>Month</t>
        </is>
      </c>
      <c r="B4" s="9" t="inlineStr">
        <is>
          <t>Weight</t>
        </is>
      </c>
      <c r="C4" s="9" t="inlineStr">
        <is>
          <t>Mix %</t>
        </is>
      </c>
      <c r="D4" s="9" t="inlineStr">
        <is>
          <t>Cases</t>
        </is>
      </c>
      <c r="E4" s="9" t="inlineStr">
        <is>
          <t>Gross rev</t>
        </is>
      </c>
      <c r="F4" s="9" t="inlineStr">
        <is>
          <t>Contribution</t>
        </is>
      </c>
      <c r="G4" s="9" t="inlineStr">
        <is>
          <t>Cum. cases</t>
        </is>
      </c>
      <c r="H4" s="9" t="inlineStr">
        <is>
          <t>Cum. rev</t>
        </is>
      </c>
    </row>
    <row r="5">
      <c r="A5" s="26" t="inlineStr">
        <is>
          <t>Jan</t>
        </is>
      </c>
      <c r="B5" s="32" t="n">
        <v>0.7</v>
      </c>
      <c r="C5" s="12">
        <f>B5/SUM($B$5:$B$16)</f>
        <v/>
      </c>
      <c r="D5" s="13">
        <f>Model!$B$37*C5</f>
        <v/>
      </c>
      <c r="E5" s="14">
        <f>Model!$B$22*C5</f>
        <v/>
      </c>
      <c r="F5" s="14">
        <f>Model!$B$27*C5</f>
        <v/>
      </c>
      <c r="G5" s="13">
        <f>SUM($D$5:D5)</f>
        <v/>
      </c>
      <c r="H5" s="14">
        <f>SUM($E$5:E5)</f>
        <v/>
      </c>
    </row>
    <row r="6">
      <c r="A6" s="26" t="inlineStr">
        <is>
          <t>Feb</t>
        </is>
      </c>
      <c r="B6" s="32" t="n">
        <v>0.7</v>
      </c>
      <c r="C6" s="12">
        <f>B6/SUM($B$5:$B$16)</f>
        <v/>
      </c>
      <c r="D6" s="13">
        <f>Model!$B$37*C6</f>
        <v/>
      </c>
      <c r="E6" s="14">
        <f>Model!$B$22*C6</f>
        <v/>
      </c>
      <c r="F6" s="14">
        <f>Model!$B$27*C6</f>
        <v/>
      </c>
      <c r="G6" s="13">
        <f>SUM($D$5:D6)</f>
        <v/>
      </c>
      <c r="H6" s="14">
        <f>SUM($E$5:E6)</f>
        <v/>
      </c>
    </row>
    <row r="7">
      <c r="A7" s="26" t="inlineStr">
        <is>
          <t>Mar</t>
        </is>
      </c>
      <c r="B7" s="32" t="n">
        <v>0.9</v>
      </c>
      <c r="C7" s="12">
        <f>B7/SUM($B$5:$B$16)</f>
        <v/>
      </c>
      <c r="D7" s="13">
        <f>Model!$B$37*C7</f>
        <v/>
      </c>
      <c r="E7" s="14">
        <f>Model!$B$22*C7</f>
        <v/>
      </c>
      <c r="F7" s="14">
        <f>Model!$B$27*C7</f>
        <v/>
      </c>
      <c r="G7" s="13">
        <f>SUM($D$5:D7)</f>
        <v/>
      </c>
      <c r="H7" s="14">
        <f>SUM($E$5:E7)</f>
        <v/>
      </c>
    </row>
    <row r="8">
      <c r="A8" s="26" t="inlineStr">
        <is>
          <t>Apr</t>
        </is>
      </c>
      <c r="B8" s="32" t="n">
        <v>1</v>
      </c>
      <c r="C8" s="12">
        <f>B8/SUM($B$5:$B$16)</f>
        <v/>
      </c>
      <c r="D8" s="13">
        <f>Model!$B$37*C8</f>
        <v/>
      </c>
      <c r="E8" s="14">
        <f>Model!$B$22*C8</f>
        <v/>
      </c>
      <c r="F8" s="14">
        <f>Model!$B$27*C8</f>
        <v/>
      </c>
      <c r="G8" s="13">
        <f>SUM($D$5:D8)</f>
        <v/>
      </c>
      <c r="H8" s="14">
        <f>SUM($E$5:E8)</f>
        <v/>
      </c>
    </row>
    <row r="9">
      <c r="A9" s="26" t="inlineStr">
        <is>
          <t>May</t>
        </is>
      </c>
      <c r="B9" s="32" t="n">
        <v>1.1</v>
      </c>
      <c r="C9" s="12">
        <f>B9/SUM($B$5:$B$16)</f>
        <v/>
      </c>
      <c r="D9" s="13">
        <f>Model!$B$37*C9</f>
        <v/>
      </c>
      <c r="E9" s="14">
        <f>Model!$B$22*C9</f>
        <v/>
      </c>
      <c r="F9" s="14">
        <f>Model!$B$27*C9</f>
        <v/>
      </c>
      <c r="G9" s="13">
        <f>SUM($D$5:D9)</f>
        <v/>
      </c>
      <c r="H9" s="14">
        <f>SUM($E$5:E9)</f>
        <v/>
      </c>
    </row>
    <row r="10">
      <c r="A10" s="26" t="inlineStr">
        <is>
          <t>Jun</t>
        </is>
      </c>
      <c r="B10" s="32" t="n">
        <v>1.2</v>
      </c>
      <c r="C10" s="12">
        <f>B10/SUM($B$5:$B$16)</f>
        <v/>
      </c>
      <c r="D10" s="13">
        <f>Model!$B$37*C10</f>
        <v/>
      </c>
      <c r="E10" s="14">
        <f>Model!$B$22*C10</f>
        <v/>
      </c>
      <c r="F10" s="14">
        <f>Model!$B$27*C10</f>
        <v/>
      </c>
      <c r="G10" s="13">
        <f>SUM($D$5:D10)</f>
        <v/>
      </c>
      <c r="H10" s="14">
        <f>SUM($E$5:E10)</f>
        <v/>
      </c>
    </row>
    <row r="11">
      <c r="A11" s="26" t="inlineStr">
        <is>
          <t>Jul</t>
        </is>
      </c>
      <c r="B11" s="32" t="n">
        <v>1.2</v>
      </c>
      <c r="C11" s="12">
        <f>B11/SUM($B$5:$B$16)</f>
        <v/>
      </c>
      <c r="D11" s="13">
        <f>Model!$B$37*C11</f>
        <v/>
      </c>
      <c r="E11" s="14">
        <f>Model!$B$22*C11</f>
        <v/>
      </c>
      <c r="F11" s="14">
        <f>Model!$B$27*C11</f>
        <v/>
      </c>
      <c r="G11" s="13">
        <f>SUM($D$5:D11)</f>
        <v/>
      </c>
      <c r="H11" s="14">
        <f>SUM($E$5:E11)</f>
        <v/>
      </c>
    </row>
    <row r="12">
      <c r="A12" s="26" t="inlineStr">
        <is>
          <t>Aug</t>
        </is>
      </c>
      <c r="B12" s="32" t="n">
        <v>1.1</v>
      </c>
      <c r="C12" s="12">
        <f>B12/SUM($B$5:$B$16)</f>
        <v/>
      </c>
      <c r="D12" s="13">
        <f>Model!$B$37*C12</f>
        <v/>
      </c>
      <c r="E12" s="14">
        <f>Model!$B$22*C12</f>
        <v/>
      </c>
      <c r="F12" s="14">
        <f>Model!$B$27*C12</f>
        <v/>
      </c>
      <c r="G12" s="13">
        <f>SUM($D$5:D12)</f>
        <v/>
      </c>
      <c r="H12" s="14">
        <f>SUM($E$5:E12)</f>
        <v/>
      </c>
    </row>
    <row r="13">
      <c r="A13" s="26" t="inlineStr">
        <is>
          <t>Sep</t>
        </is>
      </c>
      <c r="B13" s="32" t="n">
        <v>1</v>
      </c>
      <c r="C13" s="12">
        <f>B13/SUM($B$5:$B$16)</f>
        <v/>
      </c>
      <c r="D13" s="13">
        <f>Model!$B$37*C13</f>
        <v/>
      </c>
      <c r="E13" s="14">
        <f>Model!$B$22*C13</f>
        <v/>
      </c>
      <c r="F13" s="14">
        <f>Model!$B$27*C13</f>
        <v/>
      </c>
      <c r="G13" s="13">
        <f>SUM($D$5:D13)</f>
        <v/>
      </c>
      <c r="H13" s="14">
        <f>SUM($E$5:E13)</f>
        <v/>
      </c>
    </row>
    <row r="14">
      <c r="A14" s="26" t="inlineStr">
        <is>
          <t>Oct</t>
        </is>
      </c>
      <c r="B14" s="32" t="n">
        <v>1</v>
      </c>
      <c r="C14" s="12">
        <f>B14/SUM($B$5:$B$16)</f>
        <v/>
      </c>
      <c r="D14" s="13">
        <f>Model!$B$37*C14</f>
        <v/>
      </c>
      <c r="E14" s="14">
        <f>Model!$B$22*C14</f>
        <v/>
      </c>
      <c r="F14" s="14">
        <f>Model!$B$27*C14</f>
        <v/>
      </c>
      <c r="G14" s="13">
        <f>SUM($D$5:D14)</f>
        <v/>
      </c>
      <c r="H14" s="14">
        <f>SUM($E$5:E14)</f>
        <v/>
      </c>
    </row>
    <row r="15">
      <c r="A15" s="26" t="inlineStr">
        <is>
          <t>Nov</t>
        </is>
      </c>
      <c r="B15" s="32" t="n">
        <v>1.3</v>
      </c>
      <c r="C15" s="12">
        <f>B15/SUM($B$5:$B$16)</f>
        <v/>
      </c>
      <c r="D15" s="13">
        <f>Model!$B$37*C15</f>
        <v/>
      </c>
      <c r="E15" s="14">
        <f>Model!$B$22*C15</f>
        <v/>
      </c>
      <c r="F15" s="14">
        <f>Model!$B$27*C15</f>
        <v/>
      </c>
      <c r="G15" s="13">
        <f>SUM($D$5:D15)</f>
        <v/>
      </c>
      <c r="H15" s="14">
        <f>SUM($E$5:E15)</f>
        <v/>
      </c>
    </row>
    <row r="16">
      <c r="A16" s="26" t="inlineStr">
        <is>
          <t>Dec</t>
        </is>
      </c>
      <c r="B16" s="32" t="n">
        <v>1.8</v>
      </c>
      <c r="C16" s="12">
        <f>B16/SUM($B$5:$B$16)</f>
        <v/>
      </c>
      <c r="D16" s="13">
        <f>Model!$B$37*C16</f>
        <v/>
      </c>
      <c r="E16" s="14">
        <f>Model!$B$22*C16</f>
        <v/>
      </c>
      <c r="F16" s="14">
        <f>Model!$B$27*C16</f>
        <v/>
      </c>
      <c r="G16" s="13">
        <f>SUM($D$5:D16)</f>
        <v/>
      </c>
      <c r="H16" s="14">
        <f>SUM($E$5:E16)</f>
        <v/>
      </c>
    </row>
    <row r="17">
      <c r="A17" s="15" t="inlineStr">
        <is>
          <t>TOTAL</t>
        </is>
      </c>
      <c r="B17" s="33">
        <f>SUM(B5:B16)</f>
        <v/>
      </c>
      <c r="C17" s="18">
        <f>SUM(C5:C16)</f>
        <v/>
      </c>
      <c r="D17" s="17">
        <f>SUM(D5:D16)</f>
        <v/>
      </c>
      <c r="E17" s="19">
        <f>SUM(E5:E16)</f>
        <v/>
      </c>
      <c r="F17" s="19">
        <f>SUM(F5:F16)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6" customHeight="1">
      <c r="A1" s="1" t="inlineStr">
        <is>
          <t>Channel view  —  one channel at a time</t>
        </is>
      </c>
    </row>
    <row r="3">
      <c r="A3" s="3" t="inlineStr">
        <is>
          <t>A) Cases to hit target if 100% sold through one channel</t>
        </is>
      </c>
    </row>
    <row r="4">
      <c r="A4" s="9" t="inlineStr">
        <is>
          <t>Channel</t>
        </is>
      </c>
      <c r="B4" s="9" t="inlineStr">
        <is>
          <t>Gross/case</t>
        </is>
      </c>
      <c r="C4" s="9" t="inlineStr">
        <is>
          <t>Cases to target</t>
        </is>
      </c>
      <c r="D4" s="9" t="inlineStr">
        <is>
          <t>Units</t>
        </is>
      </c>
      <c r="E4" s="9" t="inlineStr">
        <is>
          <t>Contribution</t>
        </is>
      </c>
    </row>
    <row r="5">
      <c r="A5" s="10">
        <f>Model!A13</f>
        <v/>
      </c>
      <c r="B5" s="14">
        <f>Model!B13</f>
        <v/>
      </c>
      <c r="C5" s="13">
        <f>Model!$B$5/B5</f>
        <v/>
      </c>
      <c r="D5" s="13">
        <f>C5*Model!$B$6</f>
        <v/>
      </c>
      <c r="E5" s="14">
        <f>C5*Model!H13</f>
        <v/>
      </c>
    </row>
    <row r="6">
      <c r="A6" s="10">
        <f>Model!A14</f>
        <v/>
      </c>
      <c r="B6" s="14">
        <f>Model!B14</f>
        <v/>
      </c>
      <c r="C6" s="13">
        <f>Model!$B$5/B6</f>
        <v/>
      </c>
      <c r="D6" s="13">
        <f>C6*Model!$B$6</f>
        <v/>
      </c>
      <c r="E6" s="14">
        <f>C6*Model!H14</f>
        <v/>
      </c>
    </row>
    <row r="7">
      <c r="A7" s="10">
        <f>Model!A15</f>
        <v/>
      </c>
      <c r="B7" s="14">
        <f>Model!B15</f>
        <v/>
      </c>
      <c r="C7" s="13">
        <f>Model!$B$5/B7</f>
        <v/>
      </c>
      <c r="D7" s="13">
        <f>C7*Model!$B$6</f>
        <v/>
      </c>
      <c r="E7" s="14">
        <f>C7*Model!H15</f>
        <v/>
      </c>
    </row>
    <row r="8">
      <c r="A8" s="10">
        <f>Model!A16</f>
        <v/>
      </c>
      <c r="B8" s="14">
        <f>Model!B16</f>
        <v/>
      </c>
      <c r="C8" s="13">
        <f>Model!$B$5/B8</f>
        <v/>
      </c>
      <c r="D8" s="13">
        <f>C8*Model!$B$6</f>
        <v/>
      </c>
      <c r="E8" s="14">
        <f>C8*Model!H16</f>
        <v/>
      </c>
    </row>
    <row r="9">
      <c r="A9" s="10">
        <f>Model!A17</f>
        <v/>
      </c>
      <c r="B9" s="14">
        <f>Model!B17</f>
        <v/>
      </c>
      <c r="C9" s="13">
        <f>Model!$B$5/B9</f>
        <v/>
      </c>
      <c r="D9" s="13">
        <f>C9*Model!$B$6</f>
        <v/>
      </c>
      <c r="E9" s="14">
        <f>C9*Model!H17</f>
        <v/>
      </c>
    </row>
    <row r="11">
      <c r="A11" s="3" t="inlineStr">
        <is>
          <t>B) Gross revenue at a given number of cases</t>
        </is>
      </c>
    </row>
    <row r="12">
      <c r="A12" s="28" t="inlineStr">
        <is>
          <t>Channel</t>
        </is>
      </c>
      <c r="B12" s="9" t="inlineStr">
        <is>
          <t>Gross/case</t>
        </is>
      </c>
      <c r="C12" s="29" t="n">
        <v>5000</v>
      </c>
      <c r="D12" s="29" t="n">
        <v>10000</v>
      </c>
      <c r="E12" s="29" t="n">
        <v>15000</v>
      </c>
      <c r="F12" s="29" t="n">
        <v>20000</v>
      </c>
      <c r="G12" s="29" t="n">
        <v>25000</v>
      </c>
      <c r="H12" s="29" t="n">
        <v>30000</v>
      </c>
    </row>
    <row r="13">
      <c r="A13" s="10">
        <f>Model!A13</f>
        <v/>
      </c>
      <c r="B13" s="14">
        <f>Model!B13</f>
        <v/>
      </c>
      <c r="C13" s="27">
        <f>C$12*$B13</f>
        <v/>
      </c>
      <c r="D13" s="14">
        <f>D$12*$B13</f>
        <v/>
      </c>
      <c r="E13" s="27">
        <f>E$12*$B13</f>
        <v/>
      </c>
      <c r="F13" s="14">
        <f>F$12*$B13</f>
        <v/>
      </c>
      <c r="G13" s="27">
        <f>G$12*$B13</f>
        <v/>
      </c>
      <c r="H13" s="14">
        <f>H$12*$B13</f>
        <v/>
      </c>
    </row>
    <row r="14">
      <c r="A14" s="10">
        <f>Model!A14</f>
        <v/>
      </c>
      <c r="B14" s="14">
        <f>Model!B14</f>
        <v/>
      </c>
      <c r="C14" s="14">
        <f>C$12*$B14</f>
        <v/>
      </c>
      <c r="D14" s="27">
        <f>D$12*$B14</f>
        <v/>
      </c>
      <c r="E14" s="14">
        <f>E$12*$B14</f>
        <v/>
      </c>
      <c r="F14" s="27">
        <f>F$12*$B14</f>
        <v/>
      </c>
      <c r="G14" s="14">
        <f>G$12*$B14</f>
        <v/>
      </c>
      <c r="H14" s="27">
        <f>H$12*$B14</f>
        <v/>
      </c>
    </row>
    <row r="15">
      <c r="A15" s="10">
        <f>Model!A15</f>
        <v/>
      </c>
      <c r="B15" s="14">
        <f>Model!B15</f>
        <v/>
      </c>
      <c r="C15" s="27">
        <f>C$12*$B15</f>
        <v/>
      </c>
      <c r="D15" s="14">
        <f>D$12*$B15</f>
        <v/>
      </c>
      <c r="E15" s="27">
        <f>E$12*$B15</f>
        <v/>
      </c>
      <c r="F15" s="14">
        <f>F$12*$B15</f>
        <v/>
      </c>
      <c r="G15" s="27">
        <f>G$12*$B15</f>
        <v/>
      </c>
      <c r="H15" s="14">
        <f>H$12*$B15</f>
        <v/>
      </c>
    </row>
    <row r="16">
      <c r="A16" s="10">
        <f>Model!A16</f>
        <v/>
      </c>
      <c r="B16" s="14">
        <f>Model!B16</f>
        <v/>
      </c>
      <c r="C16" s="14">
        <f>C$12*$B16</f>
        <v/>
      </c>
      <c r="D16" s="27">
        <f>D$12*$B16</f>
        <v/>
      </c>
      <c r="E16" s="14">
        <f>E$12*$B16</f>
        <v/>
      </c>
      <c r="F16" s="27">
        <f>F$12*$B16</f>
        <v/>
      </c>
      <c r="G16" s="14">
        <f>G$12*$B16</f>
        <v/>
      </c>
      <c r="H16" s="27">
        <f>H$12*$B16</f>
        <v/>
      </c>
    </row>
    <row r="17">
      <c r="A17" s="10">
        <f>Model!A17</f>
        <v/>
      </c>
      <c r="B17" s="14">
        <f>Model!B17</f>
        <v/>
      </c>
      <c r="C17" s="27">
        <f>C$12*$B17</f>
        <v/>
      </c>
      <c r="D17" s="14">
        <f>D$12*$B17</f>
        <v/>
      </c>
      <c r="E17" s="27">
        <f>E$12*$B17</f>
        <v/>
      </c>
      <c r="F17" s="14">
        <f>F$12*$B17</f>
        <v/>
      </c>
      <c r="G17" s="27">
        <f>G$12*$B17</f>
        <v/>
      </c>
      <c r="H17" s="14">
        <f>H$12*$B17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</cols>
  <sheetData>
    <row r="1" ht="26" customHeight="1">
      <c r="A1" s="1" t="inlineStr">
        <is>
          <t>Goal-seek &amp; sensitivity</t>
        </is>
      </c>
    </row>
    <row r="3">
      <c r="A3" s="3" t="inlineStr">
        <is>
          <t>GOAL-SEEK — plan to a profit</t>
        </is>
      </c>
    </row>
    <row r="4">
      <c r="A4" s="4" t="inlineStr">
        <is>
          <t>Target operating profit</t>
        </is>
      </c>
      <c r="B4" s="5" t="n">
        <v>500000</v>
      </c>
    </row>
    <row r="5">
      <c r="A5" s="4" t="inlineStr">
        <is>
          <t>Cases needed</t>
        </is>
      </c>
      <c r="B5" s="13">
        <f>(B4+Model!$B$8)/Model!$B$36</f>
        <v/>
      </c>
    </row>
    <row r="6">
      <c r="A6" s="4" t="inlineStr">
        <is>
          <t>Gross revenue</t>
        </is>
      </c>
      <c r="B6" s="14">
        <f>B5*Model!$B$34</f>
        <v/>
      </c>
    </row>
    <row r="7">
      <c r="A7" s="4" t="inlineStr">
        <is>
          <t>Net revenue</t>
        </is>
      </c>
      <c r="B7" s="14">
        <f>B5*Model!$B$35</f>
        <v/>
      </c>
    </row>
    <row r="9">
      <c r="A9" s="3" t="inlineStr">
        <is>
          <t>CAPACITY — what a ceiling delivers</t>
        </is>
      </c>
    </row>
    <row r="10">
      <c r="A10" s="4" t="inlineStr">
        <is>
          <t>Max cases you can sell</t>
        </is>
      </c>
      <c r="B10" s="6" t="n">
        <v>12000</v>
      </c>
    </row>
    <row r="11">
      <c r="A11" s="4" t="inlineStr">
        <is>
          <t>Gross revenue</t>
        </is>
      </c>
      <c r="B11" s="14">
        <f>B10*Model!$B$34</f>
        <v/>
      </c>
    </row>
    <row r="12">
      <c r="A12" s="4" t="inlineStr">
        <is>
          <t>Contribution</t>
        </is>
      </c>
      <c r="B12" s="14">
        <f>B10*Model!$B$36</f>
        <v/>
      </c>
    </row>
    <row r="13">
      <c r="A13" s="4" t="inlineStr">
        <is>
          <t>Operating profit</t>
        </is>
      </c>
      <c r="B13" s="27">
        <f>B12-Model!$B$8</f>
        <v/>
      </c>
    </row>
    <row r="15">
      <c r="A15" s="3" t="inlineStr">
        <is>
          <t>SENSITIVITY — operating profit at ±10% (volumes held)</t>
        </is>
      </c>
    </row>
    <row r="16">
      <c r="A16" s="28" t="inlineStr">
        <is>
          <t>Driver</t>
        </is>
      </c>
      <c r="B16" s="28" t="inlineStr">
        <is>
          <t>−10%</t>
        </is>
      </c>
      <c r="C16" s="28" t="inlineStr">
        <is>
          <t>+10%</t>
        </is>
      </c>
      <c r="D16" s="28" t="inlineStr">
        <is>
          <t>Swing</t>
        </is>
      </c>
    </row>
    <row r="17">
      <c r="A17" s="26" t="inlineStr">
        <is>
          <t>Price / case</t>
        </is>
      </c>
      <c r="B17" s="14">
        <f>SUMPRODUCT(Model!$J$13:$J$17,(Model!$B$13:$B$17*0.9)*(1-Model!$E$13:$E$17)*(1-Model!$F$13:$F$17)-Model!$D$13:$D$17)-Model!$B$8</f>
        <v/>
      </c>
      <c r="C17" s="14">
        <f>SUMPRODUCT(Model!$J$13:$J$17,(Model!$B$13:$B$17*1.1)*(1-Model!$E$13:$E$17)*(1-Model!$F$13:$F$17)-Model!$D$13:$D$17)-Model!$B$8</f>
        <v/>
      </c>
      <c r="D17" s="24">
        <f>ABS(C17-B17)</f>
        <v/>
      </c>
    </row>
    <row r="18">
      <c r="A18" s="26" t="inlineStr">
        <is>
          <t>Sales volume</t>
        </is>
      </c>
      <c r="B18" s="14">
        <f>Model!$B$27*0.9-Model!$B$8</f>
        <v/>
      </c>
      <c r="C18" s="14">
        <f>Model!$B$27*1.1-Model!$B$8</f>
        <v/>
      </c>
      <c r="D18" s="24">
        <f>ABS(C18-B18)</f>
        <v/>
      </c>
    </row>
    <row r="19">
      <c r="A19" s="26" t="inlineStr">
        <is>
          <t>COGS / case</t>
        </is>
      </c>
      <c r="B19" s="14">
        <f>SUMPRODUCT(Model!$J$13:$J$17,Model!$B$13:$B$17*(1-Model!$E$13:$E$17)*(1-Model!$F$13:$F$17)-Model!$D$13:$D$17*0.9)-Model!$B$8</f>
        <v/>
      </c>
      <c r="C19" s="14">
        <f>SUMPRODUCT(Model!$J$13:$J$17,Model!$B$13:$B$17*(1-Model!$E$13:$E$17)*(1-Model!$F$13:$F$17)-Model!$D$13:$D$17*1.1)-Model!$B$8</f>
        <v/>
      </c>
      <c r="D19" s="24">
        <f>ABS(C19-B19)</f>
        <v/>
      </c>
    </row>
    <row r="20">
      <c r="A20" s="26" t="inlineStr">
        <is>
          <t>Fixed costs</t>
        </is>
      </c>
      <c r="B20" s="14">
        <f>Model!$B$27-Model!$B$8*0.9</f>
        <v/>
      </c>
      <c r="C20" s="14">
        <f>Model!$B$27-Model!$B$8*1.1</f>
        <v/>
      </c>
      <c r="D20" s="24">
        <f>ABS(C20-B20)</f>
        <v/>
      </c>
    </row>
    <row r="21">
      <c r="A21" s="26" t="inlineStr">
        <is>
          <t>Trade discounts</t>
        </is>
      </c>
      <c r="B21" s="14">
        <f>SUMPRODUCT(Model!$J$13:$J$17,Model!$B$13:$B$17*(1-Model!$E$13:$E$17*0.9)*(1-Model!$F$13:$F$17)-Model!$D$13:$D$17)-Model!$B$8</f>
        <v/>
      </c>
      <c r="C21" s="14">
        <f>SUMPRODUCT(Model!$J$13:$J$17,Model!$B$13:$B$17*(1-Model!$E$13:$E$17*1.1)*(1-Model!$F$13:$F$17)-Model!$D$13:$D$17)-Model!$B$8</f>
        <v/>
      </c>
      <c r="D21" s="24">
        <f>ABS(C21-B21)</f>
        <v/>
      </c>
    </row>
    <row r="23">
      <c r="A23" s="2" t="inlineStr">
        <is>
          <t>Longest swing = the lever that moves profit most. Price typically dominates.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2026-06-13T08:00:14Z</dcterms:created>
  <dcterms:modified xsi:type="dcterms:W3CDTF">2026-06-13T08:00:14Z</dcterms:modified>
</cp:coreProperties>
</file>